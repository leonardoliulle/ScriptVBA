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slicers/slicer1.xml" ContentType="application/vnd.ms-excel.slicer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leonardo.reis\Downloads\Telegram Desktop\"/>
    </mc:Choice>
  </mc:AlternateContent>
  <bookViews>
    <workbookView xWindow="0" yWindow="0" windowWidth="20490" windowHeight="6540" tabRatio="652" activeTab="3"/>
  </bookViews>
  <sheets>
    <sheet name="Index" sheetId="2" r:id="rId1"/>
    <sheet name="base_tc_geral" sheetId="1" r:id="rId2"/>
    <sheet name="export" sheetId="5" r:id="rId3"/>
    <sheet name="configuracoes" sheetId="4" r:id="rId4"/>
  </sheets>
  <definedNames>
    <definedName name="_10.22.75.248_PCP" localSheetId="1" hidden="1">base_tc_geral!$A$1:$Z$1440</definedName>
    <definedName name="SegmentaçãodeDados_GESTOR_AREA">#N/A</definedName>
    <definedName name="SegmentaçãodeDados_GESTOR_GERAL">#N/A</definedName>
    <definedName name="SegmentaçãodeDados_GESTOR_OPERACIONAL">#N/A</definedName>
    <definedName name="SegmentaçãodeDados_HC_PCP?">#N/A</definedName>
    <definedName name="SegmentaçãodeDados_PRODUTO">#N/A</definedName>
    <definedName name="SegmentaçãodeDados_SITUAÇÃO_FOLHA">#N/A</definedName>
    <definedName name="SegmentaçãodeDados_STATUS_CLICK">#N/A</definedName>
    <definedName name="SegmentaçãodeDados_TIPO">#N/A</definedName>
    <definedName name="SegmentaçãodeDados_UF1">#N/A</definedName>
  </definedNames>
  <calcPr calcId="162913"/>
  <pivotCaches>
    <pivotCache cacheId="833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  <x14:slicerCache r:id="rId10"/>
        <x14:slicerCache r:id="rId11"/>
        <x14:slicerCache r:id="rId12"/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A2" i="1" l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B2" i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AB985" i="1"/>
  <c r="AB986" i="1"/>
  <c r="AB987" i="1"/>
  <c r="AB988" i="1"/>
  <c r="AB989" i="1"/>
  <c r="AB990" i="1"/>
  <c r="AB991" i="1"/>
  <c r="AB992" i="1"/>
  <c r="AB993" i="1"/>
  <c r="AB994" i="1"/>
  <c r="AB995" i="1"/>
  <c r="AB996" i="1"/>
  <c r="AB997" i="1"/>
  <c r="AB998" i="1"/>
  <c r="AB999" i="1"/>
  <c r="AB1000" i="1"/>
  <c r="AB1001" i="1"/>
  <c r="AB1002" i="1"/>
  <c r="AB1003" i="1"/>
  <c r="AB1004" i="1"/>
  <c r="AB1005" i="1"/>
  <c r="AB1006" i="1"/>
  <c r="AB1007" i="1"/>
  <c r="AB1008" i="1"/>
  <c r="AB1009" i="1"/>
  <c r="AB1010" i="1"/>
  <c r="AB1011" i="1"/>
  <c r="AB1012" i="1"/>
  <c r="AB1013" i="1"/>
  <c r="AB1014" i="1"/>
  <c r="AB1015" i="1"/>
  <c r="AB1016" i="1"/>
  <c r="AB1017" i="1"/>
  <c r="AB1018" i="1"/>
  <c r="AB1019" i="1"/>
  <c r="AB1020" i="1"/>
  <c r="AB1021" i="1"/>
  <c r="AB1022" i="1"/>
  <c r="AB1023" i="1"/>
  <c r="AB1024" i="1"/>
  <c r="AB1025" i="1"/>
  <c r="AB1026" i="1"/>
  <c r="AB1027" i="1"/>
  <c r="AB1028" i="1"/>
  <c r="AB1029" i="1"/>
  <c r="AB1030" i="1"/>
  <c r="AB1031" i="1"/>
  <c r="AB1032" i="1"/>
  <c r="AB1033" i="1"/>
  <c r="AB1034" i="1"/>
  <c r="AB1035" i="1"/>
  <c r="AB1036" i="1"/>
  <c r="AB1037" i="1"/>
  <c r="AB1038" i="1"/>
  <c r="AB1039" i="1"/>
  <c r="AB1040" i="1"/>
  <c r="AB1041" i="1"/>
  <c r="AB1042" i="1"/>
  <c r="AB1043" i="1"/>
  <c r="AB1044" i="1"/>
  <c r="AB1045" i="1"/>
  <c r="AB1046" i="1"/>
  <c r="AB1047" i="1"/>
  <c r="AB1048" i="1"/>
  <c r="AB1049" i="1"/>
  <c r="AB1050" i="1"/>
  <c r="AB1051" i="1"/>
  <c r="AB1052" i="1"/>
  <c r="AB1053" i="1"/>
  <c r="AB1054" i="1"/>
  <c r="AB1055" i="1"/>
  <c r="AB1056" i="1"/>
  <c r="AB1057" i="1"/>
  <c r="AB1058" i="1"/>
  <c r="AB1059" i="1"/>
  <c r="AB1060" i="1"/>
  <c r="AB1061" i="1"/>
  <c r="AB1062" i="1"/>
  <c r="AB1063" i="1"/>
  <c r="AB1064" i="1"/>
  <c r="AB1065" i="1"/>
  <c r="AB1066" i="1"/>
  <c r="AB1067" i="1"/>
  <c r="AB1068" i="1"/>
  <c r="AB1069" i="1"/>
  <c r="AB1070" i="1"/>
  <c r="AB1071" i="1"/>
  <c r="AB1072" i="1"/>
  <c r="AB1073" i="1"/>
  <c r="AB1074" i="1"/>
  <c r="AB1075" i="1"/>
  <c r="AB1076" i="1"/>
  <c r="AB1077" i="1"/>
  <c r="AB1078" i="1"/>
  <c r="AB1079" i="1"/>
  <c r="AB1080" i="1"/>
  <c r="AB1081" i="1"/>
  <c r="AB1082" i="1"/>
  <c r="AB1083" i="1"/>
  <c r="AB1084" i="1"/>
  <c r="AB1085" i="1"/>
  <c r="AB1086" i="1"/>
  <c r="AB1087" i="1"/>
  <c r="AB1088" i="1"/>
  <c r="AB1089" i="1"/>
  <c r="AB1090" i="1"/>
  <c r="AB1091" i="1"/>
  <c r="AB1092" i="1"/>
  <c r="AB1093" i="1"/>
  <c r="AB1094" i="1"/>
  <c r="AB1095" i="1"/>
  <c r="AB1096" i="1"/>
  <c r="AB1097" i="1"/>
  <c r="AB1098" i="1"/>
  <c r="AB1099" i="1"/>
  <c r="AB1100" i="1"/>
  <c r="AB1101" i="1"/>
  <c r="AB1102" i="1"/>
  <c r="AB1103" i="1"/>
  <c r="AB1104" i="1"/>
  <c r="AB1105" i="1"/>
  <c r="AB1106" i="1"/>
  <c r="AB1107" i="1"/>
  <c r="AB1108" i="1"/>
  <c r="AB1109" i="1"/>
  <c r="AB1110" i="1"/>
  <c r="AB1111" i="1"/>
  <c r="AB1112" i="1"/>
  <c r="AB1113" i="1"/>
  <c r="AB1114" i="1"/>
  <c r="AB1115" i="1"/>
  <c r="AB1116" i="1"/>
  <c r="AB1117" i="1"/>
  <c r="AB1118" i="1"/>
  <c r="AB1119" i="1"/>
  <c r="AB1120" i="1"/>
  <c r="AB1121" i="1"/>
  <c r="AB1122" i="1"/>
  <c r="AB1123" i="1"/>
  <c r="AB1124" i="1"/>
  <c r="AB1125" i="1"/>
  <c r="AB1126" i="1"/>
  <c r="AB1127" i="1"/>
  <c r="AB1128" i="1"/>
  <c r="AB1129" i="1"/>
  <c r="AB1130" i="1"/>
  <c r="AB1131" i="1"/>
  <c r="AB1132" i="1"/>
  <c r="AB1133" i="1"/>
  <c r="AB1134" i="1"/>
  <c r="AB1135" i="1"/>
  <c r="AB1136" i="1"/>
  <c r="AB1137" i="1"/>
  <c r="AB1138" i="1"/>
  <c r="AB1139" i="1"/>
  <c r="AB1140" i="1"/>
  <c r="AB1141" i="1"/>
  <c r="AB1142" i="1"/>
  <c r="AB1143" i="1"/>
  <c r="AB1144" i="1"/>
  <c r="AB1145" i="1"/>
  <c r="AB1146" i="1"/>
  <c r="AB1147" i="1"/>
  <c r="AB1148" i="1"/>
  <c r="AB1149" i="1"/>
  <c r="AB1150" i="1"/>
  <c r="AB1151" i="1"/>
  <c r="AB1152" i="1"/>
  <c r="AB1153" i="1"/>
  <c r="AB1154" i="1"/>
  <c r="AB1155" i="1"/>
  <c r="AB1156" i="1"/>
  <c r="AB1157" i="1"/>
  <c r="AB1158" i="1"/>
  <c r="AB1159" i="1"/>
  <c r="AB1160" i="1"/>
  <c r="AB1161" i="1"/>
  <c r="AB1162" i="1"/>
  <c r="AB1163" i="1"/>
  <c r="AB1164" i="1"/>
  <c r="AB1165" i="1"/>
  <c r="AB1166" i="1"/>
  <c r="AB1167" i="1"/>
  <c r="AB1168" i="1"/>
  <c r="AB1169" i="1"/>
  <c r="AB1170" i="1"/>
  <c r="AB1171" i="1"/>
  <c r="AB1172" i="1"/>
  <c r="AB1173" i="1"/>
  <c r="AB1174" i="1"/>
  <c r="AB1175" i="1"/>
  <c r="AB1176" i="1"/>
  <c r="AB1177" i="1"/>
  <c r="AB1178" i="1"/>
  <c r="AB1179" i="1"/>
  <c r="AB1180" i="1"/>
  <c r="AB1181" i="1"/>
  <c r="AB1182" i="1"/>
  <c r="AB1183" i="1"/>
  <c r="AB1184" i="1"/>
  <c r="AB1185" i="1"/>
  <c r="AB1186" i="1"/>
  <c r="AB1187" i="1"/>
  <c r="AB1188" i="1"/>
  <c r="AB1189" i="1"/>
  <c r="AB1190" i="1"/>
  <c r="AB1191" i="1"/>
  <c r="AB1192" i="1"/>
  <c r="AB1193" i="1"/>
  <c r="AB1194" i="1"/>
  <c r="AB1195" i="1"/>
  <c r="AB1196" i="1"/>
  <c r="AB1197" i="1"/>
  <c r="AB1198" i="1"/>
  <c r="AB1199" i="1"/>
  <c r="AB1200" i="1"/>
  <c r="AB1201" i="1"/>
  <c r="AB1202" i="1"/>
  <c r="AB1203" i="1"/>
  <c r="AB1204" i="1"/>
  <c r="AB1205" i="1"/>
  <c r="AB1206" i="1"/>
  <c r="AB1207" i="1"/>
  <c r="AB1208" i="1"/>
  <c r="AB1209" i="1"/>
  <c r="AB1210" i="1"/>
  <c r="AB1211" i="1"/>
  <c r="AB1212" i="1"/>
  <c r="AB1213" i="1"/>
  <c r="AB1214" i="1"/>
  <c r="AB1215" i="1"/>
  <c r="AB1216" i="1"/>
  <c r="AB1217" i="1"/>
  <c r="AB1218" i="1"/>
  <c r="AB1219" i="1"/>
  <c r="AB1220" i="1"/>
  <c r="AB1221" i="1"/>
  <c r="AB1222" i="1"/>
  <c r="AB1223" i="1"/>
  <c r="AB1224" i="1"/>
  <c r="AB1225" i="1"/>
  <c r="AB1226" i="1"/>
  <c r="AB1227" i="1"/>
  <c r="AB1228" i="1"/>
  <c r="AB1229" i="1"/>
  <c r="AB1230" i="1"/>
  <c r="AB1231" i="1"/>
  <c r="AB1232" i="1"/>
  <c r="AB1233" i="1"/>
  <c r="AB1234" i="1"/>
  <c r="AB1235" i="1"/>
  <c r="AB1236" i="1"/>
  <c r="AB1237" i="1"/>
  <c r="AB1238" i="1"/>
  <c r="AB1239" i="1"/>
  <c r="AB1240" i="1"/>
  <c r="AB1241" i="1"/>
  <c r="AB1242" i="1"/>
  <c r="AB1243" i="1"/>
  <c r="AB1244" i="1"/>
  <c r="AB1245" i="1"/>
  <c r="AB1246" i="1"/>
  <c r="AB1247" i="1"/>
  <c r="AB1248" i="1"/>
  <c r="AB1249" i="1"/>
  <c r="AB1250" i="1"/>
  <c r="AB1251" i="1"/>
  <c r="AB1252" i="1"/>
  <c r="AB1253" i="1"/>
  <c r="AB1254" i="1"/>
  <c r="AB1255" i="1"/>
  <c r="AB1256" i="1"/>
  <c r="AB1257" i="1"/>
  <c r="AB1258" i="1"/>
  <c r="AB1259" i="1"/>
  <c r="AB1260" i="1"/>
  <c r="AB1261" i="1"/>
  <c r="AB1262" i="1"/>
  <c r="AB1263" i="1"/>
  <c r="AB1264" i="1"/>
  <c r="AB1265" i="1"/>
  <c r="AB1266" i="1"/>
  <c r="AB1267" i="1"/>
  <c r="AB1268" i="1"/>
  <c r="AB1269" i="1"/>
  <c r="AB1270" i="1"/>
  <c r="AB1271" i="1"/>
  <c r="AB1272" i="1"/>
  <c r="AB1273" i="1"/>
  <c r="AB1274" i="1"/>
  <c r="AB1275" i="1"/>
  <c r="AB1276" i="1"/>
  <c r="AB1277" i="1"/>
  <c r="AB1278" i="1"/>
  <c r="AB1279" i="1"/>
  <c r="AB1280" i="1"/>
  <c r="AB1281" i="1"/>
  <c r="AB1282" i="1"/>
  <c r="AB1283" i="1"/>
  <c r="AB1284" i="1"/>
  <c r="AB1285" i="1"/>
  <c r="AB1286" i="1"/>
  <c r="AB1287" i="1"/>
  <c r="AB1288" i="1"/>
  <c r="AB1289" i="1"/>
  <c r="AB1290" i="1"/>
  <c r="AB1291" i="1"/>
  <c r="AB1292" i="1"/>
  <c r="AB1293" i="1"/>
  <c r="AB1294" i="1"/>
  <c r="AB1295" i="1"/>
  <c r="AB1296" i="1"/>
  <c r="AB1297" i="1"/>
  <c r="AB1298" i="1"/>
  <c r="AB1299" i="1"/>
  <c r="AB1300" i="1"/>
  <c r="AB1301" i="1"/>
  <c r="AB1302" i="1"/>
  <c r="AB1303" i="1"/>
  <c r="AB1304" i="1"/>
  <c r="AB1305" i="1"/>
  <c r="AB1306" i="1"/>
  <c r="AB1307" i="1"/>
  <c r="AB1308" i="1"/>
  <c r="AB1309" i="1"/>
  <c r="AB1310" i="1"/>
  <c r="AB1311" i="1"/>
  <c r="AB1312" i="1"/>
  <c r="AB1313" i="1"/>
  <c r="AB1314" i="1"/>
  <c r="AB1315" i="1"/>
  <c r="AB1316" i="1"/>
  <c r="AB1317" i="1"/>
  <c r="AB1318" i="1"/>
  <c r="AB1319" i="1"/>
  <c r="AB1320" i="1"/>
  <c r="AB1321" i="1"/>
  <c r="AB1322" i="1"/>
  <c r="AB1323" i="1"/>
  <c r="AB1324" i="1"/>
  <c r="AB1325" i="1"/>
  <c r="AB1326" i="1"/>
  <c r="AB1327" i="1"/>
  <c r="AB1328" i="1"/>
  <c r="AB1329" i="1"/>
  <c r="AB1330" i="1"/>
  <c r="AB1331" i="1"/>
  <c r="AB1332" i="1"/>
  <c r="AB1333" i="1"/>
  <c r="AB1334" i="1"/>
  <c r="AB1335" i="1"/>
  <c r="AB1336" i="1"/>
  <c r="AB1337" i="1"/>
  <c r="AB1338" i="1"/>
  <c r="AB1339" i="1"/>
  <c r="AB1340" i="1"/>
  <c r="AB1341" i="1"/>
  <c r="AB1342" i="1"/>
  <c r="AB1343" i="1"/>
  <c r="AB1344" i="1"/>
  <c r="AB1345" i="1"/>
  <c r="AB1346" i="1"/>
  <c r="AB1347" i="1"/>
  <c r="AB1348" i="1"/>
  <c r="AB1349" i="1"/>
  <c r="AB1350" i="1"/>
  <c r="AB1351" i="1"/>
  <c r="AB1352" i="1"/>
  <c r="AB1353" i="1"/>
  <c r="AB1354" i="1"/>
  <c r="AB1355" i="1"/>
  <c r="AB1356" i="1"/>
  <c r="AB1357" i="1"/>
  <c r="AB1358" i="1"/>
  <c r="AB1359" i="1"/>
  <c r="AB1360" i="1"/>
  <c r="AB1361" i="1"/>
  <c r="AB1362" i="1"/>
  <c r="AB1363" i="1"/>
  <c r="AB1364" i="1"/>
  <c r="AB1365" i="1"/>
  <c r="AB1366" i="1"/>
  <c r="AB1367" i="1"/>
  <c r="AB1368" i="1"/>
  <c r="AB1369" i="1"/>
  <c r="AB1370" i="1"/>
  <c r="AB1371" i="1"/>
  <c r="AB1372" i="1"/>
  <c r="AB1373" i="1"/>
  <c r="AB1374" i="1"/>
  <c r="AB1375" i="1"/>
  <c r="AB1376" i="1"/>
  <c r="AB1377" i="1"/>
  <c r="AB1378" i="1"/>
  <c r="AB1379" i="1"/>
  <c r="AB1380" i="1"/>
  <c r="AB1381" i="1"/>
  <c r="AB1382" i="1"/>
  <c r="AB1383" i="1"/>
  <c r="AB1384" i="1"/>
  <c r="AB1385" i="1"/>
  <c r="AB1386" i="1"/>
  <c r="AB1387" i="1"/>
  <c r="AB1388" i="1"/>
  <c r="AB1389" i="1"/>
  <c r="AB1390" i="1"/>
  <c r="AB1391" i="1"/>
  <c r="AB1392" i="1"/>
  <c r="AB1393" i="1"/>
  <c r="AB1394" i="1"/>
  <c r="AB1395" i="1"/>
  <c r="AB1396" i="1"/>
  <c r="AB1397" i="1"/>
  <c r="AB1398" i="1"/>
  <c r="AB1399" i="1"/>
  <c r="AB1400" i="1"/>
  <c r="AB1401" i="1"/>
  <c r="AB1402" i="1"/>
  <c r="AB1403" i="1"/>
  <c r="AB1404" i="1"/>
  <c r="AB1405" i="1"/>
  <c r="AB1406" i="1"/>
  <c r="AB1407" i="1"/>
  <c r="AB1408" i="1"/>
  <c r="AB1409" i="1"/>
  <c r="AB1410" i="1"/>
  <c r="AB1411" i="1"/>
  <c r="AB1412" i="1"/>
  <c r="AB1413" i="1"/>
  <c r="AB1414" i="1"/>
  <c r="AB1415" i="1"/>
  <c r="AB1416" i="1"/>
  <c r="AB1417" i="1"/>
  <c r="AB1418" i="1"/>
  <c r="AB1419" i="1"/>
  <c r="AB1420" i="1"/>
  <c r="AB1421" i="1"/>
  <c r="AB1422" i="1"/>
  <c r="AB1423" i="1"/>
  <c r="AB1424" i="1"/>
  <c r="AB1425" i="1"/>
  <c r="AB1426" i="1"/>
  <c r="AB1427" i="1"/>
  <c r="AB1428" i="1"/>
  <c r="AB1429" i="1"/>
  <c r="AB1430" i="1"/>
  <c r="AB1431" i="1"/>
  <c r="AB1432" i="1"/>
  <c r="AB1433" i="1"/>
  <c r="AB1434" i="1"/>
  <c r="AB1435" i="1"/>
  <c r="AB1436" i="1"/>
  <c r="AB1437" i="1"/>
  <c r="AB1438" i="1"/>
  <c r="AB1439" i="1"/>
  <c r="AB1440" i="1"/>
  <c r="AC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D2" i="1"/>
  <c r="AD3" i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E2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C2" i="4" l="1"/>
  <c r="G4" i="4" l="1"/>
</calcChain>
</file>

<file path=xl/connections.xml><?xml version="1.0" encoding="utf-8"?>
<connections xmlns="http://schemas.openxmlformats.org/spreadsheetml/2006/main">
  <connection id="1" keepAlive="1" name="Atualiza_Quadro_Click_Bruno" description="Conexão com o banco PCP para atualizar o Técnicos Clic, Hierarquia GH e etc." type="5" refreshedVersion="5" background="1" saveData="1">
    <dbPr connection="Provider=SQLOLEDB.1;Persist Security Info=True;User ID=consulta_pcp;Initial Catalog=PCP;Data Source=10.22.75.248;Use Procedure for Prepare=1;Auto Translate=True;Packet Size=4096;Workstation ID=PEGPCDO0103959;Use Encryption for Data=False;Tag with column collation when possible=False" command="DECLARE @datemax DATETIME set @datemax = (select top 1 convert(date,data_ref) from pcp.dbo.Tecnicos_Click_acum WHERE UF IN ('CE' ,'PB', 'PE', 'RN') AND TIPO NOT IN ('DG', 'TUP','CABO-PREV', 'N/A', 'CABO') AND ATIVO = 'ATIVO' order by convert(date,data_ref) desc)_x000d__x000a_SELECT  _x000d__x000a_    a.NOME as NOME,_x000d__x000a_    ID_GESTOR_IMEDIATO = b.id_gestor_imediato,_x000d__x000a_    GESTOR_IMEDIATO_GA = b.nm_gestor_imediato,_x000d__x000a__x0009_GESTOR_OPERACIONAL_GO = b.gestor_n4,_x000d__x000a__x0009_GESTOR_GERAL_GG = b.gestor_n3, _x000d__x000a_    GH_STATUS = b.ds_status,_x000d__x000a_    GH_DATA_SITUACAO = CONVERT(VARCHAR, b.dt_situacao, 103),_x000d__x000a_    a.MATRICULA_NDS as MAT_TR,_x000d__x000a_    a.UF,_x000d__x000a_    a.DIST_TEAM as SETOR,_x000d__x000a_    a.ATIVO as STATUS_CLICK,_x000d__x000a_    a.SKILLS,_x000d__x000a_    a.GRA,_x000d__x000a_    a.REGIONAL,_x000d__x000a_    a.GRAM,_x000d__x000a_    a.TIPO_DE_TECNICO,_x000d__x000a_    a.TIPO,_x000d__x000a_    a.FUNCAO_FOLHA,_x000d__x000a_    a.SITUACAO_FOLHA,_x000d__x000a_    a.SIGLA_GRA,_x000d__x000a_    a.CPF,_x000d__x000a_    a.SUPERVISOR_CONTACTO as CONTATO_GA,_x000d__x000a__x0009_c.PRODUTO, _x000d__x000a__x0009_c.MATRICULA as MAT_FPW,_x000d__x000a__x0009_c.CARGO_AGRUPADO,_x000d__x000a__x0009__x000d__x000a_    CONVERT(VARCHAR, a.DATA_REF, 103) as DATA_ATUALIZACAO_x000d__x000a_FROM pcp.dbo.Tecnicos_Click_acum a with (nolock)_x000d__x000a_left join pcp.dbo.hierarquia_gh b on (a.MATRICULA_NDS = b.nu_matricula) _x000d__x000a_left join BDCLICK.dbo.HC c on (c.CPF = b.nu_cpf)_x000d__x000a__x000d__x000a__x000d__x000a_    where a.UF IN ('CE' ,'PB', 'PE', 'RN')_x000d__x000a_         AND a.DATA_REF = @datemax_x000d__x000a__x000d__x000a__x000d__x000a__x000d__x000a_select * from BDCLICK.dbo.HC_x000d__x000a_where UF in ('CE', 'PE', 'RN', 'PB')_x000d__x000a__x000d__x000a__x000d__x000a_select * from pcp.dbo.hierarquia_gh_x000d__x000a_where ds_filial in ('CE', 'PE', 'PB', 'RN')"/>
  </connection>
</connections>
</file>

<file path=xl/sharedStrings.xml><?xml version="1.0" encoding="utf-8"?>
<sst xmlns="http://schemas.openxmlformats.org/spreadsheetml/2006/main" count="55866" uniqueCount="6471">
  <si>
    <t>NOME</t>
  </si>
  <si>
    <t>UF</t>
  </si>
  <si>
    <t>GRA</t>
  </si>
  <si>
    <t>SKILLS</t>
  </si>
  <si>
    <t>REGIONAL</t>
  </si>
  <si>
    <t>GRAM</t>
  </si>
  <si>
    <t>TIPO_DE_TECNICO</t>
  </si>
  <si>
    <t>TIPO</t>
  </si>
  <si>
    <t>CPF</t>
  </si>
  <si>
    <t>FUNCAO_FOLHA</t>
  </si>
  <si>
    <t>SITUACAO_FOLHA</t>
  </si>
  <si>
    <t>SIGLA_GRA</t>
  </si>
  <si>
    <t>Ativo</t>
  </si>
  <si>
    <t>Tecnico de campo</t>
  </si>
  <si>
    <t>OPERADOR GPON I</t>
  </si>
  <si>
    <t>ATIVIDADE NORMAL</t>
  </si>
  <si>
    <t>Regional Ceará</t>
  </si>
  <si>
    <t>TUP</t>
  </si>
  <si>
    <t>INSTALADOR</t>
  </si>
  <si>
    <t>TRIPLE PLAY</t>
  </si>
  <si>
    <t>MultiSkill</t>
  </si>
  <si>
    <t>MULTISKILL</t>
  </si>
  <si>
    <t>TEC MULTIFUNCIONAL</t>
  </si>
  <si>
    <t>INSTALADOR TUP</t>
  </si>
  <si>
    <t>FERIAS NORMAIS</t>
  </si>
  <si>
    <t>FTTH</t>
  </si>
  <si>
    <t>WIDELBERG PORFIRIO DE MEDEIROS</t>
  </si>
  <si>
    <t>TR308920</t>
  </si>
  <si>
    <t>PB</t>
  </si>
  <si>
    <t>Patos</t>
  </si>
  <si>
    <t>PB.JPA.POS.01</t>
  </si>
  <si>
    <t>ADSLDG, ADSLINST, ADSLMUD, ADSLREP, ADSLRET, ADSLSRV, CRFE, LAINST, LAMUD, LAREP, LARET, LASRV, TPHGN, TPINST, TPPREV, TPREP, TPRET, TPSRV, VAINST</t>
  </si>
  <si>
    <t>STANLEY MEDEIROS WANDERLEY</t>
  </si>
  <si>
    <t>Regional Pernambuco</t>
  </si>
  <si>
    <t>João Pessoa</t>
  </si>
  <si>
    <t>07551004416</t>
  </si>
  <si>
    <t>POS</t>
  </si>
  <si>
    <t>CABO</t>
  </si>
  <si>
    <t>CABISTA III</t>
  </si>
  <si>
    <t>Inativo</t>
  </si>
  <si>
    <t>AFAST DOENCA MAIS DE 15 DIAS</t>
  </si>
  <si>
    <t>DTHINST, DTHMUD, DTHREP, DTHRET, DTHSRV</t>
  </si>
  <si>
    <t>DTH</t>
  </si>
  <si>
    <t>RESC DEMIS S/ JC AVISO IND</t>
  </si>
  <si>
    <t>CABISTA I</t>
  </si>
  <si>
    <t>WILLIAM DA SILVA CUNHA</t>
  </si>
  <si>
    <t>TR663311</t>
  </si>
  <si>
    <t>CE</t>
  </si>
  <si>
    <t>Quixadá</t>
  </si>
  <si>
    <t>CE.QXA.QXA.03</t>
  </si>
  <si>
    <t>CARLOS FERNANDES GUIMARAES</t>
  </si>
  <si>
    <t>ALENCAR DE SOUZA SANTOS</t>
  </si>
  <si>
    <t>02868820352</t>
  </si>
  <si>
    <t>QXA</t>
  </si>
  <si>
    <t>WILLIAM DE ALMEIDA SANTOS</t>
  </si>
  <si>
    <t>TR563758</t>
  </si>
  <si>
    <t>Capital Norte Ceará</t>
  </si>
  <si>
    <t>CE.CMO.CNO.03</t>
  </si>
  <si>
    <t>CRTRCX, PREVCX</t>
  </si>
  <si>
    <t>JOSENIL GOMES RODRIGUES</t>
  </si>
  <si>
    <t>Capital Oeste Ceará</t>
  </si>
  <si>
    <t>CABO-PREV</t>
  </si>
  <si>
    <t>64529681300</t>
  </si>
  <si>
    <t>CNO</t>
  </si>
  <si>
    <t>WILLIAM JONES CARVALHO FERREIRA</t>
  </si>
  <si>
    <t>TR591886</t>
  </si>
  <si>
    <t>Sobral</t>
  </si>
  <si>
    <t>CE.SOL.SOL.02</t>
  </si>
  <si>
    <t>TPHGN, TPINST, TPMUD, TPPREV, TPPRV, TPREP, TPRET, TPSRV</t>
  </si>
  <si>
    <t>MARCILIO RIBEIRO DOS SANTOS</t>
  </si>
  <si>
    <t>02735522369</t>
  </si>
  <si>
    <t>SOL</t>
  </si>
  <si>
    <t>DG</t>
  </si>
  <si>
    <t>OP DG</t>
  </si>
  <si>
    <t>CABISTA II</t>
  </si>
  <si>
    <t>INSTALADOR DTH</t>
  </si>
  <si>
    <t>FIXO</t>
  </si>
  <si>
    <t>WILLIAN LUCAS PARADEIRA DE ARAUJO</t>
  </si>
  <si>
    <t>TR525294</t>
  </si>
  <si>
    <t>Campina Grande</t>
  </si>
  <si>
    <t>PB.JPA.CGE.01</t>
  </si>
  <si>
    <t>JOSILENE MACENA DE OLIVEIRA</t>
  </si>
  <si>
    <t>39156590881</t>
  </si>
  <si>
    <t>CGE</t>
  </si>
  <si>
    <t>WILTON LAUREANO FERREIRA</t>
  </si>
  <si>
    <t>TR644494</t>
  </si>
  <si>
    <t>PE</t>
  </si>
  <si>
    <t>Caruaru</t>
  </si>
  <si>
    <t>PE.INT.CRU.01</t>
  </si>
  <si>
    <t>CRTRCX, LACB, LACBPREV, PREVCX</t>
  </si>
  <si>
    <t>AILTON JOSE DOS SANTOS</t>
  </si>
  <si>
    <t>Interior</t>
  </si>
  <si>
    <t>Equipe SWAT</t>
  </si>
  <si>
    <t>DECIO FABIANO LOPES FERREIRA</t>
  </si>
  <si>
    <t>70386793417</t>
  </si>
  <si>
    <t>CRU</t>
  </si>
  <si>
    <t>WILTON MAGALHAES DOS SANTOS</t>
  </si>
  <si>
    <t>TR477380</t>
  </si>
  <si>
    <t>CE.CMO.CNO.FTTH</t>
  </si>
  <si>
    <t>FTTHCB, FTTHDG, FTTHINST, FTTHMIG, FTTHMUD, FTTHREP, FTTHRET, FTTHSRV</t>
  </si>
  <si>
    <t>NILO WEBER RAMOS RIBEIRO</t>
  </si>
  <si>
    <t>ANTONIO ROBEVANIO PINHEIRO</t>
  </si>
  <si>
    <t>06953511338</t>
  </si>
  <si>
    <t>AUX TECNICO DE FIBRA OPTICA</t>
  </si>
  <si>
    <t>ZAILOR CAVALCANTI SARMENTO</t>
  </si>
  <si>
    <t>TR256547</t>
  </si>
  <si>
    <t>RN</t>
  </si>
  <si>
    <t>Natal Norte</t>
  </si>
  <si>
    <t>RN.NTL.NTN.03</t>
  </si>
  <si>
    <t>Natal</t>
  </si>
  <si>
    <t>JESSE GONCALVES PASSOS DE LIMA</t>
  </si>
  <si>
    <t>90384890482</t>
  </si>
  <si>
    <t>NTN</t>
  </si>
  <si>
    <t>ZILDENILSON MARTINS SOARES</t>
  </si>
  <si>
    <t>TR256712</t>
  </si>
  <si>
    <t>Mossoró</t>
  </si>
  <si>
    <t>RN.NTL.MRO.01</t>
  </si>
  <si>
    <t>FERNANDO FREITAS ALMEIDA DOS SANTOS</t>
  </si>
  <si>
    <t>00916212408</t>
  </si>
  <si>
    <t>MRO</t>
  </si>
  <si>
    <t>ZILDO FRANCISCO DA SILVA</t>
  </si>
  <si>
    <t>TC010584</t>
  </si>
  <si>
    <t>Norte PE</t>
  </si>
  <si>
    <t>PE.RCE.NOR.01</t>
  </si>
  <si>
    <t>Recife</t>
  </si>
  <si>
    <t>BRUNO VINICIUS DE ALBERTINS ALVES</t>
  </si>
  <si>
    <t>VELOX</t>
  </si>
  <si>
    <t>68906900449</t>
  </si>
  <si>
    <t>TEC ADSL I</t>
  </si>
  <si>
    <t>NOR</t>
  </si>
  <si>
    <t>Natal Sul</t>
  </si>
  <si>
    <t>RN.NTL.NTS.01</t>
  </si>
  <si>
    <t>NTS</t>
  </si>
  <si>
    <t>AUDITOR DE CAMPO</t>
  </si>
  <si>
    <t>TEC FIBRA OPTICA I</t>
  </si>
  <si>
    <t>PREVARD, PREVCB, PREVCX, PREVLAT, PREVPROT</t>
  </si>
  <si>
    <t>ADSLDG, ADSLRET, LARET, TPRET</t>
  </si>
  <si>
    <t>RESC PEDIDO DEMISSAO</t>
  </si>
  <si>
    <t>PAULO HENRIQUE DA SILVA</t>
  </si>
  <si>
    <t>JOSIVALDO DA SILVA ANDRADE</t>
  </si>
  <si>
    <t>TR317214</t>
  </si>
  <si>
    <t>Juazeiro</t>
  </si>
  <si>
    <t>CE.JNE.JNE.01</t>
  </si>
  <si>
    <t>CLAUDECIR GOMES MACIEL</t>
  </si>
  <si>
    <t>54943647472</t>
  </si>
  <si>
    <t>JNE</t>
  </si>
  <si>
    <t>AFAST ACID TRAB MAIS 15 DIAS</t>
  </si>
  <si>
    <t>FRANCISCO JEFFERSON BRITO DA COSTA</t>
  </si>
  <si>
    <t>TR369699</t>
  </si>
  <si>
    <t>CRFE</t>
  </si>
  <si>
    <t>04182267338</t>
  </si>
  <si>
    <t>MOTORISTA OPERADOR GUINDAUTO</t>
  </si>
  <si>
    <t>MARCOS GLEYSON LIMA</t>
  </si>
  <si>
    <t>TR334642</t>
  </si>
  <si>
    <t>PB.JPA.JPA.04</t>
  </si>
  <si>
    <t>08140124427</t>
  </si>
  <si>
    <t>JPA</t>
  </si>
  <si>
    <t>VALDER CARLOS RODRIGUES DE LIMA</t>
  </si>
  <si>
    <t>TR666477</t>
  </si>
  <si>
    <t>CE.CMO.COO.FTTH</t>
  </si>
  <si>
    <t>35566477372</t>
  </si>
  <si>
    <t>COO</t>
  </si>
  <si>
    <t>JOSE CARLOS DOS SANTOS</t>
  </si>
  <si>
    <t>TR284229</t>
  </si>
  <si>
    <t>Oeste PE</t>
  </si>
  <si>
    <t>PE.RCE.OES.03</t>
  </si>
  <si>
    <t>FRANCISCO JOSE DIAS DA SILVA</t>
  </si>
  <si>
    <t>WENDELL FRANKLIN VIEIRA MAIA</t>
  </si>
  <si>
    <t>68840438491</t>
  </si>
  <si>
    <t>OES</t>
  </si>
  <si>
    <t>LUCIANO FRANCISCO SILVEIRA</t>
  </si>
  <si>
    <t>TR254046</t>
  </si>
  <si>
    <t>TPHGN, TPINST, TPMUD, TPPREV, TPREP, TPRET, TPSRV</t>
  </si>
  <si>
    <t>IVALDO BEZERRA NOVAIS</t>
  </si>
  <si>
    <t>02342418450</t>
  </si>
  <si>
    <t>RAIMUNDO ALMADA MOREIRA</t>
  </si>
  <si>
    <t>TR380364</t>
  </si>
  <si>
    <t>PE.RCE.OES.02</t>
  </si>
  <si>
    <t>11754389368</t>
  </si>
  <si>
    <t>RAIMUNDO CLAUDIO GOMES</t>
  </si>
  <si>
    <t>TR360479</t>
  </si>
  <si>
    <t>CE.SOL.SOL.01</t>
  </si>
  <si>
    <t>96349174372</t>
  </si>
  <si>
    <t>RESC DEMIS COM JUSTA CAUSA</t>
  </si>
  <si>
    <t>BARBARA DE OLIVEIRA SILVA</t>
  </si>
  <si>
    <t>TC052090</t>
  </si>
  <si>
    <t>RN.NTL.NTN.02</t>
  </si>
  <si>
    <t>WILSON CARLOS SILVEIRA LEIROS</t>
  </si>
  <si>
    <t>06150382478</t>
  </si>
  <si>
    <t>SILVIO FERNANDO BARBOSA MUNIZ</t>
  </si>
  <si>
    <t>TR623631</t>
  </si>
  <si>
    <t>AMARILDO GOMES DE MELO</t>
  </si>
  <si>
    <t>09791498431</t>
  </si>
  <si>
    <t>JACKSON VICENTE DA SILVA</t>
  </si>
  <si>
    <t>TR295511</t>
  </si>
  <si>
    <t>07411608467</t>
  </si>
  <si>
    <t>JOAO PAULO DE ALBUQUERQUE BARBOSA</t>
  </si>
  <si>
    <t>TR361845</t>
  </si>
  <si>
    <t>Garanhuns</t>
  </si>
  <si>
    <t>PE.INT.GUS.01</t>
  </si>
  <si>
    <t>05837988459</t>
  </si>
  <si>
    <t>GUS</t>
  </si>
  <si>
    <t>CRFE, LAINST, LAMUD, LAREP, LARET, LASRV, TPREP</t>
  </si>
  <si>
    <t>LUIZ RICARDO ALVES DO MONTE JUNIOR</t>
  </si>
  <si>
    <t>TR657164</t>
  </si>
  <si>
    <t>PE.RCE.NOR.02</t>
  </si>
  <si>
    <t>MAURO BRAGA RANGEL</t>
  </si>
  <si>
    <t>11770034498</t>
  </si>
  <si>
    <t>LUIZ THIAGO VITOR DA SILVA</t>
  </si>
  <si>
    <t>TR555245</t>
  </si>
  <si>
    <t>Sul PE</t>
  </si>
  <si>
    <t>PE.RCE.PES.01</t>
  </si>
  <si>
    <t>AMAURY ASSIS DE LIMA</t>
  </si>
  <si>
    <t>08212415406</t>
  </si>
  <si>
    <t>PES</t>
  </si>
  <si>
    <t>MADENILSON JOSE OLIVEIRA NUNES</t>
  </si>
  <si>
    <t>TR257244</t>
  </si>
  <si>
    <t>Arcoverde</t>
  </si>
  <si>
    <t>PE.INT.ACV.02</t>
  </si>
  <si>
    <t>MARCELO JOSE DA SILVA</t>
  </si>
  <si>
    <t>50596497415</t>
  </si>
  <si>
    <t>ACV</t>
  </si>
  <si>
    <t>AUDREY STEPHANNE DE OLIVEIRA GOMES</t>
  </si>
  <si>
    <t>TR255500</t>
  </si>
  <si>
    <t>Capital Leste Ceará</t>
  </si>
  <si>
    <t>CE.CMS.GCL.02</t>
  </si>
  <si>
    <t>FRANCISCO MARCOS TEIXEIRA DOS SANTOS</t>
  </si>
  <si>
    <t>Capital Sul Ceará</t>
  </si>
  <si>
    <t>88263665353</t>
  </si>
  <si>
    <t>GCL</t>
  </si>
  <si>
    <t>AUGUSTO CESAR DUARTE EVANGELISTA</t>
  </si>
  <si>
    <t>TR661592</t>
  </si>
  <si>
    <t>08195264441</t>
  </si>
  <si>
    <t>SERGIO CANDIDO DA SILVA</t>
  </si>
  <si>
    <t>TR544475</t>
  </si>
  <si>
    <t>04203970431</t>
  </si>
  <si>
    <t>SEVERINO LUIZ BEZERRA FILHO</t>
  </si>
  <si>
    <t>TR254068</t>
  </si>
  <si>
    <t>02125918439</t>
  </si>
  <si>
    <t>MAURILIO PATRICIO DA SILVA</t>
  </si>
  <si>
    <t>TR253457</t>
  </si>
  <si>
    <t>58421343491</t>
  </si>
  <si>
    <t>IVAN HILARIO BRITO</t>
  </si>
  <si>
    <t>TR551250</t>
  </si>
  <si>
    <t>CE.CMO.COO.06</t>
  </si>
  <si>
    <t>ADSLDG, ADSLINST, ADSLMUD, ADSLPREV, ADSLREP, ADSLRET, ADSLSRV, CRFE, LAINST, LAMUD, LAREP, LARET, LASRV, VAINST</t>
  </si>
  <si>
    <t>JOSEVAN DE SOUSA SILVA</t>
  </si>
  <si>
    <t>03682729313</t>
  </si>
  <si>
    <t>RESC PEDIDO DEMISS AVISO IND</t>
  </si>
  <si>
    <t>ROGERIO DA SILVA PEREIRA</t>
  </si>
  <si>
    <t>TR680085</t>
  </si>
  <si>
    <t>CE.CMS.GCL.FTTH</t>
  </si>
  <si>
    <t>MICHEL SOARES DE OLIVEIRA</t>
  </si>
  <si>
    <t>85056138304</t>
  </si>
  <si>
    <t>JOSE CANUTO DOS SANTOS FILHO</t>
  </si>
  <si>
    <t>TR438160</t>
  </si>
  <si>
    <t>02256730450</t>
  </si>
  <si>
    <t>ANTONIO LAUREANO FERREIRA</t>
  </si>
  <si>
    <t>TR312833</t>
  </si>
  <si>
    <t>HAMILTON DAVINO DA SILVA</t>
  </si>
  <si>
    <t>EDERLINDO GONCALVES SOARES</t>
  </si>
  <si>
    <t>57072540482</t>
  </si>
  <si>
    <t>ANTONIO LEONARDO SOUZA DE OLIVEIRA</t>
  </si>
  <si>
    <t>TR400451</t>
  </si>
  <si>
    <t>CE.CMS.GCS.FTTH</t>
  </si>
  <si>
    <t>01853177318</t>
  </si>
  <si>
    <t>GCS - FTTH</t>
  </si>
  <si>
    <t>ANTONIO NILDO PEREIRA DE ASSIS</t>
  </si>
  <si>
    <t>TR252244</t>
  </si>
  <si>
    <t>CE.CMS.GCS.02</t>
  </si>
  <si>
    <t>75624630344</t>
  </si>
  <si>
    <t>GCS</t>
  </si>
  <si>
    <t>MOISES DA SILVA GOMES</t>
  </si>
  <si>
    <t>TR612329</t>
  </si>
  <si>
    <t>PE.RCE.PES.02</t>
  </si>
  <si>
    <t>10494802448</t>
  </si>
  <si>
    <t>MORAIS TEIXEIRA DE ARRUDA</t>
  </si>
  <si>
    <t>TR610815</t>
  </si>
  <si>
    <t>CE.CMO.COO.04</t>
  </si>
  <si>
    <t>KARLYSSON FRANCO SANTANA DE SOUSA</t>
  </si>
  <si>
    <t>43358985334</t>
  </si>
  <si>
    <t>RINALDO NUNES DA CUNHA JUNIOR</t>
  </si>
  <si>
    <t>TC050776</t>
  </si>
  <si>
    <t>Leste PE</t>
  </si>
  <si>
    <t>PE.RCE.LES.04</t>
  </si>
  <si>
    <t>ANTONIO MAGNO DE CASTRO LEAO</t>
  </si>
  <si>
    <t>94995907491</t>
  </si>
  <si>
    <t>LES</t>
  </si>
  <si>
    <t>RIVANILDO DA SILVA PINTO</t>
  </si>
  <si>
    <t>TR571778</t>
  </si>
  <si>
    <t>PB.JPA.JPA.01</t>
  </si>
  <si>
    <t>07968867410</t>
  </si>
  <si>
    <t>RAUL GARCIA DA SILVA</t>
  </si>
  <si>
    <t>TR666472</t>
  </si>
  <si>
    <t>ANTONIO FABIO DOS SANTOS LIMA</t>
  </si>
  <si>
    <t>05345239355</t>
  </si>
  <si>
    <t>RAY RAMOS DA SILVA</t>
  </si>
  <si>
    <t>TR544472</t>
  </si>
  <si>
    <t>PE.RCE.PES.04</t>
  </si>
  <si>
    <t>ALDO GOMES PEDROSA</t>
  </si>
  <si>
    <t>10591578450</t>
  </si>
  <si>
    <t>MOACIR PEREIRA LEITAO</t>
  </si>
  <si>
    <t>TR577470</t>
  </si>
  <si>
    <t>CE.CMO.COO.01</t>
  </si>
  <si>
    <t>HENRIQUE OLIVEIRA DO NASCIMENTO</t>
  </si>
  <si>
    <t>69028133372</t>
  </si>
  <si>
    <t>MOISES BRITO MACIEL</t>
  </si>
  <si>
    <t>TC050147</t>
  </si>
  <si>
    <t>50010360387</t>
  </si>
  <si>
    <t>RENAN ALVES DOS SANTOS</t>
  </si>
  <si>
    <t>TR301497</t>
  </si>
  <si>
    <t>Iguatu</t>
  </si>
  <si>
    <t>CE.JNE.IAU.01</t>
  </si>
  <si>
    <t>04220599355</t>
  </si>
  <si>
    <t>IAU</t>
  </si>
  <si>
    <t>RENAN AUGUSTO LIMA DE OLIVEIRA ALVES</t>
  </si>
  <si>
    <t>TR605430</t>
  </si>
  <si>
    <t>DTHINST, DTHMUD, DTHREP, DTHSRV</t>
  </si>
  <si>
    <t>08053285481</t>
  </si>
  <si>
    <t>MISAEL MENDES DA SILVA</t>
  </si>
  <si>
    <t>TC004651</t>
  </si>
  <si>
    <t>ALTAIR LUIZ DO NASCIMENTO</t>
  </si>
  <si>
    <t>79415997400</t>
  </si>
  <si>
    <t>MIZAEL CARNEIRO DE OLIVEIRA</t>
  </si>
  <si>
    <t>TR302432</t>
  </si>
  <si>
    <t>PE.RCE.LES.01</t>
  </si>
  <si>
    <t>90711513449</t>
  </si>
  <si>
    <t>NAILSON SANDRO DE LIMA</t>
  </si>
  <si>
    <t>TR434709</t>
  </si>
  <si>
    <t>RN.NTL.NTN.01</t>
  </si>
  <si>
    <t>AELGRICIO SILVA COSTA</t>
  </si>
  <si>
    <t>06060409431</t>
  </si>
  <si>
    <t>PAULO FERNANDO GONCALVES</t>
  </si>
  <si>
    <t>TR257150</t>
  </si>
  <si>
    <t>83137769434</t>
  </si>
  <si>
    <t>RAFAEL COSTA DA SILVA</t>
  </si>
  <si>
    <t>TR520824</t>
  </si>
  <si>
    <t>06469559425</t>
  </si>
  <si>
    <t>LIDER DE OBRAS</t>
  </si>
  <si>
    <t>ANTONIO FRANCISCO SILVA DIAS</t>
  </si>
  <si>
    <t>TR300675</t>
  </si>
  <si>
    <t>CE.CMO.CNO.01</t>
  </si>
  <si>
    <t>CARLOS AUGUSTO ALVES DE SOUSA</t>
  </si>
  <si>
    <t>69539022304</t>
  </si>
  <si>
    <t>RESC PEDIDO DEMISS NA EXP</t>
  </si>
  <si>
    <t>ANTONIO JONAEL DE FREITAS</t>
  </si>
  <si>
    <t>TR680065</t>
  </si>
  <si>
    <t>04644704393</t>
  </si>
  <si>
    <t>ANTONIO JOSE CAMILO DOS SANTOS</t>
  </si>
  <si>
    <t>TR254716</t>
  </si>
  <si>
    <t>CE.CMS.GCS.01</t>
  </si>
  <si>
    <t>BRUNO SAVIO DA SILVA</t>
  </si>
  <si>
    <t>32033680304</t>
  </si>
  <si>
    <t>RAFAEL JOSE DA SILVA</t>
  </si>
  <si>
    <t>TR460629</t>
  </si>
  <si>
    <t>10817284427</t>
  </si>
  <si>
    <t>N/A</t>
  </si>
  <si>
    <t>ONECI SANTOS DA SILVA</t>
  </si>
  <si>
    <t>TR252444</t>
  </si>
  <si>
    <t>VANDERLEI HENZEL CHOLLET</t>
  </si>
  <si>
    <t>26638550306</t>
  </si>
  <si>
    <t>RAIMUNDO DA SILVA BRAINER JUNIOR</t>
  </si>
  <si>
    <t>TR257393</t>
  </si>
  <si>
    <t>PE.RCE.PES.03</t>
  </si>
  <si>
    <t>LACB, LACBPREV</t>
  </si>
  <si>
    <t>00736506411</t>
  </si>
  <si>
    <t>ANTONIO DIOGO SILVA UCHOA</t>
  </si>
  <si>
    <t>TR482818</t>
  </si>
  <si>
    <t>CE.CMS.GCS.04</t>
  </si>
  <si>
    <t>FRANCISCO DE ASSIS FILHO</t>
  </si>
  <si>
    <t>01736847341</t>
  </si>
  <si>
    <t>ANTONIO DIONIZIO MARQUES JUNIOR</t>
  </si>
  <si>
    <t>TR355888</t>
  </si>
  <si>
    <t>16667883415</t>
  </si>
  <si>
    <t>ANTONIO EDUARDO MARTINS</t>
  </si>
  <si>
    <t>TR252235</t>
  </si>
  <si>
    <t>08412031725</t>
  </si>
  <si>
    <t>PEDRO ANTONIO CIPRIANO</t>
  </si>
  <si>
    <t>TR319895</t>
  </si>
  <si>
    <t>23430389372</t>
  </si>
  <si>
    <t>ANTONIO EDYADLLER FRAGA DE SOUSA</t>
  </si>
  <si>
    <t>TR559410</t>
  </si>
  <si>
    <t>60691949344</t>
  </si>
  <si>
    <t>ANTONIO ERVANDO BARROS</t>
  </si>
  <si>
    <t>TR401578</t>
  </si>
  <si>
    <t>46205616300</t>
  </si>
  <si>
    <t>PEDRO RICARDO DE ARAUJO PEREIRA</t>
  </si>
  <si>
    <t>TR289765</t>
  </si>
  <si>
    <t>07294554404</t>
  </si>
  <si>
    <t>FERIAS NOR AD 13 SALARIO</t>
  </si>
  <si>
    <t>PRISCILA GUEDES DE BRITO</t>
  </si>
  <si>
    <t>TR522069</t>
  </si>
  <si>
    <t>09021312492</t>
  </si>
  <si>
    <t>ROBERTO DOS SANTOS</t>
  </si>
  <si>
    <t>TR361679</t>
  </si>
  <si>
    <t>70607230304</t>
  </si>
  <si>
    <t>OZIEL OLIVEIRA PINHEIRO</t>
  </si>
  <si>
    <t>TR612289</t>
  </si>
  <si>
    <t>CE.CMO.COO.03</t>
  </si>
  <si>
    <t>62868268315</t>
  </si>
  <si>
    <t>ANTONIO CARLOS MARCELINO BARBOSA</t>
  </si>
  <si>
    <t>TR610412</t>
  </si>
  <si>
    <t>08573813423</t>
  </si>
  <si>
    <t>NEYLSON DE OLIVEIRA CRUZ</t>
  </si>
  <si>
    <t>TR388394</t>
  </si>
  <si>
    <t>RN.NTL.NTS.02</t>
  </si>
  <si>
    <t>FABIO BATISTA DA SILVA</t>
  </si>
  <si>
    <t>09428540471</t>
  </si>
  <si>
    <t>OFICIAL DE REDE</t>
  </si>
  <si>
    <t>PAULO RICARDY DOS SANTOS</t>
  </si>
  <si>
    <t>TR522068</t>
  </si>
  <si>
    <t>02106073437</t>
  </si>
  <si>
    <t>ANTONIO CARLOS ANDRADE</t>
  </si>
  <si>
    <t>TR610172</t>
  </si>
  <si>
    <t>76724077400</t>
  </si>
  <si>
    <t>ANIZIO JUNIOR MATIAS DA SILVA</t>
  </si>
  <si>
    <t>TR256420</t>
  </si>
  <si>
    <t>97761354472</t>
  </si>
  <si>
    <t>MISAEL SILVA VIEIRA DE MELO</t>
  </si>
  <si>
    <t>TR527030</t>
  </si>
  <si>
    <t>08664087466</t>
  </si>
  <si>
    <t>MODESTO DOS SANTOS SILVA</t>
  </si>
  <si>
    <t>TR612311</t>
  </si>
  <si>
    <t>PB.JPA.JPA.03</t>
  </si>
  <si>
    <t>00838147445</t>
  </si>
  <si>
    <t>RADAMES NASCIMENTO DE ASSIS</t>
  </si>
  <si>
    <t>TR331106</t>
  </si>
  <si>
    <t>Rio Grande do Norte Sul</t>
  </si>
  <si>
    <t>RN.NTL.RNS.02</t>
  </si>
  <si>
    <t>03472707437</t>
  </si>
  <si>
    <t>RNS</t>
  </si>
  <si>
    <t>ANTONIO BATISTA NOGUEIRA</t>
  </si>
  <si>
    <t>TR252233</t>
  </si>
  <si>
    <t>CE.CMO.CNO.04</t>
  </si>
  <si>
    <t>44196598315</t>
  </si>
  <si>
    <t>NEUBERT GUSTAVO CORREA DE MELO</t>
  </si>
  <si>
    <t>TR580327</t>
  </si>
  <si>
    <t>63362902391</t>
  </si>
  <si>
    <t>WALTER DE OLIVEIRA SILVA</t>
  </si>
  <si>
    <t>TR256839</t>
  </si>
  <si>
    <t>PB.JPA.JPA.05</t>
  </si>
  <si>
    <t>85454621404</t>
  </si>
  <si>
    <t>GLAUBER JOSE GOMES LEITAO</t>
  </si>
  <si>
    <t>MAYK MATIAS DE MENDONCA</t>
  </si>
  <si>
    <t>TR502577</t>
  </si>
  <si>
    <t>PE.RCE.NOR.04</t>
  </si>
  <si>
    <t>DTHRET</t>
  </si>
  <si>
    <t>JOSUEL FERREIRA DE BRITO</t>
  </si>
  <si>
    <t>09367889410</t>
  </si>
  <si>
    <t>MICHAEL MILLER SALES DE SOUZA</t>
  </si>
  <si>
    <t>TR432804</t>
  </si>
  <si>
    <t>01798882345</t>
  </si>
  <si>
    <t>MARIA SILVERLENE RODRIGUES LIMA</t>
  </si>
  <si>
    <t>TC002338</t>
  </si>
  <si>
    <t>67065937372</t>
  </si>
  <si>
    <t>LIDER DE DG</t>
  </si>
  <si>
    <t>IJANDY WANDERSON DA SILVA</t>
  </si>
  <si>
    <t>TR610945</t>
  </si>
  <si>
    <t>Cabo de Santo Agostinho</t>
  </si>
  <si>
    <t>PE.INT.CBO.01</t>
  </si>
  <si>
    <t>11003905455</t>
  </si>
  <si>
    <t>CBO</t>
  </si>
  <si>
    <t>RAFAEL BRITO MARTINS</t>
  </si>
  <si>
    <t>TR591875</t>
  </si>
  <si>
    <t>CE.QXA.QXA.01</t>
  </si>
  <si>
    <t>ANA CLAUDIA DE CASTRO DA SILVA</t>
  </si>
  <si>
    <t>04069424393</t>
  </si>
  <si>
    <t>FTTH COBRE</t>
  </si>
  <si>
    <t>PETRUS MIGUEL ALBUQUERQUE E LIMA</t>
  </si>
  <si>
    <t>TR346470</t>
  </si>
  <si>
    <t>02609197489</t>
  </si>
  <si>
    <t>ANDRE DE LIMA SOUZA</t>
  </si>
  <si>
    <t>TR612301</t>
  </si>
  <si>
    <t>05040178450</t>
  </si>
  <si>
    <t>MARCONE MARTINS TEIXEIRA DE ALBUQUERQUE</t>
  </si>
  <si>
    <t>TR570467</t>
  </si>
  <si>
    <t>10122677412</t>
  </si>
  <si>
    <t>MARCOS FERNANDO ALVES DA SILVA</t>
  </si>
  <si>
    <t>TR361846</t>
  </si>
  <si>
    <t>04605699457</t>
  </si>
  <si>
    <t>MARCOS JOSE ALMADA</t>
  </si>
  <si>
    <t>TR646430</t>
  </si>
  <si>
    <t>02427148385</t>
  </si>
  <si>
    <t>MARCOS JOSE ALVES DA SILVA</t>
  </si>
  <si>
    <t>TR328870</t>
  </si>
  <si>
    <t>41594592349</t>
  </si>
  <si>
    <t>MARCIO CANDIDO GUEDES</t>
  </si>
  <si>
    <t>TR346098</t>
  </si>
  <si>
    <t>07415138465</t>
  </si>
  <si>
    <t>ANDRE ALDECI DE FRANCA</t>
  </si>
  <si>
    <t>TR317164</t>
  </si>
  <si>
    <t>03155335440</t>
  </si>
  <si>
    <t>ANDRE ARAUJO DE SOUZA</t>
  </si>
  <si>
    <t>TR343544</t>
  </si>
  <si>
    <t>49486667349</t>
  </si>
  <si>
    <t>PEDRO LUIZ DAS MERCES LIMA JUNIOR</t>
  </si>
  <si>
    <t>TR520823</t>
  </si>
  <si>
    <t>PE.RCE.OES.01</t>
  </si>
  <si>
    <t>JOSE HENRIQUE NEGRAO DE MEDEIROS</t>
  </si>
  <si>
    <t>03801402410</t>
  </si>
  <si>
    <t>MANOEL CARLOS DA SILVA</t>
  </si>
  <si>
    <t>TC010583</t>
  </si>
  <si>
    <t>66587050468</t>
  </si>
  <si>
    <t>MANOEL FRANCISCO DE LIMA NETO</t>
  </si>
  <si>
    <t>TR368645</t>
  </si>
  <si>
    <t>PE.RCE.OES.07</t>
  </si>
  <si>
    <t>01039151418</t>
  </si>
  <si>
    <t>MANOEL FRANCISCO DO NASCIMENTO NETO</t>
  </si>
  <si>
    <t>TR610404</t>
  </si>
  <si>
    <t>RN.NTL.NTS.03</t>
  </si>
  <si>
    <t>03126440436</t>
  </si>
  <si>
    <t>CE.QXA.QXA.02</t>
  </si>
  <si>
    <t>LYNDON JONHSON SILVA LIMA</t>
  </si>
  <si>
    <t>MARCELO ARAUJO DA SILVA</t>
  </si>
  <si>
    <t>TR370483</t>
  </si>
  <si>
    <t>07060227423</t>
  </si>
  <si>
    <t>PAULO CESAR DA COSTA</t>
  </si>
  <si>
    <t>TC052182</t>
  </si>
  <si>
    <t>86673823372</t>
  </si>
  <si>
    <t>PAULO CESAR DA SILVA</t>
  </si>
  <si>
    <t>TR662098</t>
  </si>
  <si>
    <t>03712655410</t>
  </si>
  <si>
    <t>MARCELO DO NASCIMENTO SOUZA</t>
  </si>
  <si>
    <t>TR612298</t>
  </si>
  <si>
    <t>92916570420</t>
  </si>
  <si>
    <t>MARCELO MAGNO PESSOA DE ARAUJO</t>
  </si>
  <si>
    <t>TR256479</t>
  </si>
  <si>
    <t>ALEXANDRE ONASSIS BATISTA DE ANDRADE</t>
  </si>
  <si>
    <t>46614770497</t>
  </si>
  <si>
    <t>LUIZ EDUARDO BELMIRO BEZERRA</t>
  </si>
  <si>
    <t>TR317076</t>
  </si>
  <si>
    <t>03037674482</t>
  </si>
  <si>
    <t>LUIZ GUSTAVO GUERRA DA SILVA</t>
  </si>
  <si>
    <t>TR533688</t>
  </si>
  <si>
    <t>03250707414</t>
  </si>
  <si>
    <t>RAIMUNDO ANTONIO DE OLIVEIRA</t>
  </si>
  <si>
    <t>TR252870</t>
  </si>
  <si>
    <t>81749244853</t>
  </si>
  <si>
    <t>ANDERSON DOS SANTOS BARBOSA</t>
  </si>
  <si>
    <t>TR555241</t>
  </si>
  <si>
    <t>PE.RCE.LES.FTTH</t>
  </si>
  <si>
    <t>RAMSES DE ANDRADE MACHADO RODRIGUES LAVRA</t>
  </si>
  <si>
    <t>10672717409</t>
  </si>
  <si>
    <t>ANDERSON EVERTON SOUZA COSTA</t>
  </si>
  <si>
    <t>TR610406</t>
  </si>
  <si>
    <t>08243473408</t>
  </si>
  <si>
    <t>LUIZ BEZERRA DE SOUZA</t>
  </si>
  <si>
    <t>TR257031</t>
  </si>
  <si>
    <t>93568703815</t>
  </si>
  <si>
    <t>ANDERSON DE MELO FERREZ</t>
  </si>
  <si>
    <t>TR624785</t>
  </si>
  <si>
    <t>GENELSON AUGUSTO ALIXANDRE</t>
  </si>
  <si>
    <t>06672622454</t>
  </si>
  <si>
    <t>JULIO CEZAR ANDRADE SILVA</t>
  </si>
  <si>
    <t>TR333291</t>
  </si>
  <si>
    <t>02884701419</t>
  </si>
  <si>
    <t>LEILSON MATTOS DE SOUZA</t>
  </si>
  <si>
    <t>TR252572</t>
  </si>
  <si>
    <t>Petrolina</t>
  </si>
  <si>
    <t>PE.INT.PTA.01</t>
  </si>
  <si>
    <t>00369645570</t>
  </si>
  <si>
    <t>PTA</t>
  </si>
  <si>
    <t>JULIO CEZAR DOS SANTOS FELIX</t>
  </si>
  <si>
    <t>TR330975</t>
  </si>
  <si>
    <t>05305262470</t>
  </si>
  <si>
    <t>LEONARDO OLIVEIRA LEITE</t>
  </si>
  <si>
    <t>TR366226</t>
  </si>
  <si>
    <t>06408088406</t>
  </si>
  <si>
    <t>RAIMUNDO DA SILVA SOARES</t>
  </si>
  <si>
    <t>TR283352</t>
  </si>
  <si>
    <t>PB.JPA.JPA.07</t>
  </si>
  <si>
    <t>64685217420</t>
  </si>
  <si>
    <t>LAERCIO DO NASCIMENTO VALE</t>
  </si>
  <si>
    <t>TR680079</t>
  </si>
  <si>
    <t>01144507308</t>
  </si>
  <si>
    <t>ANDERSON CLEYTON PEREIRA DA SILVA</t>
  </si>
  <si>
    <t>TR253582</t>
  </si>
  <si>
    <t>02838825496</t>
  </si>
  <si>
    <t>JOSIAS DA SILVA GOMES</t>
  </si>
  <si>
    <t>TR257335</t>
  </si>
  <si>
    <t>04318206432</t>
  </si>
  <si>
    <t>RAFAEL SERAFIM FELICIANO</t>
  </si>
  <si>
    <t>TR377203</t>
  </si>
  <si>
    <t>04584292442</t>
  </si>
  <si>
    <t>JORGE CESAR DA SILVA XAVIER</t>
  </si>
  <si>
    <t>TR668379</t>
  </si>
  <si>
    <t>PB.JPA.CGE.03</t>
  </si>
  <si>
    <t>04702175459</t>
  </si>
  <si>
    <t>AMANDA REGINA ARAUJO DA SILVA</t>
  </si>
  <si>
    <t>TR428388</t>
  </si>
  <si>
    <t>PE.RCE.NOR.03</t>
  </si>
  <si>
    <t>11183236450</t>
  </si>
  <si>
    <t>JULIO CESAR MAGALHAES DE OLIVEIRA</t>
  </si>
  <si>
    <t>TR663242</t>
  </si>
  <si>
    <t>PE.RCE.NOR.FTTH</t>
  </si>
  <si>
    <t>70465735495</t>
  </si>
  <si>
    <t>RENATO DA SILVA</t>
  </si>
  <si>
    <t>TR589298</t>
  </si>
  <si>
    <t>07964052470</t>
  </si>
  <si>
    <t>RENATO ALEXANDRE DA SILVA</t>
  </si>
  <si>
    <t>TR559459</t>
  </si>
  <si>
    <t>CE.CMO.COO.05</t>
  </si>
  <si>
    <t>04974252380</t>
  </si>
  <si>
    <t>ID_GESTOR_IMEDIATO</t>
  </si>
  <si>
    <t>GH_STATUS</t>
  </si>
  <si>
    <t>GH_DATA_SITUACAO</t>
  </si>
  <si>
    <t>SETOR</t>
  </si>
  <si>
    <t>DATA_ATUALIZACAO</t>
  </si>
  <si>
    <t>JOSE VITORINO DA SILVA</t>
  </si>
  <si>
    <t>TR292234</t>
  </si>
  <si>
    <t>37231871453</t>
  </si>
  <si>
    <t>ALEXSANDRO FONTOURA ALVES DOS SANTOS</t>
  </si>
  <si>
    <t>TR681464</t>
  </si>
  <si>
    <t>FTTHRET</t>
  </si>
  <si>
    <t>07388234497</t>
  </si>
  <si>
    <t>MARCIO ROBERTO GOMES DOS SANTOS</t>
  </si>
  <si>
    <t>TR681461</t>
  </si>
  <si>
    <t>02577803435</t>
  </si>
  <si>
    <t>EVERTON DOS SANTOS ANDRADE</t>
  </si>
  <si>
    <t>TR681462</t>
  </si>
  <si>
    <t>05410617479</t>
  </si>
  <si>
    <t>RAMON DE OLIVEIRA MENEZES</t>
  </si>
  <si>
    <t>TR687516</t>
  </si>
  <si>
    <t>05903174310</t>
  </si>
  <si>
    <t>EDSON DOS SANTOS</t>
  </si>
  <si>
    <t>JOSUE MOURA DA SILVA</t>
  </si>
  <si>
    <t>TR256286</t>
  </si>
  <si>
    <t>80689302487</t>
  </si>
  <si>
    <t>MICHERLY PONCIANO DE CARVALHO</t>
  </si>
  <si>
    <t>TR538309</t>
  </si>
  <si>
    <t>ADSLDG, ADSLINST, ADSLMUD, ADSLREP, ADSLRET, ADSLSRV, CRFE, CRTRCX, LAINST, LAMUD, LAREP, LARET, LASRV, PREVCX, TPREP, VAINST</t>
  </si>
  <si>
    <t>01190422409</t>
  </si>
  <si>
    <t>EDRIANO BEZERRA DA SILVA</t>
  </si>
  <si>
    <t>TR537986</t>
  </si>
  <si>
    <t>85127051400</t>
  </si>
  <si>
    <t>DAVID CARIDADE DA SILVA</t>
  </si>
  <si>
    <t>TR338978</t>
  </si>
  <si>
    <t>ADSLDG, ADSLINST, ADSLMUD, ADSLREP, ADSLRET, ADSLSRV, CRFE, CRTRCX, DTHINST, DTHMUD, DTHREP, DTHRET, DTHSRV, LAINST, LAMUD, LAREP, LARET, LASRV, PREVCX, TPREP, VAINST</t>
  </si>
  <si>
    <t>06872356421</t>
  </si>
  <si>
    <t>PAULO JOSE DA SILVA JUNIOR</t>
  </si>
  <si>
    <t>TR434710</t>
  </si>
  <si>
    <t>09245341410</t>
  </si>
  <si>
    <t>FRANCISCO GUSTAVO DE PAIVA</t>
  </si>
  <si>
    <t>TR534407</t>
  </si>
  <si>
    <t>04660059464</t>
  </si>
  <si>
    <t>ALTANIR DA SILVA EVANGELISTA</t>
  </si>
  <si>
    <t>TR315846</t>
  </si>
  <si>
    <t>01208038443</t>
  </si>
  <si>
    <t>FTTHCB, FTTHDG, FTTHINST, FTTHMIG, FTTHMUD, FTTHREP, FTTHSRV</t>
  </si>
  <si>
    <t>LUIS CARLOS URCEZINO COSTA</t>
  </si>
  <si>
    <t>TR658604</t>
  </si>
  <si>
    <t>02880284309</t>
  </si>
  <si>
    <t>FLAVIO JOSE DIOGENES DE AQUINO</t>
  </si>
  <si>
    <t>TR666190</t>
  </si>
  <si>
    <t>42005426334</t>
  </si>
  <si>
    <t>AMYSTERDA DO NASCIMENTO FERNANDES</t>
  </si>
  <si>
    <t>TR666483</t>
  </si>
  <si>
    <t>61124517359</t>
  </si>
  <si>
    <t>JONATHAN NASCIMENTO VIANA</t>
  </si>
  <si>
    <t>TR688884</t>
  </si>
  <si>
    <t>05449809301</t>
  </si>
  <si>
    <t>RAMON SILVINO GOMES</t>
  </si>
  <si>
    <t>TR687517</t>
  </si>
  <si>
    <t>01844713385</t>
  </si>
  <si>
    <t>GABRIEL FERNANDES DE OLIVEIRA</t>
  </si>
  <si>
    <t>TR666475</t>
  </si>
  <si>
    <t>61459943392</t>
  </si>
  <si>
    <t>SILVANO MESQUITA BARROSO</t>
  </si>
  <si>
    <t>TR653186</t>
  </si>
  <si>
    <t>66616808300</t>
  </si>
  <si>
    <t>ADRIANO ALBUQUERQUE DO NASCIMENTO</t>
  </si>
  <si>
    <t>TR657133</t>
  </si>
  <si>
    <t>96761180368</t>
  </si>
  <si>
    <t>MARCELINO FERREIRA FEITOSA</t>
  </si>
  <si>
    <t>TR666484</t>
  </si>
  <si>
    <t>62673645349</t>
  </si>
  <si>
    <t>FRANCISCO RAFAEL DE LIMA</t>
  </si>
  <si>
    <t>TR680156</t>
  </si>
  <si>
    <t>94029130330</t>
  </si>
  <si>
    <t>JOSE IGOR ALVES DE ALMEIDA</t>
  </si>
  <si>
    <t>TR666480</t>
  </si>
  <si>
    <t>06325853318</t>
  </si>
  <si>
    <t>THIAGO GALDINO LIMA</t>
  </si>
  <si>
    <t>TR687519</t>
  </si>
  <si>
    <t>01829427326</t>
  </si>
  <si>
    <t>MARCOS PAES DE SOUSA</t>
  </si>
  <si>
    <t>TR257032</t>
  </si>
  <si>
    <t>44267991391</t>
  </si>
  <si>
    <t>FABRICIO DA SILVA DE OLIVEIRA ANDRADE</t>
  </si>
  <si>
    <t>TR603808</t>
  </si>
  <si>
    <t>60400367378</t>
  </si>
  <si>
    <t>FABRICIO TEIXEIRA BARBOSA</t>
  </si>
  <si>
    <t>TR402477</t>
  </si>
  <si>
    <t>00247280399</t>
  </si>
  <si>
    <t>FRANCISCO MARCIO MOREIRA DE OLIVEIRA</t>
  </si>
  <si>
    <t>TR354110</t>
  </si>
  <si>
    <t>56741731334</t>
  </si>
  <si>
    <t>DIEGO RODRIGUES ALVES DE LIMA</t>
  </si>
  <si>
    <t>TR610810</t>
  </si>
  <si>
    <t>03181926329</t>
  </si>
  <si>
    <t>JOSE NERES BARBOZA</t>
  </si>
  <si>
    <t>TR610424</t>
  </si>
  <si>
    <t>65800850291</t>
  </si>
  <si>
    <t>JOSE SILVA DOS ANJOS</t>
  </si>
  <si>
    <t>TR252824</t>
  </si>
  <si>
    <t>63892987300</t>
  </si>
  <si>
    <t>LUIZ CARLOS DO NASCIMENTO</t>
  </si>
  <si>
    <t>TR658608</t>
  </si>
  <si>
    <t>05161557338</t>
  </si>
  <si>
    <t>ANTONIO EDVAL MARTINS VIANA JUNIOR</t>
  </si>
  <si>
    <t>TC056588</t>
  </si>
  <si>
    <t>ADSLDG, ADSLINST, ADSLMUD, ADSLREP, ADSLRET, ADSLSRV, DTHRET, VAINST</t>
  </si>
  <si>
    <t>00314245383</t>
  </si>
  <si>
    <t>MARCELO FEITOSA DE SOUSA</t>
  </si>
  <si>
    <t>TR612282</t>
  </si>
  <si>
    <t>60461328356</t>
  </si>
  <si>
    <t>JOSE NILSON DE LIMA GOMES</t>
  </si>
  <si>
    <t>TR257588</t>
  </si>
  <si>
    <t>AUX REDE</t>
  </si>
  <si>
    <t>76884872420</t>
  </si>
  <si>
    <t>JOSE BEZERRA DA SILVA</t>
  </si>
  <si>
    <t>TR257425</t>
  </si>
  <si>
    <t>00138542830</t>
  </si>
  <si>
    <t>GLAUBER YURI NASCIMENTO BATISTA</t>
  </si>
  <si>
    <t>TR599826</t>
  </si>
  <si>
    <t>05916462425</t>
  </si>
  <si>
    <t>CARLOS EDUARDO DA SILVA CARDOSO</t>
  </si>
  <si>
    <t>TR681465</t>
  </si>
  <si>
    <t>06921211452</t>
  </si>
  <si>
    <t>WILTON LOURENCO DA SILVA</t>
  </si>
  <si>
    <t>TR680478</t>
  </si>
  <si>
    <t>02354582447</t>
  </si>
  <si>
    <t>CARLOS EDUARDO DA SILVA LUCENA</t>
  </si>
  <si>
    <t>TR681472</t>
  </si>
  <si>
    <t>06288874426</t>
  </si>
  <si>
    <t>SIDNEY MOURA FREIRE</t>
  </si>
  <si>
    <t>REINILSON IGLESIAS JUNIOR</t>
  </si>
  <si>
    <t>TR286851</t>
  </si>
  <si>
    <t>GESTOR DE AREA SERV CLIENTE I</t>
  </si>
  <si>
    <t>03143606460</t>
  </si>
  <si>
    <t>ELIEL DANTAS PEREIRA</t>
  </si>
  <si>
    <t>TR319235</t>
  </si>
  <si>
    <t>80674950410</t>
  </si>
  <si>
    <t>ERIVELTO DANTAS DE CARVALHO</t>
  </si>
  <si>
    <t>TR256302</t>
  </si>
  <si>
    <t>03207387446</t>
  </si>
  <si>
    <t>FRANCISCO DAS CHAGAS DE ASSIS SILVA</t>
  </si>
  <si>
    <t>TR355540</t>
  </si>
  <si>
    <t>00953731448</t>
  </si>
  <si>
    <t>FRANCISCO CANINDE PEREIRA</t>
  </si>
  <si>
    <t>TR368105</t>
  </si>
  <si>
    <t>79077439404</t>
  </si>
  <si>
    <t>JOSEILSON GONCALVES DA SILVA</t>
  </si>
  <si>
    <t>TR388393</t>
  </si>
  <si>
    <t>81309724415</t>
  </si>
  <si>
    <t>MARCOS ANTONIO ALVES DO NASCIMENTO</t>
  </si>
  <si>
    <t>TR331127</t>
  </si>
  <si>
    <t>63820153420</t>
  </si>
  <si>
    <t>JOSENILDO TEIXEIRA ALVES</t>
  </si>
  <si>
    <t>TR256457</t>
  </si>
  <si>
    <t>00827818424</t>
  </si>
  <si>
    <t>ERIBERTO DA SILVA CHAGAS</t>
  </si>
  <si>
    <t>TR368024</t>
  </si>
  <si>
    <t>08290900457</t>
  </si>
  <si>
    <t>PAULO FERREIRA DO NASCIMENTO</t>
  </si>
  <si>
    <t>TR256503</t>
  </si>
  <si>
    <t>49818490444</t>
  </si>
  <si>
    <t>ISRAEL SANTOS DE SOUSA</t>
  </si>
  <si>
    <t>TR360173</t>
  </si>
  <si>
    <t>85074799368</t>
  </si>
  <si>
    <t>GIOVANI GIRAO DE SIQUEIRA BRITO</t>
  </si>
  <si>
    <t>TR688898</t>
  </si>
  <si>
    <t>39227644873</t>
  </si>
  <si>
    <t>FRANCISCO SAVIO LINHARES OLIVEIRA</t>
  </si>
  <si>
    <t>TR688879</t>
  </si>
  <si>
    <t>01091250375</t>
  </si>
  <si>
    <t>MARCOS DAVI PINHEIRO SERPA</t>
  </si>
  <si>
    <t>TR680168</t>
  </si>
  <si>
    <t>02767926376</t>
  </si>
  <si>
    <t>DANIEL FERNANDES XAVIER</t>
  </si>
  <si>
    <t>TR657140</t>
  </si>
  <si>
    <t>02173321374</t>
  </si>
  <si>
    <t>CARLOS EDUARDO MAIA CRUZ</t>
  </si>
  <si>
    <t>TR666185</t>
  </si>
  <si>
    <t>02753092400</t>
  </si>
  <si>
    <t>SYLVIO MIKELSON SILVA RAMALHO</t>
  </si>
  <si>
    <t>TR680173</t>
  </si>
  <si>
    <t>03774187304</t>
  </si>
  <si>
    <t>FRANCISCO AIRTON SOUSA OLIVEIRA</t>
  </si>
  <si>
    <t>TR686713</t>
  </si>
  <si>
    <t>00458995339</t>
  </si>
  <si>
    <t>VANDECLISNEY DOS SANTOS MOREIRA</t>
  </si>
  <si>
    <t>TR666504</t>
  </si>
  <si>
    <t>60595184359</t>
  </si>
  <si>
    <t>ANTONIO ALBERTO FERNANDES DA SILVA</t>
  </si>
  <si>
    <t>TR680144</t>
  </si>
  <si>
    <t>04220448306</t>
  </si>
  <si>
    <t>MARCOS VENICIUS BEZERRA ALMEIDA</t>
  </si>
  <si>
    <t>TR686722</t>
  </si>
  <si>
    <t>01204507392</t>
  </si>
  <si>
    <t>FRANCISCO MARCELO DE SOUSA SANTOS</t>
  </si>
  <si>
    <t>TR657149</t>
  </si>
  <si>
    <t>74078127304</t>
  </si>
  <si>
    <t>FRANCISCO DE ASSIS ABREU DE SOUSA</t>
  </si>
  <si>
    <t>TR559421</t>
  </si>
  <si>
    <t>04632978302</t>
  </si>
  <si>
    <t>EDIVALDO DOS SANTOS NASCIMENTO</t>
  </si>
  <si>
    <t>TR601107</t>
  </si>
  <si>
    <t>00939648385</t>
  </si>
  <si>
    <t>JORGE LUIZ DA COSTA SILVA</t>
  </si>
  <si>
    <t>TR551867</t>
  </si>
  <si>
    <t>96232005368</t>
  </si>
  <si>
    <t>JURANDY NEVES DE VASCONCELOS</t>
  </si>
  <si>
    <t>TR330330</t>
  </si>
  <si>
    <t>30339162449</t>
  </si>
  <si>
    <t>EDSON DE ASSUNCAO SILVA</t>
  </si>
  <si>
    <t>TR253557</t>
  </si>
  <si>
    <t>PE.INT.ACV.01</t>
  </si>
  <si>
    <t>80337856400</t>
  </si>
  <si>
    <t>VINICIUS CESAR DA SILVA</t>
  </si>
  <si>
    <t>TR644492</t>
  </si>
  <si>
    <t>13245784406</t>
  </si>
  <si>
    <t>JOSE GALDINO NETO</t>
  </si>
  <si>
    <t>TR404421</t>
  </si>
  <si>
    <t>31726741850</t>
  </si>
  <si>
    <t>FLAGINALDO MARTIM DOS SANTOS</t>
  </si>
  <si>
    <t>TR257426</t>
  </si>
  <si>
    <t>02494458404</t>
  </si>
  <si>
    <t>ORLANDO EDILSON GOMES</t>
  </si>
  <si>
    <t>JOSE HAILTON ATAIDE</t>
  </si>
  <si>
    <t>TR257424</t>
  </si>
  <si>
    <t>42674700491</t>
  </si>
  <si>
    <t>NIKSON DE SOUZA FERREIRA</t>
  </si>
  <si>
    <t>TR540580</t>
  </si>
  <si>
    <t>04502897450</t>
  </si>
  <si>
    <t>FERNANDO ANTONIO MONTEIRO</t>
  </si>
  <si>
    <t>TR521962</t>
  </si>
  <si>
    <t>59296151449</t>
  </si>
  <si>
    <t>EDUARDO JOSE DO NASCIMENTO</t>
  </si>
  <si>
    <t>TR431263</t>
  </si>
  <si>
    <t>PE.INT.GUS.02</t>
  </si>
  <si>
    <t>04123254462</t>
  </si>
  <si>
    <t>LUIZ EDVALDO DA SILVA</t>
  </si>
  <si>
    <t>TR253668</t>
  </si>
  <si>
    <t>55793568468</t>
  </si>
  <si>
    <t>MANOEL MARIANO DA SILVA</t>
  </si>
  <si>
    <t>TR256781</t>
  </si>
  <si>
    <t>03267005442</t>
  </si>
  <si>
    <t>ALEX SANDRO DE LIMA PAZ</t>
  </si>
  <si>
    <t>FERNANDO ANTONIO PORTO DE FREITAS</t>
  </si>
  <si>
    <t>TR612299</t>
  </si>
  <si>
    <t>04471137476</t>
  </si>
  <si>
    <t>SAMUEL MATIAS NETO</t>
  </si>
  <si>
    <t>TR589300</t>
  </si>
  <si>
    <t>01151289485</t>
  </si>
  <si>
    <t>JONNY ALLYSON MIRANDA DE MELO ALVES</t>
  </si>
  <si>
    <t>TR666195</t>
  </si>
  <si>
    <t>08215087418</t>
  </si>
  <si>
    <t>PAULO SILVA FERREIRA</t>
  </si>
  <si>
    <t>TR574130</t>
  </si>
  <si>
    <t>03334994414</t>
  </si>
  <si>
    <t>WANDERSON DE SOUZA BANDEIRA</t>
  </si>
  <si>
    <t>TR338177</t>
  </si>
  <si>
    <t>RN.NTL.RNS.01</t>
  </si>
  <si>
    <t>09649001492</t>
  </si>
  <si>
    <t>FABIO AUGUSTO DE ARAUJO</t>
  </si>
  <si>
    <t>TR662276</t>
  </si>
  <si>
    <t>08859958482</t>
  </si>
  <si>
    <t>ANTONIO DANIZETE FELIX</t>
  </si>
  <si>
    <t>TR681306</t>
  </si>
  <si>
    <t>CRFE, LAINST, LAMUD, LAREP, LARET, LASRV</t>
  </si>
  <si>
    <t>02335932411</t>
  </si>
  <si>
    <t>RAFAEL OLIVEIRA DA SILVA JUNIOR</t>
  </si>
  <si>
    <t>TR364017</t>
  </si>
  <si>
    <t>06406131444</t>
  </si>
  <si>
    <t>ELIABE SILANI DE LIMA</t>
  </si>
  <si>
    <t>TR528509</t>
  </si>
  <si>
    <t>07338697426</t>
  </si>
  <si>
    <t>JEAN CARLOS LIMA DA COSTA</t>
  </si>
  <si>
    <t>TR264016</t>
  </si>
  <si>
    <t>03504348402</t>
  </si>
  <si>
    <t>LINDEMBERG CABRAL DE BRITO</t>
  </si>
  <si>
    <t>TR559364</t>
  </si>
  <si>
    <t>ADSLDG, ADSLINST, ADSLMUD, ADSLREP, ADSLRET, ADSLSRV, CRFE, CRTRCX, DTHRET, LAINST, LAMUD, LAREP, LARET, LASRV, PREVCX, TPREP, VAINST</t>
  </si>
  <si>
    <t>01168767431</t>
  </si>
  <si>
    <t>MATHEUS HENRIQUE NUNES DA SILVA</t>
  </si>
  <si>
    <t>TR666199</t>
  </si>
  <si>
    <t>10861171403</t>
  </si>
  <si>
    <t>JOAO BATISTA RODRIGUES DA SILVA</t>
  </si>
  <si>
    <t>TR319780</t>
  </si>
  <si>
    <t>03544210428</t>
  </si>
  <si>
    <t>DARLEIVISON DE MAGALHAES MAIA</t>
  </si>
  <si>
    <t>TR666186</t>
  </si>
  <si>
    <t>03050137428</t>
  </si>
  <si>
    <t>JOSE DO NASCIMENTO BRITO</t>
  </si>
  <si>
    <t>TR256815</t>
  </si>
  <si>
    <t>14201240487</t>
  </si>
  <si>
    <t>FERNANDO VIEIRA SOARES</t>
  </si>
  <si>
    <t>TR369139</t>
  </si>
  <si>
    <t>08133864461</t>
  </si>
  <si>
    <t>RICARDO PAULINO DE LIMA</t>
  </si>
  <si>
    <t>TR594272</t>
  </si>
  <si>
    <t>03603673484</t>
  </si>
  <si>
    <t>ANDRE SILVA DA COSTA</t>
  </si>
  <si>
    <t>TR355539</t>
  </si>
  <si>
    <t>07021069413</t>
  </si>
  <si>
    <t>DIEGO ARCELINO DE LIMA DA SILVA</t>
  </si>
  <si>
    <t>TR441779</t>
  </si>
  <si>
    <t>09018533483</t>
  </si>
  <si>
    <t>EDSON ALVES DE SOUZA</t>
  </si>
  <si>
    <t>TR256299</t>
  </si>
  <si>
    <t>91468973487</t>
  </si>
  <si>
    <t>JOAO MARIA DOS SANTOS</t>
  </si>
  <si>
    <t>TR256400</t>
  </si>
  <si>
    <t>67342655449</t>
  </si>
  <si>
    <t>CARLOS CLAYTON DE FRANCA PINHEIRO</t>
  </si>
  <si>
    <t>TR304134</t>
  </si>
  <si>
    <t>44428553404</t>
  </si>
  <si>
    <t>EMERSON SOUZA DE ALMEIDA</t>
  </si>
  <si>
    <t>TR681456</t>
  </si>
  <si>
    <t>80739199404</t>
  </si>
  <si>
    <t>ANDERSON DE FRANCA PINTO</t>
  </si>
  <si>
    <t>TR662097</t>
  </si>
  <si>
    <t>04217094485</t>
  </si>
  <si>
    <t>MAGSON FRANCISCO DA SILVA</t>
  </si>
  <si>
    <t>TR624176</t>
  </si>
  <si>
    <t>10062701401</t>
  </si>
  <si>
    <t>EVI DE ARAUJO</t>
  </si>
  <si>
    <t>TR330319</t>
  </si>
  <si>
    <t>02238534458</t>
  </si>
  <si>
    <t>DARCY DE HOLANDA PORTELA</t>
  </si>
  <si>
    <t>TR253619</t>
  </si>
  <si>
    <t>61735353434</t>
  </si>
  <si>
    <t>EVERTON DE LIMA GOMES</t>
  </si>
  <si>
    <t>TR610940</t>
  </si>
  <si>
    <t>11150620420</t>
  </si>
  <si>
    <t>FRANCISCO ALACARDENES GOMES DE LIMA</t>
  </si>
  <si>
    <t>ROBERTO CLAUDIO PAIVA CASTRO</t>
  </si>
  <si>
    <t>TR360150</t>
  </si>
  <si>
    <t>74771876304</t>
  </si>
  <si>
    <t>JEFFERSON LIMA DE CASTRO</t>
  </si>
  <si>
    <t>TR657976</t>
  </si>
  <si>
    <t>07516412430</t>
  </si>
  <si>
    <t>MARCELO FERREIRA DA SILVA</t>
  </si>
  <si>
    <t>TR615505</t>
  </si>
  <si>
    <t>08002247442</t>
  </si>
  <si>
    <t>ALEXSANDRO PEREIRA DA SILVA</t>
  </si>
  <si>
    <t>TR384031</t>
  </si>
  <si>
    <t>05179132401</t>
  </si>
  <si>
    <t>ANDERSON BATISTA DE MORAES</t>
  </si>
  <si>
    <t>TR471708</t>
  </si>
  <si>
    <t>08752315436</t>
  </si>
  <si>
    <t>EVERSON MANOEL FRANCA DA SILVA</t>
  </si>
  <si>
    <t>TR609523</t>
  </si>
  <si>
    <t>07880844457</t>
  </si>
  <si>
    <t>EDUARDO EVANGELISTA DO NASCIMENTO</t>
  </si>
  <si>
    <t>TR590107</t>
  </si>
  <si>
    <t>06081243460</t>
  </si>
  <si>
    <t>MOACIR BARROS FONTENELE NETO</t>
  </si>
  <si>
    <t>JOSE VENILSON DA SILVA</t>
  </si>
  <si>
    <t>TR551149</t>
  </si>
  <si>
    <t>03842062397</t>
  </si>
  <si>
    <t>DIOGO DE MOURA DA SILVA</t>
  </si>
  <si>
    <t>PAULO PEREIRA DA SILVA</t>
  </si>
  <si>
    <t>TR612304</t>
  </si>
  <si>
    <t>05816871404</t>
  </si>
  <si>
    <t>JOSE BRUNO OLIVEIRA DANTAS</t>
  </si>
  <si>
    <t>TR285308</t>
  </si>
  <si>
    <t>07656975489</t>
  </si>
  <si>
    <t>FRANKLIN ERNANDES DO NASCIMENTO BEZERRA</t>
  </si>
  <si>
    <t>TR623612</t>
  </si>
  <si>
    <t>09806627458</t>
  </si>
  <si>
    <t>EDILSON SOARES DOS SANTOS</t>
  </si>
  <si>
    <t>TR368021</t>
  </si>
  <si>
    <t>96633158491</t>
  </si>
  <si>
    <t>DIOGENES MARTINS TAVARES</t>
  </si>
  <si>
    <t>TR642490</t>
  </si>
  <si>
    <t>03206824478</t>
  </si>
  <si>
    <t>ALEX BARRETO DA SILVA</t>
  </si>
  <si>
    <t>TR590425</t>
  </si>
  <si>
    <t>06891902479</t>
  </si>
  <si>
    <t>JACKSON LEANDRO PEDRO DA SILVA</t>
  </si>
  <si>
    <t>TR619382</t>
  </si>
  <si>
    <t>06319552409</t>
  </si>
  <si>
    <t>THIAGO DA COSTA SANTANA</t>
  </si>
  <si>
    <t>TR567782</t>
  </si>
  <si>
    <t>06331156496</t>
  </si>
  <si>
    <t>JOSE DE ARIMATEIA FREITAS DA SILVA</t>
  </si>
  <si>
    <t>TR619357</t>
  </si>
  <si>
    <t>09088839433</t>
  </si>
  <si>
    <t>ELDMARCSON LYNNICK ARAUJO SILVA</t>
  </si>
  <si>
    <t>TR610430</t>
  </si>
  <si>
    <t>70084816406</t>
  </si>
  <si>
    <t>MARCELO SALVADOR DE OLIVEIRA</t>
  </si>
  <si>
    <t>TR258937</t>
  </si>
  <si>
    <t>00808681427</t>
  </si>
  <si>
    <t>JOSE ARRUDA DA SILVA</t>
  </si>
  <si>
    <t>TR338976</t>
  </si>
  <si>
    <t>01873428499</t>
  </si>
  <si>
    <t>ITALO BERENGUER PAZ</t>
  </si>
  <si>
    <t>TR518959</t>
  </si>
  <si>
    <t>01013031490</t>
  </si>
  <si>
    <t>GLEYSON NASCIMENTO BRANDAO</t>
  </si>
  <si>
    <t>TR377192</t>
  </si>
  <si>
    <t>ADSLDG, ADSLINST, ADSLMUD, ADSLPREV, ADSLREP, ADSLRET, ADSLSRV, CRFE, LAINST, LAMUD, LAREP, LARET, LASRV, PREVCX, VAINST</t>
  </si>
  <si>
    <t>05260480422</t>
  </si>
  <si>
    <t>WAYNE PONTES DA SILVA</t>
  </si>
  <si>
    <t>TR411498</t>
  </si>
  <si>
    <t>58646760472</t>
  </si>
  <si>
    <t>FRANCISCO CLEYDSON MONTEIRO ALMEIDA</t>
  </si>
  <si>
    <t>TR688876</t>
  </si>
  <si>
    <t>00823557383</t>
  </si>
  <si>
    <t>SOCRATES LUIZ SOUZA DA FONSECA</t>
  </si>
  <si>
    <t>TR331987</t>
  </si>
  <si>
    <t>04634081440</t>
  </si>
  <si>
    <t>EVALDO BESERRA DE CASTILHO JUNIOR</t>
  </si>
  <si>
    <t>TR575684</t>
  </si>
  <si>
    <t>10130096490</t>
  </si>
  <si>
    <t>JORGE GOMES DA SILVA</t>
  </si>
  <si>
    <t>TR558648</t>
  </si>
  <si>
    <t>69600112487</t>
  </si>
  <si>
    <t>ELIABE SILVA GUEDES</t>
  </si>
  <si>
    <t>TR588057</t>
  </si>
  <si>
    <t>05245518473</t>
  </si>
  <si>
    <t>ANTONIO KENEDY CAETANO FERREIRA</t>
  </si>
  <si>
    <t>TR613638</t>
  </si>
  <si>
    <t>04294237481</t>
  </si>
  <si>
    <t>TIAGO JOSE BRAZ</t>
  </si>
  <si>
    <t>TR657977</t>
  </si>
  <si>
    <t>PE.RCE.NOR.05</t>
  </si>
  <si>
    <t>04049874431</t>
  </si>
  <si>
    <t>JOSE RICARDO SIMPLICIO BANDEIRA</t>
  </si>
  <si>
    <t>TR254013</t>
  </si>
  <si>
    <t>62531336400</t>
  </si>
  <si>
    <t>EVERTON ROMERO SILVA DE SOUZA</t>
  </si>
  <si>
    <t>TR431229</t>
  </si>
  <si>
    <t>00895029499</t>
  </si>
  <si>
    <t>LEANDRO SANTOS SILVA</t>
  </si>
  <si>
    <t>TR364826</t>
  </si>
  <si>
    <t>08880610481</t>
  </si>
  <si>
    <t>ADRIANO SALUSTINO DE SOUSA</t>
  </si>
  <si>
    <t>TR384036</t>
  </si>
  <si>
    <t>07025704431</t>
  </si>
  <si>
    <t>CICERO DANTAS BRANCO</t>
  </si>
  <si>
    <t>TR256523</t>
  </si>
  <si>
    <t>52066690597</t>
  </si>
  <si>
    <t>REDSON RODRIGUES CHAVES</t>
  </si>
  <si>
    <t>TR257389</t>
  </si>
  <si>
    <t>84100354487</t>
  </si>
  <si>
    <t>ELINALDO LUIS DE ANDRADE</t>
  </si>
  <si>
    <t>TR256587</t>
  </si>
  <si>
    <t>03341290443</t>
  </si>
  <si>
    <t>ANDRE DINIZ DE ARAUJO</t>
  </si>
  <si>
    <t>TR279870</t>
  </si>
  <si>
    <t>03881421467</t>
  </si>
  <si>
    <t>ARTHUR OLIVEIRA DOS SANTOS</t>
  </si>
  <si>
    <t>TR575111</t>
  </si>
  <si>
    <t>09515180465</t>
  </si>
  <si>
    <t>CLODOALDO ARAUJO DO NASCIMENTO</t>
  </si>
  <si>
    <t>TR256530</t>
  </si>
  <si>
    <t>02698651440</t>
  </si>
  <si>
    <t>JEFFERSON ROCHA DOS SANTOS</t>
  </si>
  <si>
    <t>TR575114</t>
  </si>
  <si>
    <t>09873055495</t>
  </si>
  <si>
    <t>JURANDIR GONCALVES DA SILVA</t>
  </si>
  <si>
    <t>TR256841</t>
  </si>
  <si>
    <t>82665168472</t>
  </si>
  <si>
    <t>AGUINALDO GONZAGA DE LIRA</t>
  </si>
  <si>
    <t>TR276171</t>
  </si>
  <si>
    <t>67453856434</t>
  </si>
  <si>
    <t>ANDERSON BARRETO DA SILVA</t>
  </si>
  <si>
    <t>TR594240</t>
  </si>
  <si>
    <t>07144037412</t>
  </si>
  <si>
    <t>MAXYLLON ARAUJO RODRIGUES</t>
  </si>
  <si>
    <t>TR615533</t>
  </si>
  <si>
    <t>04622058430</t>
  </si>
  <si>
    <t>ALMIR ALVES DA SILVA</t>
  </si>
  <si>
    <t>TR256404</t>
  </si>
  <si>
    <t>02517619409</t>
  </si>
  <si>
    <t>FELIPE AZEVEDO CATAO</t>
  </si>
  <si>
    <t>TR266451</t>
  </si>
  <si>
    <t>21359696806</t>
  </si>
  <si>
    <t>WELLINGTON BARBOSA DE SOUSA</t>
  </si>
  <si>
    <t>TR331577</t>
  </si>
  <si>
    <t>01232103489</t>
  </si>
  <si>
    <t>JOSICLAUDIO DE OLIVEIRA RODRIGUES</t>
  </si>
  <si>
    <t>TR401492</t>
  </si>
  <si>
    <t>01168986400</t>
  </si>
  <si>
    <t>CARLOS ANTONIO DE OLIVEIRA INACIO</t>
  </si>
  <si>
    <t>TR565305</t>
  </si>
  <si>
    <t>01273042409</t>
  </si>
  <si>
    <t>MARCELO DA TRINDADE</t>
  </si>
  <si>
    <t>ANDRIER CARLOS SOARES FERREIRA</t>
  </si>
  <si>
    <t>TR332690</t>
  </si>
  <si>
    <t>06712873460</t>
  </si>
  <si>
    <t>MAGNUS AUGUSTOS FERNANDES FILHO</t>
  </si>
  <si>
    <t>TR507948</t>
  </si>
  <si>
    <t>01658017439</t>
  </si>
  <si>
    <t>TR332000</t>
  </si>
  <si>
    <t>PE.RCE.LES.05</t>
  </si>
  <si>
    <t>03425149466</t>
  </si>
  <si>
    <t>ERIC LUIZ FERREIRA DE MORAIS</t>
  </si>
  <si>
    <t>TR570532</t>
  </si>
  <si>
    <t>86959549434</t>
  </si>
  <si>
    <t>LEANDRO FLORENTINO BARROS DA PAZ</t>
  </si>
  <si>
    <t>TR544420</t>
  </si>
  <si>
    <t>01153964465</t>
  </si>
  <si>
    <t>LAUROMEX JOSE DA SILVA</t>
  </si>
  <si>
    <t>TR588061</t>
  </si>
  <si>
    <t>03582015432</t>
  </si>
  <si>
    <t>FRANCISCO RONALDO DO NASCIMENTO ROMEIRO</t>
  </si>
  <si>
    <t>TR290900</t>
  </si>
  <si>
    <t>CE.CMS.GCL.01</t>
  </si>
  <si>
    <t>51114178349</t>
  </si>
  <si>
    <t>LUCAS ALVES DE OLIVEIRA</t>
  </si>
  <si>
    <t>TR396832</t>
  </si>
  <si>
    <t>02981997343</t>
  </si>
  <si>
    <t>EVALDO MAURICIO DA SILVA LIMA</t>
  </si>
  <si>
    <t>TR253563</t>
  </si>
  <si>
    <t>79296980410</t>
  </si>
  <si>
    <t>GELVANDRO CAETANO DA SILVA</t>
  </si>
  <si>
    <t>TR253574</t>
  </si>
  <si>
    <t>77973038434</t>
  </si>
  <si>
    <t>TR319870</t>
  </si>
  <si>
    <t>03928146416</t>
  </si>
  <si>
    <t>ANDRE LUIZ NASCIMENTO SILVA</t>
  </si>
  <si>
    <t>TR575673</t>
  </si>
  <si>
    <t>81725086468</t>
  </si>
  <si>
    <t>JANDERSON FERNANDES DA SILVA</t>
  </si>
  <si>
    <t>TR666508</t>
  </si>
  <si>
    <t>09512759411</t>
  </si>
  <si>
    <t>GALBA SILVESTRE DE SANTANA</t>
  </si>
  <si>
    <t>TR436862</t>
  </si>
  <si>
    <t>85755141487</t>
  </si>
  <si>
    <t>JOSE REGINALDO DA SILVA FILHO</t>
  </si>
  <si>
    <t>TR610175</t>
  </si>
  <si>
    <t>02686731443</t>
  </si>
  <si>
    <t>ALTINO GONCALVES DE ARAUJO</t>
  </si>
  <si>
    <t>TR317104</t>
  </si>
  <si>
    <t>54179858487</t>
  </si>
  <si>
    <t>LEONARDO SOARES DE ANDRADE</t>
  </si>
  <si>
    <t>TR331989</t>
  </si>
  <si>
    <t>08217857458</t>
  </si>
  <si>
    <t>MARCIO COSTA DE SOUSA</t>
  </si>
  <si>
    <t>TR603816</t>
  </si>
  <si>
    <t>63763303391</t>
  </si>
  <si>
    <t>FRANCISCO DAS CHAGAS ESTEVAM</t>
  </si>
  <si>
    <t>TR257052</t>
  </si>
  <si>
    <t>22041672315</t>
  </si>
  <si>
    <t>JEFFERSON DOS SANTOS VIEIRA</t>
  </si>
  <si>
    <t>TR605443</t>
  </si>
  <si>
    <t>02309654310</t>
  </si>
  <si>
    <t>ERNESTO MOREIRA DA SILVA JUNIOR</t>
  </si>
  <si>
    <t>TR328204</t>
  </si>
  <si>
    <t>19076363315</t>
  </si>
  <si>
    <t>ALTANIER MARTINS DA LUZ</t>
  </si>
  <si>
    <t>TR343484</t>
  </si>
  <si>
    <t>77258738304</t>
  </si>
  <si>
    <t>EDILSON LOURENCO DA SILVA</t>
  </si>
  <si>
    <t>TR252631</t>
  </si>
  <si>
    <t>10466215304</t>
  </si>
  <si>
    <t>FRANCISCO FERREIRA DA SILVA</t>
  </si>
  <si>
    <t>TR257053</t>
  </si>
  <si>
    <t>38579316391</t>
  </si>
  <si>
    <t>REGINALDO MATIAS PESSOA</t>
  </si>
  <si>
    <t>TR610821</t>
  </si>
  <si>
    <t>73367796468</t>
  </si>
  <si>
    <t>EDILSON DA SILVA BEZERRA</t>
  </si>
  <si>
    <t>TR254369</t>
  </si>
  <si>
    <t>35118245400</t>
  </si>
  <si>
    <t>ROBSON DE ARAUJO GALVAO</t>
  </si>
  <si>
    <t>TR253740</t>
  </si>
  <si>
    <t>41707168415</t>
  </si>
  <si>
    <t>GILCLEITON FERREIRA PAIXAO</t>
  </si>
  <si>
    <t>TR257117</t>
  </si>
  <si>
    <t>66761964415</t>
  </si>
  <si>
    <t>JOSE ALLAN JACINTO FORTE</t>
  </si>
  <si>
    <t>TR317395</t>
  </si>
  <si>
    <t>04364944424</t>
  </si>
  <si>
    <t>JOSE ROBERTO FRANCISCO DE SOUZA</t>
  </si>
  <si>
    <t>TR610951</t>
  </si>
  <si>
    <t>04924438405</t>
  </si>
  <si>
    <t>ALEXSANDRO AGUIAR ALBUQUERQUE</t>
  </si>
  <si>
    <t>TR286152</t>
  </si>
  <si>
    <t>03489901460</t>
  </si>
  <si>
    <t>EDSON SILVA SANTOS</t>
  </si>
  <si>
    <t>ANDRE LUIZ BARBOZA</t>
  </si>
  <si>
    <t>TR466621</t>
  </si>
  <si>
    <t>09854935426</t>
  </si>
  <si>
    <t>ALEXANDRE SILVA FERNANDES</t>
  </si>
  <si>
    <t>TR670514</t>
  </si>
  <si>
    <t>46546871300</t>
  </si>
  <si>
    <t>JEAN WILLIAM RIBEIRO CORREA</t>
  </si>
  <si>
    <t>TR603812</t>
  </si>
  <si>
    <t>60875135234</t>
  </si>
  <si>
    <t>FABIO HENRIQUE DA SILVA</t>
  </si>
  <si>
    <t>TR258935</t>
  </si>
  <si>
    <t>95131850444</t>
  </si>
  <si>
    <t>JEFFERSON OLIVEIRA DOS SANTOS</t>
  </si>
  <si>
    <t>TR437221</t>
  </si>
  <si>
    <t>07608565403</t>
  </si>
  <si>
    <t>LINALDO OLIVEIRA GONCALVES</t>
  </si>
  <si>
    <t>TC005996</t>
  </si>
  <si>
    <t>02562808436</t>
  </si>
  <si>
    <t>JOSE EDNALDO SILVA DE MORAIS</t>
  </si>
  <si>
    <t>TR258881</t>
  </si>
  <si>
    <t>03141603456</t>
  </si>
  <si>
    <t>SILVANO LAURENTINO DOS SANTOS</t>
  </si>
  <si>
    <t>TR622007</t>
  </si>
  <si>
    <t>01076801498</t>
  </si>
  <si>
    <t>DIOGO GOMES LUNA</t>
  </si>
  <si>
    <t>TR645683</t>
  </si>
  <si>
    <t>07055338409</t>
  </si>
  <si>
    <t>CLEBIO DA SILVA CAMPOS</t>
  </si>
  <si>
    <t>TR336708</t>
  </si>
  <si>
    <t>09600907463</t>
  </si>
  <si>
    <t>HERIQUE DOS SANTOS CAVALCANTI</t>
  </si>
  <si>
    <t>TR258837</t>
  </si>
  <si>
    <t>02371496480</t>
  </si>
  <si>
    <t>IJAN MERQUIDES DE MOURA</t>
  </si>
  <si>
    <t>TR258839</t>
  </si>
  <si>
    <t>89321898468</t>
  </si>
  <si>
    <t>JOAO BATISTA DO NASCIMENTO JUNIOR</t>
  </si>
  <si>
    <t>TR325309</t>
  </si>
  <si>
    <t>05023385477</t>
  </si>
  <si>
    <t>RONALDO DOS SANTOS PAIVA</t>
  </si>
  <si>
    <t>TR311842</t>
  </si>
  <si>
    <t>66501075300</t>
  </si>
  <si>
    <t>REGIVALDO DOS SANTOS PAIVA</t>
  </si>
  <si>
    <t>TR252881</t>
  </si>
  <si>
    <t>76900606334</t>
  </si>
  <si>
    <t>LUCAS SANTOS MARIANO</t>
  </si>
  <si>
    <t>TR663269</t>
  </si>
  <si>
    <t>60382444337</t>
  </si>
  <si>
    <t>IGO ANTONIO FERREIRA DA COSTA</t>
  </si>
  <si>
    <t>TR441665</t>
  </si>
  <si>
    <t>08350989408</t>
  </si>
  <si>
    <t>ADAUTO CESAR MELO DE LIMA</t>
  </si>
  <si>
    <t>TR368019</t>
  </si>
  <si>
    <t>06060458483</t>
  </si>
  <si>
    <t>PAULO ROBERTO DE ASSIS</t>
  </si>
  <si>
    <t>TR340991</t>
  </si>
  <si>
    <t>03838128443</t>
  </si>
  <si>
    <t>SIDNEY SHELDOM ALVES RANGEL</t>
  </si>
  <si>
    <t>TR338979</t>
  </si>
  <si>
    <t>07968681405</t>
  </si>
  <si>
    <t>PAULO SERGIO DE SOUZA OLIVEIRA</t>
  </si>
  <si>
    <t>TR343581</t>
  </si>
  <si>
    <t>91612462472</t>
  </si>
  <si>
    <t>ROGERIO PEDRO ARAUJO</t>
  </si>
  <si>
    <t>TR396971</t>
  </si>
  <si>
    <t>07622865478</t>
  </si>
  <si>
    <t>FRANCISCO CANINDE DOS SANTOS</t>
  </si>
  <si>
    <t>TR263779</t>
  </si>
  <si>
    <t>62654845400</t>
  </si>
  <si>
    <t>WESLEY DE ALBUQUERQUE MENDONCA</t>
  </si>
  <si>
    <t>TR384039</t>
  </si>
  <si>
    <t>09230341452</t>
  </si>
  <si>
    <t>ROBERTO ROGERIO DE OLIVEIRA</t>
  </si>
  <si>
    <t>TR288804</t>
  </si>
  <si>
    <t>03127201494</t>
  </si>
  <si>
    <t>MARCO DANIEL BARBOSA DA SILVA</t>
  </si>
  <si>
    <t>TR366479</t>
  </si>
  <si>
    <t>04963169401</t>
  </si>
  <si>
    <t>THIAGGO SILVA HONORATO</t>
  </si>
  <si>
    <t>TR340993</t>
  </si>
  <si>
    <t>07674685462</t>
  </si>
  <si>
    <t>EDUARDO HENRIQUE DE CARVALHO E SILVA</t>
  </si>
  <si>
    <t>TR631672</t>
  </si>
  <si>
    <t>07293936400</t>
  </si>
  <si>
    <t>FABIO DA SILVA MOTA</t>
  </si>
  <si>
    <t>TR624791</t>
  </si>
  <si>
    <t>01060418436</t>
  </si>
  <si>
    <t>CLEYSON LUCIO PINHEIRO</t>
  </si>
  <si>
    <t>TR499703</t>
  </si>
  <si>
    <t>83753184420</t>
  </si>
  <si>
    <t>JAIR RODRIGUES LIMA</t>
  </si>
  <si>
    <t>TR662096</t>
  </si>
  <si>
    <t>03610932333</t>
  </si>
  <si>
    <t>ANDERSON DANTAS DA SILVA</t>
  </si>
  <si>
    <t>TR610413</t>
  </si>
  <si>
    <t>70066534445</t>
  </si>
  <si>
    <t>DIEGO CESAR DOS SANTOS</t>
  </si>
  <si>
    <t>TR537985</t>
  </si>
  <si>
    <t>06910790480</t>
  </si>
  <si>
    <t>ADRIANO PEREIRA DE OLIVEIRA</t>
  </si>
  <si>
    <t>TR347075</t>
  </si>
  <si>
    <t>88214095468</t>
  </si>
  <si>
    <t>NEDSON MISAEL DE BARROS</t>
  </si>
  <si>
    <t>TR625047</t>
  </si>
  <si>
    <t>05799405439</t>
  </si>
  <si>
    <t>ANTONIO FLORENTINO DOS SANTOS FILHO</t>
  </si>
  <si>
    <t>TR253593</t>
  </si>
  <si>
    <t>89831721420</t>
  </si>
  <si>
    <t>JAILTON DA SILVA SANTOS JUNIOR</t>
  </si>
  <si>
    <t>TR294680</t>
  </si>
  <si>
    <t>07206985459</t>
  </si>
  <si>
    <t>CRISTIANO ALVES DA ROCHA</t>
  </si>
  <si>
    <t>TR404414</t>
  </si>
  <si>
    <t>10621697435</t>
  </si>
  <si>
    <t>ELIVELTON ELIAS DA SILVA</t>
  </si>
  <si>
    <t>TR644482</t>
  </si>
  <si>
    <t>12545053422</t>
  </si>
  <si>
    <t>JAIRO NEVES DE VASCONCELOS</t>
  </si>
  <si>
    <t>TR260961</t>
  </si>
  <si>
    <t>44032200459</t>
  </si>
  <si>
    <t>LUIZ HENRIQUE DOS SANTOS AMANCIO DA SILVA</t>
  </si>
  <si>
    <t>TR404422</t>
  </si>
  <si>
    <t>10690281420</t>
  </si>
  <si>
    <t>CRISTIAN FRANCISCO DA SILVA</t>
  </si>
  <si>
    <t>TR644479</t>
  </si>
  <si>
    <t>03998563407</t>
  </si>
  <si>
    <t>LUIS MORAIS HOLANDA</t>
  </si>
  <si>
    <t>TR284194</t>
  </si>
  <si>
    <t>66980747134</t>
  </si>
  <si>
    <t>ADEILTOM MACIEL DE ASSIS</t>
  </si>
  <si>
    <t>TR287919</t>
  </si>
  <si>
    <t>24836478472</t>
  </si>
  <si>
    <t>ORLANDO CECILIO BELO DA SILVA</t>
  </si>
  <si>
    <t>TR323176</t>
  </si>
  <si>
    <t>PE.INT.CAA.01</t>
  </si>
  <si>
    <t>Carpina</t>
  </si>
  <si>
    <t>CAA</t>
  </si>
  <si>
    <t>08972784451</t>
  </si>
  <si>
    <t>MARCIEL ALVES DA ROCHA</t>
  </si>
  <si>
    <t>TC057823</t>
  </si>
  <si>
    <t>58030590482</t>
  </si>
  <si>
    <t>JOVANILTON SILVA DOS SANTOS</t>
  </si>
  <si>
    <t>TR565317</t>
  </si>
  <si>
    <t>04590525194</t>
  </si>
  <si>
    <t>VINICIUS LOURENCO DE LIMA SILVA GOMES</t>
  </si>
  <si>
    <t>TR645686</t>
  </si>
  <si>
    <t>11260003450</t>
  </si>
  <si>
    <t>JOAO BATISTA LIMA DO NASCIMENTO</t>
  </si>
  <si>
    <t>TR610419</t>
  </si>
  <si>
    <t>70526649410</t>
  </si>
  <si>
    <t>WASHINGTON LUIZ DA COSTA</t>
  </si>
  <si>
    <t>TR288009</t>
  </si>
  <si>
    <t>68403038453</t>
  </si>
  <si>
    <t>EMANUEL EMILIANO DOS SANTOS</t>
  </si>
  <si>
    <t>TR624790</t>
  </si>
  <si>
    <t>10154600466</t>
  </si>
  <si>
    <t>EYK COSTA DA SILVA</t>
  </si>
  <si>
    <t>TR256254</t>
  </si>
  <si>
    <t>03318673463</t>
  </si>
  <si>
    <t>FRANCISCO CLAUDIONOR DE SOUZA</t>
  </si>
  <si>
    <t>TR441664</t>
  </si>
  <si>
    <t>48159638434</t>
  </si>
  <si>
    <t>RONALDO SIMAO DE ARAUJO</t>
  </si>
  <si>
    <t>TC050542</t>
  </si>
  <si>
    <t>ADSLDG, ADSLINST, ADSLMUD, ADSLREP, ADSLRET, ADSLSRV, DTHRET, TPREP, VAINST</t>
  </si>
  <si>
    <t>05310018492</t>
  </si>
  <si>
    <t>ALDERICO JOSE DE OLIVEIRA DA SILVA NETO</t>
  </si>
  <si>
    <t>TR565983</t>
  </si>
  <si>
    <t>03414085496</t>
  </si>
  <si>
    <t>JONAS RODRIGUES DE CARVALHO</t>
  </si>
  <si>
    <t>TR540117</t>
  </si>
  <si>
    <t>09266085413</t>
  </si>
  <si>
    <t>WALDEMIR DE ARAUJO PEREIRA</t>
  </si>
  <si>
    <t>TR259879</t>
  </si>
  <si>
    <t>04389847490</t>
  </si>
  <si>
    <t>JOSENILDO SANTOS GONCALVES</t>
  </si>
  <si>
    <t>TR491702</t>
  </si>
  <si>
    <t>91963257472</t>
  </si>
  <si>
    <t>DANILO GOMES LUNA</t>
  </si>
  <si>
    <t>TR594243</t>
  </si>
  <si>
    <t>01275145469</t>
  </si>
  <si>
    <t>VALDIR DE ARAUJO BARBOSA</t>
  </si>
  <si>
    <t>TR577088</t>
  </si>
  <si>
    <t>08318970403</t>
  </si>
  <si>
    <t>JOSE CARLOS ARAUJO COSTA</t>
  </si>
  <si>
    <t>TR499707</t>
  </si>
  <si>
    <t>00825748470</t>
  </si>
  <si>
    <t>JOEVERSON NEVES DA SILVA</t>
  </si>
  <si>
    <t>TR546069</t>
  </si>
  <si>
    <t>09619906438</t>
  </si>
  <si>
    <t>REJANILSON DA SILVA RODRIGUES</t>
  </si>
  <si>
    <t>TR325175</t>
  </si>
  <si>
    <t>03048013482</t>
  </si>
  <si>
    <t>JAMIEL DE SOUZA MOURA</t>
  </si>
  <si>
    <t>TR260061</t>
  </si>
  <si>
    <t>04414486408</t>
  </si>
  <si>
    <t>VALDECI MEDEIROS DA SILVA</t>
  </si>
  <si>
    <t>TR258871</t>
  </si>
  <si>
    <t>00005050480</t>
  </si>
  <si>
    <t>GERARDO DE ALMEIDA FREIRE</t>
  </si>
  <si>
    <t>TR663268</t>
  </si>
  <si>
    <t>00355931303</t>
  </si>
  <si>
    <t>PEDRO WILTON OLIVEIRA AMARAL</t>
  </si>
  <si>
    <t>TR252398</t>
  </si>
  <si>
    <t>80332285391</t>
  </si>
  <si>
    <t>FRANCISCO GLAYDSON MACIEL FERREIRA</t>
  </si>
  <si>
    <t>TR610421</t>
  </si>
  <si>
    <t>83775137300</t>
  </si>
  <si>
    <t>RALYSON MARQUES DE OLIVEIRA</t>
  </si>
  <si>
    <t>TR603809</t>
  </si>
  <si>
    <t>05811313390</t>
  </si>
  <si>
    <t>FRANCISCO REGIS GOMES GUERRA</t>
  </si>
  <si>
    <t>TR559424</t>
  </si>
  <si>
    <t>62611623368</t>
  </si>
  <si>
    <t>MARCIO ROBSON LUCIO COSTA</t>
  </si>
  <si>
    <t>TR343489</t>
  </si>
  <si>
    <t>48001554368</t>
  </si>
  <si>
    <t>PEDRO FERNANDES SALES</t>
  </si>
  <si>
    <t>TR252397</t>
  </si>
  <si>
    <t>CE.CMS.GCS.05</t>
  </si>
  <si>
    <t>38462966353</t>
  </si>
  <si>
    <t>RHUAN DOS SANTOS TEIXEIRA</t>
  </si>
  <si>
    <t>TC058710</t>
  </si>
  <si>
    <t>03818645370</t>
  </si>
  <si>
    <t>MARCOS JOSE ROCHA MACHADO</t>
  </si>
  <si>
    <t>TR663267</t>
  </si>
  <si>
    <t>26406128320</t>
  </si>
  <si>
    <t>ALEXSANDRO RODRIGUES DE VASCONCELOS</t>
  </si>
  <si>
    <t>TR343165</t>
  </si>
  <si>
    <t>73260673334</t>
  </si>
  <si>
    <t>JOSE CARLOS DE SOUZA JUNIOR</t>
  </si>
  <si>
    <t>LUIZ GUSTAVO DE OLIVEIRA DINIZ</t>
  </si>
  <si>
    <t>TR623641</t>
  </si>
  <si>
    <t>04707300480</t>
  </si>
  <si>
    <t>ERICK EVERTON ALBINO DIAS</t>
  </si>
  <si>
    <t>TR612338</t>
  </si>
  <si>
    <t>08702991403</t>
  </si>
  <si>
    <t>JOSIVANDO FRANCISCO DOS ANJOS</t>
  </si>
  <si>
    <t>TR577084</t>
  </si>
  <si>
    <t>00783009402</t>
  </si>
  <si>
    <t>ROBSON LEONARDO DE SOUZA</t>
  </si>
  <si>
    <t>TR666202</t>
  </si>
  <si>
    <t>03873433427</t>
  </si>
  <si>
    <t>TIAGO NASCIMENTO DA SILVA</t>
  </si>
  <si>
    <t>TR305828</t>
  </si>
  <si>
    <t>05968066474</t>
  </si>
  <si>
    <t>REYELSON DE FARIAS FELIX</t>
  </si>
  <si>
    <t>TR337410</t>
  </si>
  <si>
    <t>08868378477</t>
  </si>
  <si>
    <t>MARCILIO DA SILVA GUEDES</t>
  </si>
  <si>
    <t>TR610431</t>
  </si>
  <si>
    <t>05654404466</t>
  </si>
  <si>
    <t>JOSE DA SILVA NETO</t>
  </si>
  <si>
    <t>TR258479</t>
  </si>
  <si>
    <t>51916363415</t>
  </si>
  <si>
    <t>ALEXANDRE LEVY DE AZEVEDO LIMA</t>
  </si>
  <si>
    <t>TR681458</t>
  </si>
  <si>
    <t>06442630404</t>
  </si>
  <si>
    <t>KELBEN PAIXAO COSTA</t>
  </si>
  <si>
    <t>TR577085</t>
  </si>
  <si>
    <t>01311062440</t>
  </si>
  <si>
    <t>SIZENANDO DE FRANCA AMARAL</t>
  </si>
  <si>
    <t>TR364802</t>
  </si>
  <si>
    <t>85472930430</t>
  </si>
  <si>
    <t>SERGIO MURILO DE LIMA</t>
  </si>
  <si>
    <t>TR267424</t>
  </si>
  <si>
    <t>73595268415</t>
  </si>
  <si>
    <t>JULIO CESAR LIRA DE ALMEIDA</t>
  </si>
  <si>
    <t>TR610954</t>
  </si>
  <si>
    <t>03174830486</t>
  </si>
  <si>
    <t>WALDECIO LINS PEREIRA</t>
  </si>
  <si>
    <t>TR411497</t>
  </si>
  <si>
    <t>51465329404</t>
  </si>
  <si>
    <t>CASSIO JERONIMO OLIVEIRA GOMES</t>
  </si>
  <si>
    <t>TR644476</t>
  </si>
  <si>
    <t>08900157400</t>
  </si>
  <si>
    <t>MARCOS ANDRE FERREIRA DA SILVA</t>
  </si>
  <si>
    <t>TR565318</t>
  </si>
  <si>
    <t>11264718446</t>
  </si>
  <si>
    <t>DANIEL DE OLIVEIRA SILVA</t>
  </si>
  <si>
    <t>THIAGO DE LIMA PIRES RODRIGUES</t>
  </si>
  <si>
    <t>TR330328</t>
  </si>
  <si>
    <t>47641215491</t>
  </si>
  <si>
    <t>JOSE PEREIRA BATISTA</t>
  </si>
  <si>
    <t>TR610420</t>
  </si>
  <si>
    <t>96149760391</t>
  </si>
  <si>
    <t>CARLOS FELIPE LIMA DA SILVA</t>
  </si>
  <si>
    <t>TR658609</t>
  </si>
  <si>
    <t>03102511333</t>
  </si>
  <si>
    <t>GUSTAVO VINICIUS MENDES SANTOS</t>
  </si>
  <si>
    <t>TR623646</t>
  </si>
  <si>
    <t>41961826828</t>
  </si>
  <si>
    <t>FRANCISCO MARCOS DAVID VIANA LIMA</t>
  </si>
  <si>
    <t>TR544563</t>
  </si>
  <si>
    <t>03878468326</t>
  </si>
  <si>
    <t>ALLAN PATRICK LEITE DE ARAUJO</t>
  </si>
  <si>
    <t>TR641277</t>
  </si>
  <si>
    <t>07777137484</t>
  </si>
  <si>
    <t>OTAVIO BATISTA SOBRAL</t>
  </si>
  <si>
    <t>TR257230</t>
  </si>
  <si>
    <t>03240128454</t>
  </si>
  <si>
    <t>PEDRO PAULO RODRIGUES DE VASCONCELOS</t>
  </si>
  <si>
    <t>TR253461</t>
  </si>
  <si>
    <t>75688611391</t>
  </si>
  <si>
    <t>RODRIGO DA SILVA PEREIRA</t>
  </si>
  <si>
    <t>TR513211</t>
  </si>
  <si>
    <t>01430365480</t>
  </si>
  <si>
    <t>SUEDSON SOARES DA SILVA</t>
  </si>
  <si>
    <t>TR655792</t>
  </si>
  <si>
    <t>05173114452</t>
  </si>
  <si>
    <t>JARCIO BERNARDINO ALVES</t>
  </si>
  <si>
    <t>TR262992</t>
  </si>
  <si>
    <t>03043998413</t>
  </si>
  <si>
    <t>ADAO VIEIRA GUIMARAES</t>
  </si>
  <si>
    <t>TR363302</t>
  </si>
  <si>
    <t>02707429481</t>
  </si>
  <si>
    <t>RONNY CLAYTON PIRES DE MORAeS</t>
  </si>
  <si>
    <t>TR346479</t>
  </si>
  <si>
    <t>03749483485</t>
  </si>
  <si>
    <t>FRANCISCO DE ASSIS COSTA</t>
  </si>
  <si>
    <t>TR368635</t>
  </si>
  <si>
    <t>03341971475</t>
  </si>
  <si>
    <t>UENDEL CAIO RODRIGUES SILVA</t>
  </si>
  <si>
    <t>TR507844</t>
  </si>
  <si>
    <t>06796978455</t>
  </si>
  <si>
    <t>HENRIQUE BRUNO SIQUEIRA</t>
  </si>
  <si>
    <t>TR609457</t>
  </si>
  <si>
    <t>09189956478</t>
  </si>
  <si>
    <t>WILLAM BATISTA DE ARAUJO JUNIOR</t>
  </si>
  <si>
    <t>TR669175</t>
  </si>
  <si>
    <t>06757412462</t>
  </si>
  <si>
    <t>DAYVID DA SILVA BEZERRA</t>
  </si>
  <si>
    <t>TR632924</t>
  </si>
  <si>
    <t>01085253414</t>
  </si>
  <si>
    <t>THIAGO TEIXEIRA DA SILVA</t>
  </si>
  <si>
    <t>TR594278</t>
  </si>
  <si>
    <t>01320540430</t>
  </si>
  <si>
    <t>JULIANO DE MATOS</t>
  </si>
  <si>
    <t>TR681886</t>
  </si>
  <si>
    <t>05275224494</t>
  </si>
  <si>
    <t>RENATO DA CRUZ NUNES</t>
  </si>
  <si>
    <t>TR669174</t>
  </si>
  <si>
    <t>01814455302</t>
  </si>
  <si>
    <t>SAMUEL DAMASIO SOARES</t>
  </si>
  <si>
    <t>TR610965</t>
  </si>
  <si>
    <t>05373805408</t>
  </si>
  <si>
    <t>IVALDO GERALDO DA SILVA</t>
  </si>
  <si>
    <t>TR253961</t>
  </si>
  <si>
    <t>58342443434</t>
  </si>
  <si>
    <t>WESLEY MAGALHAES VIEIRA DE BRITO</t>
  </si>
  <si>
    <t>TR506271</t>
  </si>
  <si>
    <t>00869391496</t>
  </si>
  <si>
    <t>WELLINGTON ALMEIDA E SILVA</t>
  </si>
  <si>
    <t>TR257438</t>
  </si>
  <si>
    <t>45230307404</t>
  </si>
  <si>
    <t>ELIEL VIEIRA DE FRANCA</t>
  </si>
  <si>
    <t>TR610938</t>
  </si>
  <si>
    <t>98778960444</t>
  </si>
  <si>
    <t>ROMARIO PEREIRA LEITE</t>
  </si>
  <si>
    <t>TR368651</t>
  </si>
  <si>
    <t>07619818456</t>
  </si>
  <si>
    <t>ENNIO RICARDO DE AQUINO MORAES</t>
  </si>
  <si>
    <t>TR326886</t>
  </si>
  <si>
    <t>06803063402</t>
  </si>
  <si>
    <t>ADALBERTO DE ALMEIDA SILVA</t>
  </si>
  <si>
    <t>TR309200</t>
  </si>
  <si>
    <t>00772398496</t>
  </si>
  <si>
    <t>GILBERTO DE SANTANA COUTINHO</t>
  </si>
  <si>
    <t>TR257251</t>
  </si>
  <si>
    <t>35345551472</t>
  </si>
  <si>
    <t>VIONEY LOURENCO DOS SANTOS</t>
  </si>
  <si>
    <t>TR317366</t>
  </si>
  <si>
    <t>47144416472</t>
  </si>
  <si>
    <t>JOSE DOUGLAS ZEFERINO DOS SANTOS</t>
  </si>
  <si>
    <t>TR323190</t>
  </si>
  <si>
    <t>05449403429</t>
  </si>
  <si>
    <t>EDSON CORREIA SOUZA</t>
  </si>
  <si>
    <t>TR257252</t>
  </si>
  <si>
    <t>04139086408</t>
  </si>
  <si>
    <t>ADEILDO JOSE DE MOURA</t>
  </si>
  <si>
    <t>TR346448</t>
  </si>
  <si>
    <t>03171955490</t>
  </si>
  <si>
    <t>ANDERSON JOAQUIM DA SILVA</t>
  </si>
  <si>
    <t>TR338877</t>
  </si>
  <si>
    <t>ADSLDG, ADSLINST, ADSLMUD, ADSLREP, ADSLRET, ADSLSRV, CRFE, CRTRCX, LACB, LAINST, LAMUD, LAREP, LARET, LASRV, PREVCX, TPREP, VAINST</t>
  </si>
  <si>
    <t>05882886406</t>
  </si>
  <si>
    <t>JOSELITO SANTOS DE OLIVEIRA</t>
  </si>
  <si>
    <t>TR254017</t>
  </si>
  <si>
    <t>28971906472</t>
  </si>
  <si>
    <t>TERCIO SEVERINO DE SOUZA</t>
  </si>
  <si>
    <t>TR304740</t>
  </si>
  <si>
    <t>05565330467</t>
  </si>
  <si>
    <t>WALMIR LOPES TAVARES</t>
  </si>
  <si>
    <t>TC051169</t>
  </si>
  <si>
    <t>62003321420</t>
  </si>
  <si>
    <t>MIKAEL ALBUQUERQUE DOS SANTOS</t>
  </si>
  <si>
    <t>TR544471</t>
  </si>
  <si>
    <t>10054547440</t>
  </si>
  <si>
    <t>JEYMESON CLEITON DOS SANTOS</t>
  </si>
  <si>
    <t>TR572074</t>
  </si>
  <si>
    <t>03174120438</t>
  </si>
  <si>
    <t>FAGNER TENORIO DA SILVA SANTOS</t>
  </si>
  <si>
    <t>TR411499</t>
  </si>
  <si>
    <t>04076207459</t>
  </si>
  <si>
    <t>CARLOS ALBERTO DE OLIVEIRA LIMA</t>
  </si>
  <si>
    <t>TR311865</t>
  </si>
  <si>
    <t>48580295300</t>
  </si>
  <si>
    <t>VALDEMIR DE OLIVEIRA SANTOS</t>
  </si>
  <si>
    <t>TR253036</t>
  </si>
  <si>
    <t>23566639591</t>
  </si>
  <si>
    <t>MICHELANGELO NOGUEIRA DO NASCIMENTO</t>
  </si>
  <si>
    <t>TR577476</t>
  </si>
  <si>
    <t>62922262391</t>
  </si>
  <si>
    <t>JOSE CLAUDIO DAS SANTOS</t>
  </si>
  <si>
    <t>TR400478</t>
  </si>
  <si>
    <t>47866527334</t>
  </si>
  <si>
    <t>FERNANDO ANTONIO NERIS DE LIMA</t>
  </si>
  <si>
    <t>TR360147</t>
  </si>
  <si>
    <t>45670153391</t>
  </si>
  <si>
    <t>OCELI COSTA DE SOUZA</t>
  </si>
  <si>
    <t>TR252862</t>
  </si>
  <si>
    <t>50614479304</t>
  </si>
  <si>
    <t>TOME FERREIRA CAVALCANTE</t>
  </si>
  <si>
    <t>TR253032</t>
  </si>
  <si>
    <t>30016126300</t>
  </si>
  <si>
    <t>JORGE MARCELO DE SOUZA</t>
  </si>
  <si>
    <t>TR306352</t>
  </si>
  <si>
    <t>60605448191</t>
  </si>
  <si>
    <t>JOSE ODANOS BESERRA</t>
  </si>
  <si>
    <t>TR258890</t>
  </si>
  <si>
    <t>04618288477</t>
  </si>
  <si>
    <t>VALDARNO ALVES DE SOUSA BRAUNA</t>
  </si>
  <si>
    <t>TR686727</t>
  </si>
  <si>
    <t>02861337338</t>
  </si>
  <si>
    <t>FERNANDO APARECIDO GOMES DE MORAES</t>
  </si>
  <si>
    <t>TR688875</t>
  </si>
  <si>
    <t>04770225377</t>
  </si>
  <si>
    <t>JONAS MENEZES DINIZ</t>
  </si>
  <si>
    <t>TR386939</t>
  </si>
  <si>
    <t>06851861488</t>
  </si>
  <si>
    <t>FABIO JULIO VICENTE DA SILVA</t>
  </si>
  <si>
    <t>TR467273</t>
  </si>
  <si>
    <t>05165048438</t>
  </si>
  <si>
    <t>VAGNER DA SILVA BARROS</t>
  </si>
  <si>
    <t>TR612332</t>
  </si>
  <si>
    <t>09928661464</t>
  </si>
  <si>
    <t>ALEXANDRE VICTOR LIMEIRA SOARES</t>
  </si>
  <si>
    <t>TR622550</t>
  </si>
  <si>
    <t>04461970418</t>
  </si>
  <si>
    <t>JOSE LEONILSON DO NASCIMENTO ARAUJO</t>
  </si>
  <si>
    <t>TR657155</t>
  </si>
  <si>
    <t>60018250335</t>
  </si>
  <si>
    <t>ELINO ALVES COUTO</t>
  </si>
  <si>
    <t>TR318117</t>
  </si>
  <si>
    <t>03577632461</t>
  </si>
  <si>
    <t>LUIZ HENRIQUE DE LIRA</t>
  </si>
  <si>
    <t>TR610957</t>
  </si>
  <si>
    <t>10578839482</t>
  </si>
  <si>
    <t>DANILO FELIPE DE SOUZA</t>
  </si>
  <si>
    <t>TR527011</t>
  </si>
  <si>
    <t>10680325450</t>
  </si>
  <si>
    <t>JONE ANTONIO DE ASSIS MEDEIROS</t>
  </si>
  <si>
    <t>TR357840</t>
  </si>
  <si>
    <t>09839105450</t>
  </si>
  <si>
    <t>DAYVSON TAVARES COIMBRA</t>
  </si>
  <si>
    <t>TR575676</t>
  </si>
  <si>
    <t>07537861412</t>
  </si>
  <si>
    <t>RUBEM ALVES DE ALBUQUERQUE JUNIOR</t>
  </si>
  <si>
    <t>TR641069</t>
  </si>
  <si>
    <t>89251709491</t>
  </si>
  <si>
    <t>LEONARDO DE SOUZA OLIVEIRA</t>
  </si>
  <si>
    <t>TR657162</t>
  </si>
  <si>
    <t>01432007475</t>
  </si>
  <si>
    <t>ALDEMIR PEREIRA JACINTO</t>
  </si>
  <si>
    <t>TR484196</t>
  </si>
  <si>
    <t>00788316443</t>
  </si>
  <si>
    <t>JOAO BATISTA SILVA</t>
  </si>
  <si>
    <t>TR252781</t>
  </si>
  <si>
    <t>50081713304</t>
  </si>
  <si>
    <t>CARLOS ALBERTO DOS SANTOS DUARTE</t>
  </si>
  <si>
    <t>TR400453</t>
  </si>
  <si>
    <t>00426285395</t>
  </si>
  <si>
    <t>ANTONIO MARCOS PEREIRA</t>
  </si>
  <si>
    <t>TR343626</t>
  </si>
  <si>
    <t>04540500465</t>
  </si>
  <si>
    <t>GIORDANE DE ALENCAR FIGUEIREDO</t>
  </si>
  <si>
    <t>TR258819</t>
  </si>
  <si>
    <t>93041942453</t>
  </si>
  <si>
    <t>ORLANDO CANDIDO DA SILVA</t>
  </si>
  <si>
    <t>TR308917</t>
  </si>
  <si>
    <t>03018906411</t>
  </si>
  <si>
    <t>PETRUCIO WILLIAN GOMES</t>
  </si>
  <si>
    <t>TR610208</t>
  </si>
  <si>
    <t>06734757439</t>
  </si>
  <si>
    <t>ALDEMIR FRANCISCO ALVES</t>
  </si>
  <si>
    <t>TR343654</t>
  </si>
  <si>
    <t>03099781495</t>
  </si>
  <si>
    <t>WAGNER DIAS DE ALMEIDA</t>
  </si>
  <si>
    <t>TR575704</t>
  </si>
  <si>
    <t>03077073420</t>
  </si>
  <si>
    <t>ADRIANO FLORENCIO PAIVA SILVA</t>
  </si>
  <si>
    <t>TR641062</t>
  </si>
  <si>
    <t>08188864471</t>
  </si>
  <si>
    <t>ANDRE LUIZ SANTOS</t>
  </si>
  <si>
    <t>TR253592</t>
  </si>
  <si>
    <t>83590765453</t>
  </si>
  <si>
    <t>IGOR RIBEIRO COSTA</t>
  </si>
  <si>
    <t>TR603694</t>
  </si>
  <si>
    <t>09887528404</t>
  </si>
  <si>
    <t>CARLOS CESAR SENA DELMIRO</t>
  </si>
  <si>
    <t>TR252250</t>
  </si>
  <si>
    <t>44267282315</t>
  </si>
  <si>
    <t>JOSE WILLIAN RODRIGUES DAMASCENO</t>
  </si>
  <si>
    <t>ANTONIO ERINEUDES CAVALCANTE FEIJAO</t>
  </si>
  <si>
    <t>TR578451</t>
  </si>
  <si>
    <t>02863233386</t>
  </si>
  <si>
    <t>WASHINGTON BARBOSA CORREIA</t>
  </si>
  <si>
    <t>TR360380</t>
  </si>
  <si>
    <t>03591555371</t>
  </si>
  <si>
    <t>EVALDO PEREIRA DUTRA</t>
  </si>
  <si>
    <t>TR367248</t>
  </si>
  <si>
    <t>78999120325</t>
  </si>
  <si>
    <t>FRANCISCO VANDERLEI DA SILVA</t>
  </si>
  <si>
    <t>TR610426</t>
  </si>
  <si>
    <t>99244160234</t>
  </si>
  <si>
    <t>IRAN JUNIOR VIANA MARTINS</t>
  </si>
  <si>
    <t>TR252707</t>
  </si>
  <si>
    <t>43464815315</t>
  </si>
  <si>
    <t>FRANCISCO MAURO MOREIRA MELO</t>
  </si>
  <si>
    <t>TR252318</t>
  </si>
  <si>
    <t>86588842368</t>
  </si>
  <si>
    <t>FRANCISCO ALEXSANDRO HELCIAS</t>
  </si>
  <si>
    <t>TR252281</t>
  </si>
  <si>
    <t>69944385387</t>
  </si>
  <si>
    <t>FRANCISCO DIEGO ALVES OLIVEIRA</t>
  </si>
  <si>
    <t>TR267580</t>
  </si>
  <si>
    <t>00900905352</t>
  </si>
  <si>
    <t>TR258528</t>
  </si>
  <si>
    <t>00002889340</t>
  </si>
  <si>
    <t>RAFAEL GALDINO DE ALMEIDA</t>
  </si>
  <si>
    <t>TR638495</t>
  </si>
  <si>
    <t>10365015407</t>
  </si>
  <si>
    <t>COSME JOSE DE SANTANA JUNIOR</t>
  </si>
  <si>
    <t>TR609454</t>
  </si>
  <si>
    <t>06215999482</t>
  </si>
  <si>
    <t>DHIEGO FELIPE MENDES DE ALMEIDA</t>
  </si>
  <si>
    <t>TR590105</t>
  </si>
  <si>
    <t>07405191401</t>
  </si>
  <si>
    <t>JOARLYSON MANOEL DE SANTANA</t>
  </si>
  <si>
    <t>TR355894</t>
  </si>
  <si>
    <t>08571270473</t>
  </si>
  <si>
    <t>LUIZ ALBERTO LIMA MAGALHAES</t>
  </si>
  <si>
    <t>TR610956</t>
  </si>
  <si>
    <t>08032975489</t>
  </si>
  <si>
    <t>ITALO ALENCAR SOARES SILVA</t>
  </si>
  <si>
    <t>TR544407</t>
  </si>
  <si>
    <t>05550625466</t>
  </si>
  <si>
    <t>EDUARDO JOSE LOPES DA SILVA</t>
  </si>
  <si>
    <t>TR680162</t>
  </si>
  <si>
    <t>07102716460</t>
  </si>
  <si>
    <t>GILSON BASILIO RODRIGUES DO NASCIMENTO</t>
  </si>
  <si>
    <t>TR317392</t>
  </si>
  <si>
    <t>83550011415</t>
  </si>
  <si>
    <t>MARCUS PIETRO CARDOSO</t>
  </si>
  <si>
    <t>TR571776</t>
  </si>
  <si>
    <t>08325284471</t>
  </si>
  <si>
    <t>DANILO JUSTINO MONTEIRO</t>
  </si>
  <si>
    <t>TR525947</t>
  </si>
  <si>
    <t>09913015448</t>
  </si>
  <si>
    <t>ELIONALDO MONTEIRO DE LIMA</t>
  </si>
  <si>
    <t>TR256598</t>
  </si>
  <si>
    <t>02770511424</t>
  </si>
  <si>
    <t>JOSENILDO DO NASCIMENTO BARBOSA</t>
  </si>
  <si>
    <t>TR556870</t>
  </si>
  <si>
    <t>05944799404</t>
  </si>
  <si>
    <t>IVANILDO DA SILVA</t>
  </si>
  <si>
    <t>TR256786</t>
  </si>
  <si>
    <t>75947021404</t>
  </si>
  <si>
    <t>JOALLES PEREIRA DA CUNHA</t>
  </si>
  <si>
    <t>TR680160</t>
  </si>
  <si>
    <t>01610142403</t>
  </si>
  <si>
    <t>DOMINGOS ALVES DO NASCIMENTO JUNIOR</t>
  </si>
  <si>
    <t>TR680148</t>
  </si>
  <si>
    <t>05082538454</t>
  </si>
  <si>
    <t>LINDOMAR CORREIA DE SOUZA</t>
  </si>
  <si>
    <t>TR518456</t>
  </si>
  <si>
    <t>04327747424</t>
  </si>
  <si>
    <t>RIVANDO CRUZ NUNES</t>
  </si>
  <si>
    <t>TR639220</t>
  </si>
  <si>
    <t>02755886374</t>
  </si>
  <si>
    <t>RANDSON JACYELLE SILVA DE LIMA</t>
  </si>
  <si>
    <t>TR567779</t>
  </si>
  <si>
    <t>05756940413</t>
  </si>
  <si>
    <t>ELIELTON SOUZA DA SILVA</t>
  </si>
  <si>
    <t>TR681455</t>
  </si>
  <si>
    <t>05387076403</t>
  </si>
  <si>
    <t>JEAN MARIO CABRAL DA SILVA</t>
  </si>
  <si>
    <t>TR256795</t>
  </si>
  <si>
    <t>03413103440</t>
  </si>
  <si>
    <t>ANDERSON AZEVEDO DA SILVA</t>
  </si>
  <si>
    <t>TR452002</t>
  </si>
  <si>
    <t>10788269437</t>
  </si>
  <si>
    <t>MARCELO DA SILVA BELO</t>
  </si>
  <si>
    <t>TR253670</t>
  </si>
  <si>
    <t>02996298489</t>
  </si>
  <si>
    <t>ADILSON DA SILVA FERREIRA</t>
  </si>
  <si>
    <t>TR317155</t>
  </si>
  <si>
    <t>99059878434</t>
  </si>
  <si>
    <t>JOSE GILMAR DA SILVA</t>
  </si>
  <si>
    <t>TR284231</t>
  </si>
  <si>
    <t>33254176472</t>
  </si>
  <si>
    <t>ANTONIO RIBEIRO DE CASTRO</t>
  </si>
  <si>
    <t>TR664331</t>
  </si>
  <si>
    <t>07067002443</t>
  </si>
  <si>
    <t>JOSE AIRTON BEZERRA DE ANDRADE</t>
  </si>
  <si>
    <t>TR256826</t>
  </si>
  <si>
    <t>66545978420</t>
  </si>
  <si>
    <t>ALOISIO BATISTA DA SILVA FILHO</t>
  </si>
  <si>
    <t>TR570640</t>
  </si>
  <si>
    <t>79664717487</t>
  </si>
  <si>
    <t>OSVALDO WELLINGTON DE SOUZA</t>
  </si>
  <si>
    <t>TR610176</t>
  </si>
  <si>
    <t>83399011415</t>
  </si>
  <si>
    <t>JUCIRIANO LOPES DA SILVA RAMOS</t>
  </si>
  <si>
    <t>TR663235</t>
  </si>
  <si>
    <t>08148662479</t>
  </si>
  <si>
    <t>FERNANDO JOSE OLIVEIRA DA SILVA</t>
  </si>
  <si>
    <t>TR663237</t>
  </si>
  <si>
    <t>08485144406</t>
  </si>
  <si>
    <t>CARLOS ROBERTO DA SILVA FILHO</t>
  </si>
  <si>
    <t>RESC PEDIDO DEMISS AVISO TRAB</t>
  </si>
  <si>
    <t>TR663239</t>
  </si>
  <si>
    <t>07881004401</t>
  </si>
  <si>
    <t>WALTER CARLOS DA SILVA</t>
  </si>
  <si>
    <t>TR663310</t>
  </si>
  <si>
    <t>02410489400</t>
  </si>
  <si>
    <t>FERNANDO PEREIRA DA SILVA</t>
  </si>
  <si>
    <t>TR610820</t>
  </si>
  <si>
    <t>09340957440</t>
  </si>
  <si>
    <t>DIOGENES FELIPE SILVA BRAGA</t>
  </si>
  <si>
    <t>TR492259</t>
  </si>
  <si>
    <t>09734586408</t>
  </si>
  <si>
    <t>TONY RAMOS DA SILVA</t>
  </si>
  <si>
    <t>TR254071</t>
  </si>
  <si>
    <t>03019716411</t>
  </si>
  <si>
    <t>TONY LUIS DE ARRUDA</t>
  </si>
  <si>
    <t>TC050625</t>
  </si>
  <si>
    <t>06884162414</t>
  </si>
  <si>
    <t>ALEXANDRE JOSE SANTOS CORREIA DE MELO</t>
  </si>
  <si>
    <t>TR680460</t>
  </si>
  <si>
    <t>04220800476</t>
  </si>
  <si>
    <t>JOEL ROMAO DE OLIVEIRA FILHO</t>
  </si>
  <si>
    <t>TR257119</t>
  </si>
  <si>
    <t>03006367413</t>
  </si>
  <si>
    <t>FELIPE SANTANA DE ARAUJO</t>
  </si>
  <si>
    <t>TR680465</t>
  </si>
  <si>
    <t>01369696400</t>
  </si>
  <si>
    <t>THIAGO HENRIQUE SILVA DE OLIVEIRA</t>
  </si>
  <si>
    <t>TR680472</t>
  </si>
  <si>
    <t>06630331443</t>
  </si>
  <si>
    <t>ABRAAO CORREIA DOS SANTOS</t>
  </si>
  <si>
    <t>TR663246</t>
  </si>
  <si>
    <t>05443161423</t>
  </si>
  <si>
    <t>JEFFERSON DA SILVA BELARMINO</t>
  </si>
  <si>
    <t>TR680468</t>
  </si>
  <si>
    <t>07015088410</t>
  </si>
  <si>
    <t>ALEXSANDRO DA COSTA PAIVA</t>
  </si>
  <si>
    <t>TR320218</t>
  </si>
  <si>
    <t>83030514404</t>
  </si>
  <si>
    <t>THIAGO FERREIRA DA SILVA</t>
  </si>
  <si>
    <t>TR520107</t>
  </si>
  <si>
    <t>09846777477</t>
  </si>
  <si>
    <t>ZEIBSON GOMES MAXIMO DA SILVA</t>
  </si>
  <si>
    <t>TR355904</t>
  </si>
  <si>
    <t>05574659409</t>
  </si>
  <si>
    <t>ADIJAIR BARBOSA DA SILVA</t>
  </si>
  <si>
    <t>TR336978</t>
  </si>
  <si>
    <t>46478000400</t>
  </si>
  <si>
    <t>IRAQUITAN MIGUEL DE LIMA</t>
  </si>
  <si>
    <t>TR610946</t>
  </si>
  <si>
    <t>49195220453</t>
  </si>
  <si>
    <t>EDUARDO HENRIQUE MATIAS</t>
  </si>
  <si>
    <t>TR253627</t>
  </si>
  <si>
    <t>76788180415</t>
  </si>
  <si>
    <t>ELIAS MORAIS DA SILVA</t>
  </si>
  <si>
    <t>TR259139</t>
  </si>
  <si>
    <t>70921040415</t>
  </si>
  <si>
    <t>KARLOS JOSE CAMPOS MOURELHE</t>
  </si>
  <si>
    <t>TR544418</t>
  </si>
  <si>
    <t>10009814442</t>
  </si>
  <si>
    <t>CLECIO MARTINS DA SILVA</t>
  </si>
  <si>
    <t>TR518956</t>
  </si>
  <si>
    <t>03317866489</t>
  </si>
  <si>
    <t>SEBASTIAO AMARO DA SILVA</t>
  </si>
  <si>
    <t>TR320794</t>
  </si>
  <si>
    <t>07106972444</t>
  </si>
  <si>
    <t>TADEU JOSE DA SILVA</t>
  </si>
  <si>
    <t>TR610967</t>
  </si>
  <si>
    <t>38838354472</t>
  </si>
  <si>
    <t>JEFFERSON CAETANO DA SILVA</t>
  </si>
  <si>
    <t>TR544413</t>
  </si>
  <si>
    <t>08381995426</t>
  </si>
  <si>
    <t>RONALDO BARCELOS dos SANTOS</t>
  </si>
  <si>
    <t>TR513270</t>
  </si>
  <si>
    <t>03371742458</t>
  </si>
  <si>
    <t>FRANCISCO CRISTIANO DANTAS</t>
  </si>
  <si>
    <t>TR256327</t>
  </si>
  <si>
    <t>02882700458</t>
  </si>
  <si>
    <t>EVALDO XAVIER DE SANTANA</t>
  </si>
  <si>
    <t>TR254371</t>
  </si>
  <si>
    <t>24385395420</t>
  </si>
  <si>
    <t>FILADELFO FIGUEIREDO SOBRINHO</t>
  </si>
  <si>
    <t>TR252655</t>
  </si>
  <si>
    <t>07148445353</t>
  </si>
  <si>
    <t>FRANCISCO CLEITON COSTA SOUZA</t>
  </si>
  <si>
    <t>TR252293</t>
  </si>
  <si>
    <t>73362824315</t>
  </si>
  <si>
    <t>GERALDO PINHEIRO DE SOUSA</t>
  </si>
  <si>
    <t>TR253725</t>
  </si>
  <si>
    <t>32150431491</t>
  </si>
  <si>
    <t>JOAO BATISTA DE SENA</t>
  </si>
  <si>
    <t>TR253976</t>
  </si>
  <si>
    <t>12913278434</t>
  </si>
  <si>
    <t>JAILTON ALVES RIBEIRO</t>
  </si>
  <si>
    <t>TR257444</t>
  </si>
  <si>
    <t>68702515415</t>
  </si>
  <si>
    <t>GERALDO RODRIGUES DE CARVALHO FILHO</t>
  </si>
  <si>
    <t>TR260902</t>
  </si>
  <si>
    <t>33282048491</t>
  </si>
  <si>
    <t>MARCIO CANDIDO DA SILVA</t>
  </si>
  <si>
    <t>TR253965</t>
  </si>
  <si>
    <t>03026471470</t>
  </si>
  <si>
    <t>OLIVIO APARECIDO BARBOSA CAMPOS</t>
  </si>
  <si>
    <t>TR253250</t>
  </si>
  <si>
    <t>03038889466</t>
  </si>
  <si>
    <t>FRANCINALDO ANDRADE CHAGAS</t>
  </si>
  <si>
    <t>TR257238</t>
  </si>
  <si>
    <t>83024450459</t>
  </si>
  <si>
    <t>CELSO AUGUSTO BARROSO CARVALHO</t>
  </si>
  <si>
    <t>CRISTIANO ADOLFO TORRES SAMPAIO</t>
  </si>
  <si>
    <t>TR252305</t>
  </si>
  <si>
    <t>GESTOR DE AREA FIBRA OTICA I</t>
  </si>
  <si>
    <t>00458626309</t>
  </si>
  <si>
    <t>CHARLES BARBOSA DE LIMA</t>
  </si>
  <si>
    <t>TR612288</t>
  </si>
  <si>
    <t>00650278330</t>
  </si>
  <si>
    <t>JOSE JAIRO MOURA VIANA</t>
  </si>
  <si>
    <t>TR252812</t>
  </si>
  <si>
    <t>72475161353</t>
  </si>
  <si>
    <t>WELLINGTON JOSE SILVA COSTA NASCIMENTO</t>
  </si>
  <si>
    <t>TR666530</t>
  </si>
  <si>
    <t>70318028492</t>
  </si>
  <si>
    <t>BRUNO LUIZ FONSECA DA SILVA</t>
  </si>
  <si>
    <t>TR657667</t>
  </si>
  <si>
    <t>06871419403</t>
  </si>
  <si>
    <t>WENDEL SEVERINO ANDRE</t>
  </si>
  <si>
    <t>TR622258</t>
  </si>
  <si>
    <t>06375706424</t>
  </si>
  <si>
    <t>DIEGO ARAUJO DE OLIVEIRA SANTOS</t>
  </si>
  <si>
    <t>TR610930</t>
  </si>
  <si>
    <t>08610052443</t>
  </si>
  <si>
    <t>JAILSON VENANCIO DA SILVA</t>
  </si>
  <si>
    <t>TR256818</t>
  </si>
  <si>
    <t>26743604453</t>
  </si>
  <si>
    <t>ALCIDES MANOEL DA SILVA JUNIOR</t>
  </si>
  <si>
    <t>TR310881</t>
  </si>
  <si>
    <t>02844143440</t>
  </si>
  <si>
    <t>VICTOR LUIZ DE FRANCA</t>
  </si>
  <si>
    <t>TR658624</t>
  </si>
  <si>
    <t>10779056450</t>
  </si>
  <si>
    <t>MARCELINO ROGERIO BARBOSA</t>
  </si>
  <si>
    <t>EDSON CARLOS BARBOSA JUNIOR</t>
  </si>
  <si>
    <t>TR343988</t>
  </si>
  <si>
    <t>69436401434</t>
  </si>
  <si>
    <t>ROBERTO INACIO SANTOS BEZERRA</t>
  </si>
  <si>
    <t>TR540127</t>
  </si>
  <si>
    <t>08696684478</t>
  </si>
  <si>
    <t>ADEGILSON PEREIRA DE LIMA</t>
  </si>
  <si>
    <t>TR557471</t>
  </si>
  <si>
    <t>03069356435</t>
  </si>
  <si>
    <t>ANDERSON SILVEIRA PEREIRA AMARANTE</t>
  </si>
  <si>
    <t>TR311732</t>
  </si>
  <si>
    <t>01102006327</t>
  </si>
  <si>
    <t>MARIO DONIZETE MACHADO DA SILVA</t>
  </si>
  <si>
    <t>TR534829</t>
  </si>
  <si>
    <t>07207138466</t>
  </si>
  <si>
    <t>EDSON COSTA BEZERRA</t>
  </si>
  <si>
    <t>TR253556</t>
  </si>
  <si>
    <t>PE.RCE.LES.06</t>
  </si>
  <si>
    <t>25311720840</t>
  </si>
  <si>
    <t>ANDRE FRANCISCO DE JESUS</t>
  </si>
  <si>
    <t>TR435183</t>
  </si>
  <si>
    <t>05436724418</t>
  </si>
  <si>
    <t>WAGNER DE OLIVEIRA MATOS</t>
  </si>
  <si>
    <t>TR610180</t>
  </si>
  <si>
    <t>06738376456</t>
  </si>
  <si>
    <t>HAROLDO MATIAS DA SILVA FILHO</t>
  </si>
  <si>
    <t>TR337252</t>
  </si>
  <si>
    <t>04215823404</t>
  </si>
  <si>
    <t>EDNALDO SOARES DA SILVA</t>
  </si>
  <si>
    <t>TR336959</t>
  </si>
  <si>
    <t>04642177418</t>
  </si>
  <si>
    <t>ANDERSON DE SALES SAMPAIO</t>
  </si>
  <si>
    <t>TR257019</t>
  </si>
  <si>
    <t>61474118372</t>
  </si>
  <si>
    <t>JORGE HENRIQUE LOPES DOS SANTOS</t>
  </si>
  <si>
    <t>TR310753</t>
  </si>
  <si>
    <t>99702932300</t>
  </si>
  <si>
    <t>LUIZ CRISTIANO RODRIGUES DOS SANTOS</t>
  </si>
  <si>
    <t>TR344569</t>
  </si>
  <si>
    <t>06456765439</t>
  </si>
  <si>
    <t>ANTONIO JUSTINO BARBOSA FILHO</t>
  </si>
  <si>
    <t>TR259699</t>
  </si>
  <si>
    <t>67059520406</t>
  </si>
  <si>
    <t>GEIBSON NASCIMENTO SOUZA</t>
  </si>
  <si>
    <t>TR377183</t>
  </si>
  <si>
    <t>04849044425</t>
  </si>
  <si>
    <t>FABIO WILLAMYS VIEIRA DA SILVA</t>
  </si>
  <si>
    <t>TR377268</t>
  </si>
  <si>
    <t>09525397483</t>
  </si>
  <si>
    <t>JOSE WICTOR PEREIRA DO NASCIMENTO</t>
  </si>
  <si>
    <t>TR631674</t>
  </si>
  <si>
    <t>06172675451</t>
  </si>
  <si>
    <t>SAMUEL SOARES DA SILVA</t>
  </si>
  <si>
    <t>TR540605</t>
  </si>
  <si>
    <t>04722822476</t>
  </si>
  <si>
    <t>JONATHA HENRY SILVA DE MELO</t>
  </si>
  <si>
    <t>TR544415</t>
  </si>
  <si>
    <t>10943936497</t>
  </si>
  <si>
    <t>THIAGO COSTA ROLIM</t>
  </si>
  <si>
    <t>TR527036</t>
  </si>
  <si>
    <t>07947699429</t>
  </si>
  <si>
    <t>ALCIONE TERTULIANO DA SILVA</t>
  </si>
  <si>
    <t>TR609451</t>
  </si>
  <si>
    <t>51446812472</t>
  </si>
  <si>
    <t>RAFAEL SOUZA NUNES DA SILVA</t>
  </si>
  <si>
    <t>TR623708</t>
  </si>
  <si>
    <t>07045643438</t>
  </si>
  <si>
    <t>RODRIGO AURELIO GOMES DE SOUZA</t>
  </si>
  <si>
    <t>TR335678</t>
  </si>
  <si>
    <t>09980251433</t>
  </si>
  <si>
    <t>RONALDO ALVES SOARES DA SILVA</t>
  </si>
  <si>
    <t>TR609460</t>
  </si>
  <si>
    <t>29785177866</t>
  </si>
  <si>
    <t>ARLINDO PEREIRA FORTES FILHO</t>
  </si>
  <si>
    <t>TR253599</t>
  </si>
  <si>
    <t>02533338494</t>
  </si>
  <si>
    <t>CARLOS ANDRE VIANA DOS SANTOS</t>
  </si>
  <si>
    <t>TR304527</t>
  </si>
  <si>
    <t>03230852451</t>
  </si>
  <si>
    <t>CICERO ACIOLE DO NASCIMENTO</t>
  </si>
  <si>
    <t>TR327506</t>
  </si>
  <si>
    <t>08701545400</t>
  </si>
  <si>
    <t>GLADSON ICARO OLIVEIRA DA SILVA</t>
  </si>
  <si>
    <t>TR681454</t>
  </si>
  <si>
    <t>05822635490</t>
  </si>
  <si>
    <t>GILVAN ALVES DA SILVA</t>
  </si>
  <si>
    <t>TR563513</t>
  </si>
  <si>
    <t>09372747475</t>
  </si>
  <si>
    <t>JORGE CAETANO DA SILVA</t>
  </si>
  <si>
    <t>TR362219</t>
  </si>
  <si>
    <t>10071307761</t>
  </si>
  <si>
    <t>VITOR PEREIRA DE ABREU</t>
  </si>
  <si>
    <t>TR681481</t>
  </si>
  <si>
    <t>03712932430</t>
  </si>
  <si>
    <t>WILSON LIMA DA SILVA FILHO</t>
  </si>
  <si>
    <t>TR610181</t>
  </si>
  <si>
    <t>10940726483</t>
  </si>
  <si>
    <t>MARCO JOSE DE LIMA</t>
  </si>
  <si>
    <t>TR384030</t>
  </si>
  <si>
    <t>85894990491</t>
  </si>
  <si>
    <t>ADILSON FERREIRA PONTES</t>
  </si>
  <si>
    <t>TR316888</t>
  </si>
  <si>
    <t>27420310491</t>
  </si>
  <si>
    <t>JUCIJONHSON COSTA SERRA</t>
  </si>
  <si>
    <t>TR328213</t>
  </si>
  <si>
    <t>03121298747</t>
  </si>
  <si>
    <t>JOSE WELTON DO CARMO</t>
  </si>
  <si>
    <t>TR400481</t>
  </si>
  <si>
    <t>68968469334</t>
  </si>
  <si>
    <t>RAUL SIMPLICIO BANDEIRA JUNIOR</t>
  </si>
  <si>
    <t>TC057278</t>
  </si>
  <si>
    <t>52065642491</t>
  </si>
  <si>
    <t>MURILO ROBERTO DE SOUZA FILHO</t>
  </si>
  <si>
    <t>TR253687</t>
  </si>
  <si>
    <t>19335873420</t>
  </si>
  <si>
    <t>DIEGO EVERSON DE LIMA</t>
  </si>
  <si>
    <t>TR641101</t>
  </si>
  <si>
    <t>06953992417</t>
  </si>
  <si>
    <t>EDMILSON VELOSO NUNES MACHADO</t>
  </si>
  <si>
    <t>TR330317</t>
  </si>
  <si>
    <t>02484632410</t>
  </si>
  <si>
    <t>ANDRE WAGNER EGIPEDES DE FRANCA</t>
  </si>
  <si>
    <t>TR657665</t>
  </si>
  <si>
    <t>05987744407</t>
  </si>
  <si>
    <t>REGINALDO FERNANDES CAMPOS</t>
  </si>
  <si>
    <t>TR256515</t>
  </si>
  <si>
    <t>12736860802</t>
  </si>
  <si>
    <t>WENDELL OLIVEIRA DANTAS</t>
  </si>
  <si>
    <t>TR661724</t>
  </si>
  <si>
    <t>01814466428</t>
  </si>
  <si>
    <t>SONERREGILSON DA SILVA MEDEIROS</t>
  </si>
  <si>
    <t>TR661593</t>
  </si>
  <si>
    <t>03397003431</t>
  </si>
  <si>
    <t>FRANSUELO MENEZES</t>
  </si>
  <si>
    <t>TR518927</t>
  </si>
  <si>
    <t>05193145493</t>
  </si>
  <si>
    <t>RICARDO TAVARES RODRIGUES</t>
  </si>
  <si>
    <t>TR331105</t>
  </si>
  <si>
    <t>06507502413</t>
  </si>
  <si>
    <t>ROGERIO COSTA DOS SANTOS</t>
  </si>
  <si>
    <t>TR575116</t>
  </si>
  <si>
    <t>83751009434</t>
  </si>
  <si>
    <t>ROBERIO FERREIRA DO NASCIMENTO</t>
  </si>
  <si>
    <t>TR382363</t>
  </si>
  <si>
    <t>92123767387</t>
  </si>
  <si>
    <t>FRANCISCO ELDER COSTA</t>
  </si>
  <si>
    <t>TR609521</t>
  </si>
  <si>
    <t>CE.CMO.CNO.02</t>
  </si>
  <si>
    <t>67194125315</t>
  </si>
  <si>
    <t>FABIO MONTEIRO DE SOUSA</t>
  </si>
  <si>
    <t>TR559419</t>
  </si>
  <si>
    <t>98486837391</t>
  </si>
  <si>
    <t>GUTEMBERG MONTEIRO ALVES</t>
  </si>
  <si>
    <t>TR563096</t>
  </si>
  <si>
    <t>01833141318</t>
  </si>
  <si>
    <t>GALILEU SALES AZEVEDO</t>
  </si>
  <si>
    <t>TR252325</t>
  </si>
  <si>
    <t>20833253387</t>
  </si>
  <si>
    <t>FRACISCO RENATO DE ALMEIDA LIMA</t>
  </si>
  <si>
    <t>TR314922</t>
  </si>
  <si>
    <t>46898131320</t>
  </si>
  <si>
    <t>LEONARDO HORACIO DA SILVA</t>
  </si>
  <si>
    <t>TR252122</t>
  </si>
  <si>
    <t>46580050349</t>
  </si>
  <si>
    <t>EDINALDO DA CRUZ AZEVEDO</t>
  </si>
  <si>
    <t>TC024791</t>
  </si>
  <si>
    <t>01279641509</t>
  </si>
  <si>
    <t>ALEXANDRE SANTOS SALDANHA</t>
  </si>
  <si>
    <t>TR605441</t>
  </si>
  <si>
    <t>03952700304</t>
  </si>
  <si>
    <t>JULIO CESAR CARVALHO ALVES</t>
  </si>
  <si>
    <t>TR533306</t>
  </si>
  <si>
    <t>01190667347</t>
  </si>
  <si>
    <t>JOSE ARTENIO SARAIVA TRAJANO</t>
  </si>
  <si>
    <t>TC051410</t>
  </si>
  <si>
    <t>98563416391</t>
  </si>
  <si>
    <t>JAMES JANUARIO PINTO</t>
  </si>
  <si>
    <t>TR663265</t>
  </si>
  <si>
    <t>65070089315</t>
  </si>
  <si>
    <t>ANTONIO RODRIGUES BRANDAO</t>
  </si>
  <si>
    <t>TC025459</t>
  </si>
  <si>
    <t>63300516315</t>
  </si>
  <si>
    <t>SEBASTIAO JOSE SARAIVA</t>
  </si>
  <si>
    <t>TR253022</t>
  </si>
  <si>
    <t>43383114368</t>
  </si>
  <si>
    <t>ALBERONE LOPES DE SOUSA</t>
  </si>
  <si>
    <t>TR252192</t>
  </si>
  <si>
    <t>54897114349</t>
  </si>
  <si>
    <t>MARCELO ARAUJO DE LIMA</t>
  </si>
  <si>
    <t>TR658607</t>
  </si>
  <si>
    <t>01381184340</t>
  </si>
  <si>
    <t>IVAN MOSAYEV SILVA LIMA</t>
  </si>
  <si>
    <t>TR522178</t>
  </si>
  <si>
    <t>03735111327</t>
  </si>
  <si>
    <t>MIGUEL DA SILVA MENDES</t>
  </si>
  <si>
    <t>TR328456</t>
  </si>
  <si>
    <t>72046791304</t>
  </si>
  <si>
    <t>LUAN OLIVEIRA BEZERRA PONTES</t>
  </si>
  <si>
    <t>TR577477</t>
  </si>
  <si>
    <t>02259884377</t>
  </si>
  <si>
    <t>ANTONIO MARCOS GUILHERMINO DA COSTA</t>
  </si>
  <si>
    <t>TR603796</t>
  </si>
  <si>
    <t>60403974380</t>
  </si>
  <si>
    <t>ANDRE ENIO FERNANDES DO NASCIMENTO</t>
  </si>
  <si>
    <t>TR252232</t>
  </si>
  <si>
    <t>89022025349</t>
  </si>
  <si>
    <t>RAIMUNDO NONATO RODRIGUES DA SILVA</t>
  </si>
  <si>
    <t>TR559458</t>
  </si>
  <si>
    <t>52536742334</t>
  </si>
  <si>
    <t>CLEUDIVAN PEIXOTO DOS SANTOS</t>
  </si>
  <si>
    <t>TR285889</t>
  </si>
  <si>
    <t>76840832368</t>
  </si>
  <si>
    <t>CESAR FERNANDES DE SOUZA</t>
  </si>
  <si>
    <t>TR522030</t>
  </si>
  <si>
    <t>75436370306</t>
  </si>
  <si>
    <t>ALAN SAVIO FURTADO DOS SANTOS</t>
  </si>
  <si>
    <t>TR311574</t>
  </si>
  <si>
    <t>03441516389</t>
  </si>
  <si>
    <t>JOAO JANDERSON NOGUEIRA DE LIMA</t>
  </si>
  <si>
    <t>TR663259</t>
  </si>
  <si>
    <t>03882672323</t>
  </si>
  <si>
    <t>MARCELO DE SOUSA FERREIRA</t>
  </si>
  <si>
    <t>TR663263</t>
  </si>
  <si>
    <t>01255163399</t>
  </si>
  <si>
    <t>FRANCISCO MARCOS QUEIROIS DE SOUSA</t>
  </si>
  <si>
    <t>TR577497</t>
  </si>
  <si>
    <t>00731267303</t>
  </si>
  <si>
    <t>LUCIANO PEDRO DA SILVA</t>
  </si>
  <si>
    <t>TR323105</t>
  </si>
  <si>
    <t>02530995443</t>
  </si>
  <si>
    <t>AURY BELARMINO DE PAIVA</t>
  </si>
  <si>
    <t>TR317168</t>
  </si>
  <si>
    <t>66147654420</t>
  </si>
  <si>
    <t>GILVANDES NOBREGA DE SOUSA</t>
  </si>
  <si>
    <t>TR284249</t>
  </si>
  <si>
    <t>87318776487</t>
  </si>
  <si>
    <t>JULIO CESAR DUARTE PEREIRA</t>
  </si>
  <si>
    <t>TC044653</t>
  </si>
  <si>
    <t>TEC REDES DSLAM</t>
  </si>
  <si>
    <t>04741545482</t>
  </si>
  <si>
    <t>ROBERVAL MARINHO DOS SANTOS</t>
  </si>
  <si>
    <t>TR316941</t>
  </si>
  <si>
    <t>02210566452</t>
  </si>
  <si>
    <t>DANIEL ROCHA COSTA</t>
  </si>
  <si>
    <t>TR436419</t>
  </si>
  <si>
    <t>85752797420</t>
  </si>
  <si>
    <t>EDSON LAURENTINO DA SILVA</t>
  </si>
  <si>
    <t>TR612321</t>
  </si>
  <si>
    <t>07652016401</t>
  </si>
  <si>
    <t>MAURO PEREIRA DA SILVA</t>
  </si>
  <si>
    <t>TR284156</t>
  </si>
  <si>
    <t>36457930468</t>
  </si>
  <si>
    <t>DAILSON ODILON GOMES SA</t>
  </si>
  <si>
    <t>TR612279</t>
  </si>
  <si>
    <t>05369094403</t>
  </si>
  <si>
    <t>FRANCISCO JACKSON FERREIRA MENEZES</t>
  </si>
  <si>
    <t>TR252670</t>
  </si>
  <si>
    <t>61821080378</t>
  </si>
  <si>
    <t>FRANCISCO SILVA DE SOUSA JUNIOR</t>
  </si>
  <si>
    <t>TR554813</t>
  </si>
  <si>
    <t>01049297318</t>
  </si>
  <si>
    <t>ALEXANDRE LIMA MESQUITA</t>
  </si>
  <si>
    <t>TR357071</t>
  </si>
  <si>
    <t>62488953334</t>
  </si>
  <si>
    <t>MANOEL BATISTA DO NASCIMENTO NETO</t>
  </si>
  <si>
    <t>TR666198</t>
  </si>
  <si>
    <t>06080950448</t>
  </si>
  <si>
    <t>MARINALDO DE SOUZA SANTOS</t>
  </si>
  <si>
    <t>TR535801</t>
  </si>
  <si>
    <t>01267148438</t>
  </si>
  <si>
    <t>JOSE MIGUEL DE LIMA NETO</t>
  </si>
  <si>
    <t>TR589294</t>
  </si>
  <si>
    <t>07365469447</t>
  </si>
  <si>
    <t>WILDIVAN FERNANDES DA SILVA FILHO</t>
  </si>
  <si>
    <t>TR666223</t>
  </si>
  <si>
    <t>07808354414</t>
  </si>
  <si>
    <t>ARTUR FELIX DE CARVALHO JUNIOR</t>
  </si>
  <si>
    <t>TR256218</t>
  </si>
  <si>
    <t>03623407496</t>
  </si>
  <si>
    <t>JUCIELIO NESTOR DA SILVA</t>
  </si>
  <si>
    <t>TR284263</t>
  </si>
  <si>
    <t>04486452461</t>
  </si>
  <si>
    <t>EDI TARGINO DO NASCIMENTO</t>
  </si>
  <si>
    <t>TR256563</t>
  </si>
  <si>
    <t>02431830462</t>
  </si>
  <si>
    <t>ALESSANDRO PONTES FERREIRA</t>
  </si>
  <si>
    <t>RAFAEL FERNANDES MATIAS</t>
  </si>
  <si>
    <t>TR612309</t>
  </si>
  <si>
    <t>84055090463</t>
  </si>
  <si>
    <t>GIOVANE LUTERIO DA SILVA</t>
  </si>
  <si>
    <t>TR256771</t>
  </si>
  <si>
    <t>87302268487</t>
  </si>
  <si>
    <t>FRANCO MAXIMO DOS SANTOS CIRILO</t>
  </si>
  <si>
    <t>TR317208</t>
  </si>
  <si>
    <t>02007906414</t>
  </si>
  <si>
    <t>ROMULO GOMES</t>
  </si>
  <si>
    <t>TR312627</t>
  </si>
  <si>
    <t>07691268475</t>
  </si>
  <si>
    <t>SILVANIO PEREIRA DO NASCIMENTO</t>
  </si>
  <si>
    <t>TR666204</t>
  </si>
  <si>
    <t>04049642492</t>
  </si>
  <si>
    <t>JOSE PAULO DO NASCIMENTO BARBOSA</t>
  </si>
  <si>
    <t>TR302731</t>
  </si>
  <si>
    <t>05106637457</t>
  </si>
  <si>
    <t>JOSE MARCELO SOARES DA SILVA</t>
  </si>
  <si>
    <t>TR277137</t>
  </si>
  <si>
    <t>81141998491</t>
  </si>
  <si>
    <t>ANDRE PEREIRA DE BARROS NETO</t>
  </si>
  <si>
    <t>TR256727</t>
  </si>
  <si>
    <t>72912529468</t>
  </si>
  <si>
    <t>LUCILIO DE CASTRO ARAUJO</t>
  </si>
  <si>
    <t>TR338866</t>
  </si>
  <si>
    <t>49371916400</t>
  </si>
  <si>
    <t>FERNANDO MOURA DA SILVA</t>
  </si>
  <si>
    <t>TR594611</t>
  </si>
  <si>
    <t>11586560417</t>
  </si>
  <si>
    <t>EDMILSON LUIZ DA SILVA</t>
  </si>
  <si>
    <t>TR644480</t>
  </si>
  <si>
    <t>02814148400</t>
  </si>
  <si>
    <t>WESKLE CARLOS CUNHA</t>
  </si>
  <si>
    <t>TR577985</t>
  </si>
  <si>
    <t>31836183895</t>
  </si>
  <si>
    <t>CLECIO ANTONIO MACIEL</t>
  </si>
  <si>
    <t>TR644478</t>
  </si>
  <si>
    <t>01206690488</t>
  </si>
  <si>
    <t>MARCIO JOSE DA SILVA BELO</t>
  </si>
  <si>
    <t>TR331830</t>
  </si>
  <si>
    <t>04569278400</t>
  </si>
  <si>
    <t>PAULO MIRANDA DA SILVA</t>
  </si>
  <si>
    <t>TR368249</t>
  </si>
  <si>
    <t>96247010400</t>
  </si>
  <si>
    <t>KLEITON JOSE DE HOLANDA FERREIRA</t>
  </si>
  <si>
    <t>TR431264</t>
  </si>
  <si>
    <t>05902922429</t>
  </si>
  <si>
    <t>TULIO BRASIL DA SILVA</t>
  </si>
  <si>
    <t>TR368652</t>
  </si>
  <si>
    <t>01394873441</t>
  </si>
  <si>
    <t>ELDENCLEITON SANTOS DA CONCEICAO</t>
  </si>
  <si>
    <t>TR513210</t>
  </si>
  <si>
    <t>09721166480</t>
  </si>
  <si>
    <t>MANUEL AARAO DA SILVA ESTEVAM</t>
  </si>
  <si>
    <t>TR641067</t>
  </si>
  <si>
    <t>03427486451</t>
  </si>
  <si>
    <t>SEVERINO SEVERO DA SILVA</t>
  </si>
  <si>
    <t>TR258716</t>
  </si>
  <si>
    <t>35586877449</t>
  </si>
  <si>
    <t>CICERO JAILSON DA SILVA</t>
  </si>
  <si>
    <t>TR332422</t>
  </si>
  <si>
    <t>02259268498</t>
  </si>
  <si>
    <t>LEONARDO SILVA DOS SANTOS</t>
  </si>
  <si>
    <t>TR373332</t>
  </si>
  <si>
    <t>10146426479</t>
  </si>
  <si>
    <t>MARCELINO JOAQUIM SOARES</t>
  </si>
  <si>
    <t>TR336054</t>
  </si>
  <si>
    <t>04422417479</t>
  </si>
  <si>
    <t>GUSTAVO MARTINS DE OLIVEIRA</t>
  </si>
  <si>
    <t>TR284205</t>
  </si>
  <si>
    <t>03424071471</t>
  </si>
  <si>
    <t>JOSE PERICLES DE SOUZA</t>
  </si>
  <si>
    <t>TR294226</t>
  </si>
  <si>
    <t>77449371472</t>
  </si>
  <si>
    <t>JOSE EDILSON CAITANO DA SILVA</t>
  </si>
  <si>
    <t>TR256695</t>
  </si>
  <si>
    <t>02816361411</t>
  </si>
  <si>
    <t>ALEXANDRE JOSE DE ARAUJO MOURA</t>
  </si>
  <si>
    <t>TR330327</t>
  </si>
  <si>
    <t>53066065472</t>
  </si>
  <si>
    <t>GEOVANIO MARCIO DE LIMA</t>
  </si>
  <si>
    <t>TR319804</t>
  </si>
  <si>
    <t>89581270400</t>
  </si>
  <si>
    <t>FRANCISCO AGUINALDO PAZ TEODOSIO</t>
  </si>
  <si>
    <t>TR603805</t>
  </si>
  <si>
    <t>98894048349</t>
  </si>
  <si>
    <t>MARCOS rANIErE MENEZES DA SILVA</t>
  </si>
  <si>
    <t>TR259346</t>
  </si>
  <si>
    <t>46898336304</t>
  </si>
  <si>
    <t>DIONIZIO IVAN DE LIMA</t>
  </si>
  <si>
    <t>TR314912</t>
  </si>
  <si>
    <t>27018244862</t>
  </si>
  <si>
    <t>FLAVIO EVANGELISTA LIMA</t>
  </si>
  <si>
    <t>TR610811</t>
  </si>
  <si>
    <t>02159648370</t>
  </si>
  <si>
    <t>HILLEN RANGEL DA SILVA JUSTINO</t>
  </si>
  <si>
    <t>TR575113</t>
  </si>
  <si>
    <t>10234634405</t>
  </si>
  <si>
    <t>AIRTON DO NASCIMENTO</t>
  </si>
  <si>
    <t>TR314111</t>
  </si>
  <si>
    <t>84731800382</t>
  </si>
  <si>
    <t>JOSE FERREIRA DE OLIVEIRA JUNIOR</t>
  </si>
  <si>
    <t>TR330288</t>
  </si>
  <si>
    <t>05586765454</t>
  </si>
  <si>
    <t>ALTEMIR JORGE DE SOUSA</t>
  </si>
  <si>
    <t>TR258570</t>
  </si>
  <si>
    <t>03629401422</t>
  </si>
  <si>
    <t>WELLINGTON BRONZEADO DE LIMA</t>
  </si>
  <si>
    <t>TR317289</t>
  </si>
  <si>
    <t>99230062472</t>
  </si>
  <si>
    <t>JOSIMAR DA SILVA RAIFF</t>
  </si>
  <si>
    <t>TR391762</t>
  </si>
  <si>
    <t>02862677485</t>
  </si>
  <si>
    <t>GUTENBERGUE MATEUS DE OLIVEIRA</t>
  </si>
  <si>
    <t>TR288892</t>
  </si>
  <si>
    <t>03765234419</t>
  </si>
  <si>
    <t>SERGIO DE FRANCA PAIVA</t>
  </si>
  <si>
    <t>TR257435</t>
  </si>
  <si>
    <t>04780624860</t>
  </si>
  <si>
    <t>LUIZ CARLOS LEITE DE MELO</t>
  </si>
  <si>
    <t>TR341782</t>
  </si>
  <si>
    <t>04878463465</t>
  </si>
  <si>
    <t>CARLOS EDUARDO GALVAO DA SILVA</t>
  </si>
  <si>
    <t>TR622002</t>
  </si>
  <si>
    <t>00839626460</t>
  </si>
  <si>
    <t>ABRAHAO BASILIO DA SILVA</t>
  </si>
  <si>
    <t>TR256197</t>
  </si>
  <si>
    <t>03372016416</t>
  </si>
  <si>
    <t>RONILSON CAMPELO DE PAULA</t>
  </si>
  <si>
    <t>TR567780</t>
  </si>
  <si>
    <t>00842503480</t>
  </si>
  <si>
    <t>ADILSON NASCIMENTO RUFINO</t>
  </si>
  <si>
    <t>TR610432</t>
  </si>
  <si>
    <t>08607071483</t>
  </si>
  <si>
    <t>RONALDO CANDIDO LOPES</t>
  </si>
  <si>
    <t>TR289754</t>
  </si>
  <si>
    <t>05753919448</t>
  </si>
  <si>
    <t>ESTEFANE WAGNE DA SILVA</t>
  </si>
  <si>
    <t>TR256280</t>
  </si>
  <si>
    <t>02349995437</t>
  </si>
  <si>
    <t>VALDIR SALES DE ARAUJO</t>
  </si>
  <si>
    <t>TR598486</t>
  </si>
  <si>
    <t>06435207836</t>
  </si>
  <si>
    <t>VALMIR ALEXANDRE DA SILVA</t>
  </si>
  <si>
    <t>TR632929</t>
  </si>
  <si>
    <t>83730699415</t>
  </si>
  <si>
    <t>NILTON DE LIMA FERREIRA</t>
  </si>
  <si>
    <t>TR330664</t>
  </si>
  <si>
    <t>00968524451</t>
  </si>
  <si>
    <t>CARLOS MAGNUS SILVA DOS SANTOS</t>
  </si>
  <si>
    <t>TR280555</t>
  </si>
  <si>
    <t>06411426414</t>
  </si>
  <si>
    <t>JOSE ROBERIO DE ANDRADE</t>
  </si>
  <si>
    <t>TR317307</t>
  </si>
  <si>
    <t>02571729470</t>
  </si>
  <si>
    <t>MARCOS VILENALDO GOMES</t>
  </si>
  <si>
    <t>TR258947</t>
  </si>
  <si>
    <t>55824587434</t>
  </si>
  <si>
    <t>ALISSON GONCALVES DA SILVA</t>
  </si>
  <si>
    <t>TR328360</t>
  </si>
  <si>
    <t>05013214467</t>
  </si>
  <si>
    <t>MARCO ANTONIO FERREIRA DA SILVA</t>
  </si>
  <si>
    <t>TR258942</t>
  </si>
  <si>
    <t>04100260423</t>
  </si>
  <si>
    <t>SEBASTIAO MARINHO</t>
  </si>
  <si>
    <t>TR290094</t>
  </si>
  <si>
    <t>26157942487</t>
  </si>
  <si>
    <t>BRUNO JOSE OLIVEIRA GOMES DOS SANTOS</t>
  </si>
  <si>
    <t>TR623594</t>
  </si>
  <si>
    <t>70222113456</t>
  </si>
  <si>
    <t>FRANCISCO EMANUEL PEREIRA</t>
  </si>
  <si>
    <t>TR623613</t>
  </si>
  <si>
    <t>75205114487</t>
  </si>
  <si>
    <t>CRFE, LAINST, LAMUD, LAREP, LARET, LASRV, VAINST</t>
  </si>
  <si>
    <t>LAERCIO SOUZA DA SILVA</t>
  </si>
  <si>
    <t>TR285216</t>
  </si>
  <si>
    <t>06803998444</t>
  </si>
  <si>
    <t>FRANCISCO DANILO DA SILVA PEREIRA</t>
  </si>
  <si>
    <t>TR256752</t>
  </si>
  <si>
    <t>05430643440</t>
  </si>
  <si>
    <t>PATRICIO MAYA SILVA XAVIER</t>
  </si>
  <si>
    <t>TR276808</t>
  </si>
  <si>
    <t>04078382444</t>
  </si>
  <si>
    <t>AURELIANO DA SILVA BARROS</t>
  </si>
  <si>
    <t>TR258608</t>
  </si>
  <si>
    <t>04865511482</t>
  </si>
  <si>
    <t>LAVOSIER ROCHA DA SILVA</t>
  </si>
  <si>
    <t>TR256699</t>
  </si>
  <si>
    <t>03266511441</t>
  </si>
  <si>
    <t>PAULO RODRIGO CARVALHO DO NASCIMENTO</t>
  </si>
  <si>
    <t>TR549988</t>
  </si>
  <si>
    <t>08595374473</t>
  </si>
  <si>
    <t>JARDEL CESAR DOS SANTOS JULIAO</t>
  </si>
  <si>
    <t>TR624794</t>
  </si>
  <si>
    <t>07435056464</t>
  </si>
  <si>
    <t>ALEXSANDRO MAGNO HONORIO RAMALHO</t>
  </si>
  <si>
    <t>TR636508</t>
  </si>
  <si>
    <t>01193291402</t>
  </si>
  <si>
    <t>THOMAS JOSE BRENO DA SILVA</t>
  </si>
  <si>
    <t>TR590429</t>
  </si>
  <si>
    <t>05179045436</t>
  </si>
  <si>
    <t>EVANDRO LUIZ DE VASCONCELOS</t>
  </si>
  <si>
    <t>TC005490</t>
  </si>
  <si>
    <t>70282536434</t>
  </si>
  <si>
    <t>ALYSON RAFAEL COSTA DA SILVA</t>
  </si>
  <si>
    <t>TR624174</t>
  </si>
  <si>
    <t>70469340452</t>
  </si>
  <si>
    <t>PEDRO PAULO RIBEIRO BARBOSA</t>
  </si>
  <si>
    <t>TC017173</t>
  </si>
  <si>
    <t>96868767404</t>
  </si>
  <si>
    <t>EDSON FERREIRA DA SILVA</t>
  </si>
  <si>
    <t>TR624788</t>
  </si>
  <si>
    <t>48014303415</t>
  </si>
  <si>
    <t>FILIPE CANDIDO EVANGELISTA DA SILVA</t>
  </si>
  <si>
    <t>TR644484</t>
  </si>
  <si>
    <t>09289442476</t>
  </si>
  <si>
    <t>ROGERIO GARRIDO DOS SANTOS</t>
  </si>
  <si>
    <t>TR259124</t>
  </si>
  <si>
    <t>03259313486</t>
  </si>
  <si>
    <t>ALEX FREITAS DOS SANTOS</t>
  </si>
  <si>
    <t>TR591852</t>
  </si>
  <si>
    <t>05993073403</t>
  </si>
  <si>
    <t>EDSON JOSE BATISTA DA SILVA</t>
  </si>
  <si>
    <t>TR624789</t>
  </si>
  <si>
    <t>07895215477</t>
  </si>
  <si>
    <t>MARCOS AURELIO RODRIGUES DE SOUZA</t>
  </si>
  <si>
    <t>TR625046</t>
  </si>
  <si>
    <t>03281129412</t>
  </si>
  <si>
    <t>NIVAILDO MARCOS AZEVEDO DA SILVA</t>
  </si>
  <si>
    <t>TR256705</t>
  </si>
  <si>
    <t>01970874422</t>
  </si>
  <si>
    <t>BRENO GUEDES DE SOUZA</t>
  </si>
  <si>
    <t>TR666182</t>
  </si>
  <si>
    <t>01605325406</t>
  </si>
  <si>
    <t>ALEX HENRIQUE SUZART DA SILVA</t>
  </si>
  <si>
    <t>TR588054</t>
  </si>
  <si>
    <t>11234715414</t>
  </si>
  <si>
    <t>TARCISIO CARLOS DO NASCIMENTO</t>
  </si>
  <si>
    <t>TR542747</t>
  </si>
  <si>
    <t>11518442412</t>
  </si>
  <si>
    <t>BRUNO CESAR DE SOUZA GOMES</t>
  </si>
  <si>
    <t>TR612344</t>
  </si>
  <si>
    <t>05614714448</t>
  </si>
  <si>
    <t>OSMAR BEZERRA DE SANTANA</t>
  </si>
  <si>
    <t>TR513265</t>
  </si>
  <si>
    <t>01010074423</t>
  </si>
  <si>
    <t>JETSON BASILIO SANTOS DA SILVA</t>
  </si>
  <si>
    <t>TR610948</t>
  </si>
  <si>
    <t>05339387402</t>
  </si>
  <si>
    <t>ANDERSON DA SILVA ALVES</t>
  </si>
  <si>
    <t>TR536456</t>
  </si>
  <si>
    <t>09056614436</t>
  </si>
  <si>
    <t>TARGINO VIEIRA DE ANDRADE</t>
  </si>
  <si>
    <t>TR615540</t>
  </si>
  <si>
    <t>06818893490</t>
  </si>
  <si>
    <t>EDYPU RAMON FERNANDES JUNQUEIRA</t>
  </si>
  <si>
    <t>TR574128</t>
  </si>
  <si>
    <t>09964674406</t>
  </si>
  <si>
    <t>FRANCINEIDE DA SILVA LIMA</t>
  </si>
  <si>
    <t>TC011148</t>
  </si>
  <si>
    <t>04561305432</t>
  </si>
  <si>
    <t>MARCONDES DANTAS LEITE DE SA</t>
  </si>
  <si>
    <t>TR284469</t>
  </si>
  <si>
    <t>47434236434</t>
  </si>
  <si>
    <t>RICARDO JORGE GONCALVES DE SOUSA</t>
  </si>
  <si>
    <t>TR260059</t>
  </si>
  <si>
    <t>03508055477</t>
  </si>
  <si>
    <t>JEOVANE SANTOS CAMINHA</t>
  </si>
  <si>
    <t>TR396787</t>
  </si>
  <si>
    <t>02487822317</t>
  </si>
  <si>
    <t>LUIZ FERREIRA NUNES FILHO</t>
  </si>
  <si>
    <t>TR663261</t>
  </si>
  <si>
    <t>87264935353</t>
  </si>
  <si>
    <t>FRANCISCO MARCELO BRAGA RODRIGUES</t>
  </si>
  <si>
    <t>TR257054</t>
  </si>
  <si>
    <t>54820588320</t>
  </si>
  <si>
    <t>CARLOS JEFFERSON DE LIMA MARTINS</t>
  </si>
  <si>
    <t>TR612292</t>
  </si>
  <si>
    <t>96957913368</t>
  </si>
  <si>
    <t>ANTONIO MARCOS ARAUJO RIBEIRO</t>
  </si>
  <si>
    <t>TR306184</t>
  </si>
  <si>
    <t>42682843387</t>
  </si>
  <si>
    <t>FRANCISCO ANTONIO CORREIA MEDEIROS</t>
  </si>
  <si>
    <t>TR344200</t>
  </si>
  <si>
    <t>46353550391</t>
  </si>
  <si>
    <t>ALUISIO VIEIRA CUSTODIO</t>
  </si>
  <si>
    <t>TR604427</t>
  </si>
  <si>
    <t>21420858300</t>
  </si>
  <si>
    <t>LYDMAR DA CRUZ ALVES</t>
  </si>
  <si>
    <t>TR559449</t>
  </si>
  <si>
    <t>05564221397</t>
  </si>
  <si>
    <t>ODILSON DA CRUZ FERREIRA</t>
  </si>
  <si>
    <t>TR572503</t>
  </si>
  <si>
    <t>68610777200</t>
  </si>
  <si>
    <t>FRANCISCO HERLANE BARRETO NUNES</t>
  </si>
  <si>
    <t>TR396777</t>
  </si>
  <si>
    <t>64476553320</t>
  </si>
  <si>
    <t>DIEGO REIS DE OLIVEIRA</t>
  </si>
  <si>
    <t>TR610156</t>
  </si>
  <si>
    <t>01379670470</t>
  </si>
  <si>
    <t>GENIVAL FRANCISCO DE ARAUJO</t>
  </si>
  <si>
    <t>TR311961</t>
  </si>
  <si>
    <t>51390450449</t>
  </si>
  <si>
    <t>EDVALDO RAMOS DA SILVA</t>
  </si>
  <si>
    <t>TR386931</t>
  </si>
  <si>
    <t>01835725481</t>
  </si>
  <si>
    <t>JOSIAS DA COSTA SILVA</t>
  </si>
  <si>
    <t>TR385957</t>
  </si>
  <si>
    <t>58329757404</t>
  </si>
  <si>
    <t>GUTEMBERG DA SILVA MENDES</t>
  </si>
  <si>
    <t>TR631673</t>
  </si>
  <si>
    <t>01372893407</t>
  </si>
  <si>
    <t>RODRIGO FRANCISCO DE SOUZA</t>
  </si>
  <si>
    <t>TR593940</t>
  </si>
  <si>
    <t>21749765870</t>
  </si>
  <si>
    <t>MANOEL OSORIO DA SILVA</t>
  </si>
  <si>
    <t>TR257233</t>
  </si>
  <si>
    <t>03017784428</t>
  </si>
  <si>
    <t>MACEIO DE OLIVEIRA DOMINGOS</t>
  </si>
  <si>
    <t>TR401707</t>
  </si>
  <si>
    <t>46204407368</t>
  </si>
  <si>
    <t>ALEXANDRO DE SOUZA VASCONCELOS</t>
  </si>
  <si>
    <t>TR548156</t>
  </si>
  <si>
    <t>05633536355</t>
  </si>
  <si>
    <t>FRANCISCO TELES GOMES MENEZES</t>
  </si>
  <si>
    <t>TR256814</t>
  </si>
  <si>
    <t>03093884497</t>
  </si>
  <si>
    <t>JANIO GOMES DE ARAUJO</t>
  </si>
  <si>
    <t>TR580225</t>
  </si>
  <si>
    <t>11448322413</t>
  </si>
  <si>
    <t>RANILSON RAMOS DE SOUZA</t>
  </si>
  <si>
    <t>TR317363</t>
  </si>
  <si>
    <t>43727190787</t>
  </si>
  <si>
    <t>SILAS FERNANDES BELEM</t>
  </si>
  <si>
    <t>TC049795</t>
  </si>
  <si>
    <t>03113525454</t>
  </si>
  <si>
    <t>WANDEMBERG DO CARMO ARAUJO</t>
  </si>
  <si>
    <t>TR641707</t>
  </si>
  <si>
    <t>07255557422</t>
  </si>
  <si>
    <t>NIANDERSON FERREIRA PINHEIRO</t>
  </si>
  <si>
    <t>TR333595</t>
  </si>
  <si>
    <t>10191112402</t>
  </si>
  <si>
    <t>ISMAR EVANGELISTA DOS SANTOS</t>
  </si>
  <si>
    <t>TR257226</t>
  </si>
  <si>
    <t>84431415491</t>
  </si>
  <si>
    <t>CELIO ROBERTO OLIVEIRA DA SILVA</t>
  </si>
  <si>
    <t>TR257241</t>
  </si>
  <si>
    <t>90868730491</t>
  </si>
  <si>
    <t>NIEDSON FERREIRA PINHEIRO</t>
  </si>
  <si>
    <t>TR364515</t>
  </si>
  <si>
    <t>11291178473</t>
  </si>
  <si>
    <t>FLAVIO ELY LOPES DA SILVA</t>
  </si>
  <si>
    <t>TR610942</t>
  </si>
  <si>
    <t>02869396490</t>
  </si>
  <si>
    <t>DIOGO ALEXANDRE GOMES CORREIA</t>
  </si>
  <si>
    <t>TR610823</t>
  </si>
  <si>
    <t>03684013404</t>
  </si>
  <si>
    <t>JEFFERSON MENDES DE ANDRADE</t>
  </si>
  <si>
    <t>TR646614</t>
  </si>
  <si>
    <t>09338521427</t>
  </si>
  <si>
    <t>JOSELINO VASCONCELOS DA COSTA</t>
  </si>
  <si>
    <t>TR366478</t>
  </si>
  <si>
    <t>01248883489</t>
  </si>
  <si>
    <t>MATEUS FERNANDO PACHECO DE LIMA</t>
  </si>
  <si>
    <t>TR615532</t>
  </si>
  <si>
    <t>12499861410</t>
  </si>
  <si>
    <t>JOBSON DE SOUZA AIRES</t>
  </si>
  <si>
    <t>TR364006</t>
  </si>
  <si>
    <t>05108348410</t>
  </si>
  <si>
    <t>ISRAEL GEYZON ARAUJO LEAO</t>
  </si>
  <si>
    <t>TR527042</t>
  </si>
  <si>
    <t>09015945470</t>
  </si>
  <si>
    <t>RANGEL FREITAS BARBOSA</t>
  </si>
  <si>
    <t>TR669173</t>
  </si>
  <si>
    <t>07463127419</t>
  </si>
  <si>
    <t>EUDIMAR BEZERRA DOS SANTOS</t>
  </si>
  <si>
    <t>TR337483</t>
  </si>
  <si>
    <t>00102510148</t>
  </si>
  <si>
    <t>WESCLEY ANDRE OLIVEIRA</t>
  </si>
  <si>
    <t>TR396896</t>
  </si>
  <si>
    <t>00788453351</t>
  </si>
  <si>
    <t>ANTONIO CARLOS BRIOSO DE OLIVEIRA</t>
  </si>
  <si>
    <t>TR314112</t>
  </si>
  <si>
    <t>64421767387</t>
  </si>
  <si>
    <t>FRANCISCO JUNIOR CARVALHO GOMES</t>
  </si>
  <si>
    <t>TR572497</t>
  </si>
  <si>
    <t>03433690367</t>
  </si>
  <si>
    <t>JAIRO ROCHA DOS SANTOS</t>
  </si>
  <si>
    <t>TR591873</t>
  </si>
  <si>
    <t>05683532345</t>
  </si>
  <si>
    <t>PEDRO DE ALENCAR MATOS FILHO</t>
  </si>
  <si>
    <t>TR577493</t>
  </si>
  <si>
    <t>83108327372</t>
  </si>
  <si>
    <t>JANIO MENDES FEITOSA</t>
  </si>
  <si>
    <t>TR591877</t>
  </si>
  <si>
    <t>78291984387</t>
  </si>
  <si>
    <t>GILMAR SOARES FERREIRA</t>
  </si>
  <si>
    <t>TR296661</t>
  </si>
  <si>
    <t>06191213433</t>
  </si>
  <si>
    <t>GIVANSELLE FERREIRA BATISTA</t>
  </si>
  <si>
    <t>TR258831</t>
  </si>
  <si>
    <t>03248168471</t>
  </si>
  <si>
    <t>ROBSON FERREIRA DA SILVA</t>
  </si>
  <si>
    <t>TR258967</t>
  </si>
  <si>
    <t>02969709481</t>
  </si>
  <si>
    <t>EDIVALDO JOSE DOS SANTOS</t>
  </si>
  <si>
    <t>TR330307</t>
  </si>
  <si>
    <t>03831586489</t>
  </si>
  <si>
    <t>CARLOS ANTONIO MICIANO DE SANTANA</t>
  </si>
  <si>
    <t>TR284163</t>
  </si>
  <si>
    <t>64310264468</t>
  </si>
  <si>
    <t>VANDARIN DA SILVA COSTA</t>
  </si>
  <si>
    <t>TR513213</t>
  </si>
  <si>
    <t>04635127400</t>
  </si>
  <si>
    <t>ELIAS JOSE DA SILVA</t>
  </si>
  <si>
    <t>TR256657</t>
  </si>
  <si>
    <t>14936148865</t>
  </si>
  <si>
    <t>JEFFERSON ANDRE ARAUJO DE SANTANA</t>
  </si>
  <si>
    <t>TR256667</t>
  </si>
  <si>
    <t>02665325438</t>
  </si>
  <si>
    <t>ANDESSON CAVALCANTE CALADO</t>
  </si>
  <si>
    <t>TR370500</t>
  </si>
  <si>
    <t>08819201429</t>
  </si>
  <si>
    <t>JOSIAS LEONCIO DA SILVA</t>
  </si>
  <si>
    <t>TR368642</t>
  </si>
  <si>
    <t>04250951421</t>
  </si>
  <si>
    <t>ERASMO CLAUDIO CAVALCANTI</t>
  </si>
  <si>
    <t>TR256742</t>
  </si>
  <si>
    <t>68804490420</t>
  </si>
  <si>
    <t>JOSE ROBERTO BANDEIRA DOS SANTOS</t>
  </si>
  <si>
    <t>TR360349</t>
  </si>
  <si>
    <t>03544733447</t>
  </si>
  <si>
    <t>RAFAEL SOUZA DO NASCIMENTO</t>
  </si>
  <si>
    <t>TR368252</t>
  </si>
  <si>
    <t>03296038507</t>
  </si>
  <si>
    <t>JANDIRA LEONCIO MARQUES</t>
  </si>
  <si>
    <t>TR257496</t>
  </si>
  <si>
    <t>00826816436</t>
  </si>
  <si>
    <t>ALEXSANDRO PEDRO GOMES DA SILVA</t>
  </si>
  <si>
    <t>LUIZ RICARDO LIMA DA SILVA</t>
  </si>
  <si>
    <t>TR555915</t>
  </si>
  <si>
    <t>08694799464</t>
  </si>
  <si>
    <t>ADEMIR SOARES CANTEL JUNIOR</t>
  </si>
  <si>
    <t>TR334832</t>
  </si>
  <si>
    <t>07122606414</t>
  </si>
  <si>
    <t>DAVID RODRIGUES DA SILVEIRA CORREA</t>
  </si>
  <si>
    <t>TR315821</t>
  </si>
  <si>
    <t>05671654424</t>
  </si>
  <si>
    <t>JEAN MARC DO NASCIMENTO</t>
  </si>
  <si>
    <t>TR544412</t>
  </si>
  <si>
    <t>06127772435</t>
  </si>
  <si>
    <t>JOSEVALDO DIONIZIO NOGUEIRA</t>
  </si>
  <si>
    <t>TR288005</t>
  </si>
  <si>
    <t>59489090425</t>
  </si>
  <si>
    <t>CLECIO AMARO DA SILVA</t>
  </si>
  <si>
    <t>TR319758</t>
  </si>
  <si>
    <t>76596125491</t>
  </si>
  <si>
    <t>IVSON NUNES PEREIRA</t>
  </si>
  <si>
    <t>TR284180</t>
  </si>
  <si>
    <t>97584290434</t>
  </si>
  <si>
    <t>JOSE UILA GOMES DA SILVA</t>
  </si>
  <si>
    <t>TC055785</t>
  </si>
  <si>
    <t>07130024410</t>
  </si>
  <si>
    <t>NILDIVAN LOPES DE SOUSA</t>
  </si>
  <si>
    <t>TR302867</t>
  </si>
  <si>
    <t>04876452431</t>
  </si>
  <si>
    <t>ALYSUANN DA SILVA BEZERRA</t>
  </si>
  <si>
    <t>TC056957</t>
  </si>
  <si>
    <t>03270088493</t>
  </si>
  <si>
    <t>ROBERVAL VERISSIMO XAVIER PINTO</t>
  </si>
  <si>
    <t>TR355902</t>
  </si>
  <si>
    <t>89283988434</t>
  </si>
  <si>
    <t>JOAS GOMES DOS SANTOS</t>
  </si>
  <si>
    <t>TR571189</t>
  </si>
  <si>
    <t>07263497476</t>
  </si>
  <si>
    <t>JOSE EDUARDO CORDEIRO DE SOUZA</t>
  </si>
  <si>
    <t>TR330882</t>
  </si>
  <si>
    <t>97897337391</t>
  </si>
  <si>
    <t>FRANCISCO CLAUDIO OLIVEIRA</t>
  </si>
  <si>
    <t>TR317237</t>
  </si>
  <si>
    <t>74067265387</t>
  </si>
  <si>
    <t>RAIMUNDO NONATO FERNANDES DA SILVA</t>
  </si>
  <si>
    <t>TR252871</t>
  </si>
  <si>
    <t>36989312300</t>
  </si>
  <si>
    <t>ANTONIO IRIS BEZERRA GONCALVES</t>
  </si>
  <si>
    <t>TR603804</t>
  </si>
  <si>
    <t>02261350392</t>
  </si>
  <si>
    <t>ANTONIO ANANIAS IRINEU FILHO</t>
  </si>
  <si>
    <t>TR572482</t>
  </si>
  <si>
    <t>41763361888</t>
  </si>
  <si>
    <t>ALMIR COSME DIAS</t>
  </si>
  <si>
    <t>TR253676</t>
  </si>
  <si>
    <t>76654761472</t>
  </si>
  <si>
    <t>FRANCISCO ASTRONILDO DOS SANTOS</t>
  </si>
  <si>
    <t>JOSE NILTON MENDES LIMA</t>
  </si>
  <si>
    <t>TR432780</t>
  </si>
  <si>
    <t>71780483368</t>
  </si>
  <si>
    <t>FELIPE ALVES XAVIER</t>
  </si>
  <si>
    <t>TR403767</t>
  </si>
  <si>
    <t>04285749394</t>
  </si>
  <si>
    <t>FAGNER MACIEL DE SOUSA</t>
  </si>
  <si>
    <t>TR432806</t>
  </si>
  <si>
    <t>63883031372</t>
  </si>
  <si>
    <t>GLEYDSON ANDRE MARTINS DA SILVA</t>
  </si>
  <si>
    <t>TR590157</t>
  </si>
  <si>
    <t>03560826365</t>
  </si>
  <si>
    <t>JADSON ARAUJO FERREIRA</t>
  </si>
  <si>
    <t>TR594255</t>
  </si>
  <si>
    <t>89320778353</t>
  </si>
  <si>
    <t>SILVIO SILVA PESSOA</t>
  </si>
  <si>
    <t>TR566732</t>
  </si>
  <si>
    <t>02362789322</t>
  </si>
  <si>
    <t>FRANCISCO DANIEL FERNANDES MONTEIRO</t>
  </si>
  <si>
    <t>TR570511</t>
  </si>
  <si>
    <t>02633441343</t>
  </si>
  <si>
    <t>RAFAEL MOURA DOS SANTOS</t>
  </si>
  <si>
    <t>TR515203</t>
  </si>
  <si>
    <t>02983846393</t>
  </si>
  <si>
    <t>FRANCISCO EDSON DE JESUS VIEIRA FILHO</t>
  </si>
  <si>
    <t>TR599831</t>
  </si>
  <si>
    <t>TEC DADOS I</t>
  </si>
  <si>
    <t>04274211363</t>
  </si>
  <si>
    <t>FRANCISCO MAURICELIO DE SOUSA LIMA</t>
  </si>
  <si>
    <t>ROGER DO NASCIMENTO SILVA</t>
  </si>
  <si>
    <t>TR622559</t>
  </si>
  <si>
    <t>86063600310</t>
  </si>
  <si>
    <t>ANDERSON LUIZ DE SOUZA</t>
  </si>
  <si>
    <t>RODRIGO ALBUQUERQUE DA SILVA</t>
  </si>
  <si>
    <t>TR639069</t>
  </si>
  <si>
    <t>06763984480</t>
  </si>
  <si>
    <t>ALEXANDRE BERTO DA SILVA</t>
  </si>
  <si>
    <t>TR590426</t>
  </si>
  <si>
    <t>04967641440</t>
  </si>
  <si>
    <t>JACINTO BEZERRA DE SOUSA LIMA</t>
  </si>
  <si>
    <t>DJAIR DE SOUSA BEZERRA</t>
  </si>
  <si>
    <t>TR577486</t>
  </si>
  <si>
    <t>01646734319</t>
  </si>
  <si>
    <t>GENILSON JOSE DA SILVA</t>
  </si>
  <si>
    <t>ALYSSON HENRIQUE FERREIRA DE LUCENA</t>
  </si>
  <si>
    <t>TR520101</t>
  </si>
  <si>
    <t>06129961405</t>
  </si>
  <si>
    <t>WASHINGTON RODRIGUES BEZERRA SILVA</t>
  </si>
  <si>
    <t>TR436729</t>
  </si>
  <si>
    <t>10211524476</t>
  </si>
  <si>
    <t>EDNALDO JOSE DA SILVA BOMFIM</t>
  </si>
  <si>
    <t>TR363938</t>
  </si>
  <si>
    <t>07660259423</t>
  </si>
  <si>
    <t>KLEYTON ROBERTO DA SILVA</t>
  </si>
  <si>
    <t>TR443585</t>
  </si>
  <si>
    <t>06941350466</t>
  </si>
  <si>
    <t>SEVERINO DANIEL DA SILVA</t>
  </si>
  <si>
    <t>TR425461</t>
  </si>
  <si>
    <t>58983082453</t>
  </si>
  <si>
    <t>EVERTON DE OLIVEIRA GOMES</t>
  </si>
  <si>
    <t>TR513993</t>
  </si>
  <si>
    <t>09295464400</t>
  </si>
  <si>
    <t>MARCONI OLIVEIRA DIAS</t>
  </si>
  <si>
    <t>TR284184</t>
  </si>
  <si>
    <t>66661960400</t>
  </si>
  <si>
    <t>CARLOS ANDRE DA SILVA</t>
  </si>
  <si>
    <t>TR520098</t>
  </si>
  <si>
    <t>02796418421</t>
  </si>
  <si>
    <t>ADRIANO FERREIRA DOS SANTOS</t>
  </si>
  <si>
    <t>TR258722</t>
  </si>
  <si>
    <t>02615898493</t>
  </si>
  <si>
    <t>PAULO JACINTO DA SILVA FILHO</t>
  </si>
  <si>
    <t>TR259253</t>
  </si>
  <si>
    <t>81645295400</t>
  </si>
  <si>
    <t>FRANCISCO JOSE GONCALVES RODRIGUES</t>
  </si>
  <si>
    <t>TC006746</t>
  </si>
  <si>
    <t>61595144315</t>
  </si>
  <si>
    <t>VALERIANO VICENTE DE OLIVEIRA</t>
  </si>
  <si>
    <t>TR252473</t>
  </si>
  <si>
    <t>31025668391</t>
  </si>
  <si>
    <t>EVANDRO BATISTA VIEIRA</t>
  </si>
  <si>
    <t>TR663271</t>
  </si>
  <si>
    <t>61346063320</t>
  </si>
  <si>
    <t>JOAO ABREU FILHO</t>
  </si>
  <si>
    <t>TR252713</t>
  </si>
  <si>
    <t>76125033368</t>
  </si>
  <si>
    <t>ALAN WAGNER MARTINS DA ROCHA</t>
  </si>
  <si>
    <t>TR657134</t>
  </si>
  <si>
    <t>04309512305</t>
  </si>
  <si>
    <t>JOACIR ALMEIDA DA SILVA</t>
  </si>
  <si>
    <t>TR257057</t>
  </si>
  <si>
    <t>67903495372</t>
  </si>
  <si>
    <t>FRANCISCO PEREIRA DE MORAES NETO</t>
  </si>
  <si>
    <t>TR316818</t>
  </si>
  <si>
    <t>13591002372</t>
  </si>
  <si>
    <t>FRANCISCO FABIO DA COSTA</t>
  </si>
  <si>
    <t>TR367075</t>
  </si>
  <si>
    <t>01727412389</t>
  </si>
  <si>
    <t>FRANCISCO LUCIANO SOARES DE SENA</t>
  </si>
  <si>
    <t>TR305191</t>
  </si>
  <si>
    <t>01699140383</t>
  </si>
  <si>
    <t>HERMINIO CESAR AMORIM NOGUEIRA</t>
  </si>
  <si>
    <t>TR319425</t>
  </si>
  <si>
    <t>82056145391</t>
  </si>
  <si>
    <t>RENE VIEIRA SANTOS</t>
  </si>
  <si>
    <t>TC015491</t>
  </si>
  <si>
    <t>92030491349</t>
  </si>
  <si>
    <t>RICARDO MEDEIROS DE SOUSA</t>
  </si>
  <si>
    <t>TR369703</t>
  </si>
  <si>
    <t>95207627368</t>
  </si>
  <si>
    <t>IRAMILSON SOARES BARROS</t>
  </si>
  <si>
    <t>TR252705</t>
  </si>
  <si>
    <t>13973189889</t>
  </si>
  <si>
    <t>ANTONIO FLAVIO DA COSTA</t>
  </si>
  <si>
    <t>TR374048</t>
  </si>
  <si>
    <t>03852941318</t>
  </si>
  <si>
    <t>ESTENIO BEZERRA DOS SANTOS</t>
  </si>
  <si>
    <t>TR252635</t>
  </si>
  <si>
    <t>13464387810</t>
  </si>
  <si>
    <t>ADALBERTO MANOEL</t>
  </si>
  <si>
    <t>TR252225</t>
  </si>
  <si>
    <t>26487966819</t>
  </si>
  <si>
    <t>JOSSOANDSON KIRTON LOPES DE OLIVEIRA</t>
  </si>
  <si>
    <t>TR252354</t>
  </si>
  <si>
    <t>CE.JNE.JNE.FTTH</t>
  </si>
  <si>
    <t>76677753387</t>
  </si>
  <si>
    <t>FRANCISCO REGINALDO SOBREIRA DE MELO</t>
  </si>
  <si>
    <t>TR252321</t>
  </si>
  <si>
    <t>34668128368</t>
  </si>
  <si>
    <t>CLAUDIO BEZERRA SILVA</t>
  </si>
  <si>
    <t>TR252259</t>
  </si>
  <si>
    <t>62928295372</t>
  </si>
  <si>
    <t>ANTONIO ALMEDES FONTELES FILHO</t>
  </si>
  <si>
    <t>TC055427</t>
  </si>
  <si>
    <t>35745908300</t>
  </si>
  <si>
    <t>ANTONIO BEZERRA</t>
  </si>
  <si>
    <t>TR610427</t>
  </si>
  <si>
    <t>01089207395</t>
  </si>
  <si>
    <t>ROBERTO NOGUEIRA DA PAZ FILHO</t>
  </si>
  <si>
    <t>TR575294</t>
  </si>
  <si>
    <t>02139638336</t>
  </si>
  <si>
    <t>VLADIMIR LENIN ARAUJO VIANA</t>
  </si>
  <si>
    <t>TR252104</t>
  </si>
  <si>
    <t>71162836334</t>
  </si>
  <si>
    <t>JOSE ADAILSON FERREIRA DE MOURA</t>
  </si>
  <si>
    <t>TR264089</t>
  </si>
  <si>
    <t>91701244349</t>
  </si>
  <si>
    <t>JOSE DE FREITAS SOUSA JUNIOR</t>
  </si>
  <si>
    <t>TR252803</t>
  </si>
  <si>
    <t>30298911353</t>
  </si>
  <si>
    <t>JOSE MARDONIO MARIANO DA SILVA</t>
  </si>
  <si>
    <t>TR284538</t>
  </si>
  <si>
    <t>01632995360</t>
  </si>
  <si>
    <t>EDENN FERNANDO DE BRITO ARAUJO CESAR</t>
  </si>
  <si>
    <t>CARLOS REIS GONZAGA</t>
  </si>
  <si>
    <t>TR253624</t>
  </si>
  <si>
    <t>PE.RCE.OES.06</t>
  </si>
  <si>
    <t>98792040420</t>
  </si>
  <si>
    <t>LUCIO WILLY DOS SANTOS SILVA</t>
  </si>
  <si>
    <t>TR610955</t>
  </si>
  <si>
    <t>70235681407</t>
  </si>
  <si>
    <t>JOSE CARLOS DO ROSARIO</t>
  </si>
  <si>
    <t>TC004595</t>
  </si>
  <si>
    <t>41550935453</t>
  </si>
  <si>
    <t>GIVANILDO APIO DE MEIRELES LIMA</t>
  </si>
  <si>
    <t>TR612342</t>
  </si>
  <si>
    <t>74288148472</t>
  </si>
  <si>
    <t>PEDRO CRISTIANO DE SOUSA FERREIRA</t>
  </si>
  <si>
    <t>TR335145</t>
  </si>
  <si>
    <t>03437547380</t>
  </si>
  <si>
    <t>ANTONIO MARCOS RIBEIRO NASCIMENTO</t>
  </si>
  <si>
    <t>TR400452</t>
  </si>
  <si>
    <t>01244164380</t>
  </si>
  <si>
    <t>ANTONIO FRANCISCO INACIO LUZ</t>
  </si>
  <si>
    <t>TR327137</t>
  </si>
  <si>
    <t>00327783338</t>
  </si>
  <si>
    <t>RICARDO DE LIMA ALENCAR</t>
  </si>
  <si>
    <t>TR634560</t>
  </si>
  <si>
    <t>21883634857</t>
  </si>
  <si>
    <t>RONDY NEY AGUIAR CHAVES</t>
  </si>
  <si>
    <t>TR285407</t>
  </si>
  <si>
    <t>04268745360</t>
  </si>
  <si>
    <t>JOSE JARBAS RIBEIRO</t>
  </si>
  <si>
    <t>TR252813</t>
  </si>
  <si>
    <t>80991009304</t>
  </si>
  <si>
    <t>MARCIO RANIELE DE ARAUJO SILVA</t>
  </si>
  <si>
    <t>TR323426</t>
  </si>
  <si>
    <t>01491597305</t>
  </si>
  <si>
    <t>COSME REBOUCAS DE SOUSA</t>
  </si>
  <si>
    <t>TR252615</t>
  </si>
  <si>
    <t>69245371387</t>
  </si>
  <si>
    <t>CRISTIANO ALEXANDRE DE SOUZA</t>
  </si>
  <si>
    <t>TR362475</t>
  </si>
  <si>
    <t>01604282460</t>
  </si>
  <si>
    <t>MARCOS UMBELINO DA SILVA</t>
  </si>
  <si>
    <t>TR565319</t>
  </si>
  <si>
    <t>31993609806</t>
  </si>
  <si>
    <t>EDEMILSON DE AZEVEDO NEVES</t>
  </si>
  <si>
    <t>TR257121</t>
  </si>
  <si>
    <t>04024224492</t>
  </si>
  <si>
    <t>ELIZEU LUIZ DE MOURA</t>
  </si>
  <si>
    <t>TR343598</t>
  </si>
  <si>
    <t>00786196459</t>
  </si>
  <si>
    <t>FRANCISCO FREDERICO MAGALHAES DE ARAUJO</t>
  </si>
  <si>
    <t>TR299057</t>
  </si>
  <si>
    <t>01418417378</t>
  </si>
  <si>
    <t>CARLOS JORGE DOS SANTOS</t>
  </si>
  <si>
    <t>TR252303</t>
  </si>
  <si>
    <t>36800040363</t>
  </si>
  <si>
    <t>JOSE MARIA DA COSTA LEONARDO</t>
  </si>
  <si>
    <t>TR269798</t>
  </si>
  <si>
    <t>73414611368</t>
  </si>
  <si>
    <t>ROBERTO FERREIRA ELOI</t>
  </si>
  <si>
    <t>TR514477</t>
  </si>
  <si>
    <t>04492108394</t>
  </si>
  <si>
    <t>JOSE RICARDO MAIA DE ALMEIDA</t>
  </si>
  <si>
    <t>TR296800</t>
  </si>
  <si>
    <t>74123254349</t>
  </si>
  <si>
    <t>JOSE WILAMI DA SILVA SOUZA</t>
  </si>
  <si>
    <t>TR565363</t>
  </si>
  <si>
    <t>04660644383</t>
  </si>
  <si>
    <t>LUCIANO MENDES BRAZ</t>
  </si>
  <si>
    <t>TR257313</t>
  </si>
  <si>
    <t>02530990484</t>
  </si>
  <si>
    <t>DANIEL ALVES DOS SANTOS</t>
  </si>
  <si>
    <t>TR284462</t>
  </si>
  <si>
    <t>90638484472</t>
  </si>
  <si>
    <t>MARCOS BARBOSA CAMELO</t>
  </si>
  <si>
    <t>TR253977</t>
  </si>
  <si>
    <t>42833639449</t>
  </si>
  <si>
    <t>JOSE VALTER MOREIRA DA SILVA</t>
  </si>
  <si>
    <t>TR605448</t>
  </si>
  <si>
    <t>00171149343</t>
  </si>
  <si>
    <t>PAULO RAFAEL DA SILVA SANTOS</t>
  </si>
  <si>
    <t>TR374074</t>
  </si>
  <si>
    <t>03338461330</t>
  </si>
  <si>
    <t>LUCILANE GOMES FERREIRA</t>
  </si>
  <si>
    <t>TR605447</t>
  </si>
  <si>
    <t>04863455305</t>
  </si>
  <si>
    <t>JOSE MAURO RIBEIRO DOS SANTOS</t>
  </si>
  <si>
    <t>TR366310</t>
  </si>
  <si>
    <t>03293915345</t>
  </si>
  <si>
    <t>ANTONIO GILBERTO VIANA MOTA</t>
  </si>
  <si>
    <t>TR252239</t>
  </si>
  <si>
    <t>81070322334</t>
  </si>
  <si>
    <t>FRANCISCO DE PAULA DA COSTA</t>
  </si>
  <si>
    <t>TR252843</t>
  </si>
  <si>
    <t>06621201320</t>
  </si>
  <si>
    <t>ELIELTON ARAUJO COSTA</t>
  </si>
  <si>
    <t>TR254710</t>
  </si>
  <si>
    <t>81235500306</t>
  </si>
  <si>
    <t>FRANCISCO IRANILDO ALVES</t>
  </si>
  <si>
    <t>TR261876</t>
  </si>
  <si>
    <t>83993010353</t>
  </si>
  <si>
    <t>FRANCISCO EDIELSON SOUZA</t>
  </si>
  <si>
    <t>TR252298</t>
  </si>
  <si>
    <t>75856948300</t>
  </si>
  <si>
    <t>WEVERTON DA SILVA GOIS</t>
  </si>
  <si>
    <t>TR560805</t>
  </si>
  <si>
    <t>02780897392</t>
  </si>
  <si>
    <t>ERIKA SANTANA DE ARAUJO</t>
  </si>
  <si>
    <t>TC049346</t>
  </si>
  <si>
    <t>03543040464</t>
  </si>
  <si>
    <t>LEANDRO JEAN DE SANTANA</t>
  </si>
  <si>
    <t>TC050614</t>
  </si>
  <si>
    <t>09276944419</t>
  </si>
  <si>
    <t>TC047699</t>
  </si>
  <si>
    <t>01367894476</t>
  </si>
  <si>
    <t>ERIVALDO LAZARO ALVES</t>
  </si>
  <si>
    <t>TR572073</t>
  </si>
  <si>
    <t>84695226472</t>
  </si>
  <si>
    <t>JOSELY BEZERRA DE MORAIS</t>
  </si>
  <si>
    <t>TR527869</t>
  </si>
  <si>
    <t>04706289440</t>
  </si>
  <si>
    <t>CARLOS WILLIAM DO NASCIMENTO</t>
  </si>
  <si>
    <t>TR527866</t>
  </si>
  <si>
    <t>03718006413</t>
  </si>
  <si>
    <t>DIOGO HENRIQUE LOPES BENTO DO NASCIMENTO</t>
  </si>
  <si>
    <t>TR559239</t>
  </si>
  <si>
    <t>09276859497</t>
  </si>
  <si>
    <t>SANDRO MARIO DE OLIVEIRA FILHO</t>
  </si>
  <si>
    <t>TR526330</t>
  </si>
  <si>
    <t>10419321462</t>
  </si>
  <si>
    <t>MARCELO NASCIMENTO DE SOUZA</t>
  </si>
  <si>
    <t>TC024530</t>
  </si>
  <si>
    <t>68673213487</t>
  </si>
  <si>
    <t>ADRIANO GOMES DE OLIVEIRA</t>
  </si>
  <si>
    <t>TC038731</t>
  </si>
  <si>
    <t>86419110491</t>
  </si>
  <si>
    <t>MARCOS DAMASCENO DE OLIVEIRA</t>
  </si>
  <si>
    <t>TC014113</t>
  </si>
  <si>
    <t>03281138403</t>
  </si>
  <si>
    <t>MARCOS ANTONIO DE BRITO JUNIOR</t>
  </si>
  <si>
    <t>TC014395</t>
  </si>
  <si>
    <t>03878754418</t>
  </si>
  <si>
    <t>GUTEMBERG BARROSO LOPES</t>
  </si>
  <si>
    <t>TR401705</t>
  </si>
  <si>
    <t>44246145300</t>
  </si>
  <si>
    <t>ERNISON DO CARMO DE SOUSA</t>
  </si>
  <si>
    <t>TR577473</t>
  </si>
  <si>
    <t>00758486359</t>
  </si>
  <si>
    <t>EDVAL DE OLIVEIRA PINHEIRO</t>
  </si>
  <si>
    <t>TR329682</t>
  </si>
  <si>
    <t>82173532391</t>
  </si>
  <si>
    <t>ANTONIO JOSE LIMA SOARES</t>
  </si>
  <si>
    <t>TR663266</t>
  </si>
  <si>
    <t>04142855301</t>
  </si>
  <si>
    <t>DANIEL FRANCISCO DA SILVA</t>
  </si>
  <si>
    <t>TR663253</t>
  </si>
  <si>
    <t>04465967446</t>
  </si>
  <si>
    <t>LUIS PAULO DA SILVA SANTOS</t>
  </si>
  <si>
    <t>TR663248</t>
  </si>
  <si>
    <t>06638060465</t>
  </si>
  <si>
    <t>LEANDRO CAMILO SOUSA DE MELO</t>
  </si>
  <si>
    <t>TR663244</t>
  </si>
  <si>
    <t>09283115465</t>
  </si>
  <si>
    <t>ALMIR LOPES CORDEIRO FILHO</t>
  </si>
  <si>
    <t>TR286153</t>
  </si>
  <si>
    <t>03849472477</t>
  </si>
  <si>
    <t>DEIVID ANTONIO DA SILVA FIRMINO</t>
  </si>
  <si>
    <t>TR597777</t>
  </si>
  <si>
    <t>08700271403</t>
  </si>
  <si>
    <t>ANTONIO DE PADUA DE MEDEIROS RAPOSO FILHO</t>
  </si>
  <si>
    <t>TR680461</t>
  </si>
  <si>
    <t>06144337466</t>
  </si>
  <si>
    <t>ROGERIO ELESBAO DE SOUZA</t>
  </si>
  <si>
    <t>TR680471</t>
  </si>
  <si>
    <t>07362230451</t>
  </si>
  <si>
    <t>GIOVANI ANDRADE BULHOES JUNIOR</t>
  </si>
  <si>
    <t>TR680466</t>
  </si>
  <si>
    <t>05545932461</t>
  </si>
  <si>
    <t>UENIO RIBEIRO DA SILVA JUNIOR</t>
  </si>
  <si>
    <t>TR680473</t>
  </si>
  <si>
    <t>71049421493</t>
  </si>
  <si>
    <t>ROMULO FERREIRA DA SILVA</t>
  </si>
  <si>
    <t>TR680171</t>
  </si>
  <si>
    <t>07365090464</t>
  </si>
  <si>
    <t>EDUARDO DE FREITAS MARTINS</t>
  </si>
  <si>
    <t>TR535671</t>
  </si>
  <si>
    <t>06431643402</t>
  </si>
  <si>
    <t>VITOR JOSE DA SILVA</t>
  </si>
  <si>
    <t>TR663309</t>
  </si>
  <si>
    <t>08106454401</t>
  </si>
  <si>
    <t>MARCIO DA SILVA CHAGAS</t>
  </si>
  <si>
    <t>TR663256</t>
  </si>
  <si>
    <t>02749342481</t>
  </si>
  <si>
    <t>CLEYTON LUIZ DE SOUZA SANTOS</t>
  </si>
  <si>
    <t>TR663249</t>
  </si>
  <si>
    <t>04213522482</t>
  </si>
  <si>
    <t>VALDEMIR OLEGARIO DA SILVA JUNIOR</t>
  </si>
  <si>
    <t>TR680474</t>
  </si>
  <si>
    <t>02697235442</t>
  </si>
  <si>
    <t>TIAGO DE SOUZA MATOS</t>
  </si>
  <si>
    <t>TR566006</t>
  </si>
  <si>
    <t>14364491705</t>
  </si>
  <si>
    <t>JACKSON PESSOA SOARES</t>
  </si>
  <si>
    <t>TR680467</t>
  </si>
  <si>
    <t>04479135499</t>
  </si>
  <si>
    <t>CARLOS ALBERTO MARTINS DA SILVA</t>
  </si>
  <si>
    <t>TR377265</t>
  </si>
  <si>
    <t>10089484460</t>
  </si>
  <si>
    <t>PAULO ROBERTO DA SILVA</t>
  </si>
  <si>
    <t>TR520822</t>
  </si>
  <si>
    <t>01497177413</t>
  </si>
  <si>
    <t>LEONARDO DE SENA DE OLIVEIRA</t>
  </si>
  <si>
    <t>TR680469</t>
  </si>
  <si>
    <t>10516253433</t>
  </si>
  <si>
    <t>CEZAR PALHANO MAIA JUNIOR</t>
  </si>
  <si>
    <t>TR565991</t>
  </si>
  <si>
    <t>09710552465</t>
  </si>
  <si>
    <t>MARCELO HENRIQUE PEREIRA DA SILVA</t>
  </si>
  <si>
    <t>TR322616</t>
  </si>
  <si>
    <t>96286482415</t>
  </si>
  <si>
    <t>JOSE CILAS LIMA DE BARROS</t>
  </si>
  <si>
    <t>TR587611</t>
  </si>
  <si>
    <t>05857361460</t>
  </si>
  <si>
    <t>DOUGLAS HENRIQUE RODRIGUES DA SILVA</t>
  </si>
  <si>
    <t>TR610932</t>
  </si>
  <si>
    <t>10748740481</t>
  </si>
  <si>
    <t>EVANDRO JOSE DE SANTANA</t>
  </si>
  <si>
    <t>TR612343</t>
  </si>
  <si>
    <t>05807339479</t>
  </si>
  <si>
    <t>MARIANO JOSE DA SILVA</t>
  </si>
  <si>
    <t>TR286151</t>
  </si>
  <si>
    <t>86719890468</t>
  </si>
  <si>
    <t>RICARDO ANDRE DA SILVA</t>
  </si>
  <si>
    <t>TR343526</t>
  </si>
  <si>
    <t>59352221400</t>
  </si>
  <si>
    <t>LUIZ SIQUEIRA CARNEIRO NETTO</t>
  </si>
  <si>
    <t>TR254056</t>
  </si>
  <si>
    <t>02386656403</t>
  </si>
  <si>
    <t>ROMILDO ROQUE DA SILVA FILHO</t>
  </si>
  <si>
    <t>TR254039</t>
  </si>
  <si>
    <t>49795040430</t>
  </si>
  <si>
    <t>TIAGO DE SANTANA RAMOS</t>
  </si>
  <si>
    <t>TR520827</t>
  </si>
  <si>
    <t>07577401463</t>
  </si>
  <si>
    <t>JONARDES JOSE DE ALMEIDA SOUZA</t>
  </si>
  <si>
    <t>TR534821</t>
  </si>
  <si>
    <t>07637417441</t>
  </si>
  <si>
    <t>WELLINGTON SIMPLICIO DA SILVA</t>
  </si>
  <si>
    <t>TR256607</t>
  </si>
  <si>
    <t>90633962449</t>
  </si>
  <si>
    <t>ADERALDO PEREIRA CAVALCANTE FILHO</t>
  </si>
  <si>
    <t>TR256827</t>
  </si>
  <si>
    <t>02424652422</t>
  </si>
  <si>
    <t>JORGE LUIZ ARAUJO MARINHO</t>
  </si>
  <si>
    <t>TR252798</t>
  </si>
  <si>
    <t>71511369353</t>
  </si>
  <si>
    <t>RONALDY VIEIRA DE SOUZA SILVA</t>
  </si>
  <si>
    <t>TR562225</t>
  </si>
  <si>
    <t>07757124425</t>
  </si>
  <si>
    <t>JERFERSON BERNARDO DA SILVA</t>
  </si>
  <si>
    <t>TR638493</t>
  </si>
  <si>
    <t>07510729408</t>
  </si>
  <si>
    <t>INALDO FRANCISCO BARBOSA SOARES</t>
  </si>
  <si>
    <t>TR253960</t>
  </si>
  <si>
    <t>08425043468</t>
  </si>
  <si>
    <t>ERNANDE JUNIOR DA Silva CARVALHO</t>
  </si>
  <si>
    <t>TR292227</t>
  </si>
  <si>
    <t>03015721437</t>
  </si>
  <si>
    <t>WAGNER DE LIRA FRANCA</t>
  </si>
  <si>
    <t>TR443887</t>
  </si>
  <si>
    <t>00804255423</t>
  </si>
  <si>
    <t>PETRONIO FERREIRA DA SILVA</t>
  </si>
  <si>
    <t>TR438445</t>
  </si>
  <si>
    <t>04306103439</t>
  </si>
  <si>
    <t>GENIVALDO DA SILVA MORAIS</t>
  </si>
  <si>
    <t>TR577979</t>
  </si>
  <si>
    <t>03842848412</t>
  </si>
  <si>
    <t>REGINALDO RIBEIRO DE PAIVA</t>
  </si>
  <si>
    <t>TR257248</t>
  </si>
  <si>
    <t>14531640497</t>
  </si>
  <si>
    <t>FERNANDO ANDRADE CHAGAS</t>
  </si>
  <si>
    <t>TR343585</t>
  </si>
  <si>
    <t>99632098404</t>
  </si>
  <si>
    <t>ERIVALDO BEZERRA DA SILVA</t>
  </si>
  <si>
    <t>TC013073</t>
  </si>
  <si>
    <t>49393634491</t>
  </si>
  <si>
    <t>FABIANO DOS SANTOS AGUIAR</t>
  </si>
  <si>
    <t>TR594183</t>
  </si>
  <si>
    <t>08710039457</t>
  </si>
  <si>
    <t>DANILO GOMES DOS SANTOS</t>
  </si>
  <si>
    <t>TR343586</t>
  </si>
  <si>
    <t>04441414480</t>
  </si>
  <si>
    <t>HERBIS FERNANDO DE OLIVEIRA</t>
  </si>
  <si>
    <t>TR295083</t>
  </si>
  <si>
    <t>45232571400</t>
  </si>
  <si>
    <t>LUIZ GONZAGA DE SOUZA NETO</t>
  </si>
  <si>
    <t>MARCOS ALBERTO DOS SANTOS</t>
  </si>
  <si>
    <t>TR623652</t>
  </si>
  <si>
    <t>02369744324</t>
  </si>
  <si>
    <t>INALDO TOMAZ DE PONTES</t>
  </si>
  <si>
    <t>TR520103</t>
  </si>
  <si>
    <t>48013986420</t>
  </si>
  <si>
    <t>LEANDRO MENEZES DA SILVA</t>
  </si>
  <si>
    <t>TR310961</t>
  </si>
  <si>
    <t>05093061441</t>
  </si>
  <si>
    <t>ALEXANDRE JOSE ACIOLI GOMES</t>
  </si>
  <si>
    <t>TR304612</t>
  </si>
  <si>
    <t>92110339420</t>
  </si>
  <si>
    <t>MARCOS ANTONIO SOARES DE OLIVEIRA</t>
  </si>
  <si>
    <t>TR254591</t>
  </si>
  <si>
    <t>03391652438</t>
  </si>
  <si>
    <t>RECIM BRANDAO COSTA FILHO</t>
  </si>
  <si>
    <t>TR437167</t>
  </si>
  <si>
    <t>07824429431</t>
  </si>
  <si>
    <t>UBIRATAN SANTOS DE OLIVEIRA</t>
  </si>
  <si>
    <t>TR520828</t>
  </si>
  <si>
    <t>02135391441</t>
  </si>
  <si>
    <t>JOSUE SANTANA DA SILVA</t>
  </si>
  <si>
    <t>TR254434</t>
  </si>
  <si>
    <t>77999843415</t>
  </si>
  <si>
    <t>EDVALDO JOSE DA SILVA</t>
  </si>
  <si>
    <t>PATRICIO MARTINS DE SOUSA</t>
  </si>
  <si>
    <t>TR467270</t>
  </si>
  <si>
    <t>69815194453</t>
  </si>
  <si>
    <t>JAILTON BARBOSA DE LUCENA</t>
  </si>
  <si>
    <t>TR320042</t>
  </si>
  <si>
    <t>90001532472</t>
  </si>
  <si>
    <t>HELTON DA SILVA LIMA</t>
  </si>
  <si>
    <t>TR597775</t>
  </si>
  <si>
    <t>04551116424</t>
  </si>
  <si>
    <t>IRANILDO ALVES DE QUEIROZ JUNIOR</t>
  </si>
  <si>
    <t>TR589304</t>
  </si>
  <si>
    <t>10296538442</t>
  </si>
  <si>
    <t>JOSE TACIO BEZERRA</t>
  </si>
  <si>
    <t>TR257220</t>
  </si>
  <si>
    <t>41869710487</t>
  </si>
  <si>
    <t>EDUARDO LUIZ GOMES DE CARVALHO</t>
  </si>
  <si>
    <t>TR610157</t>
  </si>
  <si>
    <t>04795785325</t>
  </si>
  <si>
    <t>LUCIANO CORDEIRO DOS SANTOS</t>
  </si>
  <si>
    <t>TR304743</t>
  </si>
  <si>
    <t>02981583450</t>
  </si>
  <si>
    <t>JOSE REINALDO DA SILVA GOMES</t>
  </si>
  <si>
    <t>TR304729</t>
  </si>
  <si>
    <t>84431083472</t>
  </si>
  <si>
    <t>NEUTON JUNIOR ALVES</t>
  </si>
  <si>
    <t>TR252443</t>
  </si>
  <si>
    <t>48446475391</t>
  </si>
  <si>
    <t>FRANCISCO ERNANDO SARAIVA COSTA</t>
  </si>
  <si>
    <t>TR252300</t>
  </si>
  <si>
    <t>27814599334</t>
  </si>
  <si>
    <t>ALYSON COLLARES ARAUJO</t>
  </si>
  <si>
    <t>TR663260</t>
  </si>
  <si>
    <t>03757090373</t>
  </si>
  <si>
    <t>RICHARD DE FREITAS DOS SANTOS</t>
  </si>
  <si>
    <t>TR577521</t>
  </si>
  <si>
    <t>75307235372</t>
  </si>
  <si>
    <t>ROGERIO VICENTE DA SILVA</t>
  </si>
  <si>
    <t>TR610962</t>
  </si>
  <si>
    <t>96022833434</t>
  </si>
  <si>
    <t>EDSON SANTINO DA SILVA</t>
  </si>
  <si>
    <t>TR291869</t>
  </si>
  <si>
    <t>44944357400</t>
  </si>
  <si>
    <t>UEDSON FELIPE SANTIAGO</t>
  </si>
  <si>
    <t>TR257441</t>
  </si>
  <si>
    <t>78347998434</t>
  </si>
  <si>
    <t>EMERSON ALEXANDRO DA SILVA</t>
  </si>
  <si>
    <t>ADENILTON CORREIA DA CRUZ</t>
  </si>
  <si>
    <t>TR610939</t>
  </si>
  <si>
    <t>07865153414</t>
  </si>
  <si>
    <t>FRANCISCO VOLNEY GONCALVES AZEVEDO</t>
  </si>
  <si>
    <t>DANIEL MARTINS CARDOSO PONTE</t>
  </si>
  <si>
    <t>TR623660</t>
  </si>
  <si>
    <t>62587447372</t>
  </si>
  <si>
    <t>CLEMESON DAMIAO COSTA DOS SANTOS</t>
  </si>
  <si>
    <t>TR610813</t>
  </si>
  <si>
    <t>01950349373</t>
  </si>
  <si>
    <t>PEDRO HENRIQUE MARQUES FERREIRA</t>
  </si>
  <si>
    <t>TR563152</t>
  </si>
  <si>
    <t>60402594347</t>
  </si>
  <si>
    <t>STEFANIO PEREIRA DA SILVA</t>
  </si>
  <si>
    <t>TR563754</t>
  </si>
  <si>
    <t>05039643365</t>
  </si>
  <si>
    <t>FRANCISCO GILMAR LIMA DOS SANTOS</t>
  </si>
  <si>
    <t>TC053017</t>
  </si>
  <si>
    <t>63408945349</t>
  </si>
  <si>
    <t>ELIAS SILVA DE SOUZA</t>
  </si>
  <si>
    <t>TR680151</t>
  </si>
  <si>
    <t>60766631389</t>
  </si>
  <si>
    <t>FRANCISCO BEZERRA DE ANDRADE JUNIOR</t>
  </si>
  <si>
    <t>TR680154</t>
  </si>
  <si>
    <t>01757109374</t>
  </si>
  <si>
    <t>ROMARIO HENRIQUE DE SOUSA</t>
  </si>
  <si>
    <t>TR658619</t>
  </si>
  <si>
    <t>06452376390</t>
  </si>
  <si>
    <t>JOHN SILVA DA CRUZ</t>
  </si>
  <si>
    <t>TR554815</t>
  </si>
  <si>
    <t>03009969341</t>
  </si>
  <si>
    <t>BENEDITO DE PAULO SILVESTRE GOMES</t>
  </si>
  <si>
    <t>TR686707</t>
  </si>
  <si>
    <t>02878573366</t>
  </si>
  <si>
    <t>MARCOS HENRIQUE DOS SANTOS MARTINS</t>
  </si>
  <si>
    <t>TR658612</t>
  </si>
  <si>
    <t>03942531321</t>
  </si>
  <si>
    <t>FRANCISCO JOSE FELIX DOS SANTOS</t>
  </si>
  <si>
    <t>TR686715</t>
  </si>
  <si>
    <t>05904739303</t>
  </si>
  <si>
    <t>FRANCISCO JOSE SOARES OLIVEIRA</t>
  </si>
  <si>
    <t>TR252311</t>
  </si>
  <si>
    <t>48442135391</t>
  </si>
  <si>
    <t>FRANCISCO NILTON DO NASCIMENTO LIMA</t>
  </si>
  <si>
    <t>TR252319</t>
  </si>
  <si>
    <t>48006181349</t>
  </si>
  <si>
    <t>FELIPE NOBRE DA ROCHA</t>
  </si>
  <si>
    <t>TR327584</t>
  </si>
  <si>
    <t>05139913364</t>
  </si>
  <si>
    <t>FRANCISCO SOARES ALVES</t>
  </si>
  <si>
    <t>TR401704</t>
  </si>
  <si>
    <t>01810953359</t>
  </si>
  <si>
    <t>FRANCISCO CLAUDIO DE ARAUJO</t>
  </si>
  <si>
    <t>TR577478</t>
  </si>
  <si>
    <t>64127940344</t>
  </si>
  <si>
    <t>GIOVANE PORTO PINHEIRO</t>
  </si>
  <si>
    <t>TR688882</t>
  </si>
  <si>
    <t>76988775315</t>
  </si>
  <si>
    <t>FRANCISCO BEZERRA RODRIGUES</t>
  </si>
  <si>
    <t>TR252286</t>
  </si>
  <si>
    <t>81761287320</t>
  </si>
  <si>
    <t>EDSON GUERRA ALMEIDA</t>
  </si>
  <si>
    <t>TR329563</t>
  </si>
  <si>
    <t>80971148368</t>
  </si>
  <si>
    <t>JOSEVALDO ALVES SANTOS</t>
  </si>
  <si>
    <t>TR287143</t>
  </si>
  <si>
    <t>24777188353</t>
  </si>
  <si>
    <t>MARCIO DO NASCIMENTO BARBOSA</t>
  </si>
  <si>
    <t>TR565353</t>
  </si>
  <si>
    <t>31483011372</t>
  </si>
  <si>
    <t>ALEXANDRE DA SILVA LUCENA</t>
  </si>
  <si>
    <t>TR680063</t>
  </si>
  <si>
    <t>99631059391</t>
  </si>
  <si>
    <t>WILSON FERREIRA LIMA FILHO</t>
  </si>
  <si>
    <t>TR359611</t>
  </si>
  <si>
    <t>74915860310</t>
  </si>
  <si>
    <t>JOSE ROBERTO DA COSTA FORTE</t>
  </si>
  <si>
    <t>TR666481</t>
  </si>
  <si>
    <t>85120286372</t>
  </si>
  <si>
    <t>CHARLEVALDO SILVA RIPARDO</t>
  </si>
  <si>
    <t>TR687509</t>
  </si>
  <si>
    <t>03712058322</t>
  </si>
  <si>
    <t>JOSE RENATO LIMA DA SILVA</t>
  </si>
  <si>
    <t>TR653180</t>
  </si>
  <si>
    <t>00961314389</t>
  </si>
  <si>
    <t>KARLA DANIELLE NOGUEIRA DE CARVALHO</t>
  </si>
  <si>
    <t>TR687514</t>
  </si>
  <si>
    <t>77661320363</t>
  </si>
  <si>
    <t>JOSE LEANDRO COSTA DE SOUZA</t>
  </si>
  <si>
    <t>TR688885</t>
  </si>
  <si>
    <t>61457183315</t>
  </si>
  <si>
    <t>WAGNER CARMO DA SILVA DUTRA</t>
  </si>
  <si>
    <t>TR680091</t>
  </si>
  <si>
    <t>04883067360</t>
  </si>
  <si>
    <t>GERMANO DO NASCIMENTO SILVA</t>
  </si>
  <si>
    <t>TR559427</t>
  </si>
  <si>
    <t>01977934366</t>
  </si>
  <si>
    <t>ADAIAS DE SALES BASTOS FILHO</t>
  </si>
  <si>
    <t>TR680061</t>
  </si>
  <si>
    <t>72184396320</t>
  </si>
  <si>
    <t>PAULO ROBERTO SILVA LIMA</t>
  </si>
  <si>
    <t>TC047383</t>
  </si>
  <si>
    <t>90408110325</t>
  </si>
  <si>
    <t>FRANCISCO LYDSON BRAGA SOBREIRA</t>
  </si>
  <si>
    <t>TR686716</t>
  </si>
  <si>
    <t>97534404304</t>
  </si>
  <si>
    <t>YGOR DE SOUSA GOMES</t>
  </si>
  <si>
    <t>TR680093</t>
  </si>
  <si>
    <t>60573737312</t>
  </si>
  <si>
    <t>FRANCISCO BRENO VIEIRA MACIEIRA</t>
  </si>
  <si>
    <t>TR687510</t>
  </si>
  <si>
    <t>07699090357</t>
  </si>
  <si>
    <t>RANDERSON PEIXOTO CARVALHO</t>
  </si>
  <si>
    <t>TR252879</t>
  </si>
  <si>
    <t>00655372385</t>
  </si>
  <si>
    <t>NILTON SILVEIRA CORREIA</t>
  </si>
  <si>
    <t>TR400277</t>
  </si>
  <si>
    <t>04736728396</t>
  </si>
  <si>
    <t>RAFAEL PEREIRA DE ABREU</t>
  </si>
  <si>
    <t>TR663297</t>
  </si>
  <si>
    <t>02918721310</t>
  </si>
  <si>
    <t>MARQUIDONIO ROSA DO NASCIMENTO SILVA</t>
  </si>
  <si>
    <t>TR623675</t>
  </si>
  <si>
    <t>61500585300</t>
  </si>
  <si>
    <t>CISLANDIO GOMES CARVALHO</t>
  </si>
  <si>
    <t>TR532830</t>
  </si>
  <si>
    <t>00533919347</t>
  </si>
  <si>
    <t>ABEL BARROS DE FREITAS</t>
  </si>
  <si>
    <t>TR457061</t>
  </si>
  <si>
    <t>02170134301</t>
  </si>
  <si>
    <t>SEBASTIAO BRAGA NETO</t>
  </si>
  <si>
    <t>TR554819</t>
  </si>
  <si>
    <t>03576730346</t>
  </si>
  <si>
    <t>GLEYDSON RIBEIRO BARBOSA</t>
  </si>
  <si>
    <t>TR577459</t>
  </si>
  <si>
    <t>03408216398</t>
  </si>
  <si>
    <t>ALEXANDRE SILVA DE LIMA</t>
  </si>
  <si>
    <t>TR556621</t>
  </si>
  <si>
    <t>78442613315</t>
  </si>
  <si>
    <t>KEIVANDO LEANDRO DE ASSUNCAO DE OLIVEIRA</t>
  </si>
  <si>
    <t>TR253108</t>
  </si>
  <si>
    <t>65759036300</t>
  </si>
  <si>
    <t>FRANCISCO MARCONDES NOBRE DE SOUZA</t>
  </si>
  <si>
    <t>TR277951</t>
  </si>
  <si>
    <t>38993120315</t>
  </si>
  <si>
    <t>FRANCISCO DE ASSIS SANTOS BEZERRA</t>
  </si>
  <si>
    <t>TR603827</t>
  </si>
  <si>
    <t>02652680366</t>
  </si>
  <si>
    <t>VALDINAR ANDRADE</t>
  </si>
  <si>
    <t>TR301834</t>
  </si>
  <si>
    <t>74374125353</t>
  </si>
  <si>
    <t>FRANCISCO ANTONIO DA SILVA MOREIRA</t>
  </si>
  <si>
    <t>TR252645</t>
  </si>
  <si>
    <t>74577573334</t>
  </si>
  <si>
    <t>MAYRON DE SOUSA ARAUJO</t>
  </si>
  <si>
    <t>TR360187</t>
  </si>
  <si>
    <t>66105609353</t>
  </si>
  <si>
    <t>LEONARDO BARBOSA DA SILVA</t>
  </si>
  <si>
    <t>TR658603</t>
  </si>
  <si>
    <t>06329385360</t>
  </si>
  <si>
    <t>DONALD LEITE QUEIROZ</t>
  </si>
  <si>
    <t>TR680069</t>
  </si>
  <si>
    <t>03602440338</t>
  </si>
  <si>
    <t>THIAGO DAVID FREIRE DE MELO</t>
  </si>
  <si>
    <t>KALYNE GOUVEIA PEREIRA</t>
  </si>
  <si>
    <t>TR612313</t>
  </si>
  <si>
    <t>05413934483</t>
  </si>
  <si>
    <t>JOSE EVILASIO FREIRE</t>
  </si>
  <si>
    <t>TR653179</t>
  </si>
  <si>
    <t>96284684304</t>
  </si>
  <si>
    <t>CESARIO GONCALVES TORRES NETO</t>
  </si>
  <si>
    <t>TR680067</t>
  </si>
  <si>
    <t>97191159391</t>
  </si>
  <si>
    <t>FRANCISCO ALDEMYR DE AQUINO</t>
  </si>
  <si>
    <t>TR300908</t>
  </si>
  <si>
    <t>21166242315</t>
  </si>
  <si>
    <t>DOUGLAS DO NASCIMENTO FIGUEIREDO</t>
  </si>
  <si>
    <t>TR666187</t>
  </si>
  <si>
    <t>07868256346</t>
  </si>
  <si>
    <t>JOSE MARIO FERNANDES DOS SANTOS</t>
  </si>
  <si>
    <t>TR252817</t>
  </si>
  <si>
    <t>25687956387</t>
  </si>
  <si>
    <t>LEANDRO FERREIRA RAMOS</t>
  </si>
  <si>
    <t>LEANDRO COUTINHO FREITAS</t>
  </si>
  <si>
    <t>TR622568</t>
  </si>
  <si>
    <t>01377206459</t>
  </si>
  <si>
    <t>ADemILSON BARBOSA DE ANDRADE</t>
  </si>
  <si>
    <t>TR253550</t>
  </si>
  <si>
    <t>76620670415</t>
  </si>
  <si>
    <t>BRUNO DE MOURA FERREIRA</t>
  </si>
  <si>
    <t>TR266285</t>
  </si>
  <si>
    <t>05092773499</t>
  </si>
  <si>
    <t>ROBSON BELO PESSOA</t>
  </si>
  <si>
    <t>TR295095</t>
  </si>
  <si>
    <t>03138112455</t>
  </si>
  <si>
    <t>VALDEMIR RAFAEL DA SILVA</t>
  </si>
  <si>
    <t>TR253762</t>
  </si>
  <si>
    <t>89175140497</t>
  </si>
  <si>
    <t>CESAR ROMERO LIMA DE OLIVEIRA</t>
  </si>
  <si>
    <t>TR253608</t>
  </si>
  <si>
    <t>57842388415</t>
  </si>
  <si>
    <t>ALESSANDRO DIONISIO DE FRANCA</t>
  </si>
  <si>
    <t>CLAUDEMIR MARIANO DA SILVA</t>
  </si>
  <si>
    <t>TR369507</t>
  </si>
  <si>
    <t>03433533423</t>
  </si>
  <si>
    <t>OZIEL PEREIRA DA SILVA</t>
  </si>
  <si>
    <t>TC048378</t>
  </si>
  <si>
    <t>02609136420</t>
  </si>
  <si>
    <t>JOSEMIR FREIRE DA SILVA</t>
  </si>
  <si>
    <t>TR610953</t>
  </si>
  <si>
    <t>05559569461</t>
  </si>
  <si>
    <t>ANDRE LUIZ DE MIRANDA PEREIRA</t>
  </si>
  <si>
    <t>TR253591</t>
  </si>
  <si>
    <t>57132798472</t>
  </si>
  <si>
    <t>ADELSON BARBOSA DE SOUZA</t>
  </si>
  <si>
    <t>TR252874</t>
  </si>
  <si>
    <t>89201140487</t>
  </si>
  <si>
    <t>TELIMACO DE BARROS SILVA</t>
  </si>
  <si>
    <t>BRUNO LUIZ SANTOS DA SILVA</t>
  </si>
  <si>
    <t>TR591885</t>
  </si>
  <si>
    <t>01231217448</t>
  </si>
  <si>
    <t>CLEMESSON MARTINS DE LIMA</t>
  </si>
  <si>
    <t>TR588056</t>
  </si>
  <si>
    <t>04137842400</t>
  </si>
  <si>
    <t>JOSE ROBSON LOPES PESSOA</t>
  </si>
  <si>
    <t>JOSE MARDEM RIBEIRO NOGUEIRA</t>
  </si>
  <si>
    <t>TR605444</t>
  </si>
  <si>
    <t>06387203384</t>
  </si>
  <si>
    <t>JULIO CRISTOVAO DANTAS</t>
  </si>
  <si>
    <t>TR256693</t>
  </si>
  <si>
    <t>39302598420</t>
  </si>
  <si>
    <t>THALES ASSIS DE OLIVEIRA</t>
  </si>
  <si>
    <t>TR572418</t>
  </si>
  <si>
    <t>05905058407</t>
  </si>
  <si>
    <t>JULIANO COSTA</t>
  </si>
  <si>
    <t>TR256399</t>
  </si>
  <si>
    <t>ADSLDG, ADSLINST, ADSLMUD, ADSLREP, ADSLRET, ADSLSRV, CRFE, LAINST, LAMUD, LAPREV, LAREP, LARET, LASRV, TPREP, VAINST</t>
  </si>
  <si>
    <t>02910545440</t>
  </si>
  <si>
    <t>JOSE ERIVANILDO CAVALCANTE JUNIOR</t>
  </si>
  <si>
    <t>TR640885</t>
  </si>
  <si>
    <t>00888165404</t>
  </si>
  <si>
    <t>MAYCOM JECKSON DE MEDEIROS</t>
  </si>
  <si>
    <t>TR517979</t>
  </si>
  <si>
    <t>10760053499</t>
  </si>
  <si>
    <t>JOSE LEONILDES RAMALHO NETO</t>
  </si>
  <si>
    <t>TR285739</t>
  </si>
  <si>
    <t>05092699400</t>
  </si>
  <si>
    <t>HUGO TARDELLY DE SOUZA FERREIRA</t>
  </si>
  <si>
    <t>TC030150</t>
  </si>
  <si>
    <t>07350661401</t>
  </si>
  <si>
    <t>CLEDSON PAULA DA SILVA</t>
  </si>
  <si>
    <t>TR317046</t>
  </si>
  <si>
    <t>02380616477</t>
  </si>
  <si>
    <t>WELLINGTON TEIXEIRA DOS SANTOS</t>
  </si>
  <si>
    <t>TR666207</t>
  </si>
  <si>
    <t>ADSLDG, ADSLINST, ADSLMUD, ADSLPREV, ADSLPRV, ADSLREP, ADSLRET, ADSLSRV, CRFE, LAINST, LAMUD, LAREP, LARET, LASRV, VAINST</t>
  </si>
  <si>
    <t>66362377400</t>
  </si>
  <si>
    <t>RODOLFO RODRIGO BELMIRO DE SOUZA</t>
  </si>
  <si>
    <t>TR615534</t>
  </si>
  <si>
    <t>06529317406</t>
  </si>
  <si>
    <t>MILTON HENRIQUE RAMOS DA SILVA</t>
  </si>
  <si>
    <t>TR681453</t>
  </si>
  <si>
    <t>73208868634</t>
  </si>
  <si>
    <t>JOSE ALMIR BRAGA DA SILVA</t>
  </si>
  <si>
    <t>TR360174</t>
  </si>
  <si>
    <t>09213367805</t>
  </si>
  <si>
    <t>IVANILSON E SILVA MONTEIRO</t>
  </si>
  <si>
    <t>TR302466</t>
  </si>
  <si>
    <t>03057696422</t>
  </si>
  <si>
    <t>RUBENS FERREIRA DE PAIVA</t>
  </si>
  <si>
    <t>TR256536</t>
  </si>
  <si>
    <t>35819464400</t>
  </si>
  <si>
    <t>CLAILTON DO NASCIMENTO NUNES</t>
  </si>
  <si>
    <t>TR256263</t>
  </si>
  <si>
    <t>87483068434</t>
  </si>
  <si>
    <t>MARCELO FERREIRA DE SOUZA</t>
  </si>
  <si>
    <t>TR341781</t>
  </si>
  <si>
    <t>00848421485</t>
  </si>
  <si>
    <t>BRENO DE OLIVEIRA SILVA</t>
  </si>
  <si>
    <t>TR609511</t>
  </si>
  <si>
    <t>03226588451</t>
  </si>
  <si>
    <t>JOAB MARCELO OLIVEIRA DOS SANTOS</t>
  </si>
  <si>
    <t>TR369115</t>
  </si>
  <si>
    <t>06465876418</t>
  </si>
  <si>
    <t>MANOEL PIMENTA FILHO</t>
  </si>
  <si>
    <t>TR317202</t>
  </si>
  <si>
    <t>96757833468</t>
  </si>
  <si>
    <t>JEANN DE ARAUJO PESSOA</t>
  </si>
  <si>
    <t>TR291362</t>
  </si>
  <si>
    <t>85031887400</t>
  </si>
  <si>
    <t>HERIBERTO BARBOSA DE LIMA</t>
  </si>
  <si>
    <t>TR330926</t>
  </si>
  <si>
    <t>03148673417</t>
  </si>
  <si>
    <t>ANTONIO CLEITON DOS SANTOS</t>
  </si>
  <si>
    <t>TR257020</t>
  </si>
  <si>
    <t>46876871304</t>
  </si>
  <si>
    <t>INACIO AGUIAR JUNIOR</t>
  </si>
  <si>
    <t>TR591872</t>
  </si>
  <si>
    <t>05718419370</t>
  </si>
  <si>
    <t>FRANCISCO ISMAEL MARTINS BARBOSA</t>
  </si>
  <si>
    <t>TR578452</t>
  </si>
  <si>
    <t>05536584332</t>
  </si>
  <si>
    <t>ISAEL SANTOS DA SILVA</t>
  </si>
  <si>
    <t>TR435762</t>
  </si>
  <si>
    <t>05018630361</t>
  </si>
  <si>
    <t>LUIS PONTE RODRIGUES</t>
  </si>
  <si>
    <t>TR252363</t>
  </si>
  <si>
    <t>47965940353</t>
  </si>
  <si>
    <t>FRANCISCO PAULO DOS SANTOS RIBEIRO</t>
  </si>
  <si>
    <t>TR309570</t>
  </si>
  <si>
    <t>88568172334</t>
  </si>
  <si>
    <t>JOAO PAULO RIBEIRO LOPES</t>
  </si>
  <si>
    <t>TR307996</t>
  </si>
  <si>
    <t>00819571300</t>
  </si>
  <si>
    <t>ROGERIO XAVIER DE SOUSA</t>
  </si>
  <si>
    <t>TR252410</t>
  </si>
  <si>
    <t>72852593300</t>
  </si>
  <si>
    <t>RAIMUNDO JOSE DE SOUSA</t>
  </si>
  <si>
    <t>TR303166</t>
  </si>
  <si>
    <t>26286203320</t>
  </si>
  <si>
    <t>EDILSON TIBURCIO PEREIRA</t>
  </si>
  <si>
    <t>TR543332</t>
  </si>
  <si>
    <t>03267195390</t>
  </si>
  <si>
    <t>FRANCISCO LINHARES VIEIRA</t>
  </si>
  <si>
    <t>TR619380</t>
  </si>
  <si>
    <t>89319222304</t>
  </si>
  <si>
    <t>PAULO COSMO DA SILVA</t>
  </si>
  <si>
    <t>TR252493</t>
  </si>
  <si>
    <t>54957184372</t>
  </si>
  <si>
    <t>MARIO NEGRAO DE MEDEIROS NETO</t>
  </si>
  <si>
    <t>MARCUS VINICIUS NEVES DE BRITO</t>
  </si>
  <si>
    <t>TR536984</t>
  </si>
  <si>
    <t>92154018491</t>
  </si>
  <si>
    <t>JEAN DE SIQUEIRA MACIEL</t>
  </si>
  <si>
    <t>TR253973</t>
  </si>
  <si>
    <t>02161914405</t>
  </si>
  <si>
    <t>JOSAFAT GOMES DA SILVA</t>
  </si>
  <si>
    <t>TR594184</t>
  </si>
  <si>
    <t>08652852413</t>
  </si>
  <si>
    <t>JOSE GILSON DE SANTANA</t>
  </si>
  <si>
    <t>TR254009</t>
  </si>
  <si>
    <t>71891587404</t>
  </si>
  <si>
    <t>JULIO CESAR AMORIM MARTINS DOS SANTOS</t>
  </si>
  <si>
    <t>TR521967</t>
  </si>
  <si>
    <t>02722423499</t>
  </si>
  <si>
    <t>ERMESON BEZERRA DA SILVA</t>
  </si>
  <si>
    <t>ALEXANDRE SEVERINO DA COSTA SILVA</t>
  </si>
  <si>
    <t>TR691188</t>
  </si>
  <si>
    <t>06299616466</t>
  </si>
  <si>
    <t>EDER RAMOS DE OLIVEIRA</t>
  </si>
  <si>
    <t>TR691323</t>
  </si>
  <si>
    <t>01175362450</t>
  </si>
  <si>
    <t>FRANCISCO MARCIEL DOS SANTOS</t>
  </si>
  <si>
    <t>TR572498</t>
  </si>
  <si>
    <t>90301706387</t>
  </si>
  <si>
    <t>ANTONIO MARCOS DE SOUZA</t>
  </si>
  <si>
    <t>TR572485</t>
  </si>
  <si>
    <t>06434729324</t>
  </si>
  <si>
    <t>RINALDO SILVA DO NASCIMENTO</t>
  </si>
  <si>
    <t>TR566004</t>
  </si>
  <si>
    <t>93323263472</t>
  </si>
  <si>
    <t>JOSE IZAIAS BATISTA DA SILVA</t>
  </si>
  <si>
    <t>TR317080</t>
  </si>
  <si>
    <t>51778122434</t>
  </si>
  <si>
    <t>JOVIANO GOMES DA SILVEIRA</t>
  </si>
  <si>
    <t>TR366106</t>
  </si>
  <si>
    <t>96989190310</t>
  </si>
  <si>
    <t>MAGNO SOARES DE ARAUJO</t>
  </si>
  <si>
    <t>TR287215</t>
  </si>
  <si>
    <t>83971580300</t>
  </si>
  <si>
    <t>ANTONIO WILLIAM RODRIGUES SOUZA</t>
  </si>
  <si>
    <t>TR560796</t>
  </si>
  <si>
    <t>87247135387</t>
  </si>
  <si>
    <t>MANUEL FABIO DA SILVA COSTA</t>
  </si>
  <si>
    <t>TR603802</t>
  </si>
  <si>
    <t>69965978387</t>
  </si>
  <si>
    <t>MARCIO BARBOSA DA SILVA</t>
  </si>
  <si>
    <t>TR591874</t>
  </si>
  <si>
    <t>02352631335</t>
  </si>
  <si>
    <t>MARCELO RODRIGUES BERNARDO</t>
  </si>
  <si>
    <t>TR572499</t>
  </si>
  <si>
    <t>02068467380</t>
  </si>
  <si>
    <t>DANIEL AVELINO DA SILVA</t>
  </si>
  <si>
    <t>TR686709</t>
  </si>
  <si>
    <t>62656910315</t>
  </si>
  <si>
    <t>FRANCISCO FLAMARION RODRIGUES JUNIOR</t>
  </si>
  <si>
    <t>TR572496</t>
  </si>
  <si>
    <t>78831717391</t>
  </si>
  <si>
    <t>SILVIO SILVA DOS SANTOS</t>
  </si>
  <si>
    <t>TR510013</t>
  </si>
  <si>
    <t>03010613350</t>
  </si>
  <si>
    <t>FLAVIO BEZERRA DE SOUZA</t>
  </si>
  <si>
    <t>TR526823</t>
  </si>
  <si>
    <t>40954870468</t>
  </si>
  <si>
    <t>JOSE DANILO MELO LIMA</t>
  </si>
  <si>
    <t>TR657153</t>
  </si>
  <si>
    <t>56755538353</t>
  </si>
  <si>
    <t>FABIO MOURA DA SILVA</t>
  </si>
  <si>
    <t>TR320146</t>
  </si>
  <si>
    <t>02548609405</t>
  </si>
  <si>
    <t>MARIO SERGIO FERREIRA PINHEIRO</t>
  </si>
  <si>
    <t>TR575696</t>
  </si>
  <si>
    <t>02133805443</t>
  </si>
  <si>
    <t>ERASTO PAULINO DA SILVA</t>
  </si>
  <si>
    <t>TR253685</t>
  </si>
  <si>
    <t>02249853452</t>
  </si>
  <si>
    <t>JOAO AUGUSTO DE LIMA NETO</t>
  </si>
  <si>
    <t>TR294347</t>
  </si>
  <si>
    <t>71150692472</t>
  </si>
  <si>
    <t>RONALDO DA SILVA BEZERRA</t>
  </si>
  <si>
    <t>TR253742</t>
  </si>
  <si>
    <t>03609517409</t>
  </si>
  <si>
    <t>JOSE SILVINO DA SILVA</t>
  </si>
  <si>
    <t>TR319805</t>
  </si>
  <si>
    <t>03908384460</t>
  </si>
  <si>
    <t>FABIO SILVA DO NASCIMENTO</t>
  </si>
  <si>
    <t>TR385955</t>
  </si>
  <si>
    <t>08783585443</t>
  </si>
  <si>
    <t>NATANAILDO MARCELINO DE OLIVEIRA JUNIOR</t>
  </si>
  <si>
    <t>TR638494</t>
  </si>
  <si>
    <t>85610445434</t>
  </si>
  <si>
    <t>JOSE GOMES CRISTOVAM</t>
  </si>
  <si>
    <t>TR302149</t>
  </si>
  <si>
    <t>52248356404</t>
  </si>
  <si>
    <t>MAGNO MANOEL DA SILVA</t>
  </si>
  <si>
    <t>TR588065</t>
  </si>
  <si>
    <t>04585103430</t>
  </si>
  <si>
    <t>DIEGO ABREU DA SILVA CRISTOVAM</t>
  </si>
  <si>
    <t>TR309914</t>
  </si>
  <si>
    <t>07512858469</t>
  </si>
  <si>
    <t>GERMANO FERNANDES SILVA</t>
  </si>
  <si>
    <t>TR609517</t>
  </si>
  <si>
    <t>06409948301</t>
  </si>
  <si>
    <t>ANTONIO GABRIEL ANDRADE ARAUJO</t>
  </si>
  <si>
    <t>TR657136</t>
  </si>
  <si>
    <t>06298574310</t>
  </si>
  <si>
    <t>ROGERIO MURATORI MOURA</t>
  </si>
  <si>
    <t>TR253114</t>
  </si>
  <si>
    <t>47778563304</t>
  </si>
  <si>
    <t>AECIO FRANKLIN ALMEIDA DE SOUSA</t>
  </si>
  <si>
    <t>TR686706</t>
  </si>
  <si>
    <t>66432472334</t>
  </si>
  <si>
    <t>RAFAEL LOURO AVELINO</t>
  </si>
  <si>
    <t>TR572400</t>
  </si>
  <si>
    <t>CLASSEADQPOSTE, CLASSECAEREO, CLASSECSUBT, CLASSEKIT3, CLASSEKIT4, CLASSELAEREO, CLASSELSUBT</t>
  </si>
  <si>
    <t>FABIO BORGES DOS SANTOS</t>
  </si>
  <si>
    <t>TR390633</t>
  </si>
  <si>
    <t>ADSLINST, ADSLMUD, ADSLPREV, ADSLPRV, ADSLREP, ADSLRET, ADSLSRV, ADSLVSP</t>
  </si>
  <si>
    <t>DJAIR LIMA SILVA</t>
  </si>
  <si>
    <t>TR253622</t>
  </si>
  <si>
    <t>02911687442</t>
  </si>
  <si>
    <t>VINICIUS FRANCELINO SILVA DE LIMA</t>
  </si>
  <si>
    <t>TR533693</t>
  </si>
  <si>
    <t>09978737448</t>
  </si>
  <si>
    <t>ALAN ROCHA DE LIMA</t>
  </si>
  <si>
    <t>TR622549</t>
  </si>
  <si>
    <t>05868365356</t>
  </si>
  <si>
    <t>JOSE EDSON DO NASCIMENTO</t>
  </si>
  <si>
    <t>TR368031</t>
  </si>
  <si>
    <t>04289059783</t>
  </si>
  <si>
    <t>MAGNUS FONSECA DE ARAUJO</t>
  </si>
  <si>
    <t>TR286128</t>
  </si>
  <si>
    <t>00960932429</t>
  </si>
  <si>
    <t>ADEILTON GALDINO DA SILVA</t>
  </si>
  <si>
    <t>TR597771</t>
  </si>
  <si>
    <t>07074339407</t>
  </si>
  <si>
    <t>JOAO FELIPE LOPES FILHO</t>
  </si>
  <si>
    <t>TR259882</t>
  </si>
  <si>
    <t>05673431465</t>
  </si>
  <si>
    <t>JOSE AUGUSTO DE OLIVEIRA</t>
  </si>
  <si>
    <t>TR355541</t>
  </si>
  <si>
    <t>09421236467</t>
  </si>
  <si>
    <t>CICERO ROMAO BATISTA DE OLIVEIRA</t>
  </si>
  <si>
    <t>TR530351</t>
  </si>
  <si>
    <t>01675390436</t>
  </si>
  <si>
    <t>SILVANIO DE JESUS MARQUES PEREIRA</t>
  </si>
  <si>
    <t>TR256708</t>
  </si>
  <si>
    <t>78357268404</t>
  </si>
  <si>
    <t>JOAO BATISTA DA SILVA</t>
  </si>
  <si>
    <t>TR280765</t>
  </si>
  <si>
    <t>00864787456</t>
  </si>
  <si>
    <t>AFRANIO FERNANDES DA SILVA</t>
  </si>
  <si>
    <t>TR289756</t>
  </si>
  <si>
    <t>00969030401</t>
  </si>
  <si>
    <t>CRISTIANO MICHELL PEREIRA DA SILVA</t>
  </si>
  <si>
    <t>TR562226</t>
  </si>
  <si>
    <t>09274531427</t>
  </si>
  <si>
    <t>THIALISSON ADRIANO PIRES FAGUNDES</t>
  </si>
  <si>
    <t>TR441802</t>
  </si>
  <si>
    <t>09324936450</t>
  </si>
  <si>
    <t>ELEANILDO ANDRADE DE LIMA GOIS</t>
  </si>
  <si>
    <t>TR368023</t>
  </si>
  <si>
    <t>10721661432</t>
  </si>
  <si>
    <t>JHIMMY KART ALMEIDA DE FREITAS</t>
  </si>
  <si>
    <t>TR518929</t>
  </si>
  <si>
    <t>10280625405</t>
  </si>
  <si>
    <t>PAULO FONSECA PARDO DA COSTA</t>
  </si>
  <si>
    <t>TR681457</t>
  </si>
  <si>
    <t>00992721482</t>
  </si>
  <si>
    <t>FRANCISCO CANINDE CAETANO DA SILVA</t>
  </si>
  <si>
    <t>TR604434</t>
  </si>
  <si>
    <t>04993363486</t>
  </si>
  <si>
    <t>ANTONIO VALDEVAN ALVES PEREIRA</t>
  </si>
  <si>
    <t>TR360140</t>
  </si>
  <si>
    <t>86455648315</t>
  </si>
  <si>
    <t>FRANCISCO XAVIER GOMES FILHO</t>
  </si>
  <si>
    <t>TR605446</t>
  </si>
  <si>
    <t>04399419385</t>
  </si>
  <si>
    <t>SALISMAR MORAIS DA SILVA</t>
  </si>
  <si>
    <t>TR528896</t>
  </si>
  <si>
    <t>48137952420</t>
  </si>
  <si>
    <t>RICARDO DA SILVA FRANCA</t>
  </si>
  <si>
    <t>TR565321</t>
  </si>
  <si>
    <t>09409088402</t>
  </si>
  <si>
    <t>FERNANDO ANTONIO BARRETO DE LIMA JUNIOR</t>
  </si>
  <si>
    <t>TR256330</t>
  </si>
  <si>
    <t>02078476498</t>
  </si>
  <si>
    <t>DEIVISSON FERREIRA DA SILVA</t>
  </si>
  <si>
    <t>TR329485</t>
  </si>
  <si>
    <t>01277299412</t>
  </si>
  <si>
    <t>TAWAN LIMA DE AQUINO</t>
  </si>
  <si>
    <t>TR661591</t>
  </si>
  <si>
    <t>09422558441</t>
  </si>
  <si>
    <t>JEFFERSON DE LIMA VIEIRA</t>
  </si>
  <si>
    <t>TR522139</t>
  </si>
  <si>
    <t>02985749425</t>
  </si>
  <si>
    <t>JECKSON LOPES DA SILVA</t>
  </si>
  <si>
    <t>TR466066</t>
  </si>
  <si>
    <t>09000502411</t>
  </si>
  <si>
    <t>LUCINALDO GOMES RODRIGUES</t>
  </si>
  <si>
    <t>TR256464</t>
  </si>
  <si>
    <t>43050808420</t>
  </si>
  <si>
    <t>LUIS CLAUDIO DA SILVA</t>
  </si>
  <si>
    <t>TR324054</t>
  </si>
  <si>
    <t>05515581482</t>
  </si>
  <si>
    <t>KERGINALDO PEREIRA DA SILVA</t>
  </si>
  <si>
    <t>TR254435</t>
  </si>
  <si>
    <t>02641581485</t>
  </si>
  <si>
    <t>PEDRO OLIVEIRA SA</t>
  </si>
  <si>
    <t>TC055994</t>
  </si>
  <si>
    <t>05176633418</t>
  </si>
  <si>
    <t>DOUGLAS STENIO ALVES RANGEL</t>
  </si>
  <si>
    <t>TR312401</t>
  </si>
  <si>
    <t>01143029445</t>
  </si>
  <si>
    <t>JOAB RODRIGUES DA CRUZ</t>
  </si>
  <si>
    <t>TR441666</t>
  </si>
  <si>
    <t>06152453402</t>
  </si>
  <si>
    <t>JADSON GOMES CRISTOVAM</t>
  </si>
  <si>
    <t>TR305942</t>
  </si>
  <si>
    <t>00216222486</t>
  </si>
  <si>
    <t>ISAIAS MENDONCA DA SILVA</t>
  </si>
  <si>
    <t>TR257428</t>
  </si>
  <si>
    <t>71212159420</t>
  </si>
  <si>
    <t>JOAO HENRIQUE LOPES FEITOSA</t>
  </si>
  <si>
    <t>RESC FALECIMENTO</t>
  </si>
  <si>
    <t>TR618806</t>
  </si>
  <si>
    <t>75639122404</t>
  </si>
  <si>
    <t>RICARDO RENATO SOARES MONTEIRO NETO</t>
  </si>
  <si>
    <t>TR254034</t>
  </si>
  <si>
    <t>54578159434</t>
  </si>
  <si>
    <t>JOSE EDUARDO ALVES RODRIGUES</t>
  </si>
  <si>
    <t>TR597773</t>
  </si>
  <si>
    <t>42103070410</t>
  </si>
  <si>
    <t>COSME SANTANA DA CRUZ</t>
  </si>
  <si>
    <t>TR331657</t>
  </si>
  <si>
    <t>02709991403</t>
  </si>
  <si>
    <t>HERYVELTON DAWIDSON DOUGLAS FARIAS DA PAZ</t>
  </si>
  <si>
    <t>TR612330</t>
  </si>
  <si>
    <t>08789832442</t>
  </si>
  <si>
    <t>ALEXANDRE RODRIGUES DOS SANTOS</t>
  </si>
  <si>
    <t>TR331981</t>
  </si>
  <si>
    <t>70936560487</t>
  </si>
  <si>
    <t>ALEXANDRE MARTINS GOIS DE CARVALHO</t>
  </si>
  <si>
    <t>TR656982</t>
  </si>
  <si>
    <t>04708346417</t>
  </si>
  <si>
    <t>ANDERSON ARRUDA NASCIMENTO</t>
  </si>
  <si>
    <t>TR288014</t>
  </si>
  <si>
    <t>03510267460</t>
  </si>
  <si>
    <t>RICARDO SANTANA DA CRUZ</t>
  </si>
  <si>
    <t>TR666201</t>
  </si>
  <si>
    <t>80098908472</t>
  </si>
  <si>
    <t>LUIS DUARTE DA SILVA</t>
  </si>
  <si>
    <t>TR321344</t>
  </si>
  <si>
    <t>06088305428</t>
  </si>
  <si>
    <t>GLEIBSON GUIMARAES DA NOBREGA</t>
  </si>
  <si>
    <t>TR520815</t>
  </si>
  <si>
    <t>05962849426</t>
  </si>
  <si>
    <t>BHAYAN ROBSON FERNANDES DA SILVA</t>
  </si>
  <si>
    <t>TR588055</t>
  </si>
  <si>
    <t>10017327407</t>
  </si>
  <si>
    <t>LUIZ DOMINGOS DA SILVA</t>
  </si>
  <si>
    <t>TR254050</t>
  </si>
  <si>
    <t>41547225491</t>
  </si>
  <si>
    <t>ED NILDSON FERREIRA DA SILVA</t>
  </si>
  <si>
    <t>TR253481</t>
  </si>
  <si>
    <t>03780143402</t>
  </si>
  <si>
    <t>FRANCISCO THIAGO DE MOURA DANTAS</t>
  </si>
  <si>
    <t>TR610405</t>
  </si>
  <si>
    <t>07203855473</t>
  </si>
  <si>
    <t>PEDRO GERMANO LIMA SILVA</t>
  </si>
  <si>
    <t>TR538310</t>
  </si>
  <si>
    <t>05181928498</t>
  </si>
  <si>
    <t>JOAO MARIA BATISTA CANELA</t>
  </si>
  <si>
    <t>TR610415</t>
  </si>
  <si>
    <t>03499436485</t>
  </si>
  <si>
    <t>EDSON ANTONIO DA SILVA</t>
  </si>
  <si>
    <t>TR416350</t>
  </si>
  <si>
    <t>02710336499</t>
  </si>
  <si>
    <t>ANDREZA PRICILIA BARBOSA DA SILVA FERREIRA</t>
  </si>
  <si>
    <t>TR555645</t>
  </si>
  <si>
    <t>00965791459</t>
  </si>
  <si>
    <t>KLEBER FABIO GALDINO DE LIMA</t>
  </si>
  <si>
    <t>TR346339</t>
  </si>
  <si>
    <t>20088102831</t>
  </si>
  <si>
    <t>JOSIVAN COELHO BEZERRA</t>
  </si>
  <si>
    <t>TR594908</t>
  </si>
  <si>
    <t>09378676405</t>
  </si>
  <si>
    <t>ROGERS CORREA DE LIMA</t>
  </si>
  <si>
    <t>TR520541</t>
  </si>
  <si>
    <t>02923350405</t>
  </si>
  <si>
    <t>ALAN MORAES</t>
  </si>
  <si>
    <t>TR551864</t>
  </si>
  <si>
    <t>08322573464</t>
  </si>
  <si>
    <t>DORENILDO DOS SANTOS SILVA</t>
  </si>
  <si>
    <t>TR324103</t>
  </si>
  <si>
    <t>29367243847</t>
  </si>
  <si>
    <t>BRUNO EZEQUIEL DE OLIVEIRA</t>
  </si>
  <si>
    <t>TR396825</t>
  </si>
  <si>
    <t>03875861302</t>
  </si>
  <si>
    <t>HALISTON DA SILVA BARROS</t>
  </si>
  <si>
    <t>TR328212</t>
  </si>
  <si>
    <t>52631842391</t>
  </si>
  <si>
    <t>CICERO FERREIRA DA MOTA</t>
  </si>
  <si>
    <t>TR252256</t>
  </si>
  <si>
    <t>80693660368</t>
  </si>
  <si>
    <t>FRANCISCO ROGERIO NASCIMENTO DA SILVA</t>
  </si>
  <si>
    <t>TR344120</t>
  </si>
  <si>
    <t>35898968334</t>
  </si>
  <si>
    <t>ANA CRISTINA VICENTE NEVES</t>
  </si>
  <si>
    <t>TR635152</t>
  </si>
  <si>
    <t>75978482349</t>
  </si>
  <si>
    <t>FRANCISCO PIRES DA SILVA JUNIOR</t>
  </si>
  <si>
    <t>TR252469</t>
  </si>
  <si>
    <t>69569401320</t>
  </si>
  <si>
    <t>FRANSLEY DA SILVA PAZ</t>
  </si>
  <si>
    <t>TR317029</t>
  </si>
  <si>
    <t>43461271349</t>
  </si>
  <si>
    <t>JOSE AILSON FREIRES E SILVA</t>
  </si>
  <si>
    <t>TR495189</t>
  </si>
  <si>
    <t>02581242370</t>
  </si>
  <si>
    <t>KLEYTON BRAGA VICENTE</t>
  </si>
  <si>
    <t>TR563735</t>
  </si>
  <si>
    <t>02047611318</t>
  </si>
  <si>
    <t>RONALD LEITE QUEIROZ</t>
  </si>
  <si>
    <t>TR252887</t>
  </si>
  <si>
    <t>62293273334</t>
  </si>
  <si>
    <t>CARLOS ADIRLYS PEREIRA ANGELO</t>
  </si>
  <si>
    <t>TR559412</t>
  </si>
  <si>
    <t>01228720371</t>
  </si>
  <si>
    <t>FRANCISCO EDIGLEISON DOS SANTOS LOPES</t>
  </si>
  <si>
    <t>TR390255</t>
  </si>
  <si>
    <t>04302246308</t>
  </si>
  <si>
    <t>JORGE ROBERTO FERREIRA DE SOUSA</t>
  </si>
  <si>
    <t>TR252800</t>
  </si>
  <si>
    <t>28332539315</t>
  </si>
  <si>
    <t>RAMON RAULES DOS SANTOS</t>
  </si>
  <si>
    <t>TR257385</t>
  </si>
  <si>
    <t>02784067424</t>
  </si>
  <si>
    <t>GILBERTO PEDROZA DE LACERDA</t>
  </si>
  <si>
    <t>TR256763</t>
  </si>
  <si>
    <t>49880357434</t>
  </si>
  <si>
    <t>SEVERINO ELISANDRO DE SOUZA</t>
  </si>
  <si>
    <t>TR666203</t>
  </si>
  <si>
    <t>02473693498</t>
  </si>
  <si>
    <t>HOLDYR BITTENCOURT ALVES DE SOUZA</t>
  </si>
  <si>
    <t>TR256777</t>
  </si>
  <si>
    <t>80594298415</t>
  </si>
  <si>
    <t>GILCELIO PEREIRA DE ANDRADE</t>
  </si>
  <si>
    <t>TR609726</t>
  </si>
  <si>
    <t>03563694478</t>
  </si>
  <si>
    <t>NELSON GERONIMO DE LIMA SILVA</t>
  </si>
  <si>
    <t>TR653184</t>
  </si>
  <si>
    <t>06391476403</t>
  </si>
  <si>
    <t>MICHEL RODRIGUES MARTINIANO</t>
  </si>
  <si>
    <t>TR666200</t>
  </si>
  <si>
    <t>06965224460</t>
  </si>
  <si>
    <t>ANDRE RIBEIRO DA SILVA</t>
  </si>
  <si>
    <t>TR612280</t>
  </si>
  <si>
    <t>26577769818</t>
  </si>
  <si>
    <t>MARCELO ANTONIO DA SILVA</t>
  </si>
  <si>
    <t>TR257321</t>
  </si>
  <si>
    <t>46838872404</t>
  </si>
  <si>
    <t>FRANCISCO FREIRE DE ARAUJO NETO</t>
  </si>
  <si>
    <t>TR256715</t>
  </si>
  <si>
    <t>00121315479</t>
  </si>
  <si>
    <t>JOSENILTON CANDIDO CUNHA</t>
  </si>
  <si>
    <t>TR594181</t>
  </si>
  <si>
    <t>03517221490</t>
  </si>
  <si>
    <t>JOSE CRISTOVAO DOS SANTOS</t>
  </si>
  <si>
    <t>TR256812</t>
  </si>
  <si>
    <t>51521520453</t>
  </si>
  <si>
    <t>LAUDENBERG MEIRA DE MORAIS</t>
  </si>
  <si>
    <t>TR589295</t>
  </si>
  <si>
    <t>28784592885</t>
  </si>
  <si>
    <t>WELLINGTON DE ALBUQUERQUE MENDONCA</t>
  </si>
  <si>
    <t>TR344022</t>
  </si>
  <si>
    <t>01154035409</t>
  </si>
  <si>
    <t>LEYNAD LAIS RODRIGUES DA SILVA</t>
  </si>
  <si>
    <t>TR451999</t>
  </si>
  <si>
    <t>10248804430</t>
  </si>
  <si>
    <t>SERGIO DA SILVA QUARESMA</t>
  </si>
  <si>
    <t>TR257433</t>
  </si>
  <si>
    <t>03647817422</t>
  </si>
  <si>
    <t>LUCIANO DE BRITO SILVA</t>
  </si>
  <si>
    <t>TR257310</t>
  </si>
  <si>
    <t>03142106448</t>
  </si>
  <si>
    <t>RENAN CARVALHO CASTRO DA COSTA</t>
  </si>
  <si>
    <t>TR605451</t>
  </si>
  <si>
    <t>07776988464</t>
  </si>
  <si>
    <t>ALLYSON HENRIQUE MENDES DE LIMA</t>
  </si>
  <si>
    <t>TR666181</t>
  </si>
  <si>
    <t>08251935407</t>
  </si>
  <si>
    <t>RIVONALDO SOARES RAMALHO DA SILVA</t>
  </si>
  <si>
    <t>TR313401</t>
  </si>
  <si>
    <t>01461392403</t>
  </si>
  <si>
    <t>DIVALDO FERRER DE MORAES JUNIOR</t>
  </si>
  <si>
    <t>TR331098</t>
  </si>
  <si>
    <t>09508135409</t>
  </si>
  <si>
    <t>RIVAEL ALVES DA SILVA</t>
  </si>
  <si>
    <t>TR618815</t>
  </si>
  <si>
    <t>08442278460</t>
  </si>
  <si>
    <t>EDSON CARDOSO DE LIMA</t>
  </si>
  <si>
    <t>TC010561</t>
  </si>
  <si>
    <t>04228688411</t>
  </si>
  <si>
    <t>LUCILIO DE CASTRO ARAUJO JUNIOR</t>
  </si>
  <si>
    <t>TR653181</t>
  </si>
  <si>
    <t>11442912405</t>
  </si>
  <si>
    <t>RIZONALDO HENRIQUE DE MORAES</t>
  </si>
  <si>
    <t>TR356930</t>
  </si>
  <si>
    <t>04568342490</t>
  </si>
  <si>
    <t>JOSE CLAUDIO ARAUJO DA SILVA</t>
  </si>
  <si>
    <t>TR644485</t>
  </si>
  <si>
    <t>11257258427</t>
  </si>
  <si>
    <t>CICERO MARLON ARAUJO DE OLIVEIRA</t>
  </si>
  <si>
    <t>TR312707</t>
  </si>
  <si>
    <t>06104736467</t>
  </si>
  <si>
    <t>CLAUDENCIO DA SILVA ALBUQUERQUE</t>
  </si>
  <si>
    <t>TR324242</t>
  </si>
  <si>
    <t>02238117423</t>
  </si>
  <si>
    <t>ERIVAN ALVES CORDEIRO</t>
  </si>
  <si>
    <t>TR363940</t>
  </si>
  <si>
    <t>05697651457</t>
  </si>
  <si>
    <t>JADEMILSON INACIO DOS SANTOS</t>
  </si>
  <si>
    <t>TR368854</t>
  </si>
  <si>
    <t>85584150720</t>
  </si>
  <si>
    <t>EDEZIO DE BARROS RIBEIRO</t>
  </si>
  <si>
    <t>TR443584</t>
  </si>
  <si>
    <t>08189627473</t>
  </si>
  <si>
    <t>EDYLSON DANTAS DOS SANTOS</t>
  </si>
  <si>
    <t>TR256685</t>
  </si>
  <si>
    <t>52604578468</t>
  </si>
  <si>
    <t>ADRIANO RODRIGUES</t>
  </si>
  <si>
    <t>TC058208</t>
  </si>
  <si>
    <t>02911161408</t>
  </si>
  <si>
    <t>JOSE NOBRE DE MESQUITA FILHO</t>
  </si>
  <si>
    <t>TR258713</t>
  </si>
  <si>
    <t>30817145400</t>
  </si>
  <si>
    <t>ELSON ARAUJO DO NASCIMENTO</t>
  </si>
  <si>
    <t>TR533705</t>
  </si>
  <si>
    <t>09674703403</t>
  </si>
  <si>
    <t>FERNANDO MOREIRA DE OLIVEIRA JUNIOR</t>
  </si>
  <si>
    <t>TR363942</t>
  </si>
  <si>
    <t>00886468400</t>
  </si>
  <si>
    <t>JOSE NAILSON GONCALVES DE SOUZA</t>
  </si>
  <si>
    <t>TR260962</t>
  </si>
  <si>
    <t>68668970410</t>
  </si>
  <si>
    <t>JOSE AILTON ALVES FERREIRA</t>
  </si>
  <si>
    <t>TR575688</t>
  </si>
  <si>
    <t>05531313462</t>
  </si>
  <si>
    <t>LUIS AARAO DA SILVA JUNIO</t>
  </si>
  <si>
    <t>TR644486</t>
  </si>
  <si>
    <t>12444001494</t>
  </si>
  <si>
    <t>AGILSON DA SILVA FERREIRA</t>
  </si>
  <si>
    <t>TR256675</t>
  </si>
  <si>
    <t>99074028420</t>
  </si>
  <si>
    <t>DIEGO LUCILIO FERREIRA ARAUJO</t>
  </si>
  <si>
    <t>TR575679</t>
  </si>
  <si>
    <t>07391771414</t>
  </si>
  <si>
    <t>KELLISANDRY JOSE RAMOS DE QUEIROZ</t>
  </si>
  <si>
    <t>TR515962</t>
  </si>
  <si>
    <t>ADSLDG, ADSLINST, ADSLMUD, ADSLREP, ADSLRET, ADSLSRV, CRFE, LAINST, LAMUD, LAREP, LARET, LASRV, TPHGN, TPINST, TPMUD, TPPREV, TPPRV, TPREP, TPRET, TPSRV, VAINST</t>
  </si>
  <si>
    <t>02841597431</t>
  </si>
  <si>
    <t>FABIO JUNIOR FERREIRA DA SILVA</t>
  </si>
  <si>
    <t>TR435936</t>
  </si>
  <si>
    <t>03388675465</t>
  </si>
  <si>
    <t>JAILSON PINHEIRO DOS SANTOS</t>
  </si>
  <si>
    <t>TR320080</t>
  </si>
  <si>
    <t>02399668480</t>
  </si>
  <si>
    <t>FABIO HENRIQUE PEREIRA</t>
  </si>
  <si>
    <t>TR515935</t>
  </si>
  <si>
    <t>60049871404</t>
  </si>
  <si>
    <t>GENIVALDO RIBEIRO DE MELO</t>
  </si>
  <si>
    <t>TR529651</t>
  </si>
  <si>
    <t>97472506400</t>
  </si>
  <si>
    <t>DAYVID EMMANUEL RAMOS SIMAO</t>
  </si>
  <si>
    <t>TR469577</t>
  </si>
  <si>
    <t>05767422443</t>
  </si>
  <si>
    <t>ALEXSANDRO DA SILVA SOUSA</t>
  </si>
  <si>
    <t>TR610926</t>
  </si>
  <si>
    <t>03677280443</t>
  </si>
  <si>
    <t>EDSON VIEIRA DA SILVA</t>
  </si>
  <si>
    <t>TR389732</t>
  </si>
  <si>
    <t>02998496431</t>
  </si>
  <si>
    <t>IVAN PEREIRA DA SILVA JUNIOR</t>
  </si>
  <si>
    <t>TR641064</t>
  </si>
  <si>
    <t>70159430429</t>
  </si>
  <si>
    <t>CLEITON JOSE DA SILVA</t>
  </si>
  <si>
    <t>TR657669</t>
  </si>
  <si>
    <t>04691523464</t>
  </si>
  <si>
    <t>DIOGO CARDOZO DA SILVA</t>
  </si>
  <si>
    <t>TR657142</t>
  </si>
  <si>
    <t>07120215400</t>
  </si>
  <si>
    <t>FLAVIO ROBERTO XAVIER DA SILVA</t>
  </si>
  <si>
    <t>TR467324</t>
  </si>
  <si>
    <t>03435054441</t>
  </si>
  <si>
    <t>WELLINGTON CORREIA DA SILVA</t>
  </si>
  <si>
    <t>TR254118</t>
  </si>
  <si>
    <t>03284734481</t>
  </si>
  <si>
    <t>WILTON PAULINO DA SILVA</t>
  </si>
  <si>
    <t>TR330984</t>
  </si>
  <si>
    <t>84693738468</t>
  </si>
  <si>
    <t>DAVI FERNANDES DA SILVA</t>
  </si>
  <si>
    <t>TR317103</t>
  </si>
  <si>
    <t>01292114436</t>
  </si>
  <si>
    <t>MARCOS ANTONIO BATISTA DE OLIVEIRA</t>
  </si>
  <si>
    <t>TR403777</t>
  </si>
  <si>
    <t>62908359391</t>
  </si>
  <si>
    <t>RAFAEL ROMUALDO GUIMARAES PIMENTA</t>
  </si>
  <si>
    <t>TR531195</t>
  </si>
  <si>
    <t>01211591328</t>
  </si>
  <si>
    <t>FRANCINILTON ALVES DE SOUSA</t>
  </si>
  <si>
    <t>TR432774</t>
  </si>
  <si>
    <t>65798180344</t>
  </si>
  <si>
    <t>DIEGO DE MESQUITA PEREIRA</t>
  </si>
  <si>
    <t>TR566730</t>
  </si>
  <si>
    <t>60587420308</t>
  </si>
  <si>
    <t>LEANDRO VIEIRA DE CASTRO</t>
  </si>
  <si>
    <t>TR432812</t>
  </si>
  <si>
    <t>96605650387</t>
  </si>
  <si>
    <t>LEANDRO LIMA FREITAS</t>
  </si>
  <si>
    <t>TR610401</t>
  </si>
  <si>
    <t>05021274309</t>
  </si>
  <si>
    <t>JOSE LUIZ SANTOS NASCIMENTO</t>
  </si>
  <si>
    <t>TR568037</t>
  </si>
  <si>
    <t>01377069362</t>
  </si>
  <si>
    <t>RODRIGO MEIRELES CASTRO</t>
  </si>
  <si>
    <t>TR581559</t>
  </si>
  <si>
    <t>01699071390</t>
  </si>
  <si>
    <t>JOSE GLEIDSON DE SOUZA VIEIRA</t>
  </si>
  <si>
    <t>TR619383</t>
  </si>
  <si>
    <t>87309602315</t>
  </si>
  <si>
    <t>MARCOS FERNANDO ANDRADE DE OLIVEIRA</t>
  </si>
  <si>
    <t>TR445830</t>
  </si>
  <si>
    <t>07232924429</t>
  </si>
  <si>
    <t>HELIO RODRIGUES DA SILVA</t>
  </si>
  <si>
    <t>TR256776</t>
  </si>
  <si>
    <t>06792105473</t>
  </si>
  <si>
    <t>FABIO CAVALCANTI CARVALHO</t>
  </si>
  <si>
    <t>TC048405</t>
  </si>
  <si>
    <t>92307051449</t>
  </si>
  <si>
    <t>CLEVSON SILVA DE ARAUJO</t>
  </si>
  <si>
    <t>TR572070</t>
  </si>
  <si>
    <t>01458293408</t>
  </si>
  <si>
    <t>ALDENIR OLIVEIRA DOS SANTOS</t>
  </si>
  <si>
    <t>TR330121</t>
  </si>
  <si>
    <t>41434692353</t>
  </si>
  <si>
    <t>EMANUEL ALBERTO DE SOUSA MONTEIRO</t>
  </si>
  <si>
    <t>TR253156</t>
  </si>
  <si>
    <t>83673890344</t>
  </si>
  <si>
    <t>DYHEGO FEERNANDEZ DO NASCIMENTO SANTOS</t>
  </si>
  <si>
    <t>DIEGO MARTINS DE VASCONCELOS</t>
  </si>
  <si>
    <t>TR331003</t>
  </si>
  <si>
    <t>04945649464</t>
  </si>
  <si>
    <t>EDILSON DE SOUZA MACENA</t>
  </si>
  <si>
    <t>TR655777</t>
  </si>
  <si>
    <t>TEC REDE II</t>
  </si>
  <si>
    <t>04853659447</t>
  </si>
  <si>
    <t>ROBERTO LOURENCO SANTANA</t>
  </si>
  <si>
    <t>TR259843</t>
  </si>
  <si>
    <t>82432260449</t>
  </si>
  <si>
    <t>DAVSON FRANCISCO DA SILVA</t>
  </si>
  <si>
    <t>TR369504</t>
  </si>
  <si>
    <t>09022030458</t>
  </si>
  <si>
    <t>MICHELINO CORREIA DA SILVA</t>
  </si>
  <si>
    <t>TR455590</t>
  </si>
  <si>
    <t>05477446412</t>
  </si>
  <si>
    <t>ERISON FERREIRA DE LIMA</t>
  </si>
  <si>
    <t>TR257362</t>
  </si>
  <si>
    <t>03024618414</t>
  </si>
  <si>
    <t>NAADSON LARANJEIRA DOS SANTOS</t>
  </si>
  <si>
    <t>TR567420</t>
  </si>
  <si>
    <t>02713959403</t>
  </si>
  <si>
    <t>JOSE RENILDO CAROLINO</t>
  </si>
  <si>
    <t>TR253834</t>
  </si>
  <si>
    <t>03017069486</t>
  </si>
  <si>
    <t>JOSE ARAUJO DA SILVA NETO</t>
  </si>
  <si>
    <t>TR256697</t>
  </si>
  <si>
    <t>04599647470</t>
  </si>
  <si>
    <t>EDIVAL PEREIRA LEITAO</t>
  </si>
  <si>
    <t>TR605442</t>
  </si>
  <si>
    <t>92837654353</t>
  </si>
  <si>
    <t>CARLOS BRUNO CARNEIRO BEZERRA</t>
  </si>
  <si>
    <t>TC056470</t>
  </si>
  <si>
    <t>01999551311</t>
  </si>
  <si>
    <t>FRANCISCO RAFAEL DE ANDRADE NETO</t>
  </si>
  <si>
    <t>TC027325</t>
  </si>
  <si>
    <t>02081426307</t>
  </si>
  <si>
    <t>LEANDRO BARBOSA DA SILVA</t>
  </si>
  <si>
    <t>TR252835</t>
  </si>
  <si>
    <t>95401750382</t>
  </si>
  <si>
    <t>JOAO THIAGO DOS SANTOS SOUZA</t>
  </si>
  <si>
    <t>TR403258</t>
  </si>
  <si>
    <t>00089548361</t>
  </si>
  <si>
    <t>EVALDO GOMES PINHEIRO</t>
  </si>
  <si>
    <t>TR563092</t>
  </si>
  <si>
    <t>87630206372</t>
  </si>
  <si>
    <t>ROSEMBERG SOUZA SANTANA</t>
  </si>
  <si>
    <t>TR622575</t>
  </si>
  <si>
    <t>06670591306</t>
  </si>
  <si>
    <t>STENIO ALVES DE LIMA</t>
  </si>
  <si>
    <t>TR663305</t>
  </si>
  <si>
    <t>55869963320</t>
  </si>
  <si>
    <t>MARCELO LOURENCO DE AZEVEDO</t>
  </si>
  <si>
    <t>TR609520</t>
  </si>
  <si>
    <t>01815887303</t>
  </si>
  <si>
    <t>JANSEN MENESES DE ARAUJO</t>
  </si>
  <si>
    <t>TR610816</t>
  </si>
  <si>
    <t>02606246322</t>
  </si>
  <si>
    <t>JOSE ANDERSON CRUZ DOS SANTOS</t>
  </si>
  <si>
    <t>TR526980</t>
  </si>
  <si>
    <t>65007883387</t>
  </si>
  <si>
    <t>ANTONIO FRANCISCO NOBRE DO NASCIMENTO</t>
  </si>
  <si>
    <t>TR253074</t>
  </si>
  <si>
    <t>62797450310</t>
  </si>
  <si>
    <t>ANDRE NASCIMENTO DOS SANTOS</t>
  </si>
  <si>
    <t>TR328458</t>
  </si>
  <si>
    <t>85576301315</t>
  </si>
  <si>
    <t>JOSE ALBERTO PEREIRA BARROS</t>
  </si>
  <si>
    <t>TR255187</t>
  </si>
  <si>
    <t>23436760382</t>
  </si>
  <si>
    <t>ROBSON PINTO LOPES</t>
  </si>
  <si>
    <t>TR623645</t>
  </si>
  <si>
    <t>03524687342</t>
  </si>
  <si>
    <t>NIWMARIO FREIRES DE OLIVEIRA</t>
  </si>
  <si>
    <t>TC059361</t>
  </si>
  <si>
    <t>02125470381</t>
  </si>
  <si>
    <t>GEAN CARLOS FERNANDES TEIXEIRA</t>
  </si>
  <si>
    <t>TR252750</t>
  </si>
  <si>
    <t>76033309391</t>
  </si>
  <si>
    <t>CICERO LEONARDO DE ALMEIDA ALVES</t>
  </si>
  <si>
    <t>TR578448</t>
  </si>
  <si>
    <t>03048671366</t>
  </si>
  <si>
    <t>JOSE FABIANO MEDEIROS DE ARAUJO</t>
  </si>
  <si>
    <t>TR252343</t>
  </si>
  <si>
    <t>02966192488</t>
  </si>
  <si>
    <t>FRANCISCO RANIERES MARTINS</t>
  </si>
  <si>
    <t>TR252320</t>
  </si>
  <si>
    <t>26263203315</t>
  </si>
  <si>
    <t>FRANCISCO SAVIO BEZERRA</t>
  </si>
  <si>
    <t>TR284477</t>
  </si>
  <si>
    <t>27652092353</t>
  </si>
  <si>
    <t>LUIZ RICARDISON OLIVEIRA DE SOUZA</t>
  </si>
  <si>
    <t>TR572673</t>
  </si>
  <si>
    <t>05682293398</t>
  </si>
  <si>
    <t>FRANCISCO RICARDO LOURENCO DA SILVA</t>
  </si>
  <si>
    <t>TR257027</t>
  </si>
  <si>
    <t>34715614391</t>
  </si>
  <si>
    <t>JEAN CARLOS SANTANA BEZERRA</t>
  </si>
  <si>
    <t>TC006473</t>
  </si>
  <si>
    <t>61986844315</t>
  </si>
  <si>
    <t>JOSE NILTON BEZERRA</t>
  </si>
  <si>
    <t>TR252345</t>
  </si>
  <si>
    <t>30792843304</t>
  </si>
  <si>
    <t>FRANCISCO SAVIO DE SOUZA MELO</t>
  </si>
  <si>
    <t>TR359606</t>
  </si>
  <si>
    <t>00015234304</t>
  </si>
  <si>
    <t>ESTERFANIO MARQUES DE SOUZA</t>
  </si>
  <si>
    <t>TR269831</t>
  </si>
  <si>
    <t>76979989391</t>
  </si>
  <si>
    <t>FRANCISCO DENIS SILVA MELO</t>
  </si>
  <si>
    <t>TC049733</t>
  </si>
  <si>
    <t>01429937351</t>
  </si>
  <si>
    <t>JOAO DA CRUZ ALVES</t>
  </si>
  <si>
    <t>TC027847</t>
  </si>
  <si>
    <t>4P</t>
  </si>
  <si>
    <t>82199957349</t>
  </si>
  <si>
    <t>THIAGO ATILA MADEIRA PINTO</t>
  </si>
  <si>
    <t>TR390270</t>
  </si>
  <si>
    <t>02529065357</t>
  </si>
  <si>
    <t>FRANCISCO AURIVAN ALVES DA SILVA</t>
  </si>
  <si>
    <t>TR576542</t>
  </si>
  <si>
    <t>84091266304</t>
  </si>
  <si>
    <t>EDSON GIL LIMA SANTOS</t>
  </si>
  <si>
    <t>TR360144</t>
  </si>
  <si>
    <t>03182001396</t>
  </si>
  <si>
    <t>JOSE ARAUJO MACEDO</t>
  </si>
  <si>
    <t>TR360445</t>
  </si>
  <si>
    <t>03256005381</t>
  </si>
  <si>
    <t>FRANCIMAR FRANCISCO DE ARAUJO</t>
  </si>
  <si>
    <t>TR483182</t>
  </si>
  <si>
    <t>66860660368</t>
  </si>
  <si>
    <t>EMESSON BRUNO FERREIRA DA SILVA</t>
  </si>
  <si>
    <t>TC058203</t>
  </si>
  <si>
    <t>04461167348</t>
  </si>
  <si>
    <t>JOSE REMILSON SOUZA GONCALVES</t>
  </si>
  <si>
    <t>TR360424</t>
  </si>
  <si>
    <t>60022149333</t>
  </si>
  <si>
    <t>GILDERLAN MARINHO DA SILVA</t>
  </si>
  <si>
    <t>TR312475</t>
  </si>
  <si>
    <t>03226785362</t>
  </si>
  <si>
    <t>LUIS JOSE ANDRADE LIMA FILHO</t>
  </si>
  <si>
    <t>TR308169</t>
  </si>
  <si>
    <t>96283815472</t>
  </si>
  <si>
    <t>IVANILDO GONCALO DA SILVA</t>
  </si>
  <si>
    <t>TR571187</t>
  </si>
  <si>
    <t>03256603440</t>
  </si>
  <si>
    <t>ADRIANA CORCINA DE ALBUQUERQUE</t>
  </si>
  <si>
    <t>TC020531</t>
  </si>
  <si>
    <t>52155145420</t>
  </si>
  <si>
    <t>GILBERTO LOURENCO DA ROCHA</t>
  </si>
  <si>
    <t>TR257434</t>
  </si>
  <si>
    <t>34380710459</t>
  </si>
  <si>
    <t>CARLOS EDUARDO FERNANDES NUNES</t>
  </si>
  <si>
    <t>TR284186</t>
  </si>
  <si>
    <t>66619041434</t>
  </si>
  <si>
    <t>JOAO PAULO DA SILVA LIMA</t>
  </si>
  <si>
    <t>TR559435</t>
  </si>
  <si>
    <t>00105862371</t>
  </si>
  <si>
    <t>GILDASIO COELHO MARREIRO</t>
  </si>
  <si>
    <t>TR317036</t>
  </si>
  <si>
    <t>26284185847</t>
  </si>
  <si>
    <t>ANTONIO GILENO FREIRE DOS SANTOS</t>
  </si>
  <si>
    <t>TR262160</t>
  </si>
  <si>
    <t>03425515314</t>
  </si>
  <si>
    <t>JOSE VANDEILSON MATOS SILVA</t>
  </si>
  <si>
    <t>TR323544</t>
  </si>
  <si>
    <t>04633050354</t>
  </si>
  <si>
    <t>FLAVIO CASSIO BATISTA DE FARIAS</t>
  </si>
  <si>
    <t>TR357838</t>
  </si>
  <si>
    <t>09508667419</t>
  </si>
  <si>
    <t>JOSE RICARDO DE MOURA PEREIRA</t>
  </si>
  <si>
    <t>TR254012</t>
  </si>
  <si>
    <t>93578210404</t>
  </si>
  <si>
    <t>CIDELVE CICERO SANTOS</t>
  </si>
  <si>
    <t>TR315026</t>
  </si>
  <si>
    <t>83235620400</t>
  </si>
  <si>
    <t>FRANCISCO SERGIO DE OLIVEIRA DE SOUZA</t>
  </si>
  <si>
    <t>TR365349</t>
  </si>
  <si>
    <t>05565118328</t>
  </si>
  <si>
    <t>JOSE WILLIAN SANTOS DA COSTA</t>
  </si>
  <si>
    <t>TC049428</t>
  </si>
  <si>
    <t>04021838350</t>
  </si>
  <si>
    <t>MAURINO JOSE DA SILVA</t>
  </si>
  <si>
    <t>TR267752</t>
  </si>
  <si>
    <t>03892087440</t>
  </si>
  <si>
    <t>GILSON JOAO BEZERRA MONTEIRO JUNIOR</t>
  </si>
  <si>
    <t>TR527023</t>
  </si>
  <si>
    <t>07236309419</t>
  </si>
  <si>
    <t>FELIPE HENRIQUE CASSIMIRO DA SILVA</t>
  </si>
  <si>
    <t>TC015537</t>
  </si>
  <si>
    <t>03943501469</t>
  </si>
  <si>
    <t>SILVIO ROMERO ALMEIDA DE OLIVEIRA</t>
  </si>
  <si>
    <t>TC013470</t>
  </si>
  <si>
    <t>79666205491</t>
  </si>
  <si>
    <t>SAMUEL TAVARES DE FREITAS</t>
  </si>
  <si>
    <t>TC012604</t>
  </si>
  <si>
    <t>03801914402</t>
  </si>
  <si>
    <t>MARIA BETANIA DA SILVA LEITE</t>
  </si>
  <si>
    <t>TC016870</t>
  </si>
  <si>
    <t>43179410400</t>
  </si>
  <si>
    <t>CLEDINALDO DO NASCIMENTO</t>
  </si>
  <si>
    <t>TR570530</t>
  </si>
  <si>
    <t>53198506468</t>
  </si>
  <si>
    <t>LUCIANE BESERRA DA SILVA</t>
  </si>
  <si>
    <t>TC049348</t>
  </si>
  <si>
    <t>61451649487</t>
  </si>
  <si>
    <t>JOSE ROBERTO MEDEIROS FERREIRA</t>
  </si>
  <si>
    <t>ADRIANO VICENTE FERREIRA</t>
  </si>
  <si>
    <t>TR623644</t>
  </si>
  <si>
    <t>03678518494</t>
  </si>
  <si>
    <t>PEDRO FRANCISCO DA SILVA</t>
  </si>
  <si>
    <t>TR389184</t>
  </si>
  <si>
    <t>09320103429</t>
  </si>
  <si>
    <t>JAILSON MARINHO DE OLIVEIRA</t>
  </si>
  <si>
    <t>TR335233</t>
  </si>
  <si>
    <t>04519529441</t>
  </si>
  <si>
    <t>JOABSON GUEDES DE ARAUJO</t>
  </si>
  <si>
    <t>TR259134</t>
  </si>
  <si>
    <t>00814090443</t>
  </si>
  <si>
    <t>EDIVALDO JOSE DE OLIVEIRA</t>
  </si>
  <si>
    <t>TR317054</t>
  </si>
  <si>
    <t>17135672453</t>
  </si>
  <si>
    <t>SERAFIM JOSE VIEIRA SOUZA</t>
  </si>
  <si>
    <t>FERNANDO TOSCANO ALVES</t>
  </si>
  <si>
    <t>TR615538</t>
  </si>
  <si>
    <t>07426783421</t>
  </si>
  <si>
    <t>ROBSON AUGUSTO SANTOS LIMA</t>
  </si>
  <si>
    <t>TR623673</t>
  </si>
  <si>
    <t>61755761520</t>
  </si>
  <si>
    <t>KLEBSON COSME SILVINO BATISTA</t>
  </si>
  <si>
    <t>TR333606</t>
  </si>
  <si>
    <t>06720909452</t>
  </si>
  <si>
    <t>FAGNER MOREIRA DA SILVA</t>
  </si>
  <si>
    <t>TR254705</t>
  </si>
  <si>
    <t>85761770300</t>
  </si>
  <si>
    <t>VALMIR RODRIGUES DE OLIVEIRA</t>
  </si>
  <si>
    <t>TR252419</t>
  </si>
  <si>
    <t>55347010134</t>
  </si>
  <si>
    <t>SANDOVAL GOMES DA COSTA</t>
  </si>
  <si>
    <t>TR252414</t>
  </si>
  <si>
    <t>50675451353</t>
  </si>
  <si>
    <t>HALDSON PEREIRA BARBOSA DE MEDEIROS</t>
  </si>
  <si>
    <t>TR691192</t>
  </si>
  <si>
    <t>06178859406</t>
  </si>
  <si>
    <t>LUIZ AUGUSTO DE MELLO SANTANA</t>
  </si>
  <si>
    <t>TR411496</t>
  </si>
  <si>
    <t>55110878404</t>
  </si>
  <si>
    <t>EMERSON JOSE DE LIRA</t>
  </si>
  <si>
    <t>RODRIGO CARDOZO GUIMARAES DA SILVA</t>
  </si>
  <si>
    <t>TR327496</t>
  </si>
  <si>
    <t>04908765448</t>
  </si>
  <si>
    <t>JOSE ELIVELTON PEREIRA DA SILVA</t>
  </si>
  <si>
    <t>TR691194</t>
  </si>
  <si>
    <t>09852991426</t>
  </si>
  <si>
    <t>FRANCIERES REGILDO PROCOPIO SILVA</t>
  </si>
  <si>
    <t>TR373331</t>
  </si>
  <si>
    <t>09684186436</t>
  </si>
  <si>
    <t>PAULO BERNARDINO DE SOUZA</t>
  </si>
  <si>
    <t>TR331778</t>
  </si>
  <si>
    <t>50152424415</t>
  </si>
  <si>
    <t>TOMIRES SALES CAMPELO JUNIOR</t>
  </si>
  <si>
    <t>TR610179</t>
  </si>
  <si>
    <t>11499118406</t>
  </si>
  <si>
    <t>PAULO SERGIO DA SILVA</t>
  </si>
  <si>
    <t>TR257334</t>
  </si>
  <si>
    <t>50984896449</t>
  </si>
  <si>
    <t>VINICIUS OLIVEIRA DO NASCIMENTO</t>
  </si>
  <si>
    <t>TR386937</t>
  </si>
  <si>
    <t>08015388406</t>
  </si>
  <si>
    <t>FLAVIO AUGUSTO DO NASCIMENTO</t>
  </si>
  <si>
    <t>TR301713</t>
  </si>
  <si>
    <t>05676963409</t>
  </si>
  <si>
    <t>JOSIVALDO DOS SANTOS OLIVEIRA JUNIOR</t>
  </si>
  <si>
    <t>TR691196</t>
  </si>
  <si>
    <t>10701792485</t>
  </si>
  <si>
    <t>THOMAZ FRANCISCO DE AQUINO</t>
  </si>
  <si>
    <t>TR565325</t>
  </si>
  <si>
    <t>09177559444</t>
  </si>
  <si>
    <t>JOSE DA SILVA LUIZ</t>
  </si>
  <si>
    <t>TR488131</t>
  </si>
  <si>
    <t>08592308488</t>
  </si>
  <si>
    <t>DIEGO MAYCON SOARES DA SILVA</t>
  </si>
  <si>
    <t>TR565993</t>
  </si>
  <si>
    <t>07460728489</t>
  </si>
  <si>
    <t>SUETONIO CARLOS XAVIER PINTO</t>
  </si>
  <si>
    <t>TR262930</t>
  </si>
  <si>
    <t>35262982468</t>
  </si>
  <si>
    <t>FRANCISCO HELDER PEREIRA DE FREITAS</t>
  </si>
  <si>
    <t>TR591871</t>
  </si>
  <si>
    <t>83270779372</t>
  </si>
  <si>
    <t>DANIEL GONCALVES CAVALCANTE</t>
  </si>
  <si>
    <t>TR360143</t>
  </si>
  <si>
    <t>01764053303</t>
  </si>
  <si>
    <t>JOAO ROMARIO RABELO MOISES</t>
  </si>
  <si>
    <t>TR577503</t>
  </si>
  <si>
    <t>04196077145</t>
  </si>
  <si>
    <t>GILVAN SILVA DE QUEIROZ</t>
  </si>
  <si>
    <t>TR360379</t>
  </si>
  <si>
    <t>04107737357</t>
  </si>
  <si>
    <t>JOSE EDSON MARTINS DO CARMO</t>
  </si>
  <si>
    <t>TR319247</t>
  </si>
  <si>
    <t>21026777372</t>
  </si>
  <si>
    <t>ROGERIO RODRIGUES DA COSTA</t>
  </si>
  <si>
    <t>TR601116</t>
  </si>
  <si>
    <t>00466561385</t>
  </si>
  <si>
    <t>EDICARLOS MENEZES DOS SANTOS</t>
  </si>
  <si>
    <t>TR610935</t>
  </si>
  <si>
    <t>05812152497</t>
  </si>
  <si>
    <t>FRANCISCO CLAUDIO LINS DA ROCHA</t>
  </si>
  <si>
    <t>TR284162</t>
  </si>
  <si>
    <t>45484589304</t>
  </si>
  <si>
    <t>EMANUEL MADSON CONSTANTINO BEZERRA</t>
  </si>
  <si>
    <t>TR577484</t>
  </si>
  <si>
    <t>04867724386</t>
  </si>
  <si>
    <t>ANTONIO AILTON DA SILVA SANTOS</t>
  </si>
  <si>
    <t>TR440684</t>
  </si>
  <si>
    <t>02512740390</t>
  </si>
  <si>
    <t>JOSE RICARDO CONSTANTINO DO MONTE</t>
  </si>
  <si>
    <t>TR666474</t>
  </si>
  <si>
    <t>01533540381</t>
  </si>
  <si>
    <t>JOAO CEZARIO DA SILVA</t>
  </si>
  <si>
    <t>TR666482</t>
  </si>
  <si>
    <t>30317568353</t>
  </si>
  <si>
    <t>GERSON GOMES DE SOUSA</t>
  </si>
  <si>
    <t>TR432792</t>
  </si>
  <si>
    <t>03599468362</t>
  </si>
  <si>
    <t>FRANCISCO LUCAS XAVIER DAS CHAGAS</t>
  </si>
  <si>
    <t>TR666476</t>
  </si>
  <si>
    <t>02511913380</t>
  </si>
  <si>
    <t>EMILIANO MOREIRA VIANA</t>
  </si>
  <si>
    <t>TR326209</t>
  </si>
  <si>
    <t>14095440368</t>
  </si>
  <si>
    <t>JOAO UELTON DA SILVA BARBOSA</t>
  </si>
  <si>
    <t>TR360382</t>
  </si>
  <si>
    <t>03061056327</t>
  </si>
  <si>
    <t>CARLOS VINICIUS MENDES DA SILVA</t>
  </si>
  <si>
    <t>TR687508</t>
  </si>
  <si>
    <t>05870996317</t>
  </si>
  <si>
    <t>JARDIEL ALVES DE ALMEIDA</t>
  </si>
  <si>
    <t>TR289934</t>
  </si>
  <si>
    <t>ADSLINST, ADSLMUD, ADSLPREV, ADSLPRV, ADSLREP, ADSLSRV, ADSLVSP, CRFE, LAINST, LAMUD, LAPREV, LAPRV, LAREP, LASRV, LAVSP, VAINST</t>
  </si>
  <si>
    <t>12/08/2019</t>
  </si>
  <si>
    <t>05/08/2019</t>
  </si>
  <si>
    <t>31/07/2019</t>
  </si>
  <si>
    <t>19/08/2019</t>
  </si>
  <si>
    <t>15/05/2019</t>
  </si>
  <si>
    <t>06/02/2019</t>
  </si>
  <si>
    <t>14/05/2019</t>
  </si>
  <si>
    <t>03/04/2019</t>
  </si>
  <si>
    <t>19/12/2018</t>
  </si>
  <si>
    <t>18/10/2018</t>
  </si>
  <si>
    <t>03/07/2019</t>
  </si>
  <si>
    <t>25/06/2019</t>
  </si>
  <si>
    <t>22/08/2018</t>
  </si>
  <si>
    <t>04/10/2018</t>
  </si>
  <si>
    <t>24/04/2019</t>
  </si>
  <si>
    <t>20/05/2019</t>
  </si>
  <si>
    <t>31/10/2018</t>
  </si>
  <si>
    <t>13/02/2019</t>
  </si>
  <si>
    <t>22/02/2019</t>
  </si>
  <si>
    <t>10/06/2019</t>
  </si>
  <si>
    <t>05/06/2019</t>
  </si>
  <si>
    <t>26/04/2019</t>
  </si>
  <si>
    <t>17/04/2019</t>
  </si>
  <si>
    <t>28/11/2018</t>
  </si>
  <si>
    <t>26/08/2019</t>
  </si>
  <si>
    <t>07/07/2019</t>
  </si>
  <si>
    <t>12/06/2019</t>
  </si>
  <si>
    <t>08/05/2018</t>
  </si>
  <si>
    <t>08/05/2019</t>
  </si>
  <si>
    <t>14/01/2019</t>
  </si>
  <si>
    <t>13/03/2019</t>
  </si>
  <si>
    <t>19/04/2019</t>
  </si>
  <si>
    <t>07/11/2018</t>
  </si>
  <si>
    <t>07/08/2019</t>
  </si>
  <si>
    <t>07/04/2019</t>
  </si>
  <si>
    <t>10/10/2018</t>
  </si>
  <si>
    <t>06/03/2019</t>
  </si>
  <si>
    <t>02/01/2019</t>
  </si>
  <si>
    <t>03/06/2019</t>
  </si>
  <si>
    <t>13/03/2018</t>
  </si>
  <si>
    <t>16/01/2019</t>
  </si>
  <si>
    <t>29/11/2018</t>
  </si>
  <si>
    <t>17/10/2018</t>
  </si>
  <si>
    <t>23/05/2019</t>
  </si>
  <si>
    <t>27/03/2019</t>
  </si>
  <si>
    <t>17/12/2018</t>
  </si>
  <si>
    <t>20/11/2018</t>
  </si>
  <si>
    <t>06/05/2019</t>
  </si>
  <si>
    <t>01/05/2019</t>
  </si>
  <si>
    <t>16/06/2019</t>
  </si>
  <si>
    <t>03/10/2018</t>
  </si>
  <si>
    <t>18/05/2018</t>
  </si>
  <si>
    <t>17/06/2019</t>
  </si>
  <si>
    <t>09/05/2019</t>
  </si>
  <si>
    <t>07/01/2019</t>
  </si>
  <si>
    <t>02/06/2019</t>
  </si>
  <si>
    <t>07/06/2019</t>
  </si>
  <si>
    <t>24/03/2019</t>
  </si>
  <si>
    <t>23/01/2019</t>
  </si>
  <si>
    <t>26/03/2019</t>
  </si>
  <si>
    <t>10/05/2019</t>
  </si>
  <si>
    <t>25/01/2019</t>
  </si>
  <si>
    <t>10/07/2019</t>
  </si>
  <si>
    <t>28/03/2019</t>
  </si>
  <si>
    <t>17/07/2019</t>
  </si>
  <si>
    <t>07/05/2019</t>
  </si>
  <si>
    <t>29/05/2019</t>
  </si>
  <si>
    <t>04/02/2019</t>
  </si>
  <si>
    <t>21/06/2019</t>
  </si>
  <si>
    <t>10/04/2019</t>
  </si>
  <si>
    <t>15/06/2019</t>
  </si>
  <si>
    <t>16/03/2018</t>
  </si>
  <si>
    <t>07/03/2019</t>
  </si>
  <si>
    <t>06/12/2018</t>
  </si>
  <si>
    <t>01/02/2019</t>
  </si>
  <si>
    <t>17/01/2019</t>
  </si>
  <si>
    <t>12/05/2019</t>
  </si>
  <si>
    <t>23/03/2019</t>
  </si>
  <si>
    <t>16/02/2019</t>
  </si>
  <si>
    <t>04/12/2018</t>
  </si>
  <si>
    <t>25/04/2019</t>
  </si>
  <si>
    <t>24/02/2019</t>
  </si>
  <si>
    <t>14/08/2019</t>
  </si>
  <si>
    <t>08/04/2019</t>
  </si>
  <si>
    <t>25/05/2019</t>
  </si>
  <si>
    <t>26/11/2018</t>
  </si>
  <si>
    <t>02/12/2018</t>
  </si>
  <si>
    <t>14/05/2018</t>
  </si>
  <si>
    <t>20/03/2018</t>
  </si>
  <si>
    <t>22/05/2019</t>
  </si>
  <si>
    <t>21/01/2019</t>
  </si>
  <si>
    <t>17/05/2019</t>
  </si>
  <si>
    <t>26/05/2019</t>
  </si>
  <si>
    <t>26/06/2019</t>
  </si>
  <si>
    <t>25/03/2019</t>
  </si>
  <si>
    <t>29/04/2019</t>
  </si>
  <si>
    <t>30/05/2019</t>
  </si>
  <si>
    <t>19/06/2019</t>
  </si>
  <si>
    <t>18/04/2019</t>
  </si>
  <si>
    <t>04/06/2019</t>
  </si>
  <si>
    <t>14/04/2019</t>
  </si>
  <si>
    <t>01/06/2019</t>
  </si>
  <si>
    <t>02/04/2019</t>
  </si>
  <si>
    <t>17/03/2019</t>
  </si>
  <si>
    <t>16/04/2018</t>
  </si>
  <si>
    <t>20/02/2019</t>
  </si>
  <si>
    <t>09/03/2019</t>
  </si>
  <si>
    <t>20/03/2019</t>
  </si>
  <si>
    <t>04/07/2018</t>
  </si>
  <si>
    <t>27/05/2019</t>
  </si>
  <si>
    <t>23/05/2018</t>
  </si>
  <si>
    <t>01/04/2019</t>
  </si>
  <si>
    <t>27/12/2018</t>
  </si>
  <si>
    <t>11/08/2019</t>
  </si>
  <si>
    <t>08/08/2018</t>
  </si>
  <si>
    <t>11/05/2019</t>
  </si>
  <si>
    <t>04/06/2018</t>
  </si>
  <si>
    <t>22/06/2019</t>
  </si>
  <si>
    <t>24/01/2019</t>
  </si>
  <si>
    <t>23/06/2019</t>
  </si>
  <si>
    <t>17/04/2018</t>
  </si>
  <si>
    <t>04/05/2019</t>
  </si>
  <si>
    <t>11/06/2019</t>
  </si>
  <si>
    <t>25/05/2014</t>
  </si>
  <si>
    <t>19/11/2018</t>
  </si>
  <si>
    <t>22/10/2018</t>
  </si>
  <si>
    <t>31/05/2019</t>
  </si>
  <si>
    <t>27/02/2019</t>
  </si>
  <si>
    <t>23/03/2018</t>
  </si>
  <si>
    <t>29/10/2018</t>
  </si>
  <si>
    <t>16/04/2019</t>
  </si>
  <si>
    <t>14/06/2018</t>
  </si>
  <si>
    <t>16/03/2019</t>
  </si>
  <si>
    <t>22/03/2019</t>
  </si>
  <si>
    <t>01/08/2018</t>
  </si>
  <si>
    <t>29/01/2019</t>
  </si>
  <si>
    <t>21/05/2019</t>
  </si>
  <si>
    <t>23/11/2018</t>
  </si>
  <si>
    <t>14/11/2014</t>
  </si>
  <si>
    <t>30/04/2019</t>
  </si>
  <si>
    <t>17/02/2019</t>
  </si>
  <si>
    <t>24/07/2018</t>
  </si>
  <si>
    <t>14/11/2018</t>
  </si>
  <si>
    <t>24/05/2019</t>
  </si>
  <si>
    <t>04/04/2019</t>
  </si>
  <si>
    <t>20/09/2018</t>
  </si>
  <si>
    <t>08/02/2018</t>
  </si>
  <si>
    <t>21/03/2019</t>
  </si>
  <si>
    <t>07/03/2018</t>
  </si>
  <si>
    <t>14/02/2019</t>
  </si>
  <si>
    <t>18/06/2019</t>
  </si>
  <si>
    <t>13/06/2019</t>
  </si>
  <si>
    <t>24/07/2019</t>
  </si>
  <si>
    <t>31/08/2019</t>
  </si>
  <si>
    <t>29/12/2018</t>
  </si>
  <si>
    <t>11/12/2018</t>
  </si>
  <si>
    <t>25/12/2014</t>
  </si>
  <si>
    <t>09/06/2019</t>
  </si>
  <si>
    <t>05/09/2018</t>
  </si>
  <si>
    <t>30/06/2019</t>
  </si>
  <si>
    <t>13/12/2018</t>
  </si>
  <si>
    <t>25/07/2019</t>
  </si>
  <si>
    <t>18/08/2019</t>
  </si>
  <si>
    <t>21/08/2018</t>
  </si>
  <si>
    <t>14/12/2018</t>
  </si>
  <si>
    <t>12/04/2019</t>
  </si>
  <si>
    <t>11/02/2019</t>
  </si>
  <si>
    <t>31/01/2014</t>
  </si>
  <si>
    <t>13/05/2019</t>
  </si>
  <si>
    <t>09/01/2019</t>
  </si>
  <si>
    <t>30/03/2019</t>
  </si>
  <si>
    <t>15/03/2019</t>
  </si>
  <si>
    <t>23/08/2018</t>
  </si>
  <si>
    <t>13/04/2019</t>
  </si>
  <si>
    <t>22/04/2019</t>
  </si>
  <si>
    <t>19/01/2019</t>
  </si>
  <si>
    <t>20/04/2019</t>
  </si>
  <si>
    <t>18/05/2019</t>
  </si>
  <si>
    <t>12/09/2018</t>
  </si>
  <si>
    <t>15/03/2018</t>
  </si>
  <si>
    <t>13/01/2019</t>
  </si>
  <si>
    <t>15/03/2016</t>
  </si>
  <si>
    <t>10/11/2015</t>
  </si>
  <si>
    <t>10/03/2019</t>
  </si>
  <si>
    <t>15/02/2019</t>
  </si>
  <si>
    <t>01/11/2018</t>
  </si>
  <si>
    <t>19/05/2019</t>
  </si>
  <si>
    <t>14/06/2019</t>
  </si>
  <si>
    <t>16/08/2019</t>
  </si>
  <si>
    <t>12/03/2019</t>
  </si>
  <si>
    <t>19/07/2019</t>
  </si>
  <si>
    <t>06/06/2019</t>
  </si>
  <si>
    <t>27/01/2019</t>
  </si>
  <si>
    <t>03/03/2019</t>
  </si>
  <si>
    <t>15/04/2019</t>
  </si>
  <si>
    <t>21/02/2019</t>
  </si>
  <si>
    <t>22/07/2019</t>
  </si>
  <si>
    <t>12/11/2018</t>
  </si>
  <si>
    <t>06/04/2019</t>
  </si>
  <si>
    <t>07/02/2019</t>
  </si>
  <si>
    <t>01/08/2019</t>
  </si>
  <si>
    <t>31/03/2019</t>
  </si>
  <si>
    <t>16/05/2019</t>
  </si>
  <si>
    <t>13/08/2019</t>
  </si>
  <si>
    <t>09/08/2019</t>
  </si>
  <si>
    <t>28/02/2019</t>
  </si>
  <si>
    <t>11/12/2017</t>
  </si>
  <si>
    <t>31/01/2019</t>
  </si>
  <si>
    <t>27/06/2019</t>
  </si>
  <si>
    <t>02/03/2019</t>
  </si>
  <si>
    <t>29/03/2019</t>
  </si>
  <si>
    <t>20/01/2019</t>
  </si>
  <si>
    <t>28/04/2019</t>
  </si>
  <si>
    <t>GESTOR_IMEDIATO_GA</t>
  </si>
  <si>
    <t>GESTOR_OPERACIONAL_GO</t>
  </si>
  <si>
    <t>GESTOR_GERAL_GG</t>
  </si>
  <si>
    <t>STATUS_CLICK</t>
  </si>
  <si>
    <t>NIVALDO DE OLIVEIRA SOARES</t>
  </si>
  <si>
    <t>JONILSON FELIPE VIEIRA</t>
  </si>
  <si>
    <t>JEFFERSON OLIVEIRA DA SILVA</t>
  </si>
  <si>
    <t>MARCOS DE OLIVEIRA STEHLING</t>
  </si>
  <si>
    <t>CARLOS EDUARDO DE ALBUQUERQUE MEIRA</t>
  </si>
  <si>
    <t>HEBERT JONES SOUTO ARAUJO</t>
  </si>
  <si>
    <t>ROBERTA OLIVEIRA DA SILVA</t>
  </si>
  <si>
    <t>CRISTIANO FERREIRA DE SOUZA CASTRO</t>
  </si>
  <si>
    <t>ANDRE LUIS SOARES DE FARIAS</t>
  </si>
  <si>
    <t>GESTOR_AREA</t>
  </si>
  <si>
    <t>GESTOR_OPERACIONAL</t>
  </si>
  <si>
    <t>GESTOR_GERAL</t>
  </si>
  <si>
    <t xml:space="preserve">CARLOS REIS </t>
  </si>
  <si>
    <t xml:space="preserve">AILTON JOSE </t>
  </si>
  <si>
    <t xml:space="preserve">JOSE HENRIQUE </t>
  </si>
  <si>
    <t xml:space="preserve">LUIZ RICARDO </t>
  </si>
  <si>
    <t xml:space="preserve">LUIZ GUSTAVO </t>
  </si>
  <si>
    <t xml:space="preserve">THIAGO DE </t>
  </si>
  <si>
    <t xml:space="preserve">ANTONIO MAGNO </t>
  </si>
  <si>
    <t xml:space="preserve">BRUNO VINICIUS </t>
  </si>
  <si>
    <t xml:space="preserve">DECIO FABIANO </t>
  </si>
  <si>
    <t xml:space="preserve">MARCOS DE </t>
  </si>
  <si>
    <t xml:space="preserve">HEBERT JONES </t>
  </si>
  <si>
    <t xml:space="preserve">NIVALDO DE </t>
  </si>
  <si>
    <t>SITUAÇÃO_FOLHA</t>
  </si>
  <si>
    <t>ATIVO</t>
  </si>
  <si>
    <t>FÉRIAS</t>
  </si>
  <si>
    <t>JURACY BARBOSA SOUZA</t>
  </si>
  <si>
    <t>TC019952</t>
  </si>
  <si>
    <t>56771169391</t>
  </si>
  <si>
    <t>FRANCISCO ADRIANO GOMES</t>
  </si>
  <si>
    <t>TR535789</t>
  </si>
  <si>
    <t>00711514356</t>
  </si>
  <si>
    <t>ULLY RODRIGUES MARQUES</t>
  </si>
  <si>
    <t>TR445546</t>
  </si>
  <si>
    <t>60730202364</t>
  </si>
  <si>
    <t>ANTONIO JOSE DA FROTA SILVA</t>
  </si>
  <si>
    <t>TR563702</t>
  </si>
  <si>
    <t>03129196382</t>
  </si>
  <si>
    <t>HC PCP?</t>
  </si>
  <si>
    <t>Base HC PCP</t>
  </si>
  <si>
    <t>NomeArquivo</t>
  </si>
  <si>
    <t>DataArquivo</t>
  </si>
  <si>
    <t xml:space="preserve">WENDELL FRANKLIN </t>
  </si>
  <si>
    <t xml:space="preserve">FRANCISCO JOSE </t>
  </si>
  <si>
    <t xml:space="preserve">FERNANDO TOSCANO </t>
  </si>
  <si>
    <t xml:space="preserve">ANDRE LUIS </t>
  </si>
  <si>
    <t xml:space="preserve">ANDRIER CARLOS </t>
  </si>
  <si>
    <t xml:space="preserve">REINILSON IGLESIAS </t>
  </si>
  <si>
    <t xml:space="preserve">FABIO BATISTA </t>
  </si>
  <si>
    <t xml:space="preserve">ALENCAR DE </t>
  </si>
  <si>
    <t xml:space="preserve">JONILSON FELIPE </t>
  </si>
  <si>
    <t xml:space="preserve">JEFFERSON OLIVEIRA </t>
  </si>
  <si>
    <t xml:space="preserve">BRUNO SAVIO </t>
  </si>
  <si>
    <t xml:space="preserve">ANTONIO ROBEVANIO </t>
  </si>
  <si>
    <t xml:space="preserve">FRANCISCO MARCOS </t>
  </si>
  <si>
    <t xml:space="preserve">LYNDON JONHSON </t>
  </si>
  <si>
    <t>Conf. E-mail</t>
  </si>
  <si>
    <t>Para:</t>
  </si>
  <si>
    <t>Cópia:</t>
  </si>
  <si>
    <t>Assunto:</t>
  </si>
  <si>
    <t>CorpoEmail:</t>
  </si>
  <si>
    <t>Rótulos de Coluna</t>
  </si>
  <si>
    <t>Contagem de TIPO</t>
  </si>
  <si>
    <t>PERFIL</t>
  </si>
  <si>
    <t>TOTAL</t>
  </si>
  <si>
    <t>CONTATO_GA</t>
  </si>
  <si>
    <t>83986542715</t>
  </si>
  <si>
    <t>83988324282</t>
  </si>
  <si>
    <t>81983843747</t>
  </si>
  <si>
    <t>81988786747</t>
  </si>
  <si>
    <t>83 98828 6015</t>
  </si>
  <si>
    <t>02/09/2019</t>
  </si>
  <si>
    <t>83988286015</t>
  </si>
  <si>
    <t>81988765131</t>
  </si>
  <si>
    <t>81988760567</t>
  </si>
  <si>
    <t>84988560593</t>
  </si>
  <si>
    <t>85986852311</t>
  </si>
  <si>
    <t>83988285101</t>
  </si>
  <si>
    <t>81 98751 0155</t>
  </si>
  <si>
    <t>81 98751-0155</t>
  </si>
  <si>
    <t>81988769955</t>
  </si>
  <si>
    <t>85987662351</t>
  </si>
  <si>
    <t>85987160399</t>
  </si>
  <si>
    <t>ADSLDG, ADSLINST, ADSLMUD, ADSLREP, ADSLRET, ADSLSRV, CRFE, LAINST, LAMUD, LAREP, LARET, LASRV, VAINST</t>
  </si>
  <si>
    <t>30/09/2019</t>
  </si>
  <si>
    <t>81988668914</t>
  </si>
  <si>
    <t>81988761734</t>
  </si>
  <si>
    <t>81988761719</t>
  </si>
  <si>
    <t>81987510155</t>
  </si>
  <si>
    <t>88988150526</t>
  </si>
  <si>
    <t>88996006970 / 88988150526</t>
  </si>
  <si>
    <t>APARECIDA RODRIGUES DE OLIVEIRA</t>
  </si>
  <si>
    <t>TC027346</t>
  </si>
  <si>
    <t>CONTROLADOR DG</t>
  </si>
  <si>
    <t>23037172304</t>
  </si>
  <si>
    <t>88988854203</t>
  </si>
  <si>
    <t>88988150526 / 88996006970</t>
  </si>
  <si>
    <t>81988769411</t>
  </si>
  <si>
    <t>81988769914</t>
  </si>
  <si>
    <t>81988761744</t>
  </si>
  <si>
    <t>81988769957</t>
  </si>
  <si>
    <t>81988784364</t>
  </si>
  <si>
    <t>83987530423</t>
  </si>
  <si>
    <t>81988716846</t>
  </si>
  <si>
    <t>85987783151</t>
  </si>
  <si>
    <t>81988668977</t>
  </si>
  <si>
    <t>85989442955</t>
  </si>
  <si>
    <t>83988250957</t>
  </si>
  <si>
    <t>MARCOS AURELIO SIMPLICIO DE LIRA</t>
  </si>
  <si>
    <t>85989569382</t>
  </si>
  <si>
    <t>85986366021</t>
  </si>
  <si>
    <t>85 989569382</t>
  </si>
  <si>
    <t>85989759996</t>
  </si>
  <si>
    <t>85987160304</t>
  </si>
  <si>
    <t>85987240517</t>
  </si>
  <si>
    <t>85987781791</t>
  </si>
  <si>
    <t>85987338316</t>
  </si>
  <si>
    <t>ANTONIO DIEGO DE SOUZA SILVA</t>
  </si>
  <si>
    <t>TR374047</t>
  </si>
  <si>
    <t>04624354311</t>
  </si>
  <si>
    <t>85988799055</t>
  </si>
  <si>
    <t>84988960697</t>
  </si>
  <si>
    <t>CRTRCX, LACB, LACBPREV, LAREP, PREVCX</t>
  </si>
  <si>
    <t>81988764480</t>
  </si>
  <si>
    <t>85987160328</t>
  </si>
  <si>
    <t>FRANCISCO EUDES REGIS FERNANDES</t>
  </si>
  <si>
    <t>TR621325</t>
  </si>
  <si>
    <t>02543218360</t>
  </si>
  <si>
    <t>JOSE DIEGO SILVA SAMPAIO</t>
  </si>
  <si>
    <t>TR466332</t>
  </si>
  <si>
    <t>05015402376</t>
  </si>
  <si>
    <t>SHEYLA MARIA CALIOPE DE MELO MOURA</t>
  </si>
  <si>
    <t>85987463698</t>
  </si>
  <si>
    <t>85989684306</t>
  </si>
  <si>
    <t>ROGERIO SARMENTO MARTINS</t>
  </si>
  <si>
    <t>TC001830</t>
  </si>
  <si>
    <t>03419198370</t>
  </si>
  <si>
    <t>85988797528</t>
  </si>
  <si>
    <t>EDUARDO REGIS DE OLIVEIRA</t>
  </si>
  <si>
    <t>TC008889</t>
  </si>
  <si>
    <t>23439440320</t>
  </si>
  <si>
    <t>85987160442</t>
  </si>
  <si>
    <t>85 987240517</t>
  </si>
  <si>
    <t>83988286091</t>
  </si>
  <si>
    <t>RAIMUNDO BRANCO SOUSA</t>
  </si>
  <si>
    <t>TC009860</t>
  </si>
  <si>
    <t>17447470325</t>
  </si>
  <si>
    <t>88988151307</t>
  </si>
  <si>
    <t>88988141370</t>
  </si>
  <si>
    <t>81984608135</t>
  </si>
  <si>
    <t>81988761029</t>
  </si>
  <si>
    <t>81987420072</t>
  </si>
  <si>
    <t>81988635856</t>
  </si>
  <si>
    <t>83 98815 9936</t>
  </si>
  <si>
    <t>83988286007</t>
  </si>
  <si>
    <t>83 98828 5770</t>
  </si>
  <si>
    <t>84988973184</t>
  </si>
  <si>
    <t>84 988560593</t>
  </si>
  <si>
    <t>88988141882 / 85987781791</t>
  </si>
  <si>
    <t>JORDANA RODRIGUES DE LIMA</t>
  </si>
  <si>
    <t>TR559439</t>
  </si>
  <si>
    <t>04180954346</t>
  </si>
  <si>
    <t>85 987160399</t>
  </si>
  <si>
    <t>85987240536</t>
  </si>
  <si>
    <t>88988346847</t>
  </si>
  <si>
    <t>FRANCISCO ANTONIO MEDEIROS DA SILVA</t>
  </si>
  <si>
    <t>TC051414</t>
  </si>
  <si>
    <t>46139699304</t>
  </si>
  <si>
    <t>81 988761744</t>
  </si>
  <si>
    <t>85988799018</t>
  </si>
  <si>
    <t>AGLAILTON SIQUEIRA RODRIGUES</t>
  </si>
  <si>
    <t>TR388433</t>
  </si>
  <si>
    <t>04961721310</t>
  </si>
  <si>
    <t>85987697333</t>
  </si>
  <si>
    <t>REGINALDO DOS SANTOS PINHEIRO</t>
  </si>
  <si>
    <t>TR513746</t>
  </si>
  <si>
    <t>06214538384</t>
  </si>
  <si>
    <t>ANA MARIA PEIXOTO SERGIO</t>
  </si>
  <si>
    <t>TC000366</t>
  </si>
  <si>
    <t>72458917372</t>
  </si>
  <si>
    <t>85987463698 </t>
  </si>
  <si>
    <t>ANTONIO MARCOS DA SILVA GOMES</t>
  </si>
  <si>
    <t>TC009649</t>
  </si>
  <si>
    <t>62323725300</t>
  </si>
  <si>
    <t>09/09/2019</t>
  </si>
  <si>
    <t>FERNANDO DANTAS DA SILVA</t>
  </si>
  <si>
    <t>TC013673</t>
  </si>
  <si>
    <t>62327186315</t>
  </si>
  <si>
    <t>85 988797528</t>
  </si>
  <si>
    <t>84 988075868</t>
  </si>
  <si>
    <t>81988769410</t>
  </si>
  <si>
    <t>84988970930</t>
  </si>
  <si>
    <t>81988769775</t>
  </si>
  <si>
    <t>FABIO BEZERRA DOS SANTOS</t>
  </si>
  <si>
    <t>TC047216</t>
  </si>
  <si>
    <t>88536858320</t>
  </si>
  <si>
    <t>83986458178</t>
  </si>
  <si>
    <t>THIAGO SILVA DE OLIVEIRA</t>
  </si>
  <si>
    <t>84 988319107</t>
  </si>
  <si>
    <t>84988319107</t>
  </si>
  <si>
    <t>81988042181</t>
  </si>
  <si>
    <t>81988769170</t>
  </si>
  <si>
    <t>81983737632</t>
  </si>
  <si>
    <t>85 98685 2311</t>
  </si>
  <si>
    <t>84 988973153</t>
  </si>
  <si>
    <t>84 988960697</t>
  </si>
  <si>
    <t>85 989759996</t>
  </si>
  <si>
    <t>81988716347</t>
  </si>
  <si>
    <t>83988285120</t>
  </si>
  <si>
    <t>85987160359</t>
  </si>
  <si>
    <t>85988799148</t>
  </si>
  <si>
    <t>83988285770</t>
  </si>
  <si>
    <t>81988148192</t>
  </si>
  <si>
    <t>84 98897 3153</t>
  </si>
  <si>
    <t>21123123</t>
  </si>
  <si>
    <t>81988784194</t>
  </si>
  <si>
    <t>81988042188</t>
  </si>
  <si>
    <t>81988769616</t>
  </si>
  <si>
    <t>23/09/2019</t>
  </si>
  <si>
    <t>16/09/2019</t>
  </si>
  <si>
    <t>ANTONIO GILSON BANDEIRA VALE</t>
  </si>
  <si>
    <t>Segue Quadro Click atualizado.</t>
  </si>
  <si>
    <t>Alessandra Patricia Lira Santiago &lt;alessandra.santiago@redeconecta.net.br&gt;; Ancelio de Oliveira Lopes &lt;ancelio.lopes@redeconecta.net.br&gt;; Celso Augusto Barroso Carvalho Rodrigues &lt;celso.rodrigues@redeconecta.net.br&gt;; Coordenadores de Área Filial CE &lt;coordenadoresarea.filialce@redeconecta.net.br&gt;; Coordenadores de Área Filial PB &lt;coordenadoresarea.filialpb@redeconecta.net.br&gt;; Coordenadores de Área Filial PE &lt;coordenadoresarea.filialpe@redeconecta.net.br&gt;; Coordenadores de Área Filial RN &lt;coordenadoresarea.filialrn@redeconecta.net.br&gt;; Hirla Candida Da Silva Almendros &lt;hirla.almendros@redeconecta.net.br&gt;; Jenifer Evelin Andrade Pimentel &lt;jenifer.pimentel@redeconecta.net.br&gt;; Marcos Daniel Alves Da Silva &lt;marcos.daniel@redeconecta.net.br&gt;; Maria Aparecida Rodrigues de Araujo &lt;maria.araujo@redeconecta.net.br&gt;; Micherle Lúcia dos Santos &lt;micherle.santos@redeconecta.net.br&gt;; Poliana Váleria Lucene de Farias &lt;poliana.farias@redeconecta.net.br&gt;; Qualidade RPE &lt;qualidade.rpe@redeconecta.net.br&gt;; Rafaela Ferreira Batista &lt;rafaela.batista@redeconecta.net.br&gt;; SEF RPE &lt;sef.rpe@redeconecta.net.br&gt;; Vanderlei Henzel Chollet &lt;vanderlei.chollet@redeconecta.net.br&gt;; Veronica Cavalcanti Lopes Maia Pimentel &lt;veronica.pimentel@redeconecta.net.br&gt;; Jesse Goncalves Passos de Lima &lt;jesse.lima@redeconecta.net.br&gt;; Jose Claudio da Silva Falcao &lt;jose.falcao@redeconecta.net.br&gt;; Antonio Robevanio Pinheiro &lt;robevanio.pinheiro@redeconecta.net.br&gt;; Bruno Vinicius De Albertins Alves &lt;bruno.alves@redeconecta.net.br&gt;; Decio Fabiano Lopes Ferreira &lt;decio.ferreira@redeconecta.net.br&gt;; Ricardo dos Santos Macieira Lopes &lt;ricardo.lopes@redeconecta.net.br&gt;; Rosoylson Paiva Matias Barbosa &lt;rosoylson.barbosa@redeconecta.net.br&gt;; Wendell Franklin Vieira Maia &lt;wendell.maia@redeconecta.net.br&gt;; Wellington Lins Marques &lt;wellington.marques@redeconecta.net.br&gt;; Ricardo Carvalho Da Anunciacao &lt;ricardo.anunciacao@redeconecta.net.br&gt;; Ana Angelica Nunes Nogueira Tavares &lt;ana.tavares@redeconecta.net.br&gt;; Alencar De Souza Santos &lt;alencar.santos@redeconecta.net.br&gt;; Julia Carla de Sena Borges &lt;julia.borges@redeconecta.net.br&gt;; Claudemir Candido De Araujo &lt;claudemir.araujo@redeconecta.net.br&gt;</t>
  </si>
  <si>
    <t>Carlaine Silva Santos &lt;carlaine.santos@redeconecta.net.br&gt;; Jarbas Juliano dos Santos &lt;jarbas.santos@redeconecta.net.br&gt;; Deivid Augusto Araujo Silva &lt;deivid.silva@redeconecta.net.br&gt;; Jorge Luis Masavitch Cardozo Junior &lt;jorge.cardozo@redeconecta.net.br&gt;; Tatiane de Jesus Ramos &lt;tatiane.ramos@redeconecta.net.br&gt;; Leila Patricia Barreto Negreiros &lt;leila.negreiros@redeconecta.net.br&gt;; Marilene Nascimento Justino &lt;marilene.justino@redeconecta.net.br&gt;; Marcele Da Silva Claudio &lt;marcele.claudio@redeconecta.net.br&gt;; Thaisa Figueiredo Tomas dos Santos &lt;thaisa.figueiredo@redeconecta.net.br&gt;; DBA - Sala de Eficiencia &lt;dba.eficiencia@redeconecta.net.br&gt;; Giovanni Augiette Da Silva &lt;giovanni.silva@redeconecta.net.br&gt;; Bianca Oliveira De Alcantara &lt;bianca.alcantara@redeconecta.net.br&gt;; Marcos Antonio da Silva &lt;marcos.silva@redeconecta.net.br&gt;; Jonilson Felipe Vieira &lt;jonilson.vieira@redeconecta.net.br&gt;; Romano Matheus Rosendo De Lima &lt;romano.lima@redeconecta.net.br&gt;; Rafael Fernandes Matias &lt;rafael.fernandes@redeconecta.net.br&gt;; Fernando Antonio Porto De Freitas &lt;fernando.freitas@redeconecta.net.br&gt;; Carlos Reis Gonzaga &lt;carlos.gonzaga@redeconecta.net.br&gt;; jeferson.silva@redeconecta.net.br</t>
  </si>
  <si>
    <t>PRODUTO</t>
  </si>
  <si>
    <t>CARGO_AGRUPADO</t>
  </si>
  <si>
    <t>GERÊNCIA O&amp;M</t>
  </si>
  <si>
    <t>413680</t>
  </si>
  <si>
    <t>TECNICO MULTIFUNCIONAL</t>
  </si>
  <si>
    <t>04/09/2019</t>
  </si>
  <si>
    <t>413689</t>
  </si>
  <si>
    <t>FRANCISCO DAVID FELIX DE ARAUJO</t>
  </si>
  <si>
    <t>TR691341</t>
  </si>
  <si>
    <t>03106141395</t>
  </si>
  <si>
    <t>HOME CONNECT</t>
  </si>
  <si>
    <t>413705</t>
  </si>
  <si>
    <t>DAVI ALVES SANTIAGO</t>
  </si>
  <si>
    <t>TR691322</t>
  </si>
  <si>
    <t>02039587306</t>
  </si>
  <si>
    <t>413706</t>
  </si>
  <si>
    <t>MARCOS BARBOSA GOMES</t>
  </si>
  <si>
    <t>TR691353</t>
  </si>
  <si>
    <t>01597865338</t>
  </si>
  <si>
    <t>413721</t>
  </si>
  <si>
    <t>413723</t>
  </si>
  <si>
    <t>JOSE EDUARDO CHAVES E SILVA FILHO</t>
  </si>
  <si>
    <t>TR691347</t>
  </si>
  <si>
    <t>01425223338</t>
  </si>
  <si>
    <t>413728</t>
  </si>
  <si>
    <t>GLEILSON BEZERRA DE OLIVEIRA</t>
  </si>
  <si>
    <t>TR691344</t>
  </si>
  <si>
    <t>02779843357</t>
  </si>
  <si>
    <t>413763</t>
  </si>
  <si>
    <t>FRANCISCO CLEITON CONSTANCIO MOREIRA</t>
  </si>
  <si>
    <t>TR691328</t>
  </si>
  <si>
    <t>31592899315</t>
  </si>
  <si>
    <t>413778</t>
  </si>
  <si>
    <t>MAURILIO RODRIGUES DE SOUSA</t>
  </si>
  <si>
    <t>TR691200</t>
  </si>
  <si>
    <t>03842621396</t>
  </si>
  <si>
    <t>413811</t>
  </si>
  <si>
    <t>WESLEY FELIX DA SILVA</t>
  </si>
  <si>
    <t>TR691208</t>
  </si>
  <si>
    <t>61409502368</t>
  </si>
  <si>
    <t>413812</t>
  </si>
  <si>
    <t>ROBERTO NASCIMENTO DE SOUSA</t>
  </si>
  <si>
    <t>TR691204</t>
  </si>
  <si>
    <t>71948180359</t>
  </si>
  <si>
    <t>413838</t>
  </si>
  <si>
    <t>ALZELIO GOMES LIMA</t>
  </si>
  <si>
    <t>TR691190</t>
  </si>
  <si>
    <t>66418186320</t>
  </si>
  <si>
    <t>413840</t>
  </si>
  <si>
    <t>LEANDRO DE OLIVEIRA DANTAS</t>
  </si>
  <si>
    <t>TR691351</t>
  </si>
  <si>
    <t>03618079370</t>
  </si>
  <si>
    <t>413845</t>
  </si>
  <si>
    <t>GILDECIO DE LIMA MOITA</t>
  </si>
  <si>
    <t>TR691332</t>
  </si>
  <si>
    <t>66894840334</t>
  </si>
  <si>
    <t>413849</t>
  </si>
  <si>
    <t>JOSENILDO FERREIRA CHAGAS</t>
  </si>
  <si>
    <t>TR691179</t>
  </si>
  <si>
    <t>00541004379</t>
  </si>
  <si>
    <t>413854</t>
  </si>
  <si>
    <t>LA</t>
  </si>
  <si>
    <t>413946</t>
  </si>
  <si>
    <t>MASSIVO</t>
  </si>
  <si>
    <t>414036</t>
  </si>
  <si>
    <t>414077</t>
  </si>
  <si>
    <t>BANDA LARGA</t>
  </si>
  <si>
    <t>414132</t>
  </si>
  <si>
    <t>TECNICO ADSL</t>
  </si>
  <si>
    <t>414144</t>
  </si>
  <si>
    <t>414171</t>
  </si>
  <si>
    <t>414181</t>
  </si>
  <si>
    <t>FTTH IMPLANTAÇÃO</t>
  </si>
  <si>
    <t>414250</t>
  </si>
  <si>
    <t>COORDENADOR OPERACIONAL</t>
  </si>
  <si>
    <t>414251</t>
  </si>
  <si>
    <t>414359</t>
  </si>
  <si>
    <t>INSTALADOR I</t>
  </si>
  <si>
    <t>CABOS</t>
  </si>
  <si>
    <t>414412</t>
  </si>
  <si>
    <t>414440</t>
  </si>
  <si>
    <t>414450</t>
  </si>
  <si>
    <t>414455</t>
  </si>
  <si>
    <t>414456</t>
  </si>
  <si>
    <t>414457</t>
  </si>
  <si>
    <t>OBRAS METÁLICO</t>
  </si>
  <si>
    <t>414497</t>
  </si>
  <si>
    <t>414506</t>
  </si>
  <si>
    <t>414519</t>
  </si>
  <si>
    <t>414524</t>
  </si>
  <si>
    <t>OPERADOR</t>
  </si>
  <si>
    <t>414527</t>
  </si>
  <si>
    <t>KIT 1</t>
  </si>
  <si>
    <t>414536</t>
  </si>
  <si>
    <t>414543</t>
  </si>
  <si>
    <t>414577</t>
  </si>
  <si>
    <t>414604</t>
  </si>
  <si>
    <t>414611</t>
  </si>
  <si>
    <t>414623</t>
  </si>
  <si>
    <t>414652</t>
  </si>
  <si>
    <t>414658</t>
  </si>
  <si>
    <t>414662</t>
  </si>
  <si>
    <t>414683</t>
  </si>
  <si>
    <t>ESTRUTURANTE</t>
  </si>
  <si>
    <t>414734</t>
  </si>
  <si>
    <t>414766</t>
  </si>
  <si>
    <t>414784</t>
  </si>
  <si>
    <t>414858</t>
  </si>
  <si>
    <t>414879</t>
  </si>
  <si>
    <t>414900</t>
  </si>
  <si>
    <t>414914</t>
  </si>
  <si>
    <t>414915</t>
  </si>
  <si>
    <t>414925</t>
  </si>
  <si>
    <t>414950</t>
  </si>
  <si>
    <t>415000</t>
  </si>
  <si>
    <t>415068</t>
  </si>
  <si>
    <t>KIT 2 e 4</t>
  </si>
  <si>
    <t>415073</t>
  </si>
  <si>
    <t>415077</t>
  </si>
  <si>
    <t>415121</t>
  </si>
  <si>
    <t>415124</t>
  </si>
  <si>
    <t>415166</t>
  </si>
  <si>
    <t>415260</t>
  </si>
  <si>
    <t>415262</t>
  </si>
  <si>
    <t>415267</t>
  </si>
  <si>
    <t>415292</t>
  </si>
  <si>
    <t>415318</t>
  </si>
  <si>
    <t>415332</t>
  </si>
  <si>
    <t>415354</t>
  </si>
  <si>
    <t>415422</t>
  </si>
  <si>
    <t>415433</t>
  </si>
  <si>
    <t>415437</t>
  </si>
  <si>
    <t>415457</t>
  </si>
  <si>
    <t>415463</t>
  </si>
  <si>
    <t>415482</t>
  </si>
  <si>
    <t>415501</t>
  </si>
  <si>
    <t>415564</t>
  </si>
  <si>
    <t>415594</t>
  </si>
  <si>
    <t>415597</t>
  </si>
  <si>
    <t>415622</t>
  </si>
  <si>
    <t>415667</t>
  </si>
  <si>
    <t>415677</t>
  </si>
  <si>
    <t>415686</t>
  </si>
  <si>
    <t>415714</t>
  </si>
  <si>
    <t>415725</t>
  </si>
  <si>
    <t>415812</t>
  </si>
  <si>
    <t>415813</t>
  </si>
  <si>
    <t>415838</t>
  </si>
  <si>
    <t>RICELE DA SILVA NASCIMENTO</t>
  </si>
  <si>
    <t>415907</t>
  </si>
  <si>
    <t>415924</t>
  </si>
  <si>
    <t>415927</t>
  </si>
  <si>
    <t>415950</t>
  </si>
  <si>
    <t>415975</t>
  </si>
  <si>
    <t>415987</t>
  </si>
  <si>
    <t>416045</t>
  </si>
  <si>
    <t>416055</t>
  </si>
  <si>
    <t>416060</t>
  </si>
  <si>
    <t>416083</t>
  </si>
  <si>
    <t>416088</t>
  </si>
  <si>
    <t>416097</t>
  </si>
  <si>
    <t>416147</t>
  </si>
  <si>
    <t>416155</t>
  </si>
  <si>
    <t>416180</t>
  </si>
  <si>
    <t>416201</t>
  </si>
  <si>
    <t>416215</t>
  </si>
  <si>
    <t>416229</t>
  </si>
  <si>
    <t>416260</t>
  </si>
  <si>
    <t>416261</t>
  </si>
  <si>
    <t>416269</t>
  </si>
  <si>
    <t>416273</t>
  </si>
  <si>
    <t>416284</t>
  </si>
  <si>
    <t>GUTEMBERG MONTEIRO REGADAS</t>
  </si>
  <si>
    <t>TR691513</t>
  </si>
  <si>
    <t>01038685346</t>
  </si>
  <si>
    <t>413661</t>
  </si>
  <si>
    <t>ANDERSON GONCALVES DE PAULA</t>
  </si>
  <si>
    <t>TR691189</t>
  </si>
  <si>
    <t>67253172353</t>
  </si>
  <si>
    <t>413667</t>
  </si>
  <si>
    <t>WESLEI DO NASCIMENTO ALMEIDA</t>
  </si>
  <si>
    <t>TR691362</t>
  </si>
  <si>
    <t>62541544391</t>
  </si>
  <si>
    <t>413675</t>
  </si>
  <si>
    <t>413698</t>
  </si>
  <si>
    <t>ALEX GOMES DA SILVA</t>
  </si>
  <si>
    <t>TR691338</t>
  </si>
  <si>
    <t>01058847317</t>
  </si>
  <si>
    <t>413707</t>
  </si>
  <si>
    <t>CARLOS ANDRE RODRIGUES DOS SANTOS</t>
  </si>
  <si>
    <t>TR691321</t>
  </si>
  <si>
    <t>01322390355</t>
  </si>
  <si>
    <t>413739</t>
  </si>
  <si>
    <t>RAIMUNDO JOSUELE PINTO DOS SANTOS</t>
  </si>
  <si>
    <t>TR691357</t>
  </si>
  <si>
    <t>04951405385</t>
  </si>
  <si>
    <t>413744</t>
  </si>
  <si>
    <t>LAURO NAZARENO RODRIGUES FERREIRA</t>
  </si>
  <si>
    <t>TR691349</t>
  </si>
  <si>
    <t>58975721272</t>
  </si>
  <si>
    <t>413753</t>
  </si>
  <si>
    <t>413758</t>
  </si>
  <si>
    <t>EDNARDO BASTOS DAVI</t>
  </si>
  <si>
    <t>TR691193</t>
  </si>
  <si>
    <t>00758637314</t>
  </si>
  <si>
    <t>413771</t>
  </si>
  <si>
    <t>413781</t>
  </si>
  <si>
    <t>WESLEY AZEVEDO MELO</t>
  </si>
  <si>
    <t>TR691207</t>
  </si>
  <si>
    <t>02943884359</t>
  </si>
  <si>
    <t>413783</t>
  </si>
  <si>
    <t>413791</t>
  </si>
  <si>
    <t>RENATO RODRIGUES DE LIMA</t>
  </si>
  <si>
    <t>TR691358</t>
  </si>
  <si>
    <t>63263289349</t>
  </si>
  <si>
    <t>413815</t>
  </si>
  <si>
    <t>FRANCISCO DANILO FERREIRA DA COSTA</t>
  </si>
  <si>
    <t>TR691186</t>
  </si>
  <si>
    <t>93085257349</t>
  </si>
  <si>
    <t>413816</t>
  </si>
  <si>
    <t>FRANCISCO RHYAN ABREU ALVES</t>
  </si>
  <si>
    <t>TR691330</t>
  </si>
  <si>
    <t>60934598371</t>
  </si>
  <si>
    <t>413825</t>
  </si>
  <si>
    <t>JOSE ELIEZIO VASCONCELOS</t>
  </si>
  <si>
    <t>TR691184</t>
  </si>
  <si>
    <t>03308610930</t>
  </si>
  <si>
    <t>413831</t>
  </si>
  <si>
    <t>JONATHAN FEITOSA DE SOUSA</t>
  </si>
  <si>
    <t>TR691346</t>
  </si>
  <si>
    <t>00862884314</t>
  </si>
  <si>
    <t>413833</t>
  </si>
  <si>
    <t>ROBERTO RONALTHE BARBOSA MOREIRA DA SILVA</t>
  </si>
  <si>
    <t>TR691359</t>
  </si>
  <si>
    <t>96836768391</t>
  </si>
  <si>
    <t>413837</t>
  </si>
  <si>
    <t>WELDER DIAS BRAGA</t>
  </si>
  <si>
    <t>TR691205</t>
  </si>
  <si>
    <t>51068729368</t>
  </si>
  <si>
    <t>413843</t>
  </si>
  <si>
    <t>413934</t>
  </si>
  <si>
    <t>413937</t>
  </si>
  <si>
    <t>413985</t>
  </si>
  <si>
    <t>413998</t>
  </si>
  <si>
    <t>414003</t>
  </si>
  <si>
    <t>414018</t>
  </si>
  <si>
    <t>414053</t>
  </si>
  <si>
    <t>414091</t>
  </si>
  <si>
    <t>414254</t>
  </si>
  <si>
    <t>414292</t>
  </si>
  <si>
    <t>414369</t>
  </si>
  <si>
    <t>414403</t>
  </si>
  <si>
    <t>414407</t>
  </si>
  <si>
    <t>414427</t>
  </si>
  <si>
    <t>414479</t>
  </si>
  <si>
    <t>414489</t>
  </si>
  <si>
    <t>414516</t>
  </si>
  <si>
    <t>414533</t>
  </si>
  <si>
    <t>414553</t>
  </si>
  <si>
    <t>CESAR RANIEL DA SILVA</t>
  </si>
  <si>
    <t>TR681879</t>
  </si>
  <si>
    <t>00849184460</t>
  </si>
  <si>
    <t>84 98807 5868</t>
  </si>
  <si>
    <t>414557</t>
  </si>
  <si>
    <t>414573</t>
  </si>
  <si>
    <t>414593</t>
  </si>
  <si>
    <t>414596</t>
  </si>
  <si>
    <t>414639</t>
  </si>
  <si>
    <t>414648</t>
  </si>
  <si>
    <t>414661</t>
  </si>
  <si>
    <t>414717</t>
  </si>
  <si>
    <t>414754</t>
  </si>
  <si>
    <t>414764</t>
  </si>
  <si>
    <t>414768</t>
  </si>
  <si>
    <t>414831</t>
  </si>
  <si>
    <t>414842</t>
  </si>
  <si>
    <t>414843</t>
  </si>
  <si>
    <t>414859</t>
  </si>
  <si>
    <t>414885</t>
  </si>
  <si>
    <t>414891</t>
  </si>
  <si>
    <t>414895</t>
  </si>
  <si>
    <t>414896</t>
  </si>
  <si>
    <t>414911</t>
  </si>
  <si>
    <t>414928</t>
  </si>
  <si>
    <t>414944</t>
  </si>
  <si>
    <t>01/09/2019</t>
  </si>
  <si>
    <t>414951</t>
  </si>
  <si>
    <t>414959</t>
  </si>
  <si>
    <t>416309</t>
  </si>
  <si>
    <t>416340</t>
  </si>
  <si>
    <t>416355</t>
  </si>
  <si>
    <t>416368</t>
  </si>
  <si>
    <t>416386</t>
  </si>
  <si>
    <t>416406</t>
  </si>
  <si>
    <t>416407</t>
  </si>
  <si>
    <t>416438</t>
  </si>
  <si>
    <t>416471</t>
  </si>
  <si>
    <t>416514</t>
  </si>
  <si>
    <t>416543</t>
  </si>
  <si>
    <t>416560</t>
  </si>
  <si>
    <t>416563</t>
  </si>
  <si>
    <t>416564</t>
  </si>
  <si>
    <t>416584</t>
  </si>
  <si>
    <t>416592</t>
  </si>
  <si>
    <t>416594</t>
  </si>
  <si>
    <t>416597</t>
  </si>
  <si>
    <t>416604</t>
  </si>
  <si>
    <t>416637</t>
  </si>
  <si>
    <t>416652</t>
  </si>
  <si>
    <t>416658</t>
  </si>
  <si>
    <t>416665</t>
  </si>
  <si>
    <t>416676</t>
  </si>
  <si>
    <t>416682</t>
  </si>
  <si>
    <t>416689</t>
  </si>
  <si>
    <t>416713</t>
  </si>
  <si>
    <t>416719</t>
  </si>
  <si>
    <t>416744</t>
  </si>
  <si>
    <t>416745</t>
  </si>
  <si>
    <t>416764</t>
  </si>
  <si>
    <t>416765</t>
  </si>
  <si>
    <t>416789</t>
  </si>
  <si>
    <t>416808</t>
  </si>
  <si>
    <t>416830</t>
  </si>
  <si>
    <t>416838</t>
  </si>
  <si>
    <t>416840</t>
  </si>
  <si>
    <t>416860</t>
  </si>
  <si>
    <t>416874</t>
  </si>
  <si>
    <t>418747</t>
  </si>
  <si>
    <t>418749</t>
  </si>
  <si>
    <t>418757</t>
  </si>
  <si>
    <t>418784</t>
  </si>
  <si>
    <t>418795</t>
  </si>
  <si>
    <t>418799</t>
  </si>
  <si>
    <t>418832</t>
  </si>
  <si>
    <t>418845</t>
  </si>
  <si>
    <t>418852</t>
  </si>
  <si>
    <t>418864</t>
  </si>
  <si>
    <t>418868</t>
  </si>
  <si>
    <t>418892</t>
  </si>
  <si>
    <t>418928</t>
  </si>
  <si>
    <t>418964</t>
  </si>
  <si>
    <t>418965</t>
  </si>
  <si>
    <t>418985</t>
  </si>
  <si>
    <t>418986</t>
  </si>
  <si>
    <t>418990</t>
  </si>
  <si>
    <t>419007</t>
  </si>
  <si>
    <t>419018</t>
  </si>
  <si>
    <t>419032</t>
  </si>
  <si>
    <t>419052</t>
  </si>
  <si>
    <t>419070</t>
  </si>
  <si>
    <t>419104</t>
  </si>
  <si>
    <t>419110</t>
  </si>
  <si>
    <t>419124</t>
  </si>
  <si>
    <t>419126</t>
  </si>
  <si>
    <t>419127</t>
  </si>
  <si>
    <t>AUXILIAR FIBRA OPTICA</t>
  </si>
  <si>
    <t>419174</t>
  </si>
  <si>
    <t>419176</t>
  </si>
  <si>
    <t>419177</t>
  </si>
  <si>
    <t>419190</t>
  </si>
  <si>
    <t>419197</t>
  </si>
  <si>
    <t>419212</t>
  </si>
  <si>
    <t>419246</t>
  </si>
  <si>
    <t>419286</t>
  </si>
  <si>
    <t>419303</t>
  </si>
  <si>
    <t>419317</t>
  </si>
  <si>
    <t>419324</t>
  </si>
  <si>
    <t>419353</t>
  </si>
  <si>
    <t>419389</t>
  </si>
  <si>
    <t>419393</t>
  </si>
  <si>
    <t>419396</t>
  </si>
  <si>
    <t>419416</t>
  </si>
  <si>
    <t>419429</t>
  </si>
  <si>
    <t>419432</t>
  </si>
  <si>
    <t>419438</t>
  </si>
  <si>
    <t>419458</t>
  </si>
  <si>
    <t>419460</t>
  </si>
  <si>
    <t>419477</t>
  </si>
  <si>
    <t>419482</t>
  </si>
  <si>
    <t>419489</t>
  </si>
  <si>
    <t>419501</t>
  </si>
  <si>
    <t>419517</t>
  </si>
  <si>
    <t>419524</t>
  </si>
  <si>
    <t>419534</t>
  </si>
  <si>
    <t>419566</t>
  </si>
  <si>
    <t>419567</t>
  </si>
  <si>
    <t>419587</t>
  </si>
  <si>
    <t>419637</t>
  </si>
  <si>
    <t>419640</t>
  </si>
  <si>
    <t>419642</t>
  </si>
  <si>
    <t>419663</t>
  </si>
  <si>
    <t>419667</t>
  </si>
  <si>
    <t>419677</t>
  </si>
  <si>
    <t>GENIVALDO AMADOR DE OLIVEIRA JUNIOR</t>
  </si>
  <si>
    <t>HENRIQUE GONCALVES CARVALHO JUNIOR</t>
  </si>
  <si>
    <t>TR610436</t>
  </si>
  <si>
    <t>07464679407</t>
  </si>
  <si>
    <t>84387262034</t>
  </si>
  <si>
    <t>419689</t>
  </si>
  <si>
    <t>419714</t>
  </si>
  <si>
    <t>419730</t>
  </si>
  <si>
    <t>419758</t>
  </si>
  <si>
    <t>419759</t>
  </si>
  <si>
    <t>419778</t>
  </si>
  <si>
    <t>419779</t>
  </si>
  <si>
    <t>419796</t>
  </si>
  <si>
    <t>419832</t>
  </si>
  <si>
    <t>419846</t>
  </si>
  <si>
    <t>419867</t>
  </si>
  <si>
    <t>419883</t>
  </si>
  <si>
    <t>419885</t>
  </si>
  <si>
    <t>419893</t>
  </si>
  <si>
    <t>419921</t>
  </si>
  <si>
    <t>419934</t>
  </si>
  <si>
    <t>419946</t>
  </si>
  <si>
    <t>419949</t>
  </si>
  <si>
    <t>419956</t>
  </si>
  <si>
    <t>419957</t>
  </si>
  <si>
    <t>419964</t>
  </si>
  <si>
    <t>419974</t>
  </si>
  <si>
    <t>419985</t>
  </si>
  <si>
    <t>419986</t>
  </si>
  <si>
    <t>419988</t>
  </si>
  <si>
    <t>420011</t>
  </si>
  <si>
    <t>420022</t>
  </si>
  <si>
    <t>420046</t>
  </si>
  <si>
    <t>420048</t>
  </si>
  <si>
    <t>420050</t>
  </si>
  <si>
    <t>420071</t>
  </si>
  <si>
    <t>420079</t>
  </si>
  <si>
    <t>420081</t>
  </si>
  <si>
    <t>420082</t>
  </si>
  <si>
    <t>420107</t>
  </si>
  <si>
    <t>420119</t>
  </si>
  <si>
    <t>420158</t>
  </si>
  <si>
    <t>420159</t>
  </si>
  <si>
    <t>420181</t>
  </si>
  <si>
    <t>420196</t>
  </si>
  <si>
    <t>420201</t>
  </si>
  <si>
    <t>420212</t>
  </si>
  <si>
    <t>420215</t>
  </si>
  <si>
    <t>420216</t>
  </si>
  <si>
    <t>420241</t>
  </si>
  <si>
    <t>420243</t>
  </si>
  <si>
    <t>420257</t>
  </si>
  <si>
    <t>420275</t>
  </si>
  <si>
    <t>420276</t>
  </si>
  <si>
    <t>420277</t>
  </si>
  <si>
    <t>420278</t>
  </si>
  <si>
    <t>420282</t>
  </si>
  <si>
    <t>420300</t>
  </si>
  <si>
    <t>420306</t>
  </si>
  <si>
    <t>420340</t>
  </si>
  <si>
    <t>420346</t>
  </si>
  <si>
    <t>420353</t>
  </si>
  <si>
    <t>420360</t>
  </si>
  <si>
    <t>420361</t>
  </si>
  <si>
    <t>420365</t>
  </si>
  <si>
    <t>420370</t>
  </si>
  <si>
    <t>420380</t>
  </si>
  <si>
    <t>420384</t>
  </si>
  <si>
    <t>420385</t>
  </si>
  <si>
    <t>420402</t>
  </si>
  <si>
    <t>420420</t>
  </si>
  <si>
    <t>420424</t>
  </si>
  <si>
    <t>420436</t>
  </si>
  <si>
    <t>420446</t>
  </si>
  <si>
    <t>420450</t>
  </si>
  <si>
    <t>420462</t>
  </si>
  <si>
    <t>420473</t>
  </si>
  <si>
    <t>422232</t>
  </si>
  <si>
    <t>422238</t>
  </si>
  <si>
    <t>422239</t>
  </si>
  <si>
    <t>422271</t>
  </si>
  <si>
    <t>422273</t>
  </si>
  <si>
    <t>422275</t>
  </si>
  <si>
    <t>422323</t>
  </si>
  <si>
    <t>422387</t>
  </si>
  <si>
    <t>422390</t>
  </si>
  <si>
    <t>422397</t>
  </si>
  <si>
    <t>422410</t>
  </si>
  <si>
    <t>422411</t>
  </si>
  <si>
    <t>422425</t>
  </si>
  <si>
    <t>422426</t>
  </si>
  <si>
    <t>422427</t>
  </si>
  <si>
    <t>422446</t>
  </si>
  <si>
    <t>422474</t>
  </si>
  <si>
    <t>422482</t>
  </si>
  <si>
    <t>422489</t>
  </si>
  <si>
    <t>422492</t>
  </si>
  <si>
    <t>422512</t>
  </si>
  <si>
    <t>422514</t>
  </si>
  <si>
    <t>422557</t>
  </si>
  <si>
    <t>422562</t>
  </si>
  <si>
    <t>422572</t>
  </si>
  <si>
    <t>422610</t>
  </si>
  <si>
    <t>422615</t>
  </si>
  <si>
    <t>422654</t>
  </si>
  <si>
    <t>422684</t>
  </si>
  <si>
    <t>422746</t>
  </si>
  <si>
    <t>422753</t>
  </si>
  <si>
    <t>422778</t>
  </si>
  <si>
    <t>422809</t>
  </si>
  <si>
    <t>422815</t>
  </si>
  <si>
    <t>422897</t>
  </si>
  <si>
    <t>422928</t>
  </si>
  <si>
    <t>422995</t>
  </si>
  <si>
    <t>423029</t>
  </si>
  <si>
    <t>423108</t>
  </si>
  <si>
    <t>423122</t>
  </si>
  <si>
    <t>423160</t>
  </si>
  <si>
    <t>423236</t>
  </si>
  <si>
    <t>423241</t>
  </si>
  <si>
    <t>423242</t>
  </si>
  <si>
    <t>423263</t>
  </si>
  <si>
    <t>423307</t>
  </si>
  <si>
    <t>423326</t>
  </si>
  <si>
    <t>423443</t>
  </si>
  <si>
    <t>423506</t>
  </si>
  <si>
    <t>423509</t>
  </si>
  <si>
    <t>423513</t>
  </si>
  <si>
    <t>423533</t>
  </si>
  <si>
    <t>423574</t>
  </si>
  <si>
    <t>423591</t>
  </si>
  <si>
    <t>423594</t>
  </si>
  <si>
    <t>423622</t>
  </si>
  <si>
    <t>423629</t>
  </si>
  <si>
    <t>423630</t>
  </si>
  <si>
    <t>423653</t>
  </si>
  <si>
    <t>423670</t>
  </si>
  <si>
    <t>423703</t>
  </si>
  <si>
    <t>423797</t>
  </si>
  <si>
    <t>CRTRCX, LAREP, PREVCX</t>
  </si>
  <si>
    <t>423867</t>
  </si>
  <si>
    <t>423881</t>
  </si>
  <si>
    <t>423968</t>
  </si>
  <si>
    <t>424049</t>
  </si>
  <si>
    <t>424057</t>
  </si>
  <si>
    <t>424063</t>
  </si>
  <si>
    <t>424082</t>
  </si>
  <si>
    <t>424095</t>
  </si>
  <si>
    <t>416931</t>
  </si>
  <si>
    <t>416982</t>
  </si>
  <si>
    <t>416984</t>
  </si>
  <si>
    <t>416989</t>
  </si>
  <si>
    <t>416993</t>
  </si>
  <si>
    <t>417014</t>
  </si>
  <si>
    <t>417072</t>
  </si>
  <si>
    <t>417093</t>
  </si>
  <si>
    <t>417103</t>
  </si>
  <si>
    <t>417107</t>
  </si>
  <si>
    <t>417121</t>
  </si>
  <si>
    <t>417129</t>
  </si>
  <si>
    <t>417130</t>
  </si>
  <si>
    <t>417141</t>
  </si>
  <si>
    <t>417149</t>
  </si>
  <si>
    <t>417159</t>
  </si>
  <si>
    <t>417187</t>
  </si>
  <si>
    <t>417202</t>
  </si>
  <si>
    <t>417203</t>
  </si>
  <si>
    <t>417204</t>
  </si>
  <si>
    <t>417221</t>
  </si>
  <si>
    <t>417250</t>
  </si>
  <si>
    <t>417293</t>
  </si>
  <si>
    <t>417319</t>
  </si>
  <si>
    <t>417345</t>
  </si>
  <si>
    <t>417374</t>
  </si>
  <si>
    <t>417385</t>
  </si>
  <si>
    <t>417398</t>
  </si>
  <si>
    <t>417402</t>
  </si>
  <si>
    <t>417410</t>
  </si>
  <si>
    <t>417452</t>
  </si>
  <si>
    <t>417453</t>
  </si>
  <si>
    <t>417501</t>
  </si>
  <si>
    <t>417504</t>
  </si>
  <si>
    <t>417538</t>
  </si>
  <si>
    <t>417547</t>
  </si>
  <si>
    <t>417553</t>
  </si>
  <si>
    <t>417578</t>
  </si>
  <si>
    <t>417604</t>
  </si>
  <si>
    <t>417613</t>
  </si>
  <si>
    <t>417614</t>
  </si>
  <si>
    <t>417627</t>
  </si>
  <si>
    <t>417662</t>
  </si>
  <si>
    <t>417666</t>
  </si>
  <si>
    <t>417684</t>
  </si>
  <si>
    <t>417698</t>
  </si>
  <si>
    <t>417736</t>
  </si>
  <si>
    <t>417768</t>
  </si>
  <si>
    <t>417783</t>
  </si>
  <si>
    <t>417798</t>
  </si>
  <si>
    <t>417799</t>
  </si>
  <si>
    <t>417821</t>
  </si>
  <si>
    <t>417827</t>
  </si>
  <si>
    <t>417834</t>
  </si>
  <si>
    <t>417873</t>
  </si>
  <si>
    <t>417881</t>
  </si>
  <si>
    <t>417912</t>
  </si>
  <si>
    <t>417929</t>
  </si>
  <si>
    <t>417933</t>
  </si>
  <si>
    <t>417943</t>
  </si>
  <si>
    <t>417946</t>
  </si>
  <si>
    <t>417958</t>
  </si>
  <si>
    <t>417996</t>
  </si>
  <si>
    <t>418007</t>
  </si>
  <si>
    <t>418018</t>
  </si>
  <si>
    <t>TECNICO REDE</t>
  </si>
  <si>
    <t>418055</t>
  </si>
  <si>
    <t>418107</t>
  </si>
  <si>
    <t>418116</t>
  </si>
  <si>
    <t>418132</t>
  </si>
  <si>
    <t>TECNICO FIBRA OPTICA</t>
  </si>
  <si>
    <t>418143</t>
  </si>
  <si>
    <t>DADOS</t>
  </si>
  <si>
    <t>418159</t>
  </si>
  <si>
    <t>TECNICO DADOS</t>
  </si>
  <si>
    <t>418168</t>
  </si>
  <si>
    <t>418170</t>
  </si>
  <si>
    <t>418180</t>
  </si>
  <si>
    <t>418202</t>
  </si>
  <si>
    <t>418220</t>
  </si>
  <si>
    <t>418221</t>
  </si>
  <si>
    <t>418222</t>
  </si>
  <si>
    <t>418230</t>
  </si>
  <si>
    <t>418265</t>
  </si>
  <si>
    <t>418270</t>
  </si>
  <si>
    <t>418273</t>
  </si>
  <si>
    <t>418295</t>
  </si>
  <si>
    <t>418315</t>
  </si>
  <si>
    <t>418338</t>
  </si>
  <si>
    <t>418339</t>
  </si>
  <si>
    <t>418340</t>
  </si>
  <si>
    <t>418351</t>
  </si>
  <si>
    <t>418382</t>
  </si>
  <si>
    <t>418430</t>
  </si>
  <si>
    <t>418463</t>
  </si>
  <si>
    <t>418485</t>
  </si>
  <si>
    <t>418494</t>
  </si>
  <si>
    <t>418508</t>
  </si>
  <si>
    <t>418526</t>
  </si>
  <si>
    <t>418528</t>
  </si>
  <si>
    <t>418531</t>
  </si>
  <si>
    <t>418534</t>
  </si>
  <si>
    <t>418535</t>
  </si>
  <si>
    <t>418557</t>
  </si>
  <si>
    <t>418588</t>
  </si>
  <si>
    <t>418591</t>
  </si>
  <si>
    <t>418604</t>
  </si>
  <si>
    <t>418607</t>
  </si>
  <si>
    <t>418642</t>
  </si>
  <si>
    <t>418657</t>
  </si>
  <si>
    <t>418692</t>
  </si>
  <si>
    <t>418696</t>
  </si>
  <si>
    <t>418713</t>
  </si>
  <si>
    <t>420499</t>
  </si>
  <si>
    <t>420523</t>
  </si>
  <si>
    <t>420527</t>
  </si>
  <si>
    <t>420530</t>
  </si>
  <si>
    <t>420539</t>
  </si>
  <si>
    <t>420544</t>
  </si>
  <si>
    <t>420556</t>
  </si>
  <si>
    <t>420562</t>
  </si>
  <si>
    <t>420569</t>
  </si>
  <si>
    <t>420581</t>
  </si>
  <si>
    <t>420613</t>
  </si>
  <si>
    <t>420623</t>
  </si>
  <si>
    <t>414962</t>
  </si>
  <si>
    <t>SUPERVISOR OPERACIONAL</t>
  </si>
  <si>
    <t>414977</t>
  </si>
  <si>
    <t>415011</t>
  </si>
  <si>
    <t>415062</t>
  </si>
  <si>
    <t>415066</t>
  </si>
  <si>
    <t>415069</t>
  </si>
  <si>
    <t>ADSLDG, ADSLINST, ADSLMUD, ADSLPREV, ADSLREP, ADSLRET, ADSLSRV, CRFE, CRTRCX, DTHINST, DTHMUD, DTHREP, DTHRET, DTHSRV, LAINST, LAMUD, LAREP, LARET, LASRV, PREVCX, TPREP, VAINST</t>
  </si>
  <si>
    <t>415112</t>
  </si>
  <si>
    <t>415122</t>
  </si>
  <si>
    <t>SUPORTE OPERACIONAL</t>
  </si>
  <si>
    <t>415143</t>
  </si>
  <si>
    <t>AUDITOR</t>
  </si>
  <si>
    <t>415147</t>
  </si>
  <si>
    <t>415283</t>
  </si>
  <si>
    <t>415300</t>
  </si>
  <si>
    <t>415334</t>
  </si>
  <si>
    <t>415361</t>
  </si>
  <si>
    <t>415377</t>
  </si>
  <si>
    <t>415383</t>
  </si>
  <si>
    <t>415436</t>
  </si>
  <si>
    <t>415439</t>
  </si>
  <si>
    <t>415466</t>
  </si>
  <si>
    <t>415476</t>
  </si>
  <si>
    <t>415628</t>
  </si>
  <si>
    <t>415687</t>
  </si>
  <si>
    <t>415704</t>
  </si>
  <si>
    <t>415713</t>
  </si>
  <si>
    <t>415719</t>
  </si>
  <si>
    <t>415748</t>
  </si>
  <si>
    <t>415754</t>
  </si>
  <si>
    <t>415758</t>
  </si>
  <si>
    <t>415791</t>
  </si>
  <si>
    <t>415823</t>
  </si>
  <si>
    <t>415834</t>
  </si>
  <si>
    <t>415837</t>
  </si>
  <si>
    <t>415841</t>
  </si>
  <si>
    <t>415882</t>
  </si>
  <si>
    <t>415917</t>
  </si>
  <si>
    <t>415929</t>
  </si>
  <si>
    <t>415939</t>
  </si>
  <si>
    <t>415960</t>
  </si>
  <si>
    <t>415970</t>
  </si>
  <si>
    <t>416005</t>
  </si>
  <si>
    <t>416008</t>
  </si>
  <si>
    <t>416013</t>
  </si>
  <si>
    <t>416053</t>
  </si>
  <si>
    <t>416082</t>
  </si>
  <si>
    <t>416099</t>
  </si>
  <si>
    <t>416102</t>
  </si>
  <si>
    <t>416113</t>
  </si>
  <si>
    <t>416115</t>
  </si>
  <si>
    <t>416126</t>
  </si>
  <si>
    <t>416137</t>
  </si>
  <si>
    <t>416183</t>
  </si>
  <si>
    <t>416184</t>
  </si>
  <si>
    <t>416193</t>
  </si>
  <si>
    <t>416272</t>
  </si>
  <si>
    <t>416276</t>
  </si>
  <si>
    <t>416299</t>
  </si>
  <si>
    <t>416315</t>
  </si>
  <si>
    <t>416320</t>
  </si>
  <si>
    <t>416335</t>
  </si>
  <si>
    <t>416344</t>
  </si>
  <si>
    <t>416367</t>
  </si>
  <si>
    <t>416381</t>
  </si>
  <si>
    <t>416417</t>
  </si>
  <si>
    <t>416421</t>
  </si>
  <si>
    <t>416434</t>
  </si>
  <si>
    <t>416436</t>
  </si>
  <si>
    <t>416439</t>
  </si>
  <si>
    <t>416464</t>
  </si>
  <si>
    <t>416465</t>
  </si>
  <si>
    <t>416475</t>
  </si>
  <si>
    <t>416519</t>
  </si>
  <si>
    <t>416530</t>
  </si>
  <si>
    <t>416534</t>
  </si>
  <si>
    <t>416542</t>
  </si>
  <si>
    <t>416551</t>
  </si>
  <si>
    <t>416554</t>
  </si>
  <si>
    <t>416555</t>
  </si>
  <si>
    <t>416567</t>
  </si>
  <si>
    <t>416570</t>
  </si>
  <si>
    <t>416573</t>
  </si>
  <si>
    <t>416581</t>
  </si>
  <si>
    <t>416588</t>
  </si>
  <si>
    <t>416607</t>
  </si>
  <si>
    <t>416616</t>
  </si>
  <si>
    <t>416619</t>
  </si>
  <si>
    <t>416633</t>
  </si>
  <si>
    <t>416662</t>
  </si>
  <si>
    <t>416663</t>
  </si>
  <si>
    <t>416673</t>
  </si>
  <si>
    <t>416675</t>
  </si>
  <si>
    <t>416677</t>
  </si>
  <si>
    <t>416708</t>
  </si>
  <si>
    <t>416715</t>
  </si>
  <si>
    <t>416720</t>
  </si>
  <si>
    <t>416772</t>
  </si>
  <si>
    <t>416780</t>
  </si>
  <si>
    <t>416788</t>
  </si>
  <si>
    <t>416794</t>
  </si>
  <si>
    <t>416795</t>
  </si>
  <si>
    <t>416797</t>
  </si>
  <si>
    <t>416806</t>
  </si>
  <si>
    <t>416807</t>
  </si>
  <si>
    <t>416810</t>
  </si>
  <si>
    <t>416823</t>
  </si>
  <si>
    <t>416824</t>
  </si>
  <si>
    <t>416878</t>
  </si>
  <si>
    <t>416882</t>
  </si>
  <si>
    <t>416918</t>
  </si>
  <si>
    <t>418725</t>
  </si>
  <si>
    <t>418790</t>
  </si>
  <si>
    <t>418796</t>
  </si>
  <si>
    <t>418804</t>
  </si>
  <si>
    <t>418818</t>
  </si>
  <si>
    <t>418841</t>
  </si>
  <si>
    <t>418865</t>
  </si>
  <si>
    <t>418867</t>
  </si>
  <si>
    <t>418872</t>
  </si>
  <si>
    <t>418911</t>
  </si>
  <si>
    <t>419017</t>
  </si>
  <si>
    <t>419028</t>
  </si>
  <si>
    <t>419030</t>
  </si>
  <si>
    <t>419071</t>
  </si>
  <si>
    <t>419130</t>
  </si>
  <si>
    <t>419155</t>
  </si>
  <si>
    <t>419165</t>
  </si>
  <si>
    <t>419173</t>
  </si>
  <si>
    <t>419191</t>
  </si>
  <si>
    <t>419202</t>
  </si>
  <si>
    <t>419206</t>
  </si>
  <si>
    <t>419232</t>
  </si>
  <si>
    <t>419289</t>
  </si>
  <si>
    <t>419292</t>
  </si>
  <si>
    <t>419304</t>
  </si>
  <si>
    <t>419320</t>
  </si>
  <si>
    <t>419323</t>
  </si>
  <si>
    <t>419334</t>
  </si>
  <si>
    <t>419348</t>
  </si>
  <si>
    <t>419349</t>
  </si>
  <si>
    <t>419354</t>
  </si>
  <si>
    <t>419365</t>
  </si>
  <si>
    <t>419380</t>
  </si>
  <si>
    <t>419409</t>
  </si>
  <si>
    <t>419433</t>
  </si>
  <si>
    <t>419453</t>
  </si>
  <si>
    <t>419471</t>
  </si>
  <si>
    <t>419485</t>
  </si>
  <si>
    <t>419506</t>
  </si>
  <si>
    <t>419515</t>
  </si>
  <si>
    <t>419531</t>
  </si>
  <si>
    <t>419576</t>
  </si>
  <si>
    <t>419580</t>
  </si>
  <si>
    <t>419592</t>
  </si>
  <si>
    <t>419606</t>
  </si>
  <si>
    <t>419630</t>
  </si>
  <si>
    <t>419644</t>
  </si>
  <si>
    <t>419649</t>
  </si>
  <si>
    <t>419650</t>
  </si>
  <si>
    <t>419661</t>
  </si>
  <si>
    <t>419684</t>
  </si>
  <si>
    <t>419687</t>
  </si>
  <si>
    <t>419713</t>
  </si>
  <si>
    <t>419737</t>
  </si>
  <si>
    <t>419755</t>
  </si>
  <si>
    <t>419766</t>
  </si>
  <si>
    <t>419771</t>
  </si>
  <si>
    <t>419785</t>
  </si>
  <si>
    <t>419788</t>
  </si>
  <si>
    <t>419841</t>
  </si>
  <si>
    <t>419855</t>
  </si>
  <si>
    <t>419856</t>
  </si>
  <si>
    <t>419861</t>
  </si>
  <si>
    <t>419884</t>
  </si>
  <si>
    <t>419902</t>
  </si>
  <si>
    <t>419910</t>
  </si>
  <si>
    <t>419931</t>
  </si>
  <si>
    <t>419947</t>
  </si>
  <si>
    <t>419955</t>
  </si>
  <si>
    <t>419965</t>
  </si>
  <si>
    <t>419996</t>
  </si>
  <si>
    <t>420001</t>
  </si>
  <si>
    <t>420008</t>
  </si>
  <si>
    <t>420015</t>
  </si>
  <si>
    <t>420043</t>
  </si>
  <si>
    <t>420064</t>
  </si>
  <si>
    <t>420078</t>
  </si>
  <si>
    <t>420083</t>
  </si>
  <si>
    <t>420091</t>
  </si>
  <si>
    <t>420112</t>
  </si>
  <si>
    <t>420122</t>
  </si>
  <si>
    <t>420127</t>
  </si>
  <si>
    <t>420150</t>
  </si>
  <si>
    <t>420162</t>
  </si>
  <si>
    <t>420163</t>
  </si>
  <si>
    <t>420170</t>
  </si>
  <si>
    <t>420209</t>
  </si>
  <si>
    <t>420213</t>
  </si>
  <si>
    <t>420217</t>
  </si>
  <si>
    <t>420218</t>
  </si>
  <si>
    <t>420222</t>
  </si>
  <si>
    <t>420225</t>
  </si>
  <si>
    <t>420226</t>
  </si>
  <si>
    <t>420233</t>
  </si>
  <si>
    <t>420234</t>
  </si>
  <si>
    <t>420240</t>
  </si>
  <si>
    <t>420247</t>
  </si>
  <si>
    <t>420254</t>
  </si>
  <si>
    <t>420255</t>
  </si>
  <si>
    <t>420261</t>
  </si>
  <si>
    <t>420312</t>
  </si>
  <si>
    <t>420316</t>
  </si>
  <si>
    <t>420325</t>
  </si>
  <si>
    <t>420327</t>
  </si>
  <si>
    <t>420356</t>
  </si>
  <si>
    <t>420359</t>
  </si>
  <si>
    <t>420393</t>
  </si>
  <si>
    <t>420394</t>
  </si>
  <si>
    <t>420397</t>
  </si>
  <si>
    <t>420407</t>
  </si>
  <si>
    <t>420411</t>
  </si>
  <si>
    <t>420415</t>
  </si>
  <si>
    <t>420433</t>
  </si>
  <si>
    <t>420439</t>
  </si>
  <si>
    <t>420440</t>
  </si>
  <si>
    <t>420489</t>
  </si>
  <si>
    <t>422235</t>
  </si>
  <si>
    <t>422246</t>
  </si>
  <si>
    <t>422264</t>
  </si>
  <si>
    <t>422285</t>
  </si>
  <si>
    <t>422340</t>
  </si>
  <si>
    <t>422341</t>
  </si>
  <si>
    <t>422369</t>
  </si>
  <si>
    <t>422391</t>
  </si>
  <si>
    <t>422405</t>
  </si>
  <si>
    <t>422408</t>
  </si>
  <si>
    <t>422435</t>
  </si>
  <si>
    <t>422465</t>
  </si>
  <si>
    <t>422471</t>
  </si>
  <si>
    <t>422491</t>
  </si>
  <si>
    <t>422497</t>
  </si>
  <si>
    <t>422499</t>
  </si>
  <si>
    <t>422511</t>
  </si>
  <si>
    <t>422551</t>
  </si>
  <si>
    <t>422555</t>
  </si>
  <si>
    <t>422570</t>
  </si>
  <si>
    <t>422579</t>
  </si>
  <si>
    <t>422582</t>
  </si>
  <si>
    <t>422611</t>
  </si>
  <si>
    <t>422674</t>
  </si>
  <si>
    <t>422681</t>
  </si>
  <si>
    <t>422688</t>
  </si>
  <si>
    <t>422718</t>
  </si>
  <si>
    <t>422732</t>
  </si>
  <si>
    <t>422747</t>
  </si>
  <si>
    <t>422784</t>
  </si>
  <si>
    <t>422787</t>
  </si>
  <si>
    <t>422858</t>
  </si>
  <si>
    <t>422879</t>
  </si>
  <si>
    <t>422890</t>
  </si>
  <si>
    <t>422893</t>
  </si>
  <si>
    <t>420646</t>
  </si>
  <si>
    <t>420668</t>
  </si>
  <si>
    <t>420717</t>
  </si>
  <si>
    <t>420726</t>
  </si>
  <si>
    <t>420733</t>
  </si>
  <si>
    <t>420848</t>
  </si>
  <si>
    <t>420925</t>
  </si>
  <si>
    <t>420930</t>
  </si>
  <si>
    <t>420941</t>
  </si>
  <si>
    <t>420947</t>
  </si>
  <si>
    <t>420950</t>
  </si>
  <si>
    <t>420983</t>
  </si>
  <si>
    <t>421075</t>
  </si>
  <si>
    <t>421159</t>
  </si>
  <si>
    <t>421166</t>
  </si>
  <si>
    <t>421241</t>
  </si>
  <si>
    <t>421243</t>
  </si>
  <si>
    <t>421244</t>
  </si>
  <si>
    <t>421253</t>
  </si>
  <si>
    <t>422899</t>
  </si>
  <si>
    <t>422914</t>
  </si>
  <si>
    <t>422926</t>
  </si>
  <si>
    <t>422970</t>
  </si>
  <si>
    <t>422973</t>
  </si>
  <si>
    <t>422976</t>
  </si>
  <si>
    <t>421284</t>
  </si>
  <si>
    <t>421296</t>
  </si>
  <si>
    <t>421326</t>
  </si>
  <si>
    <t>421346</t>
  </si>
  <si>
    <t>421356</t>
  </si>
  <si>
    <t>421363</t>
  </si>
  <si>
    <t>422991</t>
  </si>
  <si>
    <t>423036</t>
  </si>
  <si>
    <t>423058</t>
  </si>
  <si>
    <t>423059</t>
  </si>
  <si>
    <t>423064</t>
  </si>
  <si>
    <t>423075</t>
  </si>
  <si>
    <t>423096</t>
  </si>
  <si>
    <t>421371</t>
  </si>
  <si>
    <t>421428</t>
  </si>
  <si>
    <t>421437</t>
  </si>
  <si>
    <t>421484</t>
  </si>
  <si>
    <t>421497</t>
  </si>
  <si>
    <t>421524</t>
  </si>
  <si>
    <t>421534</t>
  </si>
  <si>
    <t>421546</t>
  </si>
  <si>
    <t>421594</t>
  </si>
  <si>
    <t>421604</t>
  </si>
  <si>
    <t>421629</t>
  </si>
  <si>
    <t>421690</t>
  </si>
  <si>
    <t>421750</t>
  </si>
  <si>
    <t>421765</t>
  </si>
  <si>
    <t>421781</t>
  </si>
  <si>
    <t>421790</t>
  </si>
  <si>
    <t>421797</t>
  </si>
  <si>
    <t>421809</t>
  </si>
  <si>
    <t>421820</t>
  </si>
  <si>
    <t>421826</t>
  </si>
  <si>
    <t>421858</t>
  </si>
  <si>
    <t>421948</t>
  </si>
  <si>
    <t>421977</t>
  </si>
  <si>
    <t>421985</t>
  </si>
  <si>
    <t>422117</t>
  </si>
  <si>
    <t>422130</t>
  </si>
  <si>
    <t>422131</t>
  </si>
  <si>
    <t>422139</t>
  </si>
  <si>
    <t>422143</t>
  </si>
  <si>
    <t>422188</t>
  </si>
  <si>
    <t>422216</t>
  </si>
  <si>
    <t>427562</t>
  </si>
  <si>
    <t>427605</t>
  </si>
  <si>
    <t>427606</t>
  </si>
  <si>
    <t>339988</t>
  </si>
  <si>
    <t>341473</t>
  </si>
  <si>
    <t>342376</t>
  </si>
  <si>
    <t>423112</t>
  </si>
  <si>
    <t>423153</t>
  </si>
  <si>
    <t>423243</t>
  </si>
  <si>
    <t>423301</t>
  </si>
  <si>
    <t>423310</t>
  </si>
  <si>
    <t>423312</t>
  </si>
  <si>
    <t>343211</t>
  </si>
  <si>
    <t>343439</t>
  </si>
  <si>
    <t>343461</t>
  </si>
  <si>
    <t>343705</t>
  </si>
  <si>
    <t>344122</t>
  </si>
  <si>
    <t>344311</t>
  </si>
  <si>
    <t>336445</t>
  </si>
  <si>
    <t>336980</t>
  </si>
  <si>
    <t>338248</t>
  </si>
  <si>
    <t>338444</t>
  </si>
  <si>
    <t>335815</t>
  </si>
  <si>
    <t>424109</t>
  </si>
  <si>
    <t>424120</t>
  </si>
  <si>
    <t>424145</t>
  </si>
  <si>
    <t>424179</t>
  </si>
  <si>
    <t>424208</t>
  </si>
  <si>
    <t>424241</t>
  </si>
  <si>
    <t>424246</t>
  </si>
  <si>
    <t>424269</t>
  </si>
  <si>
    <t>424300</t>
  </si>
  <si>
    <t>424304</t>
  </si>
  <si>
    <t>424313</t>
  </si>
  <si>
    <t>424322</t>
  </si>
  <si>
    <t>424339</t>
  </si>
  <si>
    <t>424362</t>
  </si>
  <si>
    <t>424436</t>
  </si>
  <si>
    <t>424454</t>
  </si>
  <si>
    <t>424470</t>
  </si>
  <si>
    <t>424532</t>
  </si>
  <si>
    <t>424536</t>
  </si>
  <si>
    <t>424548</t>
  </si>
  <si>
    <t>424622</t>
  </si>
  <si>
    <t>424648</t>
  </si>
  <si>
    <t>424658</t>
  </si>
  <si>
    <t>424681</t>
  </si>
  <si>
    <t>424706</t>
  </si>
  <si>
    <t>424732</t>
  </si>
  <si>
    <t>424796</t>
  </si>
  <si>
    <t>424824</t>
  </si>
  <si>
    <t>424831</t>
  </si>
  <si>
    <t>424857</t>
  </si>
  <si>
    <t>424869</t>
  </si>
  <si>
    <t>424896</t>
  </si>
  <si>
    <t>424914</t>
  </si>
  <si>
    <t>424941</t>
  </si>
  <si>
    <t>424956</t>
  </si>
  <si>
    <t>424967</t>
  </si>
  <si>
    <t>425015</t>
  </si>
  <si>
    <t>425019</t>
  </si>
  <si>
    <t>425043</t>
  </si>
  <si>
    <t>425054</t>
  </si>
  <si>
    <t>425057</t>
  </si>
  <si>
    <t>425073</t>
  </si>
  <si>
    <t>425139</t>
  </si>
  <si>
    <t>425177</t>
  </si>
  <si>
    <t>425272</t>
  </si>
  <si>
    <t>425343</t>
  </si>
  <si>
    <t>425370</t>
  </si>
  <si>
    <t>425421</t>
  </si>
  <si>
    <t>425568</t>
  </si>
  <si>
    <t>425577</t>
  </si>
  <si>
    <t>425598</t>
  </si>
  <si>
    <t>425649</t>
  </si>
  <si>
    <t>425700</t>
  </si>
  <si>
    <t>425726</t>
  </si>
  <si>
    <t>425757</t>
  </si>
  <si>
    <t>425793</t>
  </si>
  <si>
    <t>425794</t>
  </si>
  <si>
    <t>425811</t>
  </si>
  <si>
    <t>425822</t>
  </si>
  <si>
    <t>425828</t>
  </si>
  <si>
    <t>425907</t>
  </si>
  <si>
    <t>425928</t>
  </si>
  <si>
    <t>425949</t>
  </si>
  <si>
    <t>425989</t>
  </si>
  <si>
    <t>426012</t>
  </si>
  <si>
    <t>426038</t>
  </si>
  <si>
    <t>426048</t>
  </si>
  <si>
    <t>426084</t>
  </si>
  <si>
    <t>426116</t>
  </si>
  <si>
    <t>426355</t>
  </si>
  <si>
    <t>426379</t>
  </si>
  <si>
    <t>426388</t>
  </si>
  <si>
    <t>426408</t>
  </si>
  <si>
    <t>426429</t>
  </si>
  <si>
    <t>426435</t>
  </si>
  <si>
    <t>426438</t>
  </si>
  <si>
    <t>426451</t>
  </si>
  <si>
    <t>426509</t>
  </si>
  <si>
    <t>426540</t>
  </si>
  <si>
    <t>426619</t>
  </si>
  <si>
    <t>426622</t>
  </si>
  <si>
    <t>426623</t>
  </si>
  <si>
    <t>426624</t>
  </si>
  <si>
    <t>426642</t>
  </si>
  <si>
    <t>426669</t>
  </si>
  <si>
    <t>426681</t>
  </si>
  <si>
    <t>426702</t>
  </si>
  <si>
    <t>426804</t>
  </si>
  <si>
    <t>426823</t>
  </si>
  <si>
    <t>426859</t>
  </si>
  <si>
    <t>426873</t>
  </si>
  <si>
    <t>426878</t>
  </si>
  <si>
    <t>426964</t>
  </si>
  <si>
    <t>423338</t>
  </si>
  <si>
    <t>423350</t>
  </si>
  <si>
    <t>423383</t>
  </si>
  <si>
    <t>423508</t>
  </si>
  <si>
    <t>423521</t>
  </si>
  <si>
    <t>OBRAS FIBRA</t>
  </si>
  <si>
    <t>423562</t>
  </si>
  <si>
    <t>423646</t>
  </si>
  <si>
    <t>423662</t>
  </si>
  <si>
    <t>423663</t>
  </si>
  <si>
    <t>423669</t>
  </si>
  <si>
    <t>423673</t>
  </si>
  <si>
    <t>423684</t>
  </si>
  <si>
    <t>423693</t>
  </si>
  <si>
    <t>423699</t>
  </si>
  <si>
    <t>423701</t>
  </si>
  <si>
    <t>423738</t>
  </si>
  <si>
    <t>423747</t>
  </si>
  <si>
    <t>423753</t>
  </si>
  <si>
    <t>416935</t>
  </si>
  <si>
    <t>416951</t>
  </si>
  <si>
    <t>416954</t>
  </si>
  <si>
    <t>416963</t>
  </si>
  <si>
    <t>416969</t>
  </si>
  <si>
    <t>JOSE AILTON DA COSTA DIAS</t>
  </si>
  <si>
    <t>416971</t>
  </si>
  <si>
    <t>416976</t>
  </si>
  <si>
    <t>416985</t>
  </si>
  <si>
    <t>417034</t>
  </si>
  <si>
    <t>417040</t>
  </si>
  <si>
    <t>417044</t>
  </si>
  <si>
    <t>417046</t>
  </si>
  <si>
    <t>417057</t>
  </si>
  <si>
    <t>417061</t>
  </si>
  <si>
    <t>417076</t>
  </si>
  <si>
    <t>417078</t>
  </si>
  <si>
    <t>417091</t>
  </si>
  <si>
    <t>417114</t>
  </si>
  <si>
    <t>417119</t>
  </si>
  <si>
    <t>417123</t>
  </si>
  <si>
    <t>417177</t>
  </si>
  <si>
    <t>417180</t>
  </si>
  <si>
    <t>427017</t>
  </si>
  <si>
    <t>427018</t>
  </si>
  <si>
    <t>427060</t>
  </si>
  <si>
    <t>427156</t>
  </si>
  <si>
    <t>427168</t>
  </si>
  <si>
    <t>427189</t>
  </si>
  <si>
    <t>427242</t>
  </si>
  <si>
    <t>427260</t>
  </si>
  <si>
    <t>427273</t>
  </si>
  <si>
    <t>427278</t>
  </si>
  <si>
    <t>427281</t>
  </si>
  <si>
    <t>427282</t>
  </si>
  <si>
    <t>427314</t>
  </si>
  <si>
    <t>427327</t>
  </si>
  <si>
    <t>427355</t>
  </si>
  <si>
    <t>427410</t>
  </si>
  <si>
    <t>427415</t>
  </si>
  <si>
    <t>427419</t>
  </si>
  <si>
    <t>427432</t>
  </si>
  <si>
    <t>427528</t>
  </si>
  <si>
    <t>417185</t>
  </si>
  <si>
    <t>417208</t>
  </si>
  <si>
    <t>417231</t>
  </si>
  <si>
    <t>417244</t>
  </si>
  <si>
    <t>417256</t>
  </si>
  <si>
    <t>417303</t>
  </si>
  <si>
    <t>417311</t>
  </si>
  <si>
    <t>417328</t>
  </si>
  <si>
    <t>417335</t>
  </si>
  <si>
    <t>417341</t>
  </si>
  <si>
    <t>417348</t>
  </si>
  <si>
    <t>417357</t>
  </si>
  <si>
    <t>417443</t>
  </si>
  <si>
    <t>417498</t>
  </si>
  <si>
    <t>417521</t>
  </si>
  <si>
    <t>417529</t>
  </si>
  <si>
    <t>417549</t>
  </si>
  <si>
    <t>417581</t>
  </si>
  <si>
    <t>MOTORISTA</t>
  </si>
  <si>
    <t>417590</t>
  </si>
  <si>
    <t>417597</t>
  </si>
  <si>
    <t>417610</t>
  </si>
  <si>
    <t>417617</t>
  </si>
  <si>
    <t>417646</t>
  </si>
  <si>
    <t>417651</t>
  </si>
  <si>
    <t>417672</t>
  </si>
  <si>
    <t>417687</t>
  </si>
  <si>
    <t>417692</t>
  </si>
  <si>
    <t>417706</t>
  </si>
  <si>
    <t>417751</t>
  </si>
  <si>
    <t>417755</t>
  </si>
  <si>
    <t>417762</t>
  </si>
  <si>
    <t>417804</t>
  </si>
  <si>
    <t>417810</t>
  </si>
  <si>
    <t>417815</t>
  </si>
  <si>
    <t>417843</t>
  </si>
  <si>
    <t>417862</t>
  </si>
  <si>
    <t>417877</t>
  </si>
  <si>
    <t>417882</t>
  </si>
  <si>
    <t>417893</t>
  </si>
  <si>
    <t>417894</t>
  </si>
  <si>
    <t>417920</t>
  </si>
  <si>
    <t>417932</t>
  </si>
  <si>
    <t>417937</t>
  </si>
  <si>
    <t>417939</t>
  </si>
  <si>
    <t>417942</t>
  </si>
  <si>
    <t>417948</t>
  </si>
  <si>
    <t>417959</t>
  </si>
  <si>
    <t>417982</t>
  </si>
  <si>
    <t>417991</t>
  </si>
  <si>
    <t>417995</t>
  </si>
  <si>
    <t>418015</t>
  </si>
  <si>
    <t>418040</t>
  </si>
  <si>
    <t>418089</t>
  </si>
  <si>
    <t>418095</t>
  </si>
  <si>
    <t>418110</t>
  </si>
  <si>
    <t>418111</t>
  </si>
  <si>
    <t>418115</t>
  </si>
  <si>
    <t>418120</t>
  </si>
  <si>
    <t>418175</t>
  </si>
  <si>
    <t>418211</t>
  </si>
  <si>
    <t>418214</t>
  </si>
  <si>
    <t>418229</t>
  </si>
  <si>
    <t>418328</t>
  </si>
  <si>
    <t>418335</t>
  </si>
  <si>
    <t>418402</t>
  </si>
  <si>
    <t>418431</t>
  </si>
  <si>
    <t>418459</t>
  </si>
  <si>
    <t>418481</t>
  </si>
  <si>
    <t>418512</t>
  </si>
  <si>
    <t>418595</t>
  </si>
  <si>
    <t>418601</t>
  </si>
  <si>
    <t>418608</t>
  </si>
  <si>
    <t>418609</t>
  </si>
  <si>
    <t>418619</t>
  </si>
  <si>
    <t>418695</t>
  </si>
  <si>
    <t>420511</t>
  </si>
  <si>
    <t>420543</t>
  </si>
  <si>
    <t>420551</t>
  </si>
  <si>
    <t>420571</t>
  </si>
  <si>
    <t>420593</t>
  </si>
  <si>
    <t>420612</t>
  </si>
  <si>
    <t>420653</t>
  </si>
  <si>
    <t>420663</t>
  </si>
  <si>
    <t>420669</t>
  </si>
  <si>
    <t>420671</t>
  </si>
  <si>
    <t>420678</t>
  </si>
  <si>
    <t>420714</t>
  </si>
  <si>
    <t>420768</t>
  </si>
  <si>
    <t>420772</t>
  </si>
  <si>
    <t>420856</t>
  </si>
  <si>
    <t>420865</t>
  </si>
  <si>
    <t>420879</t>
  </si>
  <si>
    <t>420889</t>
  </si>
  <si>
    <t>420913</t>
  </si>
  <si>
    <t>420964</t>
  </si>
  <si>
    <t>420970</t>
  </si>
  <si>
    <t>421046</t>
  </si>
  <si>
    <t>421063</t>
  </si>
  <si>
    <t>421118</t>
  </si>
  <si>
    <t>421125</t>
  </si>
  <si>
    <t>421173</t>
  </si>
  <si>
    <t>423787</t>
  </si>
  <si>
    <t>423792</t>
  </si>
  <si>
    <t>423800</t>
  </si>
  <si>
    <t>423816</t>
  </si>
  <si>
    <t>423834</t>
  </si>
  <si>
    <t>423849</t>
  </si>
  <si>
    <t>423857</t>
  </si>
  <si>
    <t>423914</t>
  </si>
  <si>
    <t>423973</t>
  </si>
  <si>
    <t>423974</t>
  </si>
  <si>
    <t>424010</t>
  </si>
  <si>
    <t>424019</t>
  </si>
  <si>
    <t>424055</t>
  </si>
  <si>
    <t>424062</t>
  </si>
  <si>
    <t>424071</t>
  </si>
  <si>
    <t>424107</t>
  </si>
  <si>
    <t>424135</t>
  </si>
  <si>
    <t>424235</t>
  </si>
  <si>
    <t>424243</t>
  </si>
  <si>
    <t>424255</t>
  </si>
  <si>
    <t>424259</t>
  </si>
  <si>
    <t>424264</t>
  </si>
  <si>
    <t>424280</t>
  </si>
  <si>
    <t>424293</t>
  </si>
  <si>
    <t>424321</t>
  </si>
  <si>
    <t>424345</t>
  </si>
  <si>
    <t>424385</t>
  </si>
  <si>
    <t>424391</t>
  </si>
  <si>
    <t>424410</t>
  </si>
  <si>
    <t>424417</t>
  </si>
  <si>
    <t>424452</t>
  </si>
  <si>
    <t>424567</t>
  </si>
  <si>
    <t>424570</t>
  </si>
  <si>
    <t>424581</t>
  </si>
  <si>
    <t>424597</t>
  </si>
  <si>
    <t>424680</t>
  </si>
  <si>
    <t>424712</t>
  </si>
  <si>
    <t>424730</t>
  </si>
  <si>
    <t>424742</t>
  </si>
  <si>
    <t>424749</t>
  </si>
  <si>
    <t>424762</t>
  </si>
  <si>
    <t>424799</t>
  </si>
  <si>
    <t>424807</t>
  </si>
  <si>
    <t>424846</t>
  </si>
  <si>
    <t>424906</t>
  </si>
  <si>
    <t>424933</t>
  </si>
  <si>
    <t>424947</t>
  </si>
  <si>
    <t>424961</t>
  </si>
  <si>
    <t>424977</t>
  </si>
  <si>
    <t>425011</t>
  </si>
  <si>
    <t>425012</t>
  </si>
  <si>
    <t>425023</t>
  </si>
  <si>
    <t>425032</t>
  </si>
  <si>
    <t>425038</t>
  </si>
  <si>
    <t>425041</t>
  </si>
  <si>
    <t>AUXILIAR REDE</t>
  </si>
  <si>
    <t>425082</t>
  </si>
  <si>
    <t>425100</t>
  </si>
  <si>
    <t>425131</t>
  </si>
  <si>
    <t>425187</t>
  </si>
  <si>
    <t>425188</t>
  </si>
  <si>
    <t>425198</t>
  </si>
  <si>
    <t>425245</t>
  </si>
  <si>
    <t>425320</t>
  </si>
  <si>
    <t>425457</t>
  </si>
  <si>
    <t>425458</t>
  </si>
  <si>
    <t>425498</t>
  </si>
  <si>
    <t>425510</t>
  </si>
  <si>
    <t>425512</t>
  </si>
  <si>
    <t>425514</t>
  </si>
  <si>
    <t>425525</t>
  </si>
  <si>
    <t>425551</t>
  </si>
  <si>
    <t>425556</t>
  </si>
  <si>
    <t>425590</t>
  </si>
  <si>
    <t>425636</t>
  </si>
  <si>
    <t>425651</t>
  </si>
  <si>
    <t>425686</t>
  </si>
  <si>
    <t>425698</t>
  </si>
  <si>
    <t>425855</t>
  </si>
  <si>
    <t>425877</t>
  </si>
  <si>
    <t>425889</t>
  </si>
  <si>
    <t>425897</t>
  </si>
  <si>
    <t>425904</t>
  </si>
  <si>
    <t>425908</t>
  </si>
  <si>
    <t>425911</t>
  </si>
  <si>
    <t>425932</t>
  </si>
  <si>
    <t>425942</t>
  </si>
  <si>
    <t>425945</t>
  </si>
  <si>
    <t>425990</t>
  </si>
  <si>
    <t>426007</t>
  </si>
  <si>
    <t>426039</t>
  </si>
  <si>
    <t>426044</t>
  </si>
  <si>
    <t>426049</t>
  </si>
  <si>
    <t>426080</t>
  </si>
  <si>
    <t>426098</t>
  </si>
  <si>
    <t>426100</t>
  </si>
  <si>
    <t>426104</t>
  </si>
  <si>
    <t>426113</t>
  </si>
  <si>
    <t>426185</t>
  </si>
  <si>
    <t>426361</t>
  </si>
  <si>
    <t>426384</t>
  </si>
  <si>
    <t>426428</t>
  </si>
  <si>
    <t>426437</t>
  </si>
  <si>
    <t>426459</t>
  </si>
  <si>
    <t>426535</t>
  </si>
  <si>
    <t>426590</t>
  </si>
  <si>
    <t>426613</t>
  </si>
  <si>
    <t>426617</t>
  </si>
  <si>
    <t>426709</t>
  </si>
  <si>
    <t>426736</t>
  </si>
  <si>
    <t>426741</t>
  </si>
  <si>
    <t>426754</t>
  </si>
  <si>
    <t>426830</t>
  </si>
  <si>
    <t>426865</t>
  </si>
  <si>
    <t>426876</t>
  </si>
  <si>
    <t>426893</t>
  </si>
  <si>
    <t>426943</t>
  </si>
  <si>
    <t>426953</t>
  </si>
  <si>
    <t>426987</t>
  </si>
  <si>
    <t>427142</t>
  </si>
  <si>
    <t>427283</t>
  </si>
  <si>
    <t>427286</t>
  </si>
  <si>
    <t>421182</t>
  </si>
  <si>
    <t>421190</t>
  </si>
  <si>
    <t>421194</t>
  </si>
  <si>
    <t>421231</t>
  </si>
  <si>
    <t>CONTROLADOR</t>
  </si>
  <si>
    <t>421294</t>
  </si>
  <si>
    <t>421314</t>
  </si>
  <si>
    <t>421350</t>
  </si>
  <si>
    <t>421357</t>
  </si>
  <si>
    <t>421361</t>
  </si>
  <si>
    <t>421366</t>
  </si>
  <si>
    <t>421385</t>
  </si>
  <si>
    <t>421453</t>
  </si>
  <si>
    <t>421474</t>
  </si>
  <si>
    <t>421545</t>
  </si>
  <si>
    <t>421549</t>
  </si>
  <si>
    <t>421558</t>
  </si>
  <si>
    <t>421559</t>
  </si>
  <si>
    <t>421571</t>
  </si>
  <si>
    <t>421584</t>
  </si>
  <si>
    <t>421620</t>
  </si>
  <si>
    <t>421637</t>
  </si>
  <si>
    <t>421688</t>
  </si>
  <si>
    <t>421811</t>
  </si>
  <si>
    <t>421822</t>
  </si>
  <si>
    <t>421877</t>
  </si>
  <si>
    <t>421888</t>
  </si>
  <si>
    <t>421958</t>
  </si>
  <si>
    <t>421969</t>
  </si>
  <si>
    <t>421995</t>
  </si>
  <si>
    <t>421998</t>
  </si>
  <si>
    <t>422115</t>
  </si>
  <si>
    <t>422122</t>
  </si>
  <si>
    <t>422146</t>
  </si>
  <si>
    <t>422151</t>
  </si>
  <si>
    <t>422176</t>
  </si>
  <si>
    <t>422177</t>
  </si>
  <si>
    <t>422204</t>
  </si>
  <si>
    <t>427543</t>
  </si>
  <si>
    <t>427544</t>
  </si>
  <si>
    <t>427559</t>
  </si>
  <si>
    <t>353719</t>
  </si>
  <si>
    <t>339990</t>
  </si>
  <si>
    <t>341319</t>
  </si>
  <si>
    <t>341487</t>
  </si>
  <si>
    <t>342115</t>
  </si>
  <si>
    <t>342152</t>
  </si>
  <si>
    <t>342370</t>
  </si>
  <si>
    <t>342372</t>
  </si>
  <si>
    <t>342374</t>
  </si>
  <si>
    <t>342375</t>
  </si>
  <si>
    <t>343237</t>
  </si>
  <si>
    <t>343445</t>
  </si>
  <si>
    <t>343708</t>
  </si>
  <si>
    <t>344120</t>
  </si>
  <si>
    <t>344127</t>
  </si>
  <si>
    <t>339178</t>
  </si>
  <si>
    <t>335811</t>
  </si>
  <si>
    <t>335848</t>
  </si>
  <si>
    <t>427316</t>
  </si>
  <si>
    <t>427326</t>
  </si>
  <si>
    <t>427343</t>
  </si>
  <si>
    <t>427357</t>
  </si>
  <si>
    <t>427381</t>
  </si>
  <si>
    <t>427446</t>
  </si>
  <si>
    <t>427481</t>
  </si>
  <si>
    <t>427493</t>
  </si>
  <si>
    <t>427520</t>
  </si>
  <si>
    <t>MAT_TR</t>
  </si>
  <si>
    <t>MAT_FPW</t>
  </si>
  <si>
    <t xml:space="preserve">ANTONIO FABIO </t>
  </si>
  <si>
    <t xml:space="preserve">NILO WEBER </t>
  </si>
  <si>
    <t xml:space="preserve">MICHEL SOARES </t>
  </si>
  <si>
    <t xml:space="preserve">THIAGO SILVA </t>
  </si>
  <si>
    <t xml:space="preserve">ANTONIO ERINEUDES </t>
  </si>
  <si>
    <t xml:space="preserve">CLAUDECIR GOMES </t>
  </si>
  <si>
    <t xml:space="preserve">HENRIQUE OLIVEIRA </t>
  </si>
  <si>
    <t xml:space="preserve">KARLYSSON FRANCO </t>
  </si>
  <si>
    <t xml:space="preserve">CRISTIANO ADOLFO </t>
  </si>
  <si>
    <t xml:space="preserve">JESSE GONCALVES </t>
  </si>
  <si>
    <t xml:space="preserve">ANA CLAUDIA </t>
  </si>
  <si>
    <t xml:space="preserve">CARLOS FERNANDES </t>
  </si>
  <si>
    <t xml:space="preserve">JOSEVAN DE </t>
  </si>
  <si>
    <t xml:space="preserve">SHEYLA MARIA </t>
  </si>
  <si>
    <t xml:space="preserve">JOSENIL GOMES </t>
  </si>
  <si>
    <t xml:space="preserve">MARCILIO RIBEIRO </t>
  </si>
  <si>
    <t>AFASTADO</t>
  </si>
  <si>
    <t xml:space="preserve">FRANCISCO DE </t>
  </si>
  <si>
    <t xml:space="preserve">JOSE NILTON </t>
  </si>
  <si>
    <t xml:space="preserve">VANDERLEI HENZEL </t>
  </si>
  <si>
    <t xml:space="preserve">CARLOS AUGUSTO </t>
  </si>
  <si>
    <t xml:space="preserve">ANTONIO GILSON </t>
  </si>
  <si>
    <t xml:space="preserve">MARCOS ALBERTO </t>
  </si>
  <si>
    <t xml:space="preserve">JOSE MARDEM </t>
  </si>
  <si>
    <t xml:space="preserve">ROBERTO CLAUDIO </t>
  </si>
  <si>
    <t xml:space="preserve">JOSE VENILSON </t>
  </si>
  <si>
    <t xml:space="preserve">DANIEL MARTINS </t>
  </si>
  <si>
    <t xml:space="preserve">CRISTIANO FERREIRA </t>
  </si>
  <si>
    <t xml:space="preserve">RODRIGO ALBUQUERQUE </t>
  </si>
  <si>
    <t>(vazio)</t>
  </si>
  <si>
    <t>DESLIGADO</t>
  </si>
  <si>
    <t xml:space="preserve">DJAIR DE </t>
  </si>
  <si>
    <t xml:space="preserve">ROBERTA OLIVEIRA </t>
  </si>
  <si>
    <t xml:space="preserve">ROGER DO </t>
  </si>
  <si>
    <t xml:space="preserve">STANLEY MEDEIROS </t>
  </si>
  <si>
    <t xml:space="preserve">JOSILENE MACENA </t>
  </si>
  <si>
    <t xml:space="preserve">GLAUBER JOSE </t>
  </si>
  <si>
    <t xml:space="preserve">FERNANDO ANTONIO </t>
  </si>
  <si>
    <t xml:space="preserve">RAFAEL FERNANDES </t>
  </si>
  <si>
    <t xml:space="preserve">PAULO PEREIRA </t>
  </si>
  <si>
    <t xml:space="preserve">EDERLINDO GONCALVES </t>
  </si>
  <si>
    <t xml:space="preserve">KALYNE GOUVEIA </t>
  </si>
  <si>
    <t xml:space="preserve">ALESSANDRO DIONISIO </t>
  </si>
  <si>
    <t xml:space="preserve">JOSUEL FERREIRA </t>
  </si>
  <si>
    <t xml:space="preserve">AMAURY ASSIS </t>
  </si>
  <si>
    <t xml:space="preserve">MARCUS VINICIUS </t>
  </si>
  <si>
    <t xml:space="preserve">RAMSES DE </t>
  </si>
  <si>
    <t xml:space="preserve">ALTAIR LUIZ </t>
  </si>
  <si>
    <t xml:space="preserve">MAURO BRAGA </t>
  </si>
  <si>
    <t xml:space="preserve">IVALDO BEZERRA </t>
  </si>
  <si>
    <t xml:space="preserve">AMARILDO GOMES </t>
  </si>
  <si>
    <t xml:space="preserve">ALEXANDRE SEVERINO </t>
  </si>
  <si>
    <t xml:space="preserve">HAMILTON DAVINO </t>
  </si>
  <si>
    <t xml:space="preserve">EDSON CARLOS </t>
  </si>
  <si>
    <t xml:space="preserve">PATRICIO MARTINS </t>
  </si>
  <si>
    <t xml:space="preserve">PAULO JOSE </t>
  </si>
  <si>
    <t xml:space="preserve">BRUNO LUIZ </t>
  </si>
  <si>
    <t xml:space="preserve">ALYSSON HENRIQUE </t>
  </si>
  <si>
    <t xml:space="preserve">JOSE HAILTON </t>
  </si>
  <si>
    <t xml:space="preserve">ADRIANO VICENTE </t>
  </si>
  <si>
    <t xml:space="preserve">CARLOS EDUARDO </t>
  </si>
  <si>
    <t xml:space="preserve">DIEGO MARTINS </t>
  </si>
  <si>
    <t xml:space="preserve">RODRIGO CARDOZO </t>
  </si>
  <si>
    <t xml:space="preserve">GENELSON AUGUSTO </t>
  </si>
  <si>
    <t xml:space="preserve">ADENILTON CORREIA </t>
  </si>
  <si>
    <t xml:space="preserve">ANDRE LUIZ </t>
  </si>
  <si>
    <t xml:space="preserve">ALDO GOMES </t>
  </si>
  <si>
    <t>-</t>
  </si>
  <si>
    <t>INATIVO</t>
  </si>
  <si>
    <t xml:space="preserve">LEANDRO COUTINHO </t>
  </si>
  <si>
    <t xml:space="preserve">MARCELO JOSE </t>
  </si>
  <si>
    <t xml:space="preserve">WILSON CARLOS </t>
  </si>
  <si>
    <t xml:space="preserve">JOSUE MOURA </t>
  </si>
  <si>
    <t xml:space="preserve">SIDNEY MOURA </t>
  </si>
  <si>
    <t xml:space="preserve">FERNANDO FREITAS </t>
  </si>
  <si>
    <t xml:space="preserve">RICELE DA </t>
  </si>
  <si>
    <t xml:space="preserve">ALEXANDRE ONASSIS </t>
  </si>
  <si>
    <t xml:space="preserve">HENRIQUE GONCALVES </t>
  </si>
  <si>
    <t xml:space="preserve">AELGRICIO SILVA </t>
  </si>
  <si>
    <t>Quadro Click - 04_09_2019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</si>
</sst>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_Mm_Ss"/>
  </numFmts>
  <fonts count="10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pivotButton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8" fillId="0" borderId="0" xfId="1"/>
    <xf numFmtId="0" fontId="0" fillId="0" borderId="0" xfId="0" pivotButton="1"/>
    <xf numFmtId="0" fontId="0" fillId="0" borderId="0" xfId="0" pivotButton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9" fillId="0" borderId="0" xfId="0" applyFont="1"/>
  </cellXfs>
  <cellStyles count="2">
    <cellStyle name="Hiperlink" xfId="1" builtinId="8"/>
    <cellStyle name="Normal" xfId="0" builtinId="0"/>
  </cellStyles>
  <dxfs count="71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alignment horizontal="center" readingOrder="0"/>
    </dxf>
    <dxf>
      <alignment horizontal="left" readingOrder="0"/>
    </dxf>
    <dxf>
      <alignment horizontal="center" readingOrder="0"/>
    </dxf>
    <dxf>
      <alignment vertical="center" readingOrder="0"/>
    </dxf>
    <dxf>
      <alignment vertical="center" readingOrder="0"/>
    </dxf>
    <dxf>
      <font>
        <sz val="10"/>
      </font>
    </dxf>
    <dxf>
      <font>
        <sz val="10"/>
      </font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bottom style="thin">
          <color theme="5" tint="0.39997558519241921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5"/>
        </top>
        <bottom style="thin">
          <color theme="5"/>
        </bottom>
      </border>
    </dxf>
    <dxf>
      <fill>
        <patternFill patternType="solid">
          <fgColor theme="0" tint="-0.14999847407452621"/>
          <bgColor theme="0" tint="-0.14999847407452621"/>
        </patternFill>
      </fill>
    </dxf>
    <dxf>
      <fill>
        <patternFill patternType="solid">
          <fgColor theme="0" tint="-0.14999847407452621"/>
          <bgColor theme="0" tint="-0.14999847407452621"/>
        </patternFill>
      </fill>
      <border>
        <left style="thin">
          <color theme="0" tint="-0.249977111117893"/>
        </left>
        <right style="thin">
          <color theme="0" tint="-0.249977111117893"/>
        </right>
      </border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1"/>
      </font>
      <fill>
        <patternFill patternType="solid">
          <fgColor theme="5" tint="0.79998168889431442"/>
          <bgColor theme="5" tint="0.79998168889431442"/>
        </patternFill>
      </fill>
      <border>
        <top style="thin">
          <color theme="5" tint="0.39997558519241921"/>
        </top>
      </border>
    </dxf>
    <dxf>
      <font>
        <b/>
        <color theme="1"/>
      </font>
      <fill>
        <patternFill patternType="solid">
          <fgColor theme="5" tint="0.79998168889431442"/>
          <bgColor theme="5" tint="0.79998168889431442"/>
        </patternFill>
      </fill>
      <border>
        <bottom style="thin">
          <color theme="5" tint="0.39997558519241921"/>
        </bottom>
      </border>
    </dxf>
    <dxf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ont>
        <b/>
        <i val="0"/>
        <sz val="7"/>
        <color theme="1"/>
      </font>
      <border>
        <bottom style="thin">
          <color theme="5"/>
        </bottom>
        <vertical/>
        <horizontal/>
      </border>
    </dxf>
    <dxf>
      <font>
        <sz val="7"/>
        <color theme="1"/>
        <name val="Calibri Light"/>
        <scheme val="none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sz val="10"/>
        <color theme="1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sz val="8"/>
        <color theme="1"/>
      </font>
      <border>
        <bottom style="thin">
          <color theme="5"/>
        </bottom>
        <vertical/>
        <horizontal/>
      </border>
    </dxf>
    <dxf>
      <font>
        <sz val="8"/>
        <color theme="1"/>
        <name val="Calibri Light"/>
        <scheme val="none"/>
      </font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</dxfs>
  <tableStyles count="4" defaultTableStyle="TableStyleMedium2" defaultPivotStyle="PivotStyleLight16">
    <tableStyle name="Quadro_Click" pivot="0" table="0" count="10">
      <tableStyleElement type="wholeTable" dxfId="70"/>
      <tableStyleElement type="headerRow" dxfId="69"/>
    </tableStyle>
    <tableStyle name="Quadro_Click 2" pivot="0" table="0" count="10">
      <tableStyleElement type="wholeTable" dxfId="68"/>
      <tableStyleElement type="headerRow" dxfId="67"/>
    </tableStyle>
    <tableStyle name="Quadro_Click 3" pivot="0" table="0" count="10">
      <tableStyleElement type="wholeTable" dxfId="66"/>
      <tableStyleElement type="headerRow" dxfId="65"/>
    </tableStyle>
    <tableStyle name="Quadro_Click_Layout" table="0" count="12">
      <tableStyleElement type="wholeTable" dxfId="64"/>
      <tableStyleElement type="headerRow" dxfId="63"/>
      <tableStyleElement type="totalRow" dxfId="62"/>
      <tableStyleElement type="firstRowStripe" dxfId="61"/>
      <tableStyleElement type="firstColumnStripe" dxfId="60"/>
      <tableStyleElement type="firstSubtotalColumn" dxfId="59"/>
      <tableStyleElement type="firstSubtotalRow" dxfId="58"/>
      <tableStyleElement type="secondSubtotalRow" dxfId="57"/>
      <tableStyleElement type="firstRowSubheading" dxfId="56"/>
      <tableStyleElement type="secondRowSubheading" dxfId="55"/>
      <tableStyleElement type="pageFieldLabels" dxfId="54"/>
      <tableStyleElement type="pageFieldValues" dxfId="53"/>
    </tableStyle>
  </tableStyles>
  <colors>
    <mruColors>
      <color rgb="FFFFFFCC"/>
    </mruColors>
  </colors>
  <extLst>
    <ext xmlns:x14="http://schemas.microsoft.com/office/spreadsheetml/2009/9/main" uri="{46F421CA-312F-682f-3DD2-61675219B42D}">
      <x14:dxfs count="24">
        <dxf>
          <font>
            <sz val="8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7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8"/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8"/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10"/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10"/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10"/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8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sz val="8"/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sz val="8"/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sz val="8"/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Quadro_Click">
        <x14:slicerStyle name="Quadro_Click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Quadro_Click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Quadro_Click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microsoft.com/office/2007/relationships/slicerCache" Target="slicerCaches/slicerCache8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microsoft.com/office/2007/relationships/slicerCache" Target="slicerCaches/slicerCache7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microsoft.com/office/2007/relationships/slicerCache" Target="slicerCaches/slicerCache6.xml"/><Relationship Id="rId5" Type="http://schemas.openxmlformats.org/officeDocument/2006/relationships/pivotCacheDefinition" Target="pivotCache/pivotCacheDefinition1.xml"/><Relationship Id="rId15" Type="http://schemas.openxmlformats.org/officeDocument/2006/relationships/theme" Target="theme/theme1.xml"/><Relationship Id="rId10" Type="http://schemas.microsoft.com/office/2007/relationships/slicerCache" Target="slicerCaches/slicerCache5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microsoft.com/office/2007/relationships/slicerCache" Target="slicerCaches/slicerCache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249301</xdr:colOff>
      <xdr:row>0</xdr:row>
      <xdr:rowOff>107418</xdr:rowOff>
    </xdr:from>
    <xdr:to>
      <xdr:col>2</xdr:col>
      <xdr:colOff>622233</xdr:colOff>
      <xdr:row>2</xdr:row>
      <xdr:rowOff>160335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0218" y="107418"/>
          <a:ext cx="1303171" cy="433917"/>
        </a:xfrm>
        <a:prstGeom prst="rect">
          <a:avLst/>
        </a:prstGeom>
      </xdr:spPr>
    </xdr:pic>
    <xdr:clientData/>
  </xdr:twoCellAnchor>
  <xdr:twoCellAnchor editAs="absolute">
    <xdr:from>
      <xdr:col>0</xdr:col>
      <xdr:colOff>183885</xdr:colOff>
      <xdr:row>0</xdr:row>
      <xdr:rowOff>34395</xdr:rowOff>
    </xdr:from>
    <xdr:to>
      <xdr:col>11</xdr:col>
      <xdr:colOff>149262</xdr:colOff>
      <xdr:row>3</xdr:row>
      <xdr:rowOff>38895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83885" y="34395"/>
          <a:ext cx="13628825" cy="562862"/>
          <a:chOff x="183885" y="34395"/>
          <a:chExt cx="13627365" cy="576000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3885" y="92605"/>
            <a:ext cx="334063" cy="309562"/>
          </a:xfrm>
          <a:prstGeom prst="rect">
            <a:avLst/>
          </a:prstGeom>
        </xdr:spPr>
      </xdr:pic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608553" y="34395"/>
            <a:ext cx="13202697" cy="576000"/>
            <a:chOff x="608553" y="34395"/>
            <a:chExt cx="13202697" cy="576000"/>
          </a:xfrm>
        </xdr:grpSpPr>
        <xdr:grpSp>
          <xdr:nvGrpSpPr>
            <xdr:cNvPr id="20" name="Grupo 6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GrpSpPr/>
          </xdr:nvGrpSpPr>
          <xdr:grpSpPr>
            <a:xfrm>
              <a:off x="608553" y="34395"/>
              <a:ext cx="13202697" cy="576000"/>
              <a:chOff x="112058" y="58235"/>
              <a:chExt cx="12528000" cy="576000"/>
            </a:xfrm>
          </xdr:grpSpPr>
          <xdr:sp macro="" textlink="">
            <xdr:nvSpPr>
              <xdr:cNvPr id="21" name="Retângulo de cantos arredondados 11">
                <a:extLst>
                  <a:ext uri="{FF2B5EF4-FFF2-40B4-BE49-F238E27FC236}">
                    <a16:creationId xmlns:a16="http://schemas.microsoft.com/office/drawing/2014/main" id="{00000000-0008-0000-0000-000015000000}"/>
                  </a:ext>
                </a:extLst>
              </xdr:cNvPr>
              <xdr:cNvSpPr/>
            </xdr:nvSpPr>
            <xdr:spPr>
              <a:xfrm>
                <a:off x="112058" y="58235"/>
                <a:ext cx="12528000" cy="576000"/>
              </a:xfrm>
              <a:prstGeom prst="roundRect">
                <a:avLst/>
              </a:prstGeom>
              <a:ln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0">
                <a:schemeClr val="accent2"/>
              </a:lnRef>
              <a:fillRef idx="3">
                <a:schemeClr val="accent2"/>
              </a:fillRef>
              <a:effectRef idx="3">
                <a:schemeClr val="accent2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300">
                  <a:latin typeface="+mn-lt"/>
                </a:endParaRPr>
              </a:p>
            </xdr:txBody>
          </xdr:sp>
          <xdr:sp macro="" textlink="">
            <xdr:nvSpPr>
              <xdr:cNvPr id="22" name="Retângulo de cantos arredondados 12">
                <a:extLst>
                  <a:ext uri="{FF2B5EF4-FFF2-40B4-BE49-F238E27FC236}">
                    <a16:creationId xmlns:a16="http://schemas.microsoft.com/office/drawing/2014/main" id="{00000000-0008-0000-0000-000016000000}"/>
                  </a:ext>
                </a:extLst>
              </xdr:cNvPr>
              <xdr:cNvSpPr/>
            </xdr:nvSpPr>
            <xdr:spPr>
              <a:xfrm>
                <a:off x="203038" y="130235"/>
                <a:ext cx="12347999" cy="504000"/>
              </a:xfrm>
              <a:prstGeom prst="roundRect">
                <a:avLst/>
              </a:prstGeom>
              <a:solidFill>
                <a:schemeClr val="bg1">
                  <a:lumMod val="65000"/>
                </a:schemeClr>
              </a:solidFill>
              <a:ln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0">
                <a:schemeClr val="accent1"/>
              </a:lnRef>
              <a:fillRef idx="3">
                <a:schemeClr val="accent1"/>
              </a:fillRef>
              <a:effectRef idx="3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endParaRPr lang="pt-BR" sz="1800" b="1">
                  <a:solidFill>
                    <a:sysClr val="windowText" lastClr="000000"/>
                  </a:solidFill>
                  <a:latin typeface="+mn-lt"/>
                  <a:ea typeface="Verdana" panose="020B0604030504040204" pitchFamily="34" charset="0"/>
                  <a:cs typeface="Arial" panose="020B0604020202020204" pitchFamily="34" charset="0"/>
                </a:endParaRPr>
              </a:p>
            </xdr:txBody>
          </xdr:sp>
        </xdr:grpSp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00000000-0008-0000-0000-00001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3174374" y="186796"/>
              <a:ext cx="322489" cy="342899"/>
            </a:xfrm>
            <a:prstGeom prst="rect">
              <a:avLst/>
            </a:prstGeom>
          </xdr:spPr>
        </xdr:pic>
      </xdr:grp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5300662" y="233362"/>
            <a:ext cx="2557992" cy="238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000" b="1"/>
              <a:t>Quadro Click - RNE</a:t>
            </a:r>
          </a:p>
        </xdr:txBody>
      </xdr:sp>
    </xdr:grpSp>
    <xdr:clientData/>
  </xdr:twoCellAnchor>
  <xdr:twoCellAnchor editAs="oneCell">
    <xdr:from>
      <xdr:col>0</xdr:col>
      <xdr:colOff>275168</xdr:colOff>
      <xdr:row>2</xdr:row>
      <xdr:rowOff>52917</xdr:rowOff>
    </xdr:from>
    <xdr:to>
      <xdr:col>0</xdr:col>
      <xdr:colOff>427568</xdr:colOff>
      <xdr:row>3</xdr:row>
      <xdr:rowOff>146</xdr:rowOff>
    </xdr:to>
    <xdr:pic macro="[0]!Duvidas">
      <xdr:nvPicPr>
        <xdr:cNvPr id="26" name="Imagem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168" y="433917"/>
          <a:ext cx="152400" cy="133350"/>
        </a:xfrm>
        <a:prstGeom prst="rect">
          <a:avLst/>
        </a:prstGeom>
      </xdr:spPr>
    </xdr:pic>
    <xdr:clientData/>
  </xdr:twoCellAnchor>
  <xdr:twoCellAnchor editAs="absolute">
    <xdr:from>
      <xdr:col>10</xdr:col>
      <xdr:colOff>312758</xdr:colOff>
      <xdr:row>3</xdr:row>
      <xdr:rowOff>159115</xdr:rowOff>
    </xdr:from>
    <xdr:to>
      <xdr:col>11</xdr:col>
      <xdr:colOff>173932</xdr:colOff>
      <xdr:row>12</xdr:row>
      <xdr:rowOff>25765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12782844" y="717477"/>
          <a:ext cx="1054536" cy="1541736"/>
          <a:chOff x="11726337" y="762000"/>
          <a:chExt cx="1062564" cy="158115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11799359" y="1066800"/>
                <a:ext cx="980017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Limpar Filtros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000-000002040000}"/>
                  </a:ext>
                </a:extLst>
              </xdr:cNvPr>
              <xdr:cNvSpPr/>
            </xdr:nvSpPr>
            <xdr:spPr bwMode="auto">
              <a:xfrm>
                <a:off x="11799359" y="1371600"/>
                <a:ext cx="980017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Atualizar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000-000003040000}"/>
                  </a:ext>
                </a:extLst>
              </xdr:cNvPr>
              <xdr:cNvSpPr/>
            </xdr:nvSpPr>
            <xdr:spPr bwMode="auto">
              <a:xfrm>
                <a:off x="11799359" y="762000"/>
                <a:ext cx="980017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Exportar Dados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  <a:ext uri="{FF2B5EF4-FFF2-40B4-BE49-F238E27FC236}">
                    <a16:creationId xmlns:a16="http://schemas.microsoft.com/office/drawing/2014/main" id="{00000000-0008-0000-0000-000004040000}"/>
                  </a:ext>
                </a:extLst>
              </xdr:cNvPr>
              <xdr:cNvSpPr/>
            </xdr:nvSpPr>
            <xdr:spPr bwMode="auto">
              <a:xfrm>
                <a:off x="11799359" y="1685925"/>
                <a:ext cx="980017" cy="2667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pt-BR" sz="1100" b="0" i="0" u="none" strike="noStrike" baseline="0">
                    <a:solidFill>
                      <a:srgbClr val="000000"/>
                    </a:solidFill>
                    <a:latin typeface="Calibri"/>
                  </a:rPr>
                  <a:t>Enviar P/ E-mail</a:t>
                </a:r>
              </a:p>
            </xdr:txBody>
          </xdr:sp>
        </mc:Choice>
        <mc:Fallback/>
      </mc:AlternateContent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 txBox="1"/>
        </xdr:nvSpPr>
        <xdr:spPr>
          <a:xfrm>
            <a:off x="11726337" y="1915584"/>
            <a:ext cx="1044326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Atualizado em: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TextBox1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1799359" y="2105025"/>
                <a:ext cx="989542" cy="2381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60328</xdr:colOff>
      <xdr:row>4</xdr:row>
      <xdr:rowOff>10589</xdr:rowOff>
    </xdr:from>
    <xdr:to>
      <xdr:col>1</xdr:col>
      <xdr:colOff>193275</xdr:colOff>
      <xdr:row>12</xdr:row>
      <xdr:rowOff>52589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UF 1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28" y="755072"/>
              <a:ext cx="691309" cy="15309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1082076</xdr:colOff>
      <xdr:row>4</xdr:row>
      <xdr:rowOff>10589</xdr:rowOff>
    </xdr:from>
    <xdr:to>
      <xdr:col>5</xdr:col>
      <xdr:colOff>698661</xdr:colOff>
      <xdr:row>12</xdr:row>
      <xdr:rowOff>51103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GESTOR_AREA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STOR_ARE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425007" y="755072"/>
              <a:ext cx="3240464" cy="15294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5</xdr:col>
      <xdr:colOff>727175</xdr:colOff>
      <xdr:row>4</xdr:row>
      <xdr:rowOff>10589</xdr:rowOff>
    </xdr:from>
    <xdr:to>
      <xdr:col>6</xdr:col>
      <xdr:colOff>1153327</xdr:colOff>
      <xdr:row>12</xdr:row>
      <xdr:rowOff>52589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GESTOR_OPERACIONAL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STOR_OPERACIO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93985" y="755072"/>
              <a:ext cx="1838480" cy="15309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6</xdr:col>
      <xdr:colOff>1186692</xdr:colOff>
      <xdr:row>4</xdr:row>
      <xdr:rowOff>10589</xdr:rowOff>
    </xdr:from>
    <xdr:to>
      <xdr:col>7</xdr:col>
      <xdr:colOff>1133075</xdr:colOff>
      <xdr:row>12</xdr:row>
      <xdr:rowOff>52589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GESTOR_GERAL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ESTOR_GER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565830" y="755072"/>
              <a:ext cx="1577676" cy="15309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225736</xdr:colOff>
      <xdr:row>8</xdr:row>
      <xdr:rowOff>122800</xdr:rowOff>
    </xdr:from>
    <xdr:to>
      <xdr:col>3</xdr:col>
      <xdr:colOff>1048386</xdr:colOff>
      <xdr:row>12</xdr:row>
      <xdr:rowOff>47015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STATUS_CLICK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TATUS_CLICK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098" y="1611766"/>
              <a:ext cx="2607219" cy="66869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221066</xdr:colOff>
      <xdr:row>4</xdr:row>
      <xdr:rowOff>10589</xdr:rowOff>
    </xdr:from>
    <xdr:to>
      <xdr:col>3</xdr:col>
      <xdr:colOff>1042614</xdr:colOff>
      <xdr:row>8</xdr:row>
      <xdr:rowOff>143754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SITUAÇÃO_FOLHA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UAÇÃO_FOL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9428" y="755072"/>
              <a:ext cx="2606117" cy="87764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1160863</xdr:colOff>
      <xdr:row>6</xdr:row>
      <xdr:rowOff>183609</xdr:rowOff>
    </xdr:from>
    <xdr:to>
      <xdr:col>8</xdr:col>
      <xdr:colOff>1130190</xdr:colOff>
      <xdr:row>12</xdr:row>
      <xdr:rowOff>45295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1294" y="1300333"/>
              <a:ext cx="1250275" cy="9784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7</xdr:col>
      <xdr:colOff>1160863</xdr:colOff>
      <xdr:row>4</xdr:row>
      <xdr:rowOff>10589</xdr:rowOff>
    </xdr:from>
    <xdr:to>
      <xdr:col>8</xdr:col>
      <xdr:colOff>1129507</xdr:colOff>
      <xdr:row>7</xdr:row>
      <xdr:rowOff>34738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HC PCP?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HC PCP?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1294" y="755072"/>
              <a:ext cx="1249592" cy="58251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9</xdr:col>
      <xdr:colOff>5307</xdr:colOff>
      <xdr:row>4</xdr:row>
      <xdr:rowOff>10589</xdr:rowOff>
    </xdr:from>
    <xdr:to>
      <xdr:col>10</xdr:col>
      <xdr:colOff>327388</xdr:colOff>
      <xdr:row>12</xdr:row>
      <xdr:rowOff>52589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PRODUTO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57204" y="755072"/>
              <a:ext cx="1340270" cy="15309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Leonardo Liulle Reis Duarte" refreshedDate="43846.400977199075" createdVersion="5" refreshedVersion="6" minRefreshableVersion="3" recordCount="1439">
  <cacheSource type="worksheet">
    <worksheetSource name="base_tc_geral"/>
  </cacheSource>
  <cacheFields count="31">
    <cacheField name="NOME" numFmtId="0">
      <sharedItems count="1442">
        <s v="HALDSON PEREIRA BARBOSA DE MEDEIROS"/>
        <s v="ERMESON BEZERRA DA SILVA"/>
        <s v="FRANCISCO DAVID FELIX DE ARAUJO"/>
        <s v="DAVI ALVES SANTIAGO"/>
        <s v="MARCOS BARBOSA GOMES"/>
        <s v="JOSE ELIVELTON PEREIRA DA SILVA"/>
        <s v="JOSE EDUARDO CHAVES E SILVA FILHO"/>
        <s v="GLEILSON BEZERRA DE OLIVEIRA"/>
        <s v="FRANCISCO CLEITON CONSTANCIO MOREIRA"/>
        <s v="MAURILIO RODRIGUES DE SOUSA"/>
        <s v="WESLEY FELIX DA SILVA"/>
        <s v="ROBERTO NASCIMENTO DE SOUSA"/>
        <s v="ALZELIO GOMES LIMA"/>
        <s v="GUTEMBERG MONTEIRO REGADAS"/>
        <s v="ANDERSON GONCALVES DE PAULA"/>
        <s v="WESLEI DO NASCIMENTO ALMEIDA"/>
        <s v="JOSIVALDO DOS SANTOS OLIVEIRA JUNIOR"/>
        <s v="ALEX GOMES DA SILVA"/>
        <s v="CARLOS ANDRE RODRIGUES DOS SANTOS"/>
        <s v="RAIMUNDO JOSUELE PINTO DOS SANTOS"/>
        <s v="LEANDRO DE OLIVEIRA DANTAS"/>
        <s v="GILDECIO DE LIMA MOITA"/>
        <s v="JOSENILDO FERREIRA CHAGAS"/>
        <s v="FRANCISCO SAVIO DE SOUZA MELO"/>
        <s v="JOSE BEZERRA DA SILVA"/>
        <s v="JADSON GOMES CRISTOVAM"/>
        <s v="ANTONIO EDVAL MARTINS VIANA JUNIOR"/>
        <s v="LAURO NAZARENO RODRIGUES FERREIRA"/>
        <s v="FLAVIO AUGUSTO DO NASCIMENTO"/>
        <s v="EDNARDO BASTOS DAVI"/>
        <s v="EDER RAMOS DE OLIVEIRA"/>
        <s v="WESLEY AZEVEDO MELO"/>
        <s v="FRANCIERES REGILDO PROCOPIO SILVA"/>
        <s v="ANTONIO FRANCISCO INACIO LUZ"/>
        <s v="GERARDO DE ALMEIDA FREIRE"/>
        <s v="LEILSON MATTOS DE SOUZA"/>
        <s v="CELSO AUGUSTO BARROSO CARVALHO"/>
        <s v="FRANCISCO AIRTON SOUSA OLIVEIRA"/>
        <s v="CHARLES BARBOSA DE LIMA"/>
        <s v="RAIMUNDO DA SILVA BRAINER JUNIOR"/>
        <s v="ADALBERTO DE ALMEIDA SILVA"/>
        <s v="JOSIVANDO FRANCISCO DOS ANJOS"/>
        <s v="ELIZEU LUIZ DE MOURA"/>
        <s v="ALDEMIR PEREIRA JACINTO"/>
        <s v="WESCLEY ANDRE OLIVEIRA"/>
        <s v="JOABSON GUEDES DE ARAUJO"/>
        <s v="JOAO PAULO RIBEIRO LOPES"/>
        <s v="JOSE CARLOS ARAUJO COSTA"/>
        <s v="JANDIRA LEONCIO MARQUES"/>
        <s v="JOSENILDO TEIXEIRA ALVES"/>
        <s v="CARLOS EDUARDO GALVAO DA SILVA"/>
        <s v="RONILSON CAMPELO DE PAULA"/>
        <s v="WESLEY MAGALHAES VIEIRA DE BRITO"/>
        <s v="EVERTON ROMERO SILVA DE SOUZA"/>
        <s v="FRANCISCO DIEGO ALVES OLIVEIRA"/>
        <s v="ZILDENILSON MARTINS SOARES"/>
        <s v="MAGNUS FONSECA DE ARAUJO"/>
        <s v="ANDREZA PRICILIA BARBOSA DA SILVA FERREIRA"/>
        <s v="AFRANIO FERNANDES DA SILVA"/>
        <s v="PAULO FONSECA PARDO DA COSTA"/>
        <s v="FABIO DA SILVA MOTA"/>
        <s v="ANTONIO BEZERRA"/>
        <s v="ANDERSON SILVEIRA PEREIRA AMARANTE"/>
        <s v="LINDEMBERG CABRAL DE BRITO"/>
        <s v="MICHERLY PONCIANO DE CARVALHO"/>
        <s v="RAFAEL ROMUALDO GUIMARAES PIMENTA"/>
        <s v="TELIMACO DE BARROS SILVA"/>
        <s v="WELLINGTON BARBOSA DE SOUSA"/>
        <s v="ANTONIO MARCOS RIBEIRO NASCIMENTO"/>
        <s v="CARLOS ANTONIO DE OLIVEIRA INACIO"/>
        <s v="KELBEN PAIXAO COSTA"/>
        <s v="GUTEMBERG DA SILVA MENDES"/>
        <s v="DIEGO REIS DE OLIVEIRA"/>
        <s v="MARCELO ARAUJO DE LIMA"/>
        <s v="FRANCISCO DENIS SILVA MELO"/>
        <s v="LEONARDO DE SOUZA OLIVEIRA"/>
        <s v="MARCIO RANIELE DE ARAUJO SILVA"/>
        <s v="FABIO JUNIOR FERREIRA DA SILVA"/>
        <s v="CLAUDEMIR MARIANO DA SILVA"/>
        <s v="FRANCISCO JUNIOR CARVALHO GOMES"/>
        <s v="PEDRO CRISTIANO DE SOUSA FERREIRA"/>
        <s v="ALAN SAVIO FURTADO DOS SANTOS"/>
        <s v="RADAMES NASCIMENTO DE ASSIS"/>
        <s v="ERIKA SANTANA DE ARAUJO"/>
        <s v="GILCELIO PEREIRA DE ANDRADE"/>
        <s v="SEBASTIAO BRAGA NETO"/>
        <s v="LAUROMEX JOSE DA SILVA"/>
        <s v="DONALD LEITE QUEIROZ"/>
        <s v="RONALDO DA SILVA BEZERRA"/>
        <s v="JAIR RODRIGUES LIMA"/>
        <s v="ARTUR FELIX DE CARVALHO JUNIOR"/>
        <s v="ALTEMIR JORGE DE SOUSA"/>
        <s v="SERGIO DA SILVA QUARESMA"/>
        <s v="DIOGO ALEXANDRE GOMES CORREIA"/>
        <s v="CHARLEVALDO SILVA RIPARDO"/>
        <s v="PAULO CESAR DA SILVA"/>
        <s v="VITOR PEREIRA DE ABREU"/>
        <s v="IVAN MOSAYEV SILVA LIMA"/>
        <s v="SYLVIO MIKELSON SILVA RAMALHO"/>
        <s v="RHUAN DOS SANTOS TEIXEIRA"/>
        <s v="GENIVALDO DA SILVA MORAIS"/>
        <s v="MARCOS ANTONIO DE BRITO JUNIOR"/>
        <s v="JOSE SILVINO DA SILVA"/>
        <s v="MARCOS AURELIO SIMPLICIO DE LIRA"/>
        <s v="MARCOS HENRIQUE DOS SANTOS MARTINS"/>
        <s v="FELIPE HENRIQUE CASSIMIRO DA SILVA"/>
        <s v="ALEXANDRE SANTOS SALDANHA"/>
        <s v="JOSE WILLIAN SANTOS DA COSTA"/>
        <s v="EDEMILSON DE AZEVEDO NEVES"/>
        <s v="FAGNER TENORIO DA SILVA SANTOS"/>
        <s v="PATRICIO MAYA SILVA XAVIER"/>
        <s v="EDUARDO JOSE DO NASCIMENTO"/>
        <s v="CLEMESSON MARTINS DE LIMA"/>
        <s v="ANTONIO JOSE LIMA SOARES"/>
        <s v="JORDANA RODRIGUES DE LIMA"/>
        <s v="CLEYTON LUIZ DE SOUZA SANTOS"/>
        <s v="RENAN ALVES DOS SANTOS"/>
        <s v="ALEXANDRE JOSE SANTOS CORREIA DE MELO"/>
        <s v="JOSIAS LEONCIO DA SILVA"/>
        <s v="FELIPE ALVES XAVIER"/>
        <s v="JOSE EDSON DO NASCIMENTO"/>
        <s v="FRANCISCO EDIGLEISON DOS SANTOS LOPES"/>
        <s v="JOSIAS DA SILVA GOMES"/>
        <s v="JOSE ALLAN JACINTO FORTE"/>
        <s v="MARCELINO JOAQUIM SOARES"/>
        <s v="DANILO GOMES DOS SANTOS"/>
        <s v="EMESSON BRUNO FERREIRA DA SILVA"/>
        <s v="ALEXANDRE VICTOR LIMEIRA SOARES"/>
        <s v="JUCIELIO NESTOR DA SILVA"/>
        <s v="ROBERTO FERREIRA ELOI"/>
        <s v="NIKSON DE SOUZA FERREIRA"/>
        <s v="CRISTIANO ALEXANDRE DE SOUZA"/>
        <s v="BRENO GUEDES DE SOUZA"/>
        <s v="JOALLES PEREIRA DA CUNHA"/>
        <s v="JACINTO BEZERRA DE SOUSA LIMA"/>
        <s v="CICERO ROMAO BATISTA DE OLIVEIRA"/>
        <s v="RODRIGO MEIRELES CASTRO"/>
        <s v="FRANCISCO FABIO DA COSTA"/>
        <s v="MICHAEL MILLER SALES DE SOUZA"/>
        <s v="FRANCISCO SOARES ALVES"/>
        <s v="WENDELL OLIVEIRA DANTAS"/>
        <s v="THIAGO GALDINO LIMA"/>
        <s v="GUTEMBERG MONTEIRO ALVES"/>
        <s v="ANTONIO LEONARDO SOUZA DE OLIVEIRA"/>
        <s v="JOSE ARRUDA DA SILVA"/>
        <s v="CLEMESON DAMIAO COSTA DOS SANTOS"/>
        <s v="NIVAILDO MARCOS AZEVEDO DA SILVA"/>
        <s v="GERMANO DO NASCIMENTO SILVA"/>
        <s v="CARLOS BRUNO CARNEIRO BEZERRA"/>
        <s v="KLEYTON BRAGA VICENTE"/>
        <s v="MARCELO RODRIGUES BERNARDO"/>
        <s v="FERNANDO ANTONIO BARRETO DE LIMA JUNIOR"/>
        <s v="SEVERINO LUIZ BEZERRA FILHO"/>
        <s v="ROBERTO NOGUEIRA DA PAZ FILHO"/>
        <s v="CLAUDENCIO DA SILVA ALBUQUERQUE"/>
        <s v="EVI DE ARAUJO"/>
        <s v="LUAN OLIVEIRA BEZERRA PONTES"/>
        <s v="ANTONIO DANIZETE FELIX"/>
        <s v="ESTEFANE WAGNE DA SILVA"/>
        <s v="MARCIO BARBOSA DA SILVA"/>
        <s v="HERIQUE DOS SANTOS CAVALCANTI"/>
        <s v="JAILSON PINHEIRO DOS SANTOS"/>
        <s v="WALTER CARLOS DA SILVA"/>
        <s v="SEVERINO ELISANDRO DE SOUZA"/>
        <s v="JEOVANE SANTOS CAMINHA"/>
        <s v="FLAGINALDO MARTIM DOS SANTOS"/>
        <s v="ANTONIO AILTON DA SILVA SANTOS"/>
        <s v="ALMIR ALVES DA SILVA"/>
        <s v="THIAGO ATILA MADEIRA PINTO"/>
        <s v="MARCIO ROBERTO GOMES DOS SANTOS"/>
        <s v="JOSE AILSON FREIRES E SILVA"/>
        <s v="JANSEN MENESES DE ARAUJO"/>
        <s v="FRANCISCO DANIEL FERNANDES MONTEIRO"/>
        <s v="FRANCISCO DE ASSIS SANTOS BEZERRA"/>
        <s v="JEFFERSON ANDRE ARAUJO DE SANTANA"/>
        <s v="VALDEMIR OLEGARIO DA SILVA JUNIOR"/>
        <s v="CLODOALDO ARAUJO DO NASCIMENTO"/>
        <s v="ADAO VIEIRA GUIMARAES"/>
        <s v="EDSON ANTONIO DA SILVA"/>
        <s v="JULIO CESAR AMORIM MARTINS DOS SANTOS"/>
        <s v="MARCIO DA SILVA CHAGAS"/>
        <s v="WEVERTON DA SILVA GOIS"/>
        <s v="CARLOS ANDRE DA SILVA"/>
        <s v="JOSE EDILSON CAITANO DA SILVA"/>
        <s v="ALCIDES MANOEL DA SILVA JUNIOR"/>
        <s v="JOSIMAR DA SILVA RAIFF"/>
        <s v="JOSE WILLIAN RODRIGUES DAMASCENO"/>
        <s v="RENATO RODRIGUES DE LIMA"/>
        <s v="FRANCISCO DANILO FERREIRA DA COSTA"/>
        <s v="FRANCISCO RHYAN ABREU ALVES"/>
        <s v="JOSE ELIEZIO VASCONCELOS"/>
        <s v="JONATHAN FEITOSA DE SOUSA"/>
        <s v="ROBERTO RONALTHE BARBOSA MOREIRA DA SILVA"/>
        <s v="WELDER DIAS BRAGA"/>
        <s v="FRANCISCO FERREIRA DA SILVA"/>
        <s v="VALDECI MEDEIROS DA SILVA"/>
        <s v="JOAO THIAGO DOS SANTOS SOUZA"/>
        <s v="EUDIMAR BEZERRA DOS SANTOS"/>
        <s v="JOAO PAULO DA SILVA LIMA"/>
        <s v="FRANCISCO FREIRE DE ARAUJO NETO"/>
        <s v="FRANCISCO CRISTIANO DANTAS"/>
        <s v="RAFAEL PEREIRA DE ABREU"/>
        <s v="JOSE FABIANO MEDEIROS DE ARAUJO"/>
        <s v="EDSON VIEIRA DA SILVA"/>
        <s v="JOSE RENILDO CAROLINO"/>
        <s v="MANOEL OSORIO DA SILVA"/>
        <s v="ORLANDO CANDIDO DA SILVA"/>
        <s v="OLIVIO APARECIDO BARBOSA CAMPOS"/>
        <s v="REJANILSON DA SILVA RODRIGUES"/>
        <s v="CICERO LEONARDO DE ALMEIDA ALVES"/>
        <s v="DARLEIVISON DE MAGALHAES MAIA"/>
        <s v="IVANILSON E SILVA MONTEIRO"/>
        <s v="JOSE VALTER MOREIRA DA SILVA"/>
        <s v="FABRICIO TEIXEIRA BARBOSA"/>
        <s v="ROGERIO RODRIGUES DA COSTA"/>
        <s v="CISLANDIO GOMES CARVALHO"/>
        <s v="RANDERSON PEIXOTO CARVALHO"/>
        <s v="FRANCISCO ADRIANO GOMES"/>
        <s v="FRANCISCO MARCOS QUEIROIS DE SOUSA"/>
        <s v="ERNISON DO CARMO DE SOUSA"/>
        <s v="WAGNER DE LIRA FRANCA"/>
        <s v="MARCELO SALVADOR DE OLIVEIRA"/>
        <s v="FRANCISCO CLEYDSON MONTEIRO ALMEIDA"/>
        <s v="MODESTO DOS SANTOS SILVA"/>
        <s v="MARCELO FERREIRA DE SOUZA"/>
        <s v="CESAR RANIEL DA SILVA"/>
        <s v="JOAO BATISTA DA SILVA"/>
        <s v="FERNANDO MOREIRA DE OLIVEIRA JUNIOR"/>
        <s v="JOSE ERIVANILDO CAVALCANTE JUNIOR"/>
        <s v="EDIVALDO DOS SANTOS NASCIMENTO"/>
        <s v="FRANCISCO DAS CHAGAS DE ASSIS SILVA"/>
        <s v="NILTON DE LIMA FERREIRA"/>
        <s v="MANOEL FRANCISCO DE LIMA NETO"/>
        <s v="SILVANO LAURENTINO DOS SANTOS"/>
        <s v="DAYVID DA SILVA BEZERRA"/>
        <s v="FRANCISCO SAVIO LINHARES OLIVEIRA"/>
        <s v="DOUGLAS STENIO ALVES RANGEL"/>
        <s v="LEANDRO FLORENTINO BARROS DA PAZ"/>
        <s v="WELLINGTON DE ALBUQUERQUE MENDONCA"/>
        <s v="JOSICLAUDIO DE OLIVEIRA RODRIGUES"/>
        <s v="ALEXSANDRO MAGNO HONORIO RAMALHO"/>
        <s v="MARCOS VENICIUS BEZERRA ALMEIDA"/>
        <s v="CLECIO ANTONIO MACIEL"/>
        <s v="ALDEMIR FRANCISCO ALVES"/>
        <s v="SILAS FERNANDES BELEM"/>
        <s v="JUCIJONHSON COSTA SERRA"/>
        <s v="ANTONIO JOSE DA FROTA SILVA"/>
        <s v="LUCIANO DE BRITO SILVA"/>
        <s v="HERIBERTO BARBOSA DE LIMA"/>
        <s v="ALTANIR DA SILVA EVANGELISTA"/>
        <s v="CARLOS ADIRLYS PEREIRA ANGELO"/>
        <s v="JOSELINO VASCONCELOS DA COSTA"/>
        <s v="MARINALDO DE SOUZA SANTOS"/>
        <s v="DANILO GOMES LUNA"/>
        <s v="DEIVISSON FERREIRA DA SILVA"/>
        <s v="ANDRE ALDECI DE FRANCA"/>
        <s v="JEYMESON CLEITON DOS SANTOS"/>
        <s v="DIEGO RODRIGUES ALVES DE LIMA"/>
        <s v="DIOGENES MARTINS TAVARES"/>
        <s v="ERIVELTO DANTAS DE CARVALHO"/>
        <s v="BRENO DE OLIVEIRA SILVA"/>
        <s v="EDINALDO DA CRUZ AZEVEDO"/>
        <s v="DAVI FERNANDES DA SILVA"/>
        <s v="THIAGO TEIXEIRA DA SILVA"/>
        <s v="PAULO HENRIQUE DA SILVA"/>
        <s v="FELIPE SANTANA DE ARAUJO"/>
        <s v="JOSE LUIZ SANTOS NASCIMENTO"/>
        <s v="FRANCISCO FREDERICO MAGALHAES DE ARAUJO"/>
        <s v="RODRIGO DA SILVA PEREIRA"/>
        <s v="CLEVSON SILVA DE ARAUJO"/>
        <s v="RIVONALDO SOARES RAMALHO DA SILVA"/>
        <s v="MARCOS ANTONIO SOARES DE OLIVEIRA"/>
        <s v="GLEYDSON RIBEIRO BARBOSA"/>
        <s v="JEAN MARIO CABRAL DA SILVA"/>
        <s v="ROGERIO SARMENTO MARTINS"/>
        <s v="GUSTAVO MARTINS DE OLIVEIRA"/>
        <s v="JOSE AILTON DA COSTA DIAS"/>
        <s v="MANUEL AARAO DA SILVA ESTEVAM"/>
        <s v="FLAVIO ROBERTO XAVIER DA SILVA"/>
        <s v="ALEXSANDRO AGUIAR ALBUQUERQUE"/>
        <s v="JOAO MARIA BATISTA CANELA"/>
        <s v="JEAN CARLOS LIMA DA COSTA"/>
        <s v="RICARDO JORGE GONCALVES DE SOUSA"/>
        <s v="JOSENILTON CANDIDO CUNHA"/>
        <s v="ROBSON PINTO LOPES"/>
        <s v="JOAO BATISTA RODRIGUES DA SILVA"/>
        <s v="GILDERLAN MARINHO DA SILVA"/>
        <s v="LUIZ GUSTAVO GUERRA DA SILVA"/>
        <s v="EDILSON TIBURCIO PEREIRA"/>
        <s v="WELLINGTON CORREIA DA SILVA"/>
        <s v="JOSE MAURO RIBEIRO DOS SANTOS"/>
        <s v="RAFAEL SOUZA DO NASCIMENTO"/>
        <s v="JOSE ROBERTO BANDEIRA DOS SANTOS"/>
        <s v="GLEYDSON ANDRE MARTINS DA SILVA"/>
        <s v="WASHINGTON BARBOSA CORREIA"/>
        <s v="GERSON GOMES DE SOUSA"/>
        <s v="RICARDO PAULINO DE LIMA"/>
        <s v="ALEXSANDRO DA SILVA SOUSA"/>
        <s v="JOSE ROBERTO MEDEIROS FERREIRA"/>
        <s v="EYK COSTA DA SILVA"/>
        <s v="PAULO SILVA FERREIRA"/>
        <s v="RONALDO CANDIDO LOPES"/>
        <s v="RANDSON JACYELLE SILVA DE LIMA"/>
        <s v="DAYVID EMMANUEL RAMOS SIMAO"/>
        <s v="NEDSON MISAEL DE BARROS"/>
        <s v="IVAN HILARIO BRITO"/>
        <s v="CARLOS WILLIAM DO NASCIMENTO"/>
        <s v="RONNY CLAYTON PIRES DE MORAeS"/>
        <s v="GUTENBERGUE MATEUS DE OLIVEIRA"/>
        <s v="ED NILDSON FERREIRA DA SILVA"/>
        <s v="EDIVALDO JOSE DOS SANTOS"/>
        <s v="PAULO ROBERTO DE ASSIS"/>
        <s v="ANTONIO FLAVIO DA COSTA"/>
        <s v="ROBSON LEONARDO DE SOUZA"/>
        <s v="BRUNO EZEQUIEL DE OLIVEIRA"/>
        <s v="ANDRE DINIZ DE ARAUJO"/>
        <s v="MAURINO JOSE DA SILVA"/>
        <s v="RALYSON MARQUES DE OLIVEIRA"/>
        <s v="DIOGO DE MOURA DA SILVA"/>
        <s v="JOSE CILAS LIMA DE BARROS"/>
        <s v="CARLOS VINICIUS MENDES DA SILVA"/>
        <s v="ANDERSON JOAQUIM DA SILVA"/>
        <s v="KLEITON JOSE DE HOLANDA FERREIRA"/>
        <s v="CRISTIAN FRANCISCO DA SILVA"/>
        <s v="RAFAEL BRITO MARTINS"/>
        <s v="MARCO ANTONIO FERREIRA DA SILVA"/>
        <s v="GILVAN SILVA DE QUEIROZ"/>
        <s v="EDSON CORREIA SOUZA"/>
        <s v="FRANCISCO JEFFERSON BRITO DA COSTA"/>
        <s v="JOAO ROMARIO RABELO MOISES"/>
        <s v="SERGIO CANDIDO DA SILVA"/>
        <s v="HAROLDO MATIAS DA SILVA FILHO"/>
        <s v="EDSON CARDOSO DE LIMA"/>
        <s v="RONDY NEY AGUIAR CHAVES"/>
        <s v="FRANCISCO EDSON DE JESUS VIEIRA FILHO"/>
        <s v="JOSE MARDONIO MARIANO DA SILVA"/>
        <s v="MAGNUS AUGUSTOS FERNANDES FILHO"/>
        <s v="FRANCISCO LUCIANO SOARES DE SENA"/>
        <s v="ANTONIO DIOGO SILVA UCHOA"/>
        <s v="FRANCISCO BEZERRA DE ANDRADE JUNIOR"/>
        <s v="DANIEL GONCALVES CAVALCANTE"/>
        <s v="RENATO DA CRUZ NUNES"/>
        <s v="MARCELO LOURENCO DE AZEVEDO"/>
        <s v="EDVALDO RAMOS DA SILVA"/>
        <s v="RAMON SILVINO GOMES"/>
        <s v="FRANCO MAXIMO DOS SANTOS CIRILO"/>
        <s v="FRANCISCO RAFAEL DE ANDRADE NETO"/>
        <s v="PAULO RICARDY DOS SANTOS"/>
        <s v="NIWMARIO FREIRES DE OLIVEIRA"/>
        <s v="MARIO SERGIO FERREIRA PINHEIRO"/>
        <s v="FLAVIO EVANGELISTA LIMA"/>
        <s v="ABEL BARROS DE FREITAS"/>
        <s v="DANIEL FERNANDES XAVIER"/>
        <s v="ROBERVAL MARINHO DOS SANTOS"/>
        <s v="THALES ASSIS DE OLIVEIRA"/>
        <s v="JOSENILDO DO NASCIMENTO BARBOSA"/>
        <s v="ALEX FREITAS DOS SANTOS"/>
        <s v="NAILSON SANDRO DE LIMA"/>
        <s v="ADAUTO CESAR MELO DE LIMA"/>
        <s v="MANOEL BATISTA DO NASCIMENTO NETO"/>
        <s v="ERASTO PAULINO DA SILVA"/>
        <s v="JOSE CANUTO DOS SANTOS FILHO"/>
        <s v="CICERO JAILSON DA SILVA"/>
        <s v="ANTONIO IRIS BEZERRA GONCALVES"/>
        <s v="JEFFERSON DOS SANTOS VIEIRA"/>
        <s v="LUCIANO FRANCISCO SILVEIRA"/>
        <s v="WILTON LOURENCO DA SILVA"/>
        <s v="EDUARDO EVANGELISTA DO NASCIMENTO"/>
        <s v="LUIS DUARTE DA SILVA"/>
        <s v="CICERO MARLON ARAUJO DE OLIVEIRA"/>
        <s v="GENILSON JOSE DA SILVA"/>
        <s v="JOAB RODRIGUES DA CRUZ"/>
        <s v="GILMAR SOARES FERREIRA"/>
        <s v="REGINALDO DOS SANTOS PINHEIRO"/>
        <s v="CARLOS EDUARDO DA SILVA LUCENA"/>
        <s v="ANTONIO GABRIEL ANDRADE ARAUJO"/>
        <s v="JACKSON LEANDRO PEDRO DA SILVA"/>
        <s v="JOSE IGOR ALVES DE ALMEIDA"/>
        <s v="LEONARDO BARBOSA DA SILVA"/>
        <s v="SILVIO SILVA PESSOA"/>
        <s v="CLEDSON PAULA DA SILVA"/>
        <s v="LUIZ SIQUEIRA CARNEIRO NETTO"/>
        <s v="ADERALDO PEREIRA CAVALCANTE FILHO"/>
        <s v="MARCOS JOSE ALMADA"/>
        <s v="EDI TARGINO DO NASCIMENTO"/>
        <s v="EDMILSON VELOSO NUNES MACHADO"/>
        <s v="FRANCISCO LUCAS XAVIER DAS CHAGAS"/>
        <s v="LUCIANO PEDRO DA SILVA"/>
        <s v="ARLINDO PEREIRA FORTES FILHO"/>
        <s v="FRANCISCO EUDES REGIS FERNANDES"/>
        <s v="FABIO MOURA DA SILVA"/>
        <s v="LINALDO OLIVEIRA GONCALVES"/>
        <s v="LEONARDO OLIVEIRA LEITE"/>
        <s v="GERMANO FERNANDES SILVA"/>
        <s v="CARLOS MAGNUS SILVA DOS SANTOS"/>
        <s v="ANTONIO MARCOS DE SOUZA"/>
        <s v="ALEXANDRE LEVY DE AZEVEDO LIMA"/>
        <s v="JOAB MARCELO OLIVEIRA DOS SANTOS"/>
        <s v="JOSE ROBERIO DE ANDRADE"/>
        <s v="OZIEL PEREIRA DA SILVA"/>
        <s v="PETRUS MIGUEL ALBUQUERQUE E LIMA"/>
        <s v="ADRIANO FERREIRA DOS SANTOS"/>
        <s v="COSME SANTANA DA CRUZ"/>
        <s v="NAADSON LARANJEIRA DOS SANTOS"/>
        <s v="WILLIAM JONES CARVALHO FERREIRA"/>
        <s v="CARLOS EDUARDO MAIA CRUZ"/>
        <s v="RIVANDO CRUZ NUNES"/>
        <s v="ELIONALDO MONTEIRO DE LIMA"/>
        <s v="RAMON RAULES DOS SANTOS"/>
        <s v="EDMILSON LUIZ DA SILVA"/>
        <s v="RODOLFO RODRIGO BELMIRO DE SOUZA"/>
        <s v="FRANCISCO DE PAULA DA COSTA"/>
        <s v="ROSEMBERG SOUZA SANTANA"/>
        <s v="MARCELO DA TRINDADE"/>
        <s v="WAGNER DE OLIVEIRA MATOS"/>
        <s v="ENNIO RICARDO DE AQUINO MORAES"/>
        <s v="ANDERSON CLEYTON PEREIRA DA SILVA"/>
        <s v="WILLIAM DA SILVA CUNHA"/>
        <s v="FLAVIO ELY LOPES DA SILVA"/>
        <s v="BENEDITO DE PAULO SILVESTRE GOMES"/>
        <s v="LUIS CARLOS URCEZINO COSTA"/>
        <s v="JULIO CEZAR ANDRADE SILVA"/>
        <s v="ADRIANO RODRIGUES"/>
        <s v="DJAIR LIMA SILVA"/>
        <s v="ROGERS CORREA DE LIMA"/>
        <s v="ROBSON FERREIRA DA SILVA"/>
        <s v="LUCIANO CORDEIRO DOS SANTOS"/>
        <s v="JEFFERSON DE LIMA VIEIRA"/>
        <s v="MARCELO DA SILVA BELO"/>
        <s v="JOEL ROMAO DE OLIVEIRA FILHO"/>
        <s v="JOHN SILVA DA CRUZ"/>
        <s v="SILVIO SILVA DOS SANTOS"/>
        <s v="TONY RAMOS DA SILVA"/>
        <s v="ERISON FERREIRA DE LIMA"/>
        <s v="MARCIO CANDIDO DA SILVA"/>
        <s v="LUIZ EDUARDO BELMIRO BEZERRA"/>
        <s v="JARCIO BERNARDINO ALVES"/>
        <s v="JOAO UELTON DA SILVA BARBOSA"/>
        <s v="ADEGILSON PEREIRA DE LIMA"/>
        <s v="WAGNER DIAS DE ALMEIDA"/>
        <s v="FRANCISCO TELES GOMES MENEZES"/>
        <s v="MANOEL FRANCISCO DO NASCIMENTO NETO"/>
        <s v="ROBERTO ROGERIO DE OLIVEIRA"/>
        <s v="ROBSON BELO PESSOA"/>
        <s v="JOSE EDNALDO SILVA DE MORAIS"/>
        <s v="SIDNEY MOURA FREIRE"/>
        <s v="ADEILDO JOSE DE MOURA"/>
        <s v="DAVID CARIDADE DA SILVA"/>
        <s v="TONY LUIS DE ARRUDA"/>
        <s v="ALEX BARRETO DA SILVA"/>
        <s v="CARLOS EDUARDO DA SILVA CARDOSO"/>
        <s v="KLEYTON ROBERTO DA SILVA"/>
        <s v="WILTON MAGALHAES DOS SANTOS"/>
        <s v="JULIO CESAR LIRA DE ALMEIDA"/>
        <s v="EDSON GIL LIMA SANTOS"/>
        <s v="CARLOS ANDRE VIANA DOS SANTOS"/>
        <s v="OTAVIO BATISTA SOBRAL"/>
        <s v="GIVANSELLE FERREIRA BATISTA"/>
        <s v="JOSE ARAUJO MACEDO"/>
        <s v="MICHEL RODRIGUES MARTINIANO"/>
        <s v="ANDRE SILVA DA COSTA"/>
        <s v="ADRIANO SALUSTINO DE SOUSA"/>
        <s v="DIOGO GOMES LUNA"/>
        <s v="MARCELO ARAUJO DA SILVA"/>
        <s v="ADEILTON GALDINO DA SILVA"/>
        <s v="EDUARDO JOSE LOPES DA SILVA"/>
        <s v="ADEMIR SOARES CANTEL JUNIOR"/>
        <s v="JOSE UILA GOMES DA SILVA"/>
        <s v="FILADELFO FIGUEIREDO SOBRINHO"/>
        <s v="JAILTON DA SILVA SANTOS JUNIOR"/>
        <s v="MARIO DONIZETE MACHADO DA SILVA"/>
        <s v="WANDEMBERG DO CARMO ARAUJO"/>
        <s v="HUGO TARDELLY DE SOUZA FERREIRA"/>
        <s v="ROGERIO ELESBAO DE SOUZA"/>
        <s v="ROMULO FERREIRA DA SILVA"/>
        <s v="JACKSON VICENTE DA SILVA"/>
        <s v="MARCIO CANDIDO GUEDES"/>
        <s v="JARDEL CESAR DOS SANTOS JULIAO"/>
        <s v="IVANILDO GONCALO DA SILVA"/>
        <s v="ROGERIO GARRIDO DOS SANTOS"/>
        <s v="LAVOSIER ROCHA DA SILVA"/>
        <s v="MANOEL MARIANO DA SILVA"/>
        <s v="ALYSUANN DA SILVA BEZERRA"/>
        <s v="MARCOS AURELIO RODRIGUES DE SOUZA"/>
        <s v="MARCOS DAMASCENO DE OLIVEIRA"/>
        <s v="GENIVALDO AMADOR DE OLIVEIRA JUNIOR"/>
        <s v="DIEGO ABREU DA SILVA CRISTOVAM"/>
        <s v="DAYVSON TAVARES COIMBRA"/>
        <s v="ROMARIO PEREIRA LEITE"/>
        <s v="ROGERIO PEDRO ARAUJO"/>
        <s v="JOSE BRUNO OLIVEIRA DANTAS"/>
        <s v="PAULO RAFAEL DA SILVA SANTOS"/>
        <s v="FRANCISCO DE ASSIS COSTA"/>
        <s v="ABRAHAO BASILIO DA SILVA"/>
        <s v="INACIO AGUIAR JUNIOR"/>
        <s v="EVANDRO JOSE DE SANTANA"/>
        <s v="EDICARLOS MENEZES DOS SANTOS"/>
        <s v="GLADSON ICARO OLIVEIRA DA SILVA"/>
        <s v="EDNALDO JOSE DA SILVA BOMFIM"/>
        <s v="FRANCISCO BRENO VIEIRA MACIEIRA"/>
        <s v="RENAN CARVALHO CASTRO DA COSTA"/>
        <s v="RECIM BRANDAO COSTA FILHO"/>
        <s v="EDSON JOSE BATISTA DA SILVA"/>
        <s v="RENATO DA SILVA"/>
        <s v="JOAO PAULO DE ALBUQUERQUE BARBOSA"/>
        <s v="ALAN ROCHA DE LIMA"/>
        <s v="RAMON DE OLIVEIRA MENEZES"/>
        <s v="FRANCISCO JOSE FELIX DOS SANTOS"/>
        <s v="GLAUBER YURI NASCIMENTO BATISTA"/>
        <s v="TIAGO NASCIMENTO DA SILVA"/>
        <s v="RIVANILDO DA SILVA PINTO"/>
        <s v="MARCELO FERREIRA DA SILVA"/>
        <s v="VITOR JOSE DA SILVA"/>
        <s v="JUCIRIANO LOPES DA SILVA RAMOS"/>
        <s v="ADRIANO FLORENCIO PAIVA SILVA"/>
        <s v="AUGUSTO CESAR DUARTE EVANGELISTA"/>
        <s v="JEAN MARC DO NASCIMENTO"/>
        <s v="ANTONIO DE PADUA DE MEDEIROS RAPOSO FILHO"/>
        <s v="BARBARA DE OLIVEIRA SILVA"/>
        <s v="COSME JOSE DE SANTANA JUNIOR"/>
        <s v="THIAGO DA COSTA SANTANA"/>
        <s v="WENDEL SEVERINO ANDRE"/>
        <s v="JOSE ROBSON LOPES PESSOA"/>
        <s v="RAFAEL OLIVEIRA DA SILVA JUNIOR"/>
        <s v="VALDIR SALES DE ARAUJO"/>
        <s v="ROMARIO HENRIQUE DE SOUSA"/>
        <s v="LUIZ CRISTIANO RODRIGUES DOS SANTOS"/>
        <s v="RICARDO TAVARES RODRIGUES"/>
        <s v="THIAGO HENRIQUE SILVA DE OLIVEIRA"/>
        <s v="LUIS PAULO DA SILVA SANTOS"/>
        <s v="ANDERSON DE MELO FERREZ"/>
        <s v="KLEBSON COSME SILVINO BATISTA"/>
        <s v="PETRUCIO WILLIAN GOMES"/>
        <s v="ANDERSON LUIZ DE SOUZA"/>
        <s v="HELIO RODRIGUES DA SILVA"/>
        <s v="UENDEL CAIO RODRIGUES SILVA"/>
        <s v="LAERCIO SOUZA DA SILVA"/>
        <s v="TARGINO VIEIRA DE ANDRADE"/>
        <s v="JONAS MENEZES DINIZ"/>
        <s v="DIEGO CESAR DOS SANTOS"/>
        <s v="DIEGO EVERSON DE LIMA"/>
        <s v="JEFFERSON DA SILVA BELARMINO"/>
        <s v="RAFAEL SOUZA NUNES DA SILVA"/>
        <s v="JONNY ALLYSON MIRANDA DE MELO ALVES"/>
        <s v="LEONARDO SOARES DE ANDRADE"/>
        <s v="ANDERSON EVERTON SOUZA COSTA"/>
        <s v="ERIBERTO DA SILVA CHAGAS"/>
        <s v="VALDIR DE ARAUJO BARBOSA"/>
        <s v="ALAN MORAES"/>
        <s v="ANTONIO RIBEIRO DE CASTRO"/>
        <s v="SEBASTIAO AMARO DA SILVA"/>
        <s v="DIOGO CARDOZO DA SILVA"/>
        <s v="ANDERSON BARRETO DA SILVA"/>
        <s v="MARCOS FERNANDO ANDRADE DE OLIVEIRA"/>
        <s v="GILSON JOAO BEZERRA MONTEIRO JUNIOR"/>
        <s v="JOAS GOMES DOS SANTOS"/>
        <s v="EDUARDO HENRIQUE DE CARVALHO E SILVA"/>
        <s v="ELIABE SILANI DE LIMA"/>
        <s v="JOSE MIGUEL DE LIMA NETO"/>
        <s v="ALEXSANDRO FONTOURA ALVES DOS SANTOS"/>
        <s v="DIEGO LUCILIO FERREIRA ARAUJO"/>
        <s v="MARCUS PIETRO CARDOSO"/>
        <s v="INALDO FRANCISCO BARBOSA SOARES"/>
        <s v="FERNANDO JOSE OLIVEIRA DA SILVA"/>
        <s v="PAULO RODRIGO CARVALHO DO NASCIMENTO"/>
        <s v="ADILSON NASCIMENTO RUFINO"/>
        <s v="DIEGO ARAUJO DE OLIVEIRA SANTOS"/>
        <s v="MISAEL SILVA VIEIRA DE MELO"/>
        <s v="ROBERTO INACIO SANTOS BEZERRA"/>
        <s v="DEIVID ANTONIO DA SILVA FIRMINO"/>
        <s v="CICERO ACIOLE DO NASCIMENTO"/>
        <s v="HERYVELTON DAWIDSON DOUGLAS FARIAS DA PAZ"/>
        <s v="FABIO AUGUSTO DE ARAUJO"/>
        <s v="ISRAEL GEYZON ARAUJO LEAO"/>
        <s v="DHIEGO FELIPE MENDES DE ALMEIDA"/>
        <s v="DIEGO MAYCON SOARES DA SILVA"/>
        <s v="RANGEL FREITAS BARBOSA"/>
        <s v="JERFERSON BERNARDO DA SILVA"/>
        <s v="WIDELBERG PORFIRIO DE MEDEIROS"/>
        <s v="JEFFERSON OLIVEIRA DOS SANTOS"/>
        <s v="JONARDES JOSE DE ALMEIDA SOUZA"/>
        <s v="EDSON LAURENTINO DA SILVA"/>
        <s v="THIAGGO SILVA HONORATO"/>
        <s v="ROMULO GOMES"/>
        <s v="WILDIVAN FERNANDES DA SILVA FILHO"/>
        <s v="EMERSON ALEXANDRO DA SILVA"/>
        <s v="DOUGLAS DO NASCIMENTO FIGUEIREDO"/>
        <s v="DIEGO ARCELINO DE LIMA DA SILVA"/>
        <s v="JOSE DE ARIMATEIA FREITAS DA SILVA"/>
        <s v="THOMAZ FRANCISCO DE AQUINO"/>
        <s v="HENRIQUE BRUNO SIQUEIRA"/>
        <s v="WESLEY DE ALBUQUERQUE MENDONCA"/>
        <s v="JONAS RODRIGUES DE CARVALHO"/>
        <s v="CRISTIANO MICHELL PEREIRA DA SILVA"/>
        <s v="FERNANDO PEREIRA DA SILVA"/>
        <s v="MAYK MATIAS DE MENDONCA"/>
        <s v="TAWAN LIMA DE AQUINO"/>
        <s v="DIVALDO FERRER DE MORAES JUNIOR"/>
        <s v="FLAVIO CASSIO BATISTA DE FARIAS"/>
        <s v="EVERSON MANOEL FRANCA DA SILVA"/>
        <s v="SIDNEY SHELDOM ALVES RANGEL"/>
        <s v="LUIZ ALBERTO LIMA MAGALHAES"/>
        <s v="RENAN AUGUSTO LIMA DE OLIVEIRA ALVES"/>
        <s v="MARCOS GLEYSON LIMA"/>
        <s v="EDEZIO DE BARROS RIBEIRO"/>
        <s v="LUIZ THIAGO VITOR DA SILVA"/>
        <s v="ALLYSON HENRIQUE MENDES DE LIMA"/>
        <s v="IGO ANTONIO FERREIRA DA COSTA"/>
        <s v="JEFFERSON CAETANO DA SILVA"/>
        <s v="ANTONIO EDUARDO MARTINS"/>
        <s v="RIVAEL ALVES DA SILVA"/>
        <s v="ANTONIO CARLOS MARCELINO BARBOSA"/>
        <s v="JOSAFAT GOMES DA SILVA"/>
        <s v="ALEXSANDRO PEDRO GOMES DA SILVA"/>
        <s v="ERICK EVERTON ALBINO DIAS"/>
        <s v="FABIANO DOS SANTOS AGUIAR"/>
        <s v="ANDESSON CAVALCANTE CALADO"/>
        <s v="REYELSON DE FARIAS FELIX"/>
        <s v="LEANDRO SANTOS SILVA"/>
        <s v="ORLANDO CECILIO BELO DA SILVA"/>
        <s v="PRISCILA GUEDES DE BRITO"/>
        <s v="DAVSON FRANCISCO DA SILVA"/>
        <s v="ANDERSON DA SILVA ALVES"/>
        <s v="JOSE ALMIR BRAGA DA SILVA"/>
        <s v="JANDERSON FERNANDES DA SILVA"/>
        <s v="ARTHUR OLIVEIRA DOS SANTOS"/>
        <s v="FABIO WILLAMYS VIEIRA DA SILVA"/>
        <s v="CLEBIO DA SILVA CAMPOS"/>
        <s v="JOEVERSON NEVES DA SILVA"/>
        <s v="SILVIO FERNANDO BARBOSA MUNIZ"/>
        <s v="PAULO JOSE DA SILVA JUNIOR"/>
        <s v="DIOGO HENRIQUE LOPES BENTO DO NASCIMENTO"/>
        <s v="LEANDRO JEAN DE SANTANA"/>
        <s v="LEANDRO CAMILO SOUSA DE MELO"/>
        <s v="FILIPE CANDIDO EVANGELISTA DA SILVA"/>
        <s v="EVERTON DE OLIVEIRA GOMES"/>
        <s v="PEDRO FRANCISCO DA SILVA"/>
        <s v="THIALISSON ADRIANO PIRES FAGUNDES"/>
        <s v="JEFFERSON MENDES DE ANDRADE"/>
        <s v="JOSIVAN COELHO BEZERRA"/>
        <s v="RICARDO DA SILVA FRANCA"/>
        <s v="JOSE AUGUSTO DE OLIVEIRA"/>
        <s v="NEYLSON DE OLIVEIRA CRUZ"/>
        <s v="FRANKLIN ERNANDES DO NASCIMENTO BEZERRA"/>
        <s v="JONE ANTONIO DE ASSIS MEDEIROS"/>
        <s v="JEFFERSON ROCHA DOS SANTOS"/>
        <s v="IGOR RIBEIRO COSTA"/>
        <s v="DANILO JUSTINO MONTEIRO"/>
        <s v="VAGNER DA SILVA BARROS"/>
        <s v="WANDERSON DE SOUZA BANDEIRA"/>
        <s v="ELSON ARAUJO DO NASCIMENTO"/>
        <s v="CEZAR PALHANO MAIA JUNIOR"/>
        <s v="ELDENCLEITON SANTOS DA CONCEICAO"/>
        <s v="THIAGO FERREIRA DA SILVA"/>
        <s v="EDSON SILVA SANTOS"/>
        <s v="KARLOS JOSE CAMPOS MOURELHE"/>
        <s v="BHAYAN ROBSON FERNANDES DA SILVA"/>
        <s v="MIKAEL ALBUQUERQUE DOS SANTOS"/>
        <s v="CARLOS ALBERTO MARTINS DA SILVA"/>
        <s v="MARCONE MARTINS TEIXEIRA DE ALBUQUERQUE"/>
        <s v="EVALDO BESERRA DE CASTILHO JUNIOR"/>
        <s v="NIANDERSON FERREIRA PINHEIRO"/>
        <s v="EDYPU RAMON FERNANDES JUNQUEIRA"/>
        <s v="VINICIUS FRANCELINO SILVA DE LIMA"/>
        <s v="RODRIGO AURELIO GOMES DE SOUZA"/>
        <s v="MAGSON FRANCISCO DA SILVA"/>
        <s v="LEONARDO SILVA DOS SANTOS"/>
        <s v="EMANUEL EMILIANO DOS SANTOS"/>
        <s v="HILLEN RANGEL DA SILVA JUSTINO"/>
        <s v="LEYNAD LAIS RODRIGUES DA SILVA"/>
        <s v="EDILSON LOURENCO DA SILVA"/>
        <s v="LEONARDO DE SENA DE OLIVEIRA"/>
        <s v="DANILO FELIPE DE SOUZA"/>
        <s v="ELEANILDO ANDRADE DE LIMA GOIS"/>
        <s v="ANDERSON AZEVEDO DA SILVA"/>
        <s v="MATHEUS HENRIQUE NUNES DA SILVA"/>
        <s v="WILSON LIMA DA SILVA FILHO"/>
        <s v="AMANDA REGINA ARAUJO DA SILVA"/>
        <s v="ALEX HENRIQUE SUZART DA SILVA"/>
        <s v="VINICIUS LOURENCO DE LIMA SILVA GOMES"/>
        <s v="WASHINGTON RODRIGUES BEZERRA SILVA"/>
        <s v="JHIMMY KART ALMEIDA DE FREITAS"/>
        <s v="IRANILDO ALVES DE QUEIROZ JUNIOR"/>
        <s v="RAFAEL GALDINO DE ALMEIDA"/>
        <s v="SANDRO MARIO DE OLIVEIRA FILHO"/>
        <s v="MOISES DA SILVA GOMES"/>
        <s v="MARCOS ANDRE FERREIRA DA SILVA"/>
        <s v="NIEDSON FERREIRA PINHEIRO"/>
        <s v="LUCILIO DE CASTRO ARAUJO JUNIOR"/>
        <s v="RAIMUNDO ALMADA MOREIRA"/>
        <s v="LUIZ RICARDO ALVES DO MONTE JUNIOR"/>
        <s v="MATEUS FERNANDO PACHECO DE LIMA"/>
        <s v="ELIVELTON ELIAS DA SILVA"/>
        <s v="REGINALDO FERNANDES CAMPOS"/>
        <s v="JOAO BATISTA DE SENA"/>
        <s v="VINICIUS CESAR DA SILVA"/>
        <s v="TIAGO DE SOUZA MATOS"/>
        <s v="REGINALDO RIBEIRO DE PAIVA"/>
        <s v="ANTONIO DIONIZIO MARQUES JUNIOR"/>
        <s v="EDIVALDO JOSE DE OLIVEIRA"/>
        <s v="ERNESTO MOREIRA DA SILVA JUNIOR"/>
        <s v="MURILO ROBERTO DE SOUZA FILHO"/>
        <s v="ALUISIO VIEIRA CUSTODIO"/>
        <s v="RODRIGO FRANCISCO DE SOUZA"/>
        <s v="RICARDO DE LIMA ALENCAR"/>
        <s v="FRANCISCO DAS CHAGAS ESTEVAM"/>
        <s v="APARECIDA RODRIGUES DE OLIVEIRA"/>
        <s v="JOSEVALDO ALVES SANTOS"/>
        <s v="EDSON COSTA BEZERRA"/>
        <s v="FRANCISCO RANIERES MARTINS"/>
        <s v="RAIMUNDO JOSE DE SOUSA"/>
        <s v="MARCOS JOSE ROCHA MACHADO"/>
        <s v="LUIZ HENRIQUE DE LIRA"/>
        <s v="RAY RAMOS DA SILVA"/>
        <s v="CRISTIANO ALVES DA ROCHA"/>
        <s v="ANDERSON DOS SANTOS BARBOSA"/>
        <s v="LUIZ HENRIQUE DOS SANTOS AMANCIO DA SILVA"/>
        <s v="DOUGLAS HENRIQUE RODRIGUES DA SILVA"/>
        <s v="MAYCOM JECKSON DE MEDEIROS"/>
        <s v="ANDRE RIBEIRO DA SILVA"/>
        <s v="DIONIZIO IVAN DE LIMA"/>
        <s v="JORGE ROBERTO FERREIRA DE SOUSA"/>
        <s v="LAUDENBERG MEIRA DE MORAIS"/>
        <s v="JOSE DE FREITAS SOUSA JUNIOR"/>
        <s v="JURANDY NEVES DE VASCONCELOS"/>
        <s v="VICTOR LUIZ DE FRANCA"/>
        <s v="RAFAEL JOSE DA SILVA"/>
        <s v="JONATHA HENRY SILVA DE MELO"/>
        <s v="IJANDY WANDERSON DA SILVA"/>
        <s v="EVERTON DE LIMA GOMES"/>
        <s v="JOSE CLAUDIO ARAUJO DA SILVA"/>
        <s v="JANIO GOMES DE ARAUJO"/>
        <s v="JOSE NILTON BEZERRA"/>
        <s v="JOSE NOBRE DE MESQUITA FILHO"/>
        <s v="VALERIANO VICENTE DE OLIVEIRA"/>
        <s v="MARCIO DO NASCIMENTO BARBOSA"/>
        <s v="MARCOS UMBELINO DA SILVA"/>
        <s v="GERALDO PINHEIRO DE SOUSA"/>
        <s v="JOSE GILMAR DA SILVA"/>
        <s v="SEVERINO SEVERO DA SILVA"/>
        <s v="RUBENS FERREIRA DE PAIVA"/>
        <s v="RAIMUNDO NONATO FERNANDES DA SILVA"/>
        <s v="JOSE VITORINO DA SILVA"/>
        <s v="TADEU JOSE DA SILVA"/>
        <s v="GIOVANI GIRAO DE SIQUEIRA BRITO"/>
        <s v="JULIO CRISTOVAO DANTAS"/>
        <s v="LUIZ DOMINGOS DA SILVA"/>
        <s v="MARCOS JOSE ALVES DA SILVA"/>
        <s v="FLAVIO JOSE DIOGENES DE AQUINO"/>
        <s v="JOSE EDUARDO ALVES RODRIGUES"/>
        <s v="ORLANDO EDILSON GOMES"/>
        <s v="ANTONIO MARCOS ARAUJO RIBEIRO"/>
        <s v="LUCINALDO GOMES RODRIGUES"/>
        <s v="SEBASTIAO JOSE SARAIVA"/>
        <s v="RANILSON RAMOS DE SOUZA"/>
        <s v="JAIRO NEVES DE VASCONCELOS"/>
        <s v="CARLOS CLAYTON DE FRANCA PINHEIRO"/>
        <s v="HELTON DA SILVA LIMA"/>
        <s v="RIZONALDO HENRIQUE DE MORAES"/>
        <s v="JOSE ARAUJO DA SILVA NETO"/>
        <s v="JOSE ODANOS BESERRA"/>
        <s v="ANTONIO DIEGO DE SOUZA SILVA"/>
        <s v="VANDARIN DA SILVA COSTA"/>
        <s v="EDNALDO SOARES DA SILVA"/>
        <s v="FRANCISCO GUSTAVO DE PAIVA"/>
        <s v="JOSE CARLOS DE SOUZA JUNIOR"/>
        <s v="SAMUEL SOARES DA SILVA"/>
        <s v="JULIO CESAR DUARTE PEREIRA"/>
        <s v="EDUARDO LUIZ GOMES DE CARVALHO"/>
        <s v="WELLINGTON ALMEIDA E SILVA"/>
        <s v="HERBIS FERNANDO DE OLIVEIRA"/>
        <s v="FERNANDO ANTONIO NERIS DE LIMA"/>
        <s v="ANTONIO ERVANDO BARROS"/>
        <s v="ADIJAIR BARBOSA DA SILVA"/>
        <s v="ALEXANDRE SILVA FERNANDES"/>
        <s v="VIONEY LOURENCO DOS SANTOS"/>
        <s v="LUCILANE GOMES FERREIRA"/>
        <s v="LUIZ CARLOS LEITE DE MELO"/>
        <s v="EMERSON JOSE DE LIRA"/>
        <s v="JOSE ROBERTO FRANCISCO DE SOUZA"/>
        <s v="DYHEGO FEERNANDEZ DO NASCIMENTO SANTOS"/>
        <s v="AGLAILTON SIQUEIRA RODRIGUES"/>
        <s v="MARCO DANIEL BARBOSA DA SILVA"/>
        <s v="DANIEL DE OLIVEIRA SILVA"/>
        <s v="ROGERIO MURATORI MOURA"/>
        <s v="INALDO TOMAZ DE PONTES"/>
        <s v="SALISMAR MORAIS DA SILVA"/>
        <s v="FRANCISCO CLAUDIONOR DE SOUZA"/>
        <s v="FRANCISCO JOSE SOARES OLIVEIRA"/>
        <s v="IRAQUITAN MIGUEL DE LIMA"/>
        <s v="LUCILIO DE CASTRO ARAUJO"/>
        <s v="ROMILDO ROQUE DA SILVA FILHO"/>
        <s v="MOISES BRITO MACIEL"/>
        <s v="JOAO BATISTA SILVA"/>
        <s v="OCELI COSTA DE SOUZA"/>
        <s v="GENIVAL FRANCISCO DE ARAUJO"/>
        <s v="ALCIONE TERTULIANO DA SILVA"/>
        <s v="JOSE CRISTOVAO DOS SANTOS"/>
        <s v="JOSE IZAIAS BATISTA DA SILVA"/>
        <s v="JOSE DA SILVA NETO"/>
        <s v="CICERO DANTAS BRANCO"/>
        <s v="RENATO ALEXANDRE DA SILVA"/>
        <s v="FRANCISCO CANINDE CAETANO DA SILVA"/>
        <s v="ISAEL SANTOS DA SILVA"/>
        <s v="LEANDRO LIMA FREITAS"/>
        <s v="JOAO BATISTA DO NASCIMENTO JUNIOR"/>
        <s v="ANDRE DE LIMA SOUZA"/>
        <s v="DOMINGOS ALVES DO NASCIMENTO JUNIOR"/>
        <s v="EDYLSON DANTAS DOS SANTOS"/>
        <s v="HALISTON DA SILVA BARROS"/>
        <s v="ALTINO GONCALVES DE ARAUJO"/>
        <s v="RICARDO RENATO SOARES MONTEIRO NETO"/>
        <s v="FRANCISCO MARCELO BRAGA RODRIGUES"/>
        <s v="ALBERONE LOPES DE SOUSA"/>
        <s v="PAULO COSMO DA SILVA"/>
        <s v="VALMIR RODRIGUES DE OLIVEIRA"/>
        <s v="LUIZ EDVALDO DA SILVA"/>
        <s v="FRANCISCO MARCIO MOREIRA DE OLIVEIRA"/>
        <s v="JOSE DANILO MELO LIMA"/>
        <s v="JURACY BARBOSA SOUZA"/>
        <s v="ANTONIO LAUREANO FERREIRA"/>
        <s v="MARCIEL ALVES DA ROCHA"/>
        <s v="JOSIAS DA COSTA SILVA"/>
        <s v="IVALDO GERALDO DA SILVA"/>
        <s v="MAURILIO PATRICIO DA SILVA"/>
        <s v="WAYNE PONTES DA SILVA"/>
        <s v="SEVERINO DANIEL DA SILVA"/>
        <s v="JOSE LEONILDES RAMALHO NETO"/>
        <s v="LEANDRO MENEZES DA SILVA"/>
        <s v="JOBSON DE SOUZA AIRES"/>
        <s v="FELIPE NOBRE DA ROCHA"/>
        <s v="PEDRO OLIVEIRA SA"/>
        <s v="THOMAS JOSE BRENO DA SILVA"/>
        <s v="RICARDO ANDRE DA SILVA"/>
        <s v="JOSE REMILSON SOUZA GONCALVES"/>
        <s v="ANTONIO MARCOS GUILHERMINO DA COSTA"/>
        <s v="YGOR DE SOUSA GOMES"/>
        <s v="VANDECLISNEY DOS SANTOS MOREIRA"/>
        <s v="JORGE MARCELO DE SOUZA"/>
        <s v="ULLY RODRIGUES MARQUES"/>
        <s v="ELIAS SILVA DE SOUZA"/>
        <s v="JEAN WILLIAM RIBEIRO CORREA"/>
        <s v="JOSE LEANDRO COSTA DE SOUZA"/>
        <s v="MARQUIDONIO ROSA DO NASCIMENTO SILVA"/>
        <s v="ROBSON AUGUSTO SANTOS LIMA"/>
        <s v="ALEXANDRE LIMA MESQUITA"/>
        <s v="FRANCISCO VOLNEY GONCALVES AZEVEDO"/>
        <s v="FRANCISCO REGIS GOMES GUERRA"/>
        <s v="FRANCISCO CANINDE DOS SANTOS"/>
        <s v="MARCELINO FERREIRA FEITOSA"/>
        <s v="ANTONIO FRANCISCO NOBRE DO NASCIMENTO"/>
        <s v="OZIEL OLIVEIRA PINHEIRO"/>
        <s v="MARCOS ANTONIO BATISTA DE OLIVEIRA"/>
        <s v="MICHELANGELO NOGUEIRA DO NASCIMENTO"/>
        <s v="ANTONIO RODRIGUES BRANDAO"/>
        <s v="NEUBERT GUSTAVO CORREA DE MELO"/>
        <s v="FRANCISCO GILMAR LIMA DOS SANTOS"/>
        <s v="MARCIO COSTA DE SOUSA"/>
        <s v="MARCOS ANTONIO ALVES DO NASCIMENTO"/>
        <s v="JOSE SILVA DOS ANJOS"/>
        <s v="FRANCISCO CLAUDIO DE ARAUJO"/>
        <s v="CARLOS ANTONIO MICIANO DE SANTANA"/>
        <s v="ANTONIO CARLOS BRIOSO DE OLIVEIRA"/>
        <s v="FRANCISCO HERLANE BARRETO NUNES"/>
        <s v="JOSE ANDERSON CRUZ DOS SANTOS"/>
        <s v="FRANCINILTON ALVES DE SOUSA"/>
        <s v="JOSE NERES BARBOZA"/>
        <s v="MAYRON DE SOUSA ARAUJO"/>
        <s v="AURY BELARMINO DE PAIVA"/>
        <s v="RONALDO DOS SANTOS PAIVA"/>
        <s v="SILVANO MESQUITA BARROSO"/>
        <s v="ANTONIO KENEDY CAETANO FERREIRA"/>
        <s v="PETRONIO FERREIRA DA SILVA"/>
        <s v="ALAN WAGNER MARTINS DA ROCHA"/>
        <s v="LINDOMAR CORREIA DE SOUZA"/>
        <s v="WALDEMIR DE ARAUJO PEREIRA"/>
        <s v="FRANCISCO XAVIER GOMES FILHO"/>
        <s v="JAMIEL DE SOUZA MOURA"/>
        <s v="DANIEL FRANCISCO DA SILVA"/>
        <s v="ALEX SANDRO DE LIMA PAZ"/>
        <s v="JACKSON PESSOA SOARES"/>
        <s v="JAILSON MARINHO DE OLIVEIRA"/>
        <s v="ANTONIO MARCOS PEREIRA"/>
        <s v="ALEXSANDRO PEREIRA DA SILVA"/>
        <s v="FRANSUELO MENEZES"/>
        <s v="ELIABE SILVA GUEDES"/>
        <s v="JULIO CEZAR DOS SANTOS FELIX"/>
        <s v="RAUL GARCIA DA SILVA"/>
        <s v="SAMUEL DAMASIO SOARES"/>
        <s v="FRANCINEIDE DA SILVA LIMA"/>
        <s v="MARCIO JOSE DA SILVA BELO"/>
        <s v="RAFAEL SERAFIM FELICIANO"/>
        <s v="MAGNO MANOEL DA SILVA"/>
        <s v="MARCOS FERNANDO ALVES DA SILVA"/>
        <s v="MAXYLLON ARAUJO RODRIGUES"/>
        <s v="ELIELTON SOUZA DA SILVA"/>
        <s v="EVERTON DOS SANTOS ANDRADE"/>
        <s v="FRANCISCO DANILO DA SILVA PEREIRA"/>
        <s v="ANDRE FRANCISCO DE JESUS"/>
        <s v="ABRAAO CORREIA DOS SANTOS"/>
        <s v="JOSE DOUGLAS ZEFERINO DOS SANTOS"/>
        <s v="FRANCISCO DE ASSIS ABREU DE SOUSA"/>
        <s v="JOSE VANDEILSON MATOS SILVA"/>
        <s v="SOCRATES LUIZ SOUZA DA FONSECA"/>
        <s v="ANTONIO JONAEL DE FREITAS"/>
        <s v="JOSE WILAMI DA SILVA SOUZA"/>
        <s v="CLEITON JOSE DA SILVA"/>
        <s v="JORGE CESAR DA SILVA XAVIER"/>
        <s v="JOSELY BEZERRA DE MORAIS"/>
        <s v="NILTON SILVEIRA CORREIA"/>
        <s v="SERGIO DE FRANCA PAIVA"/>
        <s v="GEIBSON NASCIMENTO SOUZA"/>
        <s v="EDILSON DE SOUZA MACENA"/>
        <s v="AURELIANO DA SILVA BARROS"/>
        <s v="JONATHAN NASCIMENTO VIANA"/>
        <s v="MICHELINO CORREIA DA SILVA"/>
        <s v="JOSE AILTON ALVES FERREIRA"/>
        <s v="FRANCISCO ISMAEL MARTINS BARBOSA"/>
        <s v="JOSEMIR FREIRE DA SILVA"/>
        <s v="LYDMAR DA CRUZ ALVES"/>
        <s v="EMANUEL MADSON CONSTANTINO BEZERRA"/>
        <s v="NILDIVAN LOPES DE SOUSA"/>
        <s v="WAGNER CARMO DA SILVA DUTRA"/>
        <s v="ALEXANDRE BERTO DA SILVA"/>
        <s v="ALISSON GONCALVES DA SILVA"/>
        <s v="JOSE DIEGO SILVA SAMPAIO"/>
        <s v="STEFANIO PEREIRA DA SILVA"/>
        <s v="FABIO JULIO VICENTE DA SILVA"/>
        <s v="SUEDSON SOARES DA SILVA"/>
        <s v="JULIANO DE MATOS"/>
        <s v="RONALDO SIMAO DE ARAUJO"/>
        <s v="JETSON BASILIO SANTOS DA SILVA"/>
        <s v="BRUNO CESAR DE SOUZA GOMES"/>
        <s v="ALEXANDRO DE SOUZA VASCONCELOS"/>
        <s v="JOAO FELIPE LOPES FILHO"/>
        <s v="JAIRO ROCHA DOS SANTOS"/>
        <s v="ERIVAN ALVES CORDEIRO"/>
        <s v="FRANCINALDO ANDRADE CHAGAS"/>
        <s v="DAILSON ODILON GOMES SA"/>
        <s v="THIAGO DAVID FREIRE DE MELO"/>
        <s v="GIOVANI ANDRADE BULHOES JUNIOR"/>
        <s v="ITALO ALENCAR SOARES SILVA"/>
        <s v="FRANCISCO SERGIO DE OLIVEIRA DE SOUZA"/>
        <s v="TERCIO SEVERINO DE SOUZA"/>
        <s v="ZEIBSON GOMES MAXIMO DA SILVA"/>
        <s v="LUIZ RICARDISON OLIVEIRA DE SOUZA"/>
        <s v="OSVALDO WELLINGTON DE SOUZA"/>
        <s v="GILSON BASILIO RODRIGUES DO NASCIMENTO"/>
        <s v="ANDRE LUIZ SANTOS"/>
        <s v="EMANUEL ALBERTO DE SOUSA MONTEIRO"/>
        <s v="ALEXSANDRO DA COSTA PAIVA"/>
        <s v="PAULO FERNANDO GONCALVES"/>
        <s v="CIDELVE CICERO SANTOS"/>
        <s v="FRANCISCO HELDER PEREIRA DE FREITAS"/>
        <s v="ROGERIO COSTA DOS SANTOS"/>
        <s v="MAGNO SOARES DE ARAUJO"/>
        <s v="VALMIR ALEXANDRE DA SILVA"/>
        <s v="CLEYSON LUCIO PINHEIRO"/>
        <s v="FRANCISCO GLAYDSON MACIEL FERREIRA"/>
        <s v="FRANCISCO IRANILDO ALVES"/>
        <s v="ALESSANDRO PONTES FERREIRA"/>
        <s v="FRANCISCO AURIVAN ALVES DA SILVA"/>
        <s v="ISMAR EVANGELISTA DOS SANTOS"/>
        <s v="REDSON RODRIGUES CHAVES"/>
        <s v="JOSE REINALDO DA SILVA GOMES"/>
        <s v="AIRTON DO NASCIMENTO"/>
        <s v="JEANN DE ARAUJO PESSOA"/>
        <s v="JOSE ROBERTO DA COSTA FORTE"/>
        <s v="SIZENANDO DE FRANCA AMARAL"/>
        <s v="FAGNER MOREIRA DA SILVA"/>
        <s v="ADRIANO GOMES DE OLIVEIRA"/>
        <s v="FRANCISCO MAURO MOREIRA MELO"/>
        <s v="MARIANO JOSE DA SILVA"/>
        <s v="ERIC LUIZ FERREIRA DE MORAIS"/>
        <s v="LUIZ FERREIRA NUNES FILHO"/>
        <s v="GIOVANE LUTERIO DA SILVA"/>
        <s v="GILVANDES NOBREGA DE SOUSA"/>
        <s v="CLAILTON DO NASCIMENTO NUNES"/>
        <s v="ADRIANO PEREIRA DE OLIVEIRA"/>
        <s v="FRANCISCO PAULO DOS SANTOS RIBEIRO"/>
        <s v="ROBERVAL VERISSIMO XAVIER PINTO"/>
        <s v="ERIVALDO LAZARO ALVES"/>
        <s v="ROGERIO DA SILVA PEREIRA"/>
        <s v="ISRAEL SANTOS DE SOUSA"/>
        <s v="EDRIANO BEZERRA DA SILVA"/>
        <s v="WALTER DE OLIVEIRA SILVA"/>
        <s v="ANDRE NASCIMENTO DOS SANTOS"/>
        <s v="FRANCISCO LINHARES VIEIRA"/>
        <s v="JADSON ARAUJO FERREIRA"/>
        <s v="IJAN MERQUIDES DE MOURA"/>
        <s v="GEOVANIO MARCIO DE LIMA"/>
        <s v="ANTONIO FLORENTINO DOS SANTOS FILHO"/>
        <s v="JAILTON BARBOSA DE LUCENA"/>
        <s v="FRANCISCO MARCIEL DOS SANTOS"/>
        <s v="EDSON ALVES DE SOUZA"/>
        <s v="PAULO SERGIO DE SOUZA OLIVEIRA"/>
        <s v="JOSENILDO SANTOS GONCALVES"/>
        <s v="ALEXANDRE JOSE ACIOLI GOMES"/>
        <s v="MARIO NEGRAO DE MEDEIROS NETO"/>
        <s v="GIORDANE DE ALENCAR FIGUEIREDO"/>
        <s v="LUIZ BEZERRA DE SOUZA"/>
        <s v="JOSE RICARDO DE MOURA PEREIRA"/>
        <s v="FRANCISCO RAFAEL DE LIMA"/>
        <s v="FABIO HENRIQUE DA SILVA"/>
        <s v="RICARDO MEDEIROS DE SOUSA"/>
        <s v="LEANDRO BARBOSA DA SILVA"/>
        <s v="ROGERIO VICENTE DA SILVA"/>
        <s v="JOSE PEREIRA BATISTA"/>
        <s v="JORGE LUIZ DA COSTA SILVA"/>
        <s v="PAULO MIRANDA DA SILVA"/>
        <s v="LUIS JOSE ANDRADE LIMA FILHO"/>
        <s v="JOSE EVILASIO FREIRE"/>
        <s v="JADEMILSON INACIO DOS SANTOS"/>
        <s v="NATANAILDO MARCELINO DE OLIVEIRA JUNIOR"/>
        <s v="GALBA SILVESTRE DE SANTANA"/>
        <s v="MARCO JOSE DE LIMA"/>
        <s v="ANTONIO VALDEVAN ALVES PEREIRA"/>
        <s v="PAULO CESAR DA COSTA"/>
        <s v="ANTONIO WILLIAM RODRIGUES SOUZA"/>
        <s v="JOSE GLEIDSON DE SOUZA VIEIRA"/>
        <s v="EVALDO GOMES PINHEIRO"/>
        <s v="FABIO BEZERRA DOS SANTOS"/>
        <s v="ANDRE ENIO FERNANDES DO NASCIMENTO"/>
        <s v="ADELSON BARBOSA DE SOUZA"/>
        <s v="RUBEM ALVES DE ALBUQUERQUE JUNIOR"/>
        <s v="LEANDRO VIEIRA DE CASTRO"/>
        <s v="ADRIANO ALBUQUERQUE DO NASCIMENTO"/>
        <s v="CARLOS JEFFERSON DE LIMA MARTINS"/>
        <s v="GENIVALDO RIBEIRO DE MELO"/>
        <s v="FRANCISCO LYDSON BRAGA SOBREIRA"/>
        <s v="IVSON NUNES PEREIRA"/>
        <s v="ANIZIO JUNIOR MATIAS DA SILVA"/>
        <s v="ZAILOR CAVALCANTI SARMENTO"/>
        <s v="DANIEL ALVES DOS SANTOS"/>
        <s v="MIZAEL CARNEIRO DE OLIVEIRA"/>
        <s v="CELIO ROBERTO OLIVEIRA DA SILVA"/>
        <s v="JOSE ADAILSON FERREIRA DE MOURA"/>
        <s v="RENE VIEIRA SANTOS"/>
        <s v="ROBERIO FERREIRA DO NASCIMENTO"/>
        <s v="FABIO CAVALCANTI CARVALHO"/>
        <s v="EDIVAL PEREIRA LEITAO"/>
        <s v="MARCELO DO NASCIMENTO SOUZA"/>
        <s v="RINALDO SILVA DO NASCIMENTO"/>
        <s v="RINALDO NUNES DA CUNHA JUNIOR"/>
        <s v="MARCELO HENRIQUE PEREIRA DA SILVA"/>
        <s v="RAIMUNDO CLAUDIO GOMES"/>
        <s v="EDILSON SOARES DOS SANTOS"/>
        <s v="MANOEL PIMENTA FILHO"/>
        <s v="PEDRO PAULO RIBEIRO BARBOSA"/>
        <s v="JOVIANO GOMES DA SILVEIRA"/>
        <s v="CESARIO GONCALVES TORRES NETO"/>
        <s v="JOSE EDUARDO CORDEIRO DE SOUZA"/>
        <s v="FABIO MONTEIRO DE SOUSA"/>
        <s v="JOSE ARTENIO SARAIVA TRAJANO"/>
        <s v="ELIEL VIEIRA DE FRANCA"/>
        <s v="ADILSON DA SILVA FERREIRA"/>
        <s v="AGILSON DA SILVA FERREIRA"/>
        <s v="FRANCISCO AGUINALDO PAZ TEODOSIO"/>
        <s v="FRANCISCO VANDERLEI DA SILVA"/>
        <s v="ALEXANDRE DA SILVA LUCENA"/>
        <s v="FERNANDO ANDRADE CHAGAS"/>
        <s v="WILTON PAULINO DA SILVA"/>
        <s v="RONALDO BARCELOS dos SANTOS"/>
        <s v="WELLINGTON BRONZEADO DE LIMA"/>
        <s v="JORGE CAETANO DA SILVA"/>
        <s v="JOSE GILSON DE SANTANA"/>
        <s v="VINICIUS OLIVEIRA DO NASCIMENTO"/>
        <s v="OSMAR BEZERRA DE SANTANA"/>
        <s v="CLECIO MARTINS DA SILVA"/>
        <s v="TIAGO DE SANTANA RAMOS"/>
        <s v="MANOEL CARLOS DA SILVA"/>
        <s v="DARCY DE HOLANDA PORTELA"/>
        <s v="TOMIRES SALES CAMPELO JUNIOR"/>
        <s v="TARCISIO CARLOS DO NASCIMENTO"/>
        <s v="LUIS AARAO DA SILVA JUNIO"/>
        <s v="ERNANDE JUNIOR DA Silva CARVALHO"/>
        <s v="GLEIBSON GUIMARAES DA NOBREGA"/>
        <s v="PAULO ROBERTO DA SILVA"/>
        <s v="UBIRATAN SANTOS DE OLIVEIRA"/>
        <s v="PEDRO LUIZ DAS MERCES LIMA JUNIOR"/>
        <s v="FLAVIO BEZERRA DE SOUZA"/>
        <s v="ESTENIO BEZERRA DOS SANTOS"/>
        <s v="FRANCISCO PEREIRA DE MORAES NETO"/>
        <s v="IRAMILSON SOARES BARROS"/>
        <s v="EMILIANO MOREIRA VIANA"/>
        <s v="JOSE DO NASCIMENTO BRITO"/>
        <s v="ELIAS JOSE DA SILVA"/>
        <s v="RAIMUNDO BRANCO SOUSA"/>
        <s v="JOSE EDSON MARTINS DO CARMO"/>
        <s v="FRANCISCO ALDEMYR DE AQUINO"/>
        <s v="PEDRO ANTONIO CIPRIANO"/>
        <s v="JOSE ALBERTO PEREIRA BARROS"/>
        <s v="EDUARDO REGIS DE OLIVEIRA"/>
        <s v="VALDEMIR DE OLIVEIRA SANTOS"/>
        <s v="EVALDO XAVIER DE SANTANA"/>
        <s v="ADEILTOM MACIEL DE ASSIS"/>
        <s v="JOSE MARIO FERNANDES DOS SANTOS"/>
        <s v="SEBASTIAO MARINHO"/>
        <s v="GILDASIO COELHO MARREIRO"/>
        <s v="ADALBERTO MANOEL"/>
        <s v="ONECI SANTOS DA SILVA"/>
        <s v="FRANCISCO SAVIO BEZERRA"/>
        <s v="FRANCISCO ERNANDO SARAIVA COSTA"/>
        <s v="JOSELITO SANTOS DE OLIVEIRA"/>
        <s v="DORENILDO DOS SANTOS SILVA"/>
        <s v="RONALDO ALVES SOARES DA SILVA"/>
        <s v="TOME FERREIRA CAVALCANTE"/>
        <s v="JOAO CEZARIO DA SILVA"/>
        <s v="JOSE GALDINO NETO"/>
        <s v="WESKLE CARLOS CUNHA"/>
        <s v="ANTONIO JOSE CAMILO DOS SANTOS"/>
        <s v="GERALDO RODRIGUES DE CARVALHO FILHO"/>
        <s v="GILBERTO LOURENCO DA ROCHA"/>
        <s v="FRANCISCO RICARDO LOURENCO DA SILVA"/>
        <s v="EDILSON DA SILVA BEZERRA"/>
        <s v="SUETONIO CARLOS XAVIER PINTO"/>
        <s v="GILBERTO DE SANTANA COUTINHO"/>
        <s v="VALDER CARLOS RODRIGUES DE LIMA"/>
        <s v="ANTONIO ALMEDES FONTELES FILHO"/>
        <s v="FRANCISCO ROGERIO NASCIMENTO DA SILVA"/>
        <s v="MAURO PEREIRA DA SILVA"/>
        <s v="PEDRO FERNANDES SALES"/>
        <s v="FRANCISCO MARCONDES NOBRE DE SOUZA"/>
        <s v="WILLIAN LUCAS PARADEIRA DE ARAUJO"/>
        <s v="JOSE CARLOS DO ROSARIO"/>
        <s v="ROBSON DE ARAUJO GALVAO"/>
        <s v="ANTONIO ANANIAS IRINEU FILHO"/>
        <s v="JOSE TACIO BEZERRA"/>
        <s v="GUSTAVO VINICIUS MENDES SANTOS"/>
        <s v="MARCOS BARBOSA CAMELO"/>
        <s v="JOARLYSON MANOEL DE SANTANA"/>
        <s v="JOSE GOMES CRISTOVAM"/>
        <s v="ALMIR LOPES CORDEIRO FILHO"/>
        <s v="JAILSON VENANCIO DA SILVA"/>
        <s v="MARCONI OLIVEIRA DIAS"/>
        <s v="ANTONIO JUSTINO BARBOSA FILHO"/>
        <s v="MARIA BETANIA DA SILVA LEITE"/>
        <s v="MORAIS TEIXEIRA DE ARRUDA"/>
        <s v="FRANSLEY DA SILVA PAZ"/>
        <s v="IRAN JUNIOR VIANA MARTINS"/>
        <s v="ANTONIO BATISTA NOGUEIRA"/>
        <s v="GUTEMBERG BARROSO LOPES"/>
        <s v="MARCOS PAES DE SOUSA"/>
        <s v="EDSON SANTINO DA SILVA"/>
        <s v="FRANCISCO ANTONIO MEDEIROS DA SILVA"/>
        <s v="MACEIO DE OLIVEIRA DOMINGOS"/>
        <s v="FRANCISCO ANTONIO CORREIA MEDEIROS"/>
        <s v="LEONARDO HORACIO DA SILVA"/>
        <s v="JOAO MARIA DOS SANTOS"/>
        <s v="ODILSON DA CRUZ FERREIRA"/>
        <s v="MARCELO NASCIMENTO DE SOUZA"/>
        <s v="ERASMO CLAUDIO CAVALCANTI"/>
        <s v="ZILDO FRANCISCO DA SILVA"/>
        <s v="JOSE WELTON DO CARMO"/>
        <s v="MARCELO MAGNO PESSOA DE ARAUJO"/>
        <s v="ANTONIO CLEITON DOS SANTOS"/>
        <s v="FRACISCO RENATO DE ALMEIDA LIMA"/>
        <s v="MARCOS rANIErE MENEZES DA SILVA"/>
        <s v="MARCONDES DANTAS LEITE DE SA"/>
        <s v="JOSE CLAUDIO DAS SANTOS"/>
        <s v="LUIS PONTE RODRIGUES"/>
        <s v="FRANCISCO NILTON DO NASCIMENTO LIMA"/>
        <s v="EDSON FERREIRA DA SILVA"/>
        <s v="NEUTON JUNIOR ALVES"/>
        <s v="CARLOS ALBERTO DE OLIVEIRA LIMA"/>
        <s v="ERIVALDO BEZERRA DA SILVA"/>
        <s v="COSME REBOUCAS DE SOUSA"/>
        <s v="MARCELINO ROGERIO BARBOSA"/>
        <s v="FRANCISCO ALEXSANDRO HELCIAS"/>
        <s v="ELDMARCSON LYNNICK ARAUJO SILVA"/>
        <s v="BRUNO JOSE OLIVEIRA GOMES DOS SANTOS"/>
        <s v="LUCIO WILLY DOS SANTOS SILVA"/>
        <s v="EVANDRO LUIZ DE VASCONCELOS"/>
        <s v="WELLINGTON JOSE SILVA COSTA NASCIMENTO"/>
        <s v="JULIO CESAR MAGALHAES DE OLIVEIRA"/>
        <s v="JOAO AUGUSTO DE LIMA NETO"/>
        <s v="VLADIMIR LENIN ARAUJO VIANA"/>
        <s v="ISAIAS MENDONCA DA SILVA"/>
        <s v="JORGE LUIZ ARAUJO MARINHO"/>
        <s v="ANA MARIA PEIXOTO SERGIO"/>
        <s v="ANDRE ARAUJO DE SOUZA"/>
        <s v="PAULO FERREIRA DO NASCIMENTO"/>
        <s v="MADENILSON JOSE OLIVEIRA NUNES"/>
        <s v="SANDOVAL GOMES DA COSTA"/>
        <s v="FRANCISCO RONALDO DO NASCIMENTO ROMEIRO"/>
        <s v="WALDECIO LINS PEREIRA"/>
        <s v="ANDRE PEREIRA DE BARROS NETO"/>
        <s v="MILTON HENRIQUE RAMOS DA SILVA"/>
        <s v="FRANCISCO CLEITON COSTA SOUZA"/>
        <s v="JOSE MARIA DA COSTA LEONARDO"/>
        <s v="SERGIO MURILO DE LIMA"/>
        <s v="FRANCISCO MARCELO DE SOUSA SANTOS"/>
        <s v="RAUL SIMPLICIO BANDEIRA JUNIOR"/>
        <s v="ADRIANA CORCINA DE ALBUQUERQUE"/>
        <s v="RAIMUNDO NONATO RODRIGUES DA SILVA"/>
        <s v="ALEXANDRE JOSE DE ARAUJO MOURA"/>
        <s v="CLEDINALDO DO NASCIMENTO"/>
        <s v="JOSIVALDO DA SILVA ANDRADE"/>
        <s v="MARCOS VILENALDO GOMES"/>
        <s v="JOSE RICARDO MAIA DE ALMEIDA"/>
        <s v="FRANCISCO ANTONIO DA SILVA MOREIRA"/>
        <s v="RICHARD DE FREITAS DOS SANTOS"/>
        <s v="ANTONIO NILDO PEREIRA DE ASSIS"/>
        <s v="FRANCISCO EDIELSON SOUZA"/>
        <s v="ANA CRISTINA VICENTE NEVES"/>
        <s v="JOAO ABREU FILHO"/>
        <s v="CLECIO AMARO DA SILVA"/>
        <s v="ADemILSON BARBOSA DE ANDRADE"/>
        <s v="ANTONIO CARLOS ANDRADE"/>
        <s v="EDUARDO HENRIQUE MATIAS"/>
        <s v="CLEUDIVAN PEIXOTO DOS SANTOS"/>
        <s v="ANDRE LUIZ DE MIRANDA PEREIRA"/>
        <s v="CESAR ROMERO LIMA DE OLIVEIRA"/>
        <s v="FERNANDO ANTONIO MONTEIRO"/>
        <s v="JOSEVALDO DIONIZIO NOGUEIRA"/>
        <s v="FABIO HENRIQUE PEREIRA"/>
        <s v="LUCAS SANTOS MARIANO"/>
        <s v="JOSE NILSON DE LIMA GOMES"/>
        <s v="JOSE PERICLES DE SOUZA"/>
        <s v="KARLA DANIELLE NOGUEIRA DE CARVALHO"/>
        <s v="GELVANDRO CAETANO DA SILVA"/>
        <s v="UEDSON FELIPE SANTIAGO"/>
        <s v="SILVANIO DE JESUS MARQUES PEREIRA"/>
        <s v="ALEXANDRE SILVA DE LIMA"/>
        <s v="FRANCISCO FLAMARION RODRIGUES JUNIOR"/>
        <s v="EVALDO MAURICIO DA SILVA LIMA"/>
        <s v="PEDRO WILTON OLIVEIRA AMARAL"/>
        <s v="EDSON DE ASSUNCAO SILVA"/>
        <s v="HOLDYR BITTENCOURT ALVES DE SOUZA"/>
        <s v="ELIEL DANTAS PEREIRA"/>
        <s v="EDSON DOS SANTOS"/>
        <s v="CICERO FERREIRA DA MOTA"/>
        <s v="EMERSON SOUZA DE ALMEIDA"/>
        <s v="EDSON GUERRA ALMEIDA"/>
        <s v="JOSE JARBAS RIBEIRO"/>
        <s v="FABRICIO DA SILVA DE OLIVEIRA ANDRADE"/>
        <s v="PEDRO HENRIQUE MARQUES FERREIRA"/>
        <s v="MARCELO FEITOSA DE SOUSA"/>
        <s v="DIEGO DE MESQUITA PEREIRA"/>
        <s v="ANTONIO EDYADLLER FRAGA DE SOUSA"/>
        <s v="AMYSTERDA DO NASCIMENTO FERNANDES"/>
        <s v="ELIELTON ARAUJO COSTA"/>
        <s v="PAULO JACINTO DA SILVA FILHO"/>
        <s v="FRANCISCO BEZERRA RODRIGUES"/>
        <s v="HERMINIO CESAR AMORIM NOGUEIRA"/>
        <s v="EDVAL DE OLIVEIRA PINHEIRO"/>
        <s v="FABIO SILVA DO NASCIMENTO"/>
        <s v="ANDERSON BATISTA DE MORAES"/>
        <s v="SAMUEL TAVARES DE FREITAS"/>
        <s v="EVANDRO BATISTA VIEIRA"/>
        <s v="MARCILIO DA SILVA GUEDES"/>
        <s v="PEDRO DE ALENCAR MATOS FILHO"/>
        <s v="JOSE FERREIRA DE OLIVEIRA JUNIOR"/>
        <s v="LUCIANE BESERRA DA SILVA"/>
        <s v="GABRIEL FERNANDES DE OLIVEIRA"/>
        <s v="ANDERSON DE SALES SAMPAIO"/>
        <s v="FRANCISCO JOSE GONCALVES RODRIGUES"/>
        <s v="FRANCISCO JACKSON FERREIRA MENEZES"/>
        <s v="JEAN CARLOS SANTANA BEZERRA"/>
        <s v="GALILEU SALES AZEVEDO"/>
        <s v="FRANCISCO CLAUDIO LINS DA ROCHA"/>
        <s v="ROBERTO DOS SANTOS"/>
        <s v="CARLOS CESAR SENA DELMIRO"/>
        <s v="TIAGO JOSE BRAZ"/>
        <s v="KLEBER FABIO GALDINO DE LIMA"/>
        <s v="WALMIR LOPES TAVARES"/>
        <s v="RONALD LEITE QUEIROZ"/>
        <s v="ANTONIO MARCOS DA SILVA GOMES"/>
        <s v="FERNANDO DANTAS DA SILVA"/>
        <s v="JOSE RICARDO SIMPLICIO BANDEIRA"/>
        <s v="DANIEL AVELINO DA SILVA"/>
        <s v="LAERCIO DO NASCIMENTO VALE"/>
        <s v="ANDERSON DE FRANCA PINTO"/>
        <s v="JOSE PAULO DO NASCIMENTO BARBOSA"/>
        <s v="ALDERICO JOSE DE OLIVEIRA DA SILVA NETO"/>
        <s v="SILVANIO PEREIRA DO NASCIMENTO"/>
        <s v="JULIO CESAR CARVALHO ALVES"/>
        <s v="SILVIO ROMERO ALMEIDA DE OLIVEIRA"/>
        <s v="JOSE RICARDO CONSTANTINO DO MONTE"/>
        <s v="FRANCISCO MARCOS DAVID VIANA LIMA"/>
        <s v="LUCIANO MENDES BRAZ"/>
        <s v="CARLOS FELIPE LIMA DA SILVA"/>
        <s v="REGINALDO MATIAS PESSOA"/>
        <s v="JOSE WICTOR PEREIRA DO NASCIMENTO"/>
        <s v="PAULO ROBERTO SILVA LIMA"/>
        <s v="FRANCISCO REGINALDO SOBREIRA DE MELO"/>
        <s v="JEFFERSON LIMA DE CASTRO"/>
        <s v="FRANCISCO MAURICELIO DE SOUSA LIMA"/>
        <s v="ELINALDO LUIS DE ANDRADE"/>
        <s v="MOACIR BARROS FONTENELE NETO"/>
        <s v="CARLOS ROBERTO DA SILVA FILHO"/>
        <s v="ANDRE WAGNER EGIPEDES DE FRANCA"/>
        <s v="JECKSON LOPES DA SILVA"/>
        <s v="ANDERSON ARRUDA NASCIMENTO"/>
        <s v="LUCAS ALVES DE OLIVEIRA"/>
        <s v="LUIZ GONZAGA DE SOUZA NETO"/>
        <s v="JORGE HENRIQUE LOPES DOS SANTOS"/>
        <s v="AUDREY STEPHANNE DE OLIVEIRA GOMES"/>
        <s v="GILVAN ALVES DA SILVA"/>
        <s v="FRANCISCO CANINDE PEREIRA"/>
        <s v="PEDRO RICARDO DE ARAUJO PEREIRA"/>
        <s v="CLAUDIO BEZERRA SILVA"/>
        <s v="FAGNER MACIEL DE SOUSA"/>
        <s v="WILLIAM DE ALMEIDA SANTOS"/>
        <s v="RAIMUNDO DA SILVA SOARES"/>
        <s v="KEIVANDO LEANDRO DE ASSUNCAO DE OLIVEIRA"/>
        <s v="AECIO FRANKLIN ALMEIDA DE SOUSA"/>
        <s v="WILLAM BATISTA DE ARAUJO JUNIOR"/>
        <s v="ADILSON FERREIRA PONTES"/>
        <s v="JOVANILTON SILVA DOS SANTOS"/>
        <s v="CARLOS ALBERTO DOS SANTOS DUARTE"/>
        <s v="MARCELO ANTONIO DA SILVA"/>
        <s v="PAULO BERNARDINO DE SOUZA"/>
        <s v="JOSE AIRTON BEZERRA DE ANDRADE"/>
        <s v="CARLOS EDUARDO FERNANDES NUNES"/>
        <s v="GILCLEITON FERREIRA PAIXAO"/>
        <s v="LUIS MORAIS HOLANDA"/>
        <s v="MARIA SILVERLENE RODRIGUES LIMA"/>
        <s v="FRANCISCO ELDER COSTA"/>
        <s v="AGUINALDO GONZAGA DE LIRA"/>
        <s v="JOACIR ALMEIDA DA SILVA"/>
        <s v="WASHINGTON LUIZ DA COSTA"/>
        <s v="JOSE NAILSON GONCALVES DE SOUZA"/>
        <s v="JAILTON ALVES RIBEIRO"/>
        <s v="MOACIR PEREIRA LEITAO"/>
        <s v="FRANCISCO PIRES DA SILVA JUNIOR"/>
        <s v="JORGE GOMES DA SILVA"/>
        <s v="EDVALDO JOSE DA SILVA"/>
        <s v="MANUEL FABIO DA SILVA COSTA"/>
        <s v="ANDERSON DANTAS DA SILVA"/>
        <s v="IVAN PEREIRA DA SILVA JUNIOR"/>
        <s v="WILTON LAUREANO FERREIRA"/>
        <s v="ALYSON RAFAEL COSTA DA SILVA"/>
        <s v="JOAO BATISTA LIMA DO NASCIMENTO"/>
        <s v="ELIAS MORAIS DA SILVA"/>
        <s v="ALEXANDRE RODRIGUES DOS SANTOS"/>
        <s v="UENIO RIBEIRO DA SILVA JUNIOR"/>
        <s v="FRANCISCO ASTRONILDO DOS SANTOS"/>
        <s v="MIGUEL DA SILVA MENDES"/>
        <s v="ADAIAS DE SALES BASTOS FILHO"/>
        <s v="JOSE JAIRO MOURA VIANA"/>
        <s v="ROGERIO XAVIER DE SOUSA"/>
        <s v="ALEXSANDRO RODRIGUES DE VASCONCELOS"/>
        <s v="FRANCISCO CLAUDIO OLIVEIRA"/>
        <s v="GIVANILDO APIO DE MEIRELES LIMA"/>
        <s v="VALDINAR ANDRADE"/>
        <s v="FRANCISCO ALACARDENES GOMES DE LIMA"/>
        <s v="WILSON FERREIRA LIMA FILHO"/>
        <s v="FRANCISCO EMANUEL PEREIRA"/>
        <s v="CESAR FERNANDES DE SOUZA"/>
        <s v="PEDRO PAULO RODRIGUES DE VASCONCELOS"/>
        <s v="IVANILDO DA SILVA"/>
        <s v="VALDEMIR RAFAEL DA SILVA"/>
        <s v="ITALO BERENGUER PAZ"/>
        <s v="CASSIO JERONIMO OLIVEIRA GOMES"/>
        <s v="KELLISANDRY JOSE RAMOS DE QUEIROZ"/>
        <s v="TULIO BRASIL DA SILVA"/>
        <s v="GEAN CARLOS FERNANDES TEIXEIRA"/>
        <s v="ALMIR COSME DIAS"/>
        <s v="JOSSOANDSON KIRTON LOPES DE OLIVEIRA"/>
        <s v="REGIVALDO DOS SANTOS PAIVA"/>
        <s v="ESTERFANIO MARQUES DE SOUZA"/>
        <s v="GIOVANE PORTO PINHEIRO"/>
        <s v="ALTANIER MARTINS DA LUZ"/>
        <s v="JOSUE SANTANA DA SILVA"/>
        <s v="JANIO MENDES FEITOSA"/>
        <s v="EVALDO PEREIRA DUTRA"/>
        <s v="MISAEL MENDES DA SILVA"/>
        <s v="ALOISIO BATISTA DA SILVA FILHO"/>
        <s v="RICARDO SANTANA DA CRUZ"/>
        <s v="ANTONIO GILBERTO VIANA MOTA"/>
        <s v="JOSE MARCELO SOARES DA SILVA"/>
        <s v="JOSEILSON GONCALVES DA SILVA"/>
        <s v="RAIMUNDO ANTONIO DE OLIVEIRA"/>
        <s v="JOAO DA CRUZ ALVES"/>
        <s v="ROBERTO LOURENCO SANTANA"/>
        <s v="JURANDIR GONCALVES DA SILVA"/>
        <s v="ELINO ALVES COUTO"/>
        <s v="DAVID RODRIGUES DA SILVEIRA CORREA"/>
        <s v="JOSE CARLOS DOS SANTOS"/>
        <s v="EDENN FERNANDO DE BRITO ARAUJO CESAR"/>
        <s v="EDUARDO DE FREITAS MARTINS"/>
        <s v="PAULO SERGIO DA SILVA"/>
        <s v="JEAN DE SIQUEIRA MACIEL"/>
        <s v="JOSE DA SILVA LUIZ"/>
        <s v="DIOGENES FELIPE SILVA BRAGA"/>
        <s v="CARLOS JORGE DOS SANTOS"/>
        <s v="JULIANO COSTA"/>
        <s v="ALDENIR OLIVEIRA DOS SANTOS"/>
        <s v="VALDARNO ALVES DE SOUSA BRAUNA"/>
        <s v="KERGINALDO PEREIRA DA SILVA"/>
        <s v="THIAGO COSTA ROLIM"/>
        <s v="JOSE LEONILSON DO NASCIMENTO ARAUJO"/>
        <s v="ANTONIO ALBERTO FERNANDES DA SILVA"/>
        <s v="FERNANDO APARECIDO GOMES DE MORAES"/>
        <s v="FRANCIMAR FRANCISCO DE ARAUJO"/>
        <s v="RAFAEL COSTA DA SILVA"/>
        <s v="LUIZ AUGUSTO DE MELLO SANTANA"/>
        <s v="RAFAEL LOURO AVELINO"/>
        <s v="FABIO BORGES DOS SANTOS"/>
        <s v="JARDIEL ALVES DE ALMEIDA"/>
        <s v="JOSE RENATO LIMA DA SILVA"/>
        <s v="JAMES JANUARIO PINTO"/>
        <s v="JOSE REGINALDO DA SILVA FILHO"/>
        <s v="STENIO ALVES DE LIMA"/>
        <s v="GLEYSON NASCIMENTO BRANDAO"/>
        <s v="ALEXANDRE MARTINS GOIS DE CARVALHO"/>
        <s v="SAMUEL MATIAS NETO"/>
        <s v="MARCELO DE SOUSA FERREIRA"/>
        <s v="FERNANDO VIEIRA SOARES"/>
        <s v="PEDRO GERMANO LIMA SILVA"/>
        <s v="LUIS CLAUDIO DA SILVA"/>
        <s v="ALLAN PATRICK LEITE DE ARAUJO"/>
        <s v="LEANDRO FERREIRA RAMOS"/>
        <s v="FELIPE AZEVEDO CATAO"/>
        <s v="DANIEL ROCHA COSTA"/>
        <s v="WELLINGTON SIMPLICIO DA SILVA"/>
        <s v="FERNANDO MOURA DA SILVA"/>
        <s v="MARCOS DAVI PINHEIRO SERPA"/>
        <s v="FRANCISCO THIAGO DE MOURA DANTAS"/>
        <s v="BRUNO LUIZ FONSECA DA SILVA"/>
        <s v="JOAO HENRIQUE LOPES FEITOSA"/>
        <s v="WELLINGTON TEIXEIRA DOS SANTOS"/>
        <s v="SERAFIM JOSE VIEIRA SOUZA"/>
        <s v="BRUNO DE MOURA FERREIRA"/>
        <s v="LUIZ CARLOS DO NASCIMENTO"/>
        <s v="RONALDY VIEIRA DE SOUZA SILVA"/>
        <s v="SONERREGILSON DA SILVA MEDEIROS"/>
        <s v="GILBERTO PEDROZA DE LACERDA"/>
        <s v="ALYSON COLLARES ARAUJO"/>
        <s v="NELSON GERONIMO DE LIMA SILVA"/>
        <s v="FRANCISCO SILVA DE SOUSA JUNIOR"/>
        <s v="RAFAEL MOURA DOS SANTOS"/>
        <s v="ANTONIO FRANCISCO SILVA DIAS"/>
        <s v="ANTONIO GILENO FREIRE DOS SANTOS"/>
        <s v="JOAO JANDERSON NOGUEIRA DE LIMA"/>
        <s v="MARCIO ROBSON LUCIO COSTA"/>
        <s v="ANDRE LUIZ NASCIMENTO SILVA"/>
        <s v="CARLOS AMARO VALDEVINO DA SILVA" u="1"/>
        <s v="DEYVID CESAR LINS FERREIRA" u="1"/>
        <s v="MARCOS AURELIO SIMPLICIO DE LI Regional Pernambuco, PE, RM PE, Voz e Velox-PE RM PE, Recife, Leste PE, PE.RCE.LES.02" u="1"/>
        <s v="JOSE AILTON COSTA DIAS" u="1"/>
      </sharedItems>
    </cacheField>
    <cacheField name="ID_GESTOR_IMEDIATO" numFmtId="0">
      <sharedItems containsString="0" containsBlank="1" containsNumber="1" containsInteger="1" minValue="321454" maxValue="109506248"/>
    </cacheField>
    <cacheField name="GH_STATUS" numFmtId="0">
      <sharedItems containsBlank="1"/>
    </cacheField>
    <cacheField name="GH_DATA_SITUACAO" numFmtId="0">
      <sharedItems containsBlank="1"/>
    </cacheField>
    <cacheField name="UF" numFmtId="0">
      <sharedItems count="4">
        <s v="PE"/>
        <s v="CE"/>
        <s v="PB"/>
        <s v="RN"/>
      </sharedItems>
    </cacheField>
    <cacheField name="SETOR" numFmtId="0">
      <sharedItems count="73">
        <s v="PE.INT.CRU.01"/>
        <s v="CE.CMS.GCS.FTTH"/>
        <s v="CE.CMS.GCL.FTTH"/>
        <s v="CE.CMO.CNO.FTTH"/>
        <s v="CE.CMO.COO.FTTH"/>
        <s v="CE.JNE.JNE.FTTH"/>
        <s v="PE.INT.PTA.01"/>
        <s v="PE.RCE.LES.01"/>
        <s v="CE.CMS.GCL.02"/>
        <s v="CE.QXA.QXA.02"/>
        <s v="CE.CMO.COO.04"/>
        <s v="CE.JNE.IAU.01"/>
        <s v="CE.CMS.GCS.02"/>
        <s v="PE.RCE.PES.04"/>
        <s v="PE.INT.ACV.01"/>
        <s v="PB.JPA.JPA.05"/>
        <s v="PE.RCE.OES.06"/>
        <s v="CE.CMO.CNO.04"/>
        <s v="PE.RCE.NOR.04"/>
        <s v="CE.SOL.SOL.02"/>
        <s v="PB.JPA.CGE.01"/>
        <s v="PE.INT.GUS.01"/>
        <s v="RN.NTL.RNS.02"/>
        <s v="RN.NTL.RNS.01"/>
        <s v="RN.NTL.NTN.01"/>
        <s v="PE.RCE.PES.02"/>
        <s v="CE.SOL.SOL.01"/>
        <s v="RN.NTL.MRO.01"/>
        <s v="RN.NTL.NTS.03"/>
        <s v="RN.NTL.NTN.02"/>
        <s v="PE.RCE.OES.01"/>
        <s v="CE.JNE.JNE.01"/>
        <s v="CE.CMS.GCL.01"/>
        <s v="PB.JPA.CGE.03"/>
        <s v="PB.JPA.JPA.03"/>
        <s v="PE.RCE.NOR.01"/>
        <s v="CE.CMO.COO.06"/>
        <s v="PE.RCE.NOR.03"/>
        <s v="PE.INT.CAA.01"/>
        <s v="PE.RCE.OES.03"/>
        <s v="CE.QXA.QXA.01"/>
        <s v="CE.CMO.COO.05"/>
        <s v="PB.JPA.JPA.01"/>
        <s v="CE.QXA.QXA.03"/>
        <s v="PE.RCE.LES.04"/>
        <s v="RN.NTL.NTS.02"/>
        <s v="PE.INT.ACV.02"/>
        <s v="CE.CMS.GCS.04"/>
        <s v="CE.CMO.CNO.02"/>
        <s v="PE.RCE.OES.07"/>
        <s v="PE.INT.GUS.02"/>
        <s v="PE.RCE.NOR.FTTH"/>
        <s v="PE.RCE.LES.FTTH"/>
        <s v="PE.INT.CBO.01"/>
        <s v="PB.JPA.JPA.07"/>
        <s v="CE.CMS.GCS.01"/>
        <s v="PE.RCE.PES.01"/>
        <s v="CE.CMO.COO.03"/>
        <s v="CE.CMO.COO.01"/>
        <s v="PE.RCE.OES.02"/>
        <s v="PE.RCE.NOR.02"/>
        <s v="PB.JPA.POS.01"/>
        <s v="RN.NTL.NTN.03"/>
        <s v="PB.JPA.JPA.04"/>
        <s v="CE.CMO.CNO.01"/>
        <s v="PE.RCE.LES.05"/>
        <s v="RN.NTL.NTS.01"/>
        <s v="PE.RCE.NOR.05"/>
        <s v="PE.RCE.PES.03"/>
        <s v="CE.CMO.CNO.03"/>
        <s v="CE.CMS.GCS.05"/>
        <s v="PE.RCE.LES.06"/>
        <s v="PE.RCE.OES.04" u="1"/>
      </sharedItems>
    </cacheField>
    <cacheField name="SKILLS" numFmtId="0">
      <sharedItems count="47">
        <s v="FTTHCB, FTTHDG, FTTHINST, FTTHMIG, FTTHMUD, FTTHREP, FTTHRET, FTTHSRV"/>
        <s v="FTTHRET"/>
        <s v="CRTRCX, PREVCX"/>
        <s v="ADSLDG, ADSLINST, ADSLMUD, ADSLREP, ADSLRET, ADSLSRV, DTHRET, VAINST"/>
        <s v="ADSLDG, ADSLINST, ADSLMUD, ADSLREP, ADSLRET, ADSLSRV, CRFE, CRTRCX, DTHINST, DTHMUD, DTHREP, DTHRET, DTHSRV, LAINST, LAMUD, LAREP, LARET, LASRV, PREVCX, TPREP, VAINST"/>
        <s v="ADSLDG, ADSLINST, ADSLMUD, ADSLREP, ADSLRET, ADSLSRV, CRFE, CRTRCX, DTHRET, LAINST, LAMUD, LAREP, LARET, LASRV, PREVCX, TPREP, VAINST"/>
        <s v="TPHGN, TPINST, TPMUD, TPPREV, TPREP, TPRET, TPSRV"/>
        <s v="PREVARD, PREVCB, PREVCX, PREVLAT, PREVPROT"/>
        <s v="LACB, LACBPREV"/>
        <s v="CRFE, LAINST, LAMUD, LAREP, LARET, LASRV, TPREP"/>
        <s v="ADSLDG, ADSLINST, ADSLMUD, ADSLPREV, ADSLREP, ADSLRET, ADSLSRV, CRFE, LAINST, LAMUD, LAREP, LARET, LASRV, VAINST"/>
        <s v="CRFE"/>
        <s v="CRTRCX, LACB, LACBPREV, PREVCX"/>
        <s v="ADSLDG, ADSLRET, LARET, TPRET"/>
        <s v="ADSLDG, ADSLINST, ADSLMUD, ADSLREP, ADSLRET, ADSLSRV, CRFE, CRTRCX, LAINST, LAMUD, LAREP, LARET, LASRV, PREVCX, TPREP, VAINST"/>
        <s v="DTHINST, DTHMUD, DTHREP, DTHRET, DTHSRV"/>
        <s v="DTHINST, DTHMUD, DTHREP, DTHSRV"/>
        <s v="ADSLDG, ADSLINST, ADSLMUD, ADSLREP, ADSLRET, ADSLSRV, CRFE, LAINST, LAMUD, LAREP, LARET, LASRV, VAINST"/>
        <s v="FTTHCB, FTTHDG, FTTHINST, FTTHMIG, FTTHMUD, FTTHREP, FTTHSRV"/>
        <s v="DTHRET"/>
        <s v="CRFE, LAINST, LAMUD, LAREP, LARET, LASRV"/>
        <s v="ADSLDG, ADSLINST, ADSLMUD, ADSLPREV, ADSLREP, ADSLRET, ADSLSRV, CRFE, CRTRCX, DTHINST, DTHMUD, DTHREP, DTHRET, DTHSRV, LAINST, LAMUD, LAREP, LARET, LASRV, PREVCX, TPREP, VAINST"/>
        <s v="ADSLDG, ADSLINST, ADSLMUD, ADSLREP, ADSLRET, ADSLSRV, CRFE, CRTRCX, LACB, LAINST, LAMUD, LAREP, LARET, LASRV, PREVCX, TPREP, VAINST"/>
        <s v="ADSLDG, ADSLINST, ADSLMUD, ADSLREP, ADSLRET, ADSLSRV, DTHRET, TPREP, VAINST"/>
        <s v="CRTRCX, LAREP, PREVCX"/>
        <s v="CRTRCX, LACB, LACBPREV, LAREP, PREVCX"/>
        <s v="TPHGN, TPINST, TPMUD, TPPREV, TPPRV, TPREP, TPRET, TPSRV"/>
        <s v="CRFE, LAINST, LAMUD, LAREP, LARET, LASRV, VAINST"/>
        <s v="ADSLDG, ADSLINST, ADSLMUD, ADSLREP, ADSLRET, ADSLSRV, CRFE, LAINST, LAMUD, LAREP, LARET, LASRV, TPHGN, TPINST, TPMUD, TPPREV, TPPRV, TPREP, TPRET, TPSRV, VAINST"/>
        <s v="ADSLDG, ADSLINST, ADSLMUD, ADSLREP, ADSLRET, ADSLSRV, CRFE, LAINST, LAMUD, LAPREV, LAREP, LARET, LASRV, TPREP, VAINST"/>
        <s v="CLASSEADQPOSTE, CLASSECAEREO, CLASSECSUBT, CLASSEKIT3, CLASSEKIT4, CLASSELAEREO, CLASSELSUBT"/>
        <s v="ADSLINST, ADSLMUD, ADSLPREV, ADSLPRV, ADSLREP, ADSLRET, ADSLSRV, ADSLVSP"/>
        <s v="ADSLINST, ADSLMUD, ADSLPREV, ADSLPRV, ADSLREP, ADSLSRV, ADSLVSP, CRFE, LAINST, LAMUD, LAPREV, LAPRV, LAREP, LASRV, LAVSP, VAINST"/>
        <s v="ADSLDG, ADSLINST, ADSLMUD, ADSLPREV, ADSLREP, ADSLRET, ADSLSRV, CRFE, LAINST, LAMUD, LAREP, LARET, LASRV, PREVCX, VAINST"/>
        <s v="ADSLDG, ADSLINST, ADSLMUD, ADSLREP, ADSLRET, ADSLSRV, CRFE, LAINST, LAMUD, LAREP, LARET, LASRV, TPHGN, TPINST, TPPREV, TPREP, TPRET, TPSRV, VAINST"/>
        <s v="ADSLDG, ADSLINST, ADSLMUD, ADSLPREV, ADSLPRV, ADSLREP, ADSLRET, ADSLSRV, CRFE, LAINST, LAMUD, LAREP, LARET, LASRV, VAINST"/>
        <s v="ADSLDG, ADSLINST, ADSLMUD, ADSLPREV, ADSLREP, ADSLRET, ADSLSRV, CRFE, CRTRCX, DTHMUD, DTHRET, DTHSRV, LAINST, LAMUD, LAREP, LARET, LASRV, PREVCX, TPREP, VAINST" u="1"/>
        <s v="CRTRCX, PREVCX, TPHGN, TPINST, TPMUD, TPPREV, TPREP, TPRET, TPSRV" u="1"/>
        <s v="ADSLDG, ADSLINST, ADSLMUD, ADSLREP, ADSLRET, ADSLSRV, CRFE, CRTRCX, DTHRET, DTHSRV, LAINST, LAMUD, LAREP, LARET, LASRV, PREVCX, TPREP, VAINST" u="1"/>
        <s v="ADSLDG, ADSLINST, ADSLMUD, ADSLREP, ADSLRET, ADSLSRV, CRFE, FTTHCB, FTTHDG, FTTHINST, FTTHMIG, FTTHMUD, FTTHREP, FTTHRET, FTTHSRV, LAINST, LAMUD, LAREP, LARET, LASRV, VAINST" u="1"/>
        <s v="ADSLDG, ADSLINST, ADSLMUD, ADSLREP, ADSLRET, ADSLSRV, CRFE, CRTRCX, DTHINST, DTHMUD, DTHREP, DTHRET, DTHSRV, FTTHCB, FTTHDG, FTTHINST, FTTHMIG, FTTHMUD, FTTHREP, FTTHRET, FTTHSRV, LAINST, LAMUD, LAREP, LARET, LASRV, PREVCX, TPREP, VAINST" u="1"/>
        <s v="ADSLDG, ADSLINST, ADSLMUD, ADSLPREV, ADSLREP, ADSLRET, ADSLSRV, CRFE, CRTRCX, LAINST, LAMUD, LAREP, LARET, LASRV, PREVCX, TPREP, VAINST" u="1"/>
        <s v="ADSLDG, ADSLINST, ADSLMUD, ADSLPREV, ADSLREP, ADSLRET, ADSLSRV, CRFE, CRTRCX, LAINST, LAMUD, LAREP, LARET, LASRV, PREVCX, VAINST" u="1"/>
        <s v="ADSLDG, ADSLINST, ADSLMUD, ADSLREP, ADSLRET, ADSLSRV, CRFE, DTHINST, DTHMUD, DTHREP, DTHRET, DTHSRV, LAINST, LAMUD, LAREP, LARET, LASRV, TPHGN, TPINST, TPMUD, TPPREV, TPREP, TPRET, TPSRV, VAINST" u="1"/>
        <s v="FTTHRET, FTTHSRV" u="1"/>
        <s v="ADSLDG, ADSLINST, ADSLMUD, ADSLPREV, ADSLREP, ADSLRET, ADSLSRV, CRFE, DTHINST, DTHMUD, DTHREP, DTHRET, DTHSRV, LAINST, LAMUD, LAREP, LARET, LASRV, VAINST" u="1"/>
        <s v="ADSLDG, ADSLINST, ADSLMUD, ADSLREP, ADSLRET, ADSLSRV, CRFE, LAINST, LAMUD, LAREP, LARET, LASRV, TPREP, VAINST" u="1"/>
      </sharedItems>
    </cacheField>
    <cacheField name="GRA" numFmtId="0">
      <sharedItems count="25">
        <s v="Caruaru"/>
        <s v="Capital Sul Ceará"/>
        <s v="Capital Leste Ceará"/>
        <s v="Capital Norte Ceará"/>
        <s v="Capital Oeste Ceará"/>
        <s v="Juazeiro"/>
        <s v="Petrolina"/>
        <s v="Leste PE"/>
        <s v="Quixadá"/>
        <s v="Iguatu"/>
        <s v="Sul PE"/>
        <s v="Arcoverde"/>
        <s v="João Pessoa"/>
        <s v="Oeste PE"/>
        <s v="Norte PE"/>
        <s v="Sobral"/>
        <s v="Campina Grande"/>
        <s v="Garanhuns"/>
        <s v="Rio Grande do Norte Sul"/>
        <s v="Natal Norte"/>
        <s v="Mossoró"/>
        <s v="Natal Sul"/>
        <s v="Carpina"/>
        <s v="Cabo de Santo Agostinho"/>
        <s v="Patos"/>
      </sharedItems>
    </cacheField>
    <cacheField name="REGIONAL" numFmtId="0">
      <sharedItems/>
    </cacheField>
    <cacheField name="GRAM" numFmtId="0">
      <sharedItems/>
    </cacheField>
    <cacheField name="TIPO_DE_TECNICO" numFmtId="0">
      <sharedItems/>
    </cacheField>
    <cacheField name="TIPO" numFmtId="0">
      <sharedItems count="13">
        <s v="FTTH"/>
        <s v="CABO-PREV"/>
        <s v="VELOX"/>
        <s v="TRIPLE PLAY"/>
        <s v="MULTISKILL"/>
        <s v="TUP"/>
        <s v="CABO"/>
        <s v="FIXO"/>
        <s v="DG"/>
        <s v="DTH"/>
        <s v="N/A"/>
        <s v="FTTH COBRE" u="1"/>
        <s v="4P" u="1"/>
      </sharedItems>
    </cacheField>
    <cacheField name="FUNCAO_FOLHA" numFmtId="0">
      <sharedItems containsBlank="1"/>
    </cacheField>
    <cacheField name="SITUACAO_FOLHA" numFmtId="0">
      <sharedItems containsBlank="1"/>
    </cacheField>
    <cacheField name="SIGLA_GRA" numFmtId="0">
      <sharedItems/>
    </cacheField>
    <cacheField name="CPF" numFmtId="0">
      <sharedItems containsBlank="1"/>
    </cacheField>
    <cacheField name="DATA_ATUALIZACAO" numFmtId="0">
      <sharedItems/>
    </cacheField>
    <cacheField name="GESTOR_IMEDIATO_GA" numFmtId="0">
      <sharedItems containsBlank="1"/>
    </cacheField>
    <cacheField name="GESTOR_OPERACIONAL_GO" numFmtId="0">
      <sharedItems containsBlank="1"/>
    </cacheField>
    <cacheField name="GESTOR_GERAL_GG" numFmtId="0">
      <sharedItems containsBlank="1"/>
    </cacheField>
    <cacheField name="STATUS_CLICK" numFmtId="0">
      <sharedItems count="2">
        <s v="Ativo"/>
        <s v="Inativo"/>
      </sharedItems>
    </cacheField>
    <cacheField name="CONTATO_GA" numFmtId="0">
      <sharedItems count="100">
        <s v="81 988761744"/>
        <s v="85 989759996"/>
        <s v="85 987240517"/>
        <s v="85 989569382"/>
        <s v="85 988797528"/>
        <s v="88988141370"/>
        <s v="81988769914"/>
        <s v="81988769957"/>
        <s v="88988151307"/>
        <s v="88988346847"/>
        <s v="85987160328"/>
        <s v="81988668977"/>
        <s v="81988148192"/>
        <s v="85987160304"/>
        <s v="81988769411"/>
        <s v="83986458178"/>
        <s v="81987510155"/>
        <s v="85987160399"/>
        <s v="81988668914"/>
        <s v="88996006970 / 88988150526"/>
        <s v="83 98828 6015"/>
        <s v="81988761744"/>
        <s v="84 988319107"/>
        <s v="84 988075868"/>
        <s v="81984608135"/>
        <s v="83988324282"/>
        <s v="88988854203"/>
        <s v="84988960697"/>
        <s v="84 988960697"/>
        <s v="85986852311"/>
        <s v="84988973184"/>
        <s v="83987530423"/>
        <s v="85988799055"/>
        <s v="85988799018"/>
        <s v="81988716846"/>
        <s v="83988285101"/>
        <s v="81 98751 0155"/>
        <s v="81988786747"/>
        <s v="81988760567"/>
        <s v="85987662351"/>
        <s v="81988761719"/>
        <s v="81988769170"/>
        <s v="81988761734"/>
        <s v="83986542715"/>
        <s v="85987240536"/>
        <s v="81988769955"/>
        <s v="85987160442"/>
        <s v="81988769410"/>
        <s v="84 988973153"/>
        <s v="83 98828 5770"/>
        <s v="85987240517"/>
        <s v="84988560593"/>
        <s v="85987697333"/>
        <s v="85988797528"/>
        <s v="85989569382"/>
        <s v="81988716347"/>
        <s v="85987463698"/>
        <s v="81983843747"/>
        <s v="81988042188"/>
        <s v="81 98751-0155"/>
        <s v="85988799148"/>
        <s v="85989759996"/>
        <s v="85989442955"/>
        <s v="85987338316"/>
        <s v="81988784364"/>
        <s v="88988150526"/>
        <s v="83988250957"/>
        <s v="83988286007"/>
        <s v="84 98807 5868"/>
        <s v="83988286015"/>
        <s v="81988764480"/>
        <s v="81988635856"/>
        <s v="83 98815 9936"/>
        <s v="81988769775"/>
        <s v="84 98897 3153"/>
        <s v="85986366021"/>
        <s v="84988319107"/>
        <s v="81988765131"/>
        <s v="84387262034"/>
        <s v="85989684306"/>
        <s v="84988970930"/>
        <s v="85987783151"/>
        <s v="83988285770"/>
        <s v="81988761029"/>
        <s v="81983737632"/>
        <s v="81987420072"/>
        <s v="85 987160399"/>
        <s v="81988769616"/>
        <s v="85987781791"/>
        <s v="81988042181"/>
        <s v="88988150526 / 88996006970"/>
        <s v="85 98685 2311"/>
        <s v="81988784194"/>
        <s v="85987160359"/>
        <s v="88988141882 / 85987781791"/>
        <s v="83988285120"/>
        <s v="21123123"/>
        <s v="84 988560593"/>
        <s v="83988286091"/>
        <s v="85987463698 "/>
      </sharedItems>
    </cacheField>
    <cacheField name="PRODUTO" numFmtId="0">
      <sharedItems containsBlank="1" count="18">
        <s v="GERÊNCIA O&amp;M"/>
        <s v="HOME CONNECT"/>
        <s v="LA"/>
        <s v="MASSIVO"/>
        <s v="BANDA LARGA"/>
        <s v="FTTH IMPLANTAÇÃO"/>
        <s v="TUP"/>
        <s v="CABOS"/>
        <s v="OBRAS METÁLICO"/>
        <s v="DG"/>
        <s v="KIT 1"/>
        <s v="DTH"/>
        <s v="ESTRUTURANTE"/>
        <s v="KIT 2 e 4"/>
        <s v="SUPORTE OPERACIONAL"/>
        <s v="DADOS"/>
        <s v="OBRAS FIBRA"/>
        <m/>
      </sharedItems>
    </cacheField>
    <cacheField name="CARGO_AGRUPADO" numFmtId="0">
      <sharedItems containsBlank="1"/>
    </cacheField>
    <cacheField name="MAT_TR" numFmtId="0">
      <sharedItems count="1439">
        <s v="TR691192"/>
        <s v="TR691188"/>
        <s v="TR691341"/>
        <s v="TR691322"/>
        <s v="TR691353"/>
        <s v="TR691194"/>
        <s v="TR691347"/>
        <s v="TR691344"/>
        <s v="TR691328"/>
        <s v="TR691200"/>
        <s v="TR691208"/>
        <s v="TR691204"/>
        <s v="TR691190"/>
        <s v="TR691513"/>
        <s v="TR691189"/>
        <s v="TR691362"/>
        <s v="TR691196"/>
        <s v="TR691338"/>
        <s v="TR691321"/>
        <s v="TR691357"/>
        <s v="TR691351"/>
        <s v="TR691332"/>
        <s v="TR691179"/>
        <s v="TR359606"/>
        <s v="TR257425"/>
        <s v="TR305942"/>
        <s v="TC056588"/>
        <s v="TR691349"/>
        <s v="TR301713"/>
        <s v="TR691193"/>
        <s v="TR691323"/>
        <s v="TR691207"/>
        <s v="TR373331"/>
        <s v="TR327137"/>
        <s v="TR663268"/>
        <s v="TR252572"/>
        <s v="TR252305"/>
        <s v="TR686713"/>
        <s v="TR612288"/>
        <s v="TR257393"/>
        <s v="TR309200"/>
        <s v="TR577084"/>
        <s v="TR343598"/>
        <s v="TR484196"/>
        <s v="TR396896"/>
        <s v="TR259134"/>
        <s v="TR307996"/>
        <s v="TR499707"/>
        <s v="TR257496"/>
        <s v="TR256457"/>
        <s v="TR622002"/>
        <s v="TR567780"/>
        <s v="TR506271"/>
        <s v="TR431229"/>
        <s v="TR267580"/>
        <s v="TR256712"/>
        <s v="TR286128"/>
        <s v="TR555645"/>
        <s v="TR289756"/>
        <s v="TR681457"/>
        <s v="TR624791"/>
        <s v="TR610427"/>
        <s v="TR311732"/>
        <s v="TR559364"/>
        <s v="TR538309"/>
        <s v="TR531195"/>
        <s v="TR591885"/>
        <s v="TR331577"/>
        <s v="TR400452"/>
        <s v="TR565305"/>
        <s v="TR577085"/>
        <s v="TR631673"/>
        <s v="TR610156"/>
        <s v="TR658607"/>
        <s v="TC049733"/>
        <s v="TR657162"/>
        <s v="TR323426"/>
        <s v="TR435936"/>
        <s v="TR369507"/>
        <s v="TR572497"/>
        <s v="TR335145"/>
        <s v="TR311574"/>
        <s v="TR331106"/>
        <s v="TC049346"/>
        <s v="TR609726"/>
        <s v="TR554819"/>
        <s v="TR588061"/>
        <s v="TR680069"/>
        <s v="TR253742"/>
        <s v="TR662096"/>
        <s v="TR256218"/>
        <s v="TR258570"/>
        <s v="TR257433"/>
        <s v="TR610823"/>
        <s v="TR687509"/>
        <s v="TR662098"/>
        <s v="TR681481"/>
        <s v="TR522178"/>
        <s v="TR680173"/>
        <s v="TC058710"/>
        <s v="TR577979"/>
        <s v="TC014395"/>
        <s v="TR319805"/>
        <s v="TR319870"/>
        <s v="TR658612"/>
        <s v="TC015537"/>
        <s v="TR605441"/>
        <s v="TC049428"/>
        <s v="TR257121"/>
        <s v="TR411499"/>
        <s v="TR276808"/>
        <s v="TR431263"/>
        <s v="TR588056"/>
        <s v="TR663266"/>
        <s v="TR559439"/>
        <s v="TR663249"/>
        <s v="TR301497"/>
        <s v="TR680460"/>
        <s v="TR368642"/>
        <s v="TR403767"/>
        <s v="TR368031"/>
        <s v="TR390255"/>
        <s v="TR257335"/>
        <s v="TR317395"/>
        <s v="TR336054"/>
        <s v="TR343586"/>
        <s v="TC058203"/>
        <s v="TR622550"/>
        <s v="TR284263"/>
        <s v="TR514477"/>
        <s v="TR540580"/>
        <s v="TR362475"/>
        <s v="TR666182"/>
        <s v="TR680160"/>
        <s v="TR577486"/>
        <s v="TR530351"/>
        <s v="TR581559"/>
        <s v="TR367075"/>
        <s v="TR432804"/>
        <s v="TR401704"/>
        <s v="TR661724"/>
        <s v="TR687519"/>
        <s v="TR563096"/>
        <s v="TR400451"/>
        <s v="TR338976"/>
        <s v="TR610813"/>
        <s v="TR256705"/>
        <s v="TR559427"/>
        <s v="TC056470"/>
        <s v="TR563735"/>
        <s v="TR572499"/>
        <s v="TR256330"/>
        <s v="TR254068"/>
        <s v="TR575294"/>
        <s v="TR324242"/>
        <s v="TR330319"/>
        <s v="TR577477"/>
        <s v="TR681306"/>
        <s v="TR256280"/>
        <s v="TR591874"/>
        <s v="TR258837"/>
        <s v="TR320080"/>
        <s v="TR663310"/>
        <s v="TR666203"/>
        <s v="TR396787"/>
        <s v="TR257426"/>
        <s v="TR440684"/>
        <s v="TR256404"/>
        <s v="TR390270"/>
        <s v="TR681461"/>
        <s v="TR495189"/>
        <s v="TR610816"/>
        <s v="TR570511"/>
        <s v="TR603827"/>
        <s v="TR256667"/>
        <s v="TR680474"/>
        <s v="TR256530"/>
        <s v="TR363302"/>
        <s v="TR416350"/>
        <s v="TR521967"/>
        <s v="TR663256"/>
        <s v="TR560805"/>
        <s v="TR520098"/>
        <s v="TR256695"/>
        <s v="TR310881"/>
        <s v="TR391762"/>
        <s v="TR578451"/>
        <s v="TR691358"/>
        <s v="TR691186"/>
        <s v="TR691330"/>
        <s v="TR691184"/>
        <s v="TR691346"/>
        <s v="TR691359"/>
        <s v="TR691205"/>
        <s v="TR258528"/>
        <s v="TR258871"/>
        <s v="TR403258"/>
        <s v="TR337483"/>
        <s v="TR559435"/>
        <s v="TR256715"/>
        <s v="TR256327"/>
        <s v="TR663297"/>
        <s v="TR252343"/>
        <s v="TR389732"/>
        <s v="TR253834"/>
        <s v="TR257233"/>
        <s v="TR308917"/>
        <s v="TR253250"/>
        <s v="TR325175"/>
        <s v="TR578448"/>
        <s v="TR666186"/>
        <s v="TR302466"/>
        <s v="TR605448"/>
        <s v="TR402477"/>
        <s v="TR601116"/>
        <s v="TR532830"/>
        <s v="TR252879"/>
        <s v="TR535789"/>
        <s v="TR577497"/>
        <s v="TR577473"/>
        <s v="TR443887"/>
        <s v="TR258937"/>
        <s v="TR688876"/>
        <s v="TR612311"/>
        <s v="TR341781"/>
        <s v="TR681879"/>
        <s v="TR280765"/>
        <s v="TR363942"/>
        <s v="TR640885"/>
        <s v="TR601107"/>
        <s v="TR355540"/>
        <s v="TR330664"/>
        <s v="TR368645"/>
        <s v="TR622007"/>
        <s v="TR632924"/>
        <s v="TR688879"/>
        <s v="TR312401"/>
        <s v="TR544420"/>
        <s v="TR344022"/>
        <s v="TR401492"/>
        <s v="TR636508"/>
        <s v="TR686722"/>
        <s v="TR644478"/>
        <s v="TR343654"/>
        <s v="TC049795"/>
        <s v="TR328213"/>
        <s v="TR563702"/>
        <s v="TR257310"/>
        <s v="TR330926"/>
        <s v="TR315846"/>
        <s v="TR559412"/>
        <s v="TR366478"/>
        <s v="TR535801"/>
        <s v="TR594243"/>
        <s v="TR329485"/>
        <s v="TR317164"/>
        <s v="TR572074"/>
        <s v="TR610810"/>
        <s v="TR642490"/>
        <s v="TR256302"/>
        <s v="TR609511"/>
        <s v="TC024791"/>
        <s v="TR317103"/>
        <s v="TR594278"/>
        <s v="TC047699"/>
        <s v="TR680465"/>
        <s v="TR568037"/>
        <s v="TR299057"/>
        <s v="TR513211"/>
        <s v="TR572070"/>
        <s v="TR313401"/>
        <s v="TR254591"/>
        <s v="TR577459"/>
        <s v="TR256795"/>
        <s v="TC001830"/>
        <s v="TR284205"/>
        <s v="TR332000"/>
        <s v="TR641067"/>
        <s v="TR467324"/>
        <s v="TR286152"/>
        <s v="TR610415"/>
        <s v="TR264016"/>
        <s v="TR260059"/>
        <s v="TR594181"/>
        <s v="TR623645"/>
        <s v="TR319780"/>
        <s v="TR312475"/>
        <s v="TR533688"/>
        <s v="TR543332"/>
        <s v="TR254118"/>
        <s v="TR366310"/>
        <s v="TR368252"/>
        <s v="TR360349"/>
        <s v="TR590157"/>
        <s v="TR360380"/>
        <s v="TR432792"/>
        <s v="TR594272"/>
        <s v="TR610926"/>
        <s v="TR623644"/>
        <s v="TR256254"/>
        <s v="TR574130"/>
        <s v="TR289754"/>
        <s v="TR567779"/>
        <s v="TR469577"/>
        <s v="TR625047"/>
        <s v="TR551250"/>
        <s v="TR527866"/>
        <s v="TR346479"/>
        <s v="TR288892"/>
        <s v="TR253481"/>
        <s v="TR330307"/>
        <s v="TR340991"/>
        <s v="TR374048"/>
        <s v="TR666202"/>
        <s v="TR396825"/>
        <s v="TR279870"/>
        <s v="TR267752"/>
        <s v="TR603809"/>
        <s v="TR612304"/>
        <s v="TR587611"/>
        <s v="TR687508"/>
        <s v="TR338877"/>
        <s v="TR431264"/>
        <s v="TR644479"/>
        <s v="TR591875"/>
        <s v="TR258942"/>
        <s v="TR360379"/>
        <s v="TR257252"/>
        <s v="TR369699"/>
        <s v="TR577503"/>
        <s v="TR544475"/>
        <s v="TR337252"/>
        <s v="TC010561"/>
        <s v="TR285407"/>
        <s v="TR599831"/>
        <s v="TR284538"/>
        <s v="TR507948"/>
        <s v="TR305191"/>
        <s v="TR482818"/>
        <s v="TR680154"/>
        <s v="TR360143"/>
        <s v="TR669174"/>
        <s v="TR609520"/>
        <s v="TR386931"/>
        <s v="TR687517"/>
        <s v="TR317208"/>
        <s v="TC027325"/>
        <s v="TR522068"/>
        <s v="TC059361"/>
        <s v="TR575696"/>
        <s v="TR610811"/>
        <s v="TR457061"/>
        <s v="TR657140"/>
        <s v="TR316941"/>
        <s v="TR572418"/>
        <s v="TR556870"/>
        <s v="TR591852"/>
        <s v="TR434709"/>
        <s v="TR368019"/>
        <s v="TR666198"/>
        <s v="TR253685"/>
        <s v="TR438160"/>
        <s v="TR332422"/>
        <s v="TR603804"/>
        <s v="TR605443"/>
        <s v="TR254046"/>
        <s v="TR680478"/>
        <s v="TR590107"/>
        <s v="TR321344"/>
        <s v="TR312707"/>
        <s v="TR520101"/>
        <s v="TR441666"/>
        <s v="TR296661"/>
        <s v="TR513746"/>
        <s v="TR681472"/>
        <s v="TR657136"/>
        <s v="TR619382"/>
        <s v="TR666480"/>
        <s v="TR658603"/>
        <s v="TR566732"/>
        <s v="TR317046"/>
        <s v="TR254056"/>
        <s v="TR256827"/>
        <s v="TR646430"/>
        <s v="TR256563"/>
        <s v="TR330317"/>
        <s v="TR666476"/>
        <s v="TR323105"/>
        <s v="TR253599"/>
        <s v="TR621325"/>
        <s v="TR320146"/>
        <s v="TC005996"/>
        <s v="TR366226"/>
        <s v="TR609517"/>
        <s v="TR280555"/>
        <s v="TR572485"/>
        <s v="TR681458"/>
        <s v="TR369115"/>
        <s v="TR317307"/>
        <s v="TC048378"/>
        <s v="TR346470"/>
        <s v="TR258722"/>
        <s v="TR331657"/>
        <s v="TR567420"/>
        <s v="TR591886"/>
        <s v="TR666185"/>
        <s v="TR639220"/>
        <s v="TR256598"/>
        <s v="TR257385"/>
        <s v="TR644480"/>
        <s v="TR615534"/>
        <s v="TR252843"/>
        <s v="TR622575"/>
        <s v="TR332690"/>
        <s v="TR610180"/>
        <s v="TR326886"/>
        <s v="TR253582"/>
        <s v="TR663311"/>
        <s v="TR610942"/>
        <s v="TR686707"/>
        <s v="TR658604"/>
        <s v="TR333291"/>
        <s v="TC058208"/>
        <s v="TR253622"/>
        <s v="TR520541"/>
        <s v="TR258967"/>
        <s v="TR304743"/>
        <s v="TR522139"/>
        <s v="TR253670"/>
        <s v="TR257119"/>
        <s v="TR554815"/>
        <s v="TR510013"/>
        <s v="TR254071"/>
        <s v="TR257362"/>
        <s v="TR253965"/>
        <s v="TR317076"/>
        <s v="TR262992"/>
        <s v="TR360382"/>
        <s v="TR557471"/>
        <s v="TR575704"/>
        <s v="TR256814"/>
        <s v="TR610404"/>
        <s v="TR288804"/>
        <s v="TR295095"/>
        <s v="TR258881"/>
        <s v="TR286851"/>
        <s v="TR346448"/>
        <s v="TR338978"/>
        <s v="TC050625"/>
        <s v="TR590425"/>
        <s v="TR681465"/>
        <s v="TR443585"/>
        <s v="TR477380"/>
        <s v="TR610954"/>
        <s v="TR360144"/>
        <s v="TR304527"/>
        <s v="TR257230"/>
        <s v="TR258831"/>
        <s v="TR360445"/>
        <s v="TR666200"/>
        <s v="TR355539"/>
        <s v="TR384036"/>
        <s v="TR645683"/>
        <s v="TR370483"/>
        <s v="TR597771"/>
        <s v="TR680162"/>
        <s v="TR334832"/>
        <s v="TC055785"/>
        <s v="TR252655"/>
        <s v="TR294680"/>
        <s v="TR534829"/>
        <s v="TR641707"/>
        <s v="TC030150"/>
        <s v="TR680471"/>
        <s v="TR680171"/>
        <s v="TR295511"/>
        <s v="TR346098"/>
        <s v="TR624794"/>
        <s v="TR571187"/>
        <s v="TR259124"/>
        <s v="TR256699"/>
        <s v="TR256781"/>
        <s v="TC056957"/>
        <s v="TR625046"/>
        <s v="TC014113"/>
        <s v="TR610436"/>
        <s v="TR309914"/>
        <s v="TR575676"/>
        <s v="TR368651"/>
        <s v="TR396971"/>
        <s v="TR285308"/>
        <s v="TR374074"/>
        <s v="TR368635"/>
        <s v="TR256197"/>
        <s v="TR591872"/>
        <s v="TR612343"/>
        <s v="TR610935"/>
        <s v="TR681454"/>
        <s v="TR363938"/>
        <s v="TR687510"/>
        <s v="TR605451"/>
        <s v="TR437167"/>
        <s v="TR624789"/>
        <s v="TR589298"/>
        <s v="TR361845"/>
        <s v="TR622549"/>
        <s v="TR687516"/>
        <s v="TR686715"/>
        <s v="TR599826"/>
        <s v="TR305828"/>
        <s v="TR571778"/>
        <s v="TR615505"/>
        <s v="TR663309"/>
        <s v="TR663235"/>
        <s v="TR641062"/>
        <s v="TR661592"/>
        <s v="TR544412"/>
        <s v="TR680461"/>
        <s v="TC052090"/>
        <s v="TR609454"/>
        <s v="TR567782"/>
        <s v="TR622258"/>
        <s v="TR605444"/>
        <s v="TR364017"/>
        <s v="TR598486"/>
        <s v="TR658619"/>
        <s v="TR344569"/>
        <s v="TR331105"/>
        <s v="TR680472"/>
        <s v="TR663248"/>
        <s v="TR624785"/>
        <s v="TR333606"/>
        <s v="TR610208"/>
        <s v="TR639069"/>
        <s v="TR256776"/>
        <s v="TR507844"/>
        <s v="TR285216"/>
        <s v="TR615540"/>
        <s v="TR386939"/>
        <s v="TR537985"/>
        <s v="TR641101"/>
        <s v="TR680468"/>
        <s v="TR623708"/>
        <s v="TR666195"/>
        <s v="TR331989"/>
        <s v="TR610406"/>
        <s v="TR368024"/>
        <s v="TR577088"/>
        <s v="TR551864"/>
        <s v="TR664331"/>
        <s v="TR320794"/>
        <s v="TR657142"/>
        <s v="TR594240"/>
        <s v="TR445830"/>
        <s v="TR527023"/>
        <s v="TR571189"/>
        <s v="TR631672"/>
        <s v="TR528509"/>
        <s v="TR589294"/>
        <s v="TR681464"/>
        <s v="TR575679"/>
        <s v="TR571776"/>
        <s v="TR253960"/>
        <s v="TR663237"/>
        <s v="TR549988"/>
        <s v="TR610432"/>
        <s v="TR610930"/>
        <s v="TR527030"/>
        <s v="TR540127"/>
        <s v="TR597777"/>
        <s v="TR327506"/>
        <s v="TR612330"/>
        <s v="TR662276"/>
        <s v="TR527042"/>
        <s v="TR590105"/>
        <s v="TR565993"/>
        <s v="TR669173"/>
        <s v="TR638493"/>
        <s v="TR308920"/>
        <s v="TR437221"/>
        <s v="TR534821"/>
        <s v="TR612321"/>
        <s v="TR340993"/>
        <s v="TR312627"/>
        <s v="TR666223"/>
        <s v="TR610939"/>
        <s v="TR666187"/>
        <s v="TR441779"/>
        <s v="TR619357"/>
        <s v="TR565325"/>
        <s v="TR609457"/>
        <s v="TR384039"/>
        <s v="TR540117"/>
        <s v="TR562226"/>
        <s v="TR610820"/>
        <s v="TR502577"/>
        <s v="TR661591"/>
        <s v="TR331098"/>
        <s v="TR357838"/>
        <s v="TR609523"/>
        <s v="TR338979"/>
        <s v="TR610956"/>
        <s v="TR605430"/>
        <s v="TR334642"/>
        <s v="TR443584"/>
        <s v="TR555245"/>
        <s v="TR666181"/>
        <s v="TR441665"/>
        <s v="TR544413"/>
        <s v="TR252235"/>
        <s v="TR618815"/>
        <s v="TR610412"/>
        <s v="TR594184"/>
        <s v="TR555915"/>
        <s v="TR612338"/>
        <s v="TR594183"/>
        <s v="TR370500"/>
        <s v="TR337410"/>
        <s v="TR364826"/>
        <s v="TR323176"/>
        <s v="TR522069"/>
        <s v="TR369504"/>
        <s v="TR536456"/>
        <s v="TR360174"/>
        <s v="TR666508"/>
        <s v="TR575111"/>
        <s v="TR377268"/>
        <s v="TR336708"/>
        <s v="TR546069"/>
        <s v="TR623631"/>
        <s v="TR434710"/>
        <s v="TR559239"/>
        <s v="TC050614"/>
        <s v="TR663244"/>
        <s v="TR644484"/>
        <s v="TR513993"/>
        <s v="TR389184"/>
        <s v="TR441802"/>
        <s v="TR646614"/>
        <s v="TR594908"/>
        <s v="TR565321"/>
        <s v="TR355541"/>
        <s v="TR388394"/>
        <s v="TR623612"/>
        <s v="TR357840"/>
        <s v="TR575114"/>
        <s v="TR603694"/>
        <s v="TR525947"/>
        <s v="TR612332"/>
        <s v="TR338177"/>
        <s v="TR533705"/>
        <s v="TR565991"/>
        <s v="TR513210"/>
        <s v="TR520107"/>
        <s v="TR466621"/>
        <s v="TR544418"/>
        <s v="TR588055"/>
        <s v="TR544471"/>
        <s v="TR377265"/>
        <s v="TR570467"/>
        <s v="TR575684"/>
        <s v="TR333595"/>
        <s v="TR574128"/>
        <s v="TR533693"/>
        <s v="TR335678"/>
        <s v="TR624176"/>
        <s v="TR373332"/>
        <s v="TR624790"/>
        <s v="TR575113"/>
        <s v="TR451999"/>
        <s v="TR252631"/>
        <s v="TR680469"/>
        <s v="TR527011"/>
        <s v="TR368023"/>
        <s v="TR452002"/>
        <s v="TR666199"/>
        <s v="TR610181"/>
        <s v="TR428388"/>
        <s v="TR588054"/>
        <s v="TR645686"/>
        <s v="TR436729"/>
        <s v="TR518929"/>
        <s v="TR589304"/>
        <s v="TR638495"/>
        <s v="TR526330"/>
        <s v="TR612329"/>
        <s v="TR565318"/>
        <s v="TR364515"/>
        <s v="TR653181"/>
        <s v="TR380364"/>
        <s v="TR657164"/>
        <s v="TR615532"/>
        <s v="TR644482"/>
        <s v="TR256515"/>
        <s v="TR253976"/>
        <s v="TR644492"/>
        <s v="TR566006"/>
        <s v="TR257248"/>
        <s v="TR355888"/>
        <s v="TR317054"/>
        <s v="TR328204"/>
        <s v="TR253687"/>
        <s v="TR604427"/>
        <s v="TR593940"/>
        <s v="TR634560"/>
        <s v="TR257052"/>
        <s v="TC027346"/>
        <s v="TR287143"/>
        <s v="TR253556"/>
        <s v="TR252320"/>
        <s v="TR303166"/>
        <s v="TR663267"/>
        <s v="TR610957"/>
        <s v="TR544472"/>
        <s v="TR404414"/>
        <s v="TR555241"/>
        <s v="TR404422"/>
        <s v="TR610932"/>
        <s v="TR517979"/>
        <s v="TR612280"/>
        <s v="TR314912"/>
        <s v="TR252800"/>
        <s v="TR589295"/>
        <s v="TR252803"/>
        <s v="TR330330"/>
        <s v="TR658624"/>
        <s v="TR460629"/>
        <s v="TR544415"/>
        <s v="TR610945"/>
        <s v="TR610940"/>
        <s v="TR644485"/>
        <s v="TR580225"/>
        <s v="TR252345"/>
        <s v="TR258713"/>
        <s v="TR252473"/>
        <s v="TR565353"/>
        <s v="TR565319"/>
        <s v="TR253725"/>
        <s v="TR284231"/>
        <s v="TR258716"/>
        <s v="TR256536"/>
        <s v="TR252871"/>
        <s v="TR292234"/>
        <s v="TR257053"/>
        <s v="TR610967"/>
        <s v="TR688898"/>
        <s v="TR256693"/>
        <s v="TR254050"/>
        <s v="TR328870"/>
        <s v="TR666190"/>
        <s v="TR597773"/>
        <s v="TR257424"/>
        <s v="TR306184"/>
        <s v="TR256464"/>
        <s v="TR253022"/>
        <s v="TR317363"/>
        <s v="TR260961"/>
        <s v="TR304134"/>
        <s v="TR597775"/>
        <s v="TR356930"/>
        <s v="TR256697"/>
        <s v="TR258890"/>
        <s v="TR374047"/>
        <s v="TR513213"/>
        <s v="TR336959"/>
        <s v="TR534407"/>
        <s v="TR623641"/>
        <s v="TR540605"/>
        <s v="TC044653"/>
        <s v="TR610157"/>
        <s v="TR257438"/>
        <s v="TR295083"/>
        <s v="TR360147"/>
        <s v="TR401578"/>
        <s v="TR336978"/>
        <s v="TR670514"/>
        <s v="TR317366"/>
        <s v="TR605447"/>
        <s v="TR341782"/>
        <s v="TR327496"/>
        <s v="TR610951"/>
        <s v="TR331003"/>
        <s v="TR388433"/>
        <s v="TR366479"/>
        <s v="TR330328"/>
        <s v="TR253114"/>
        <s v="TR520103"/>
        <s v="TR528896"/>
        <s v="TR441664"/>
        <s v="TR252311"/>
        <s v="TR610946"/>
        <s v="TR338866"/>
        <s v="TR254039"/>
        <s v="TC050147"/>
        <s v="TR252781"/>
        <s v="TR252862"/>
        <s v="TR311961"/>
        <s v="TR609451"/>
        <s v="TR256812"/>
        <s v="TR317080"/>
        <s v="TR258479"/>
        <s v="TR256523"/>
        <s v="TR559459"/>
        <s v="TR604434"/>
        <s v="TR435762"/>
        <s v="TR610401"/>
        <s v="TR325309"/>
        <s v="TR612301"/>
        <s v="TR680148"/>
        <s v="TR256685"/>
        <s v="TR328212"/>
        <s v="TR317104"/>
        <s v="TR254034"/>
        <s v="TR257054"/>
        <s v="TR252192"/>
        <s v="TR252493"/>
        <s v="TR252419"/>
        <s v="TR253668"/>
        <s v="TR354110"/>
        <s v="TR657153"/>
        <s v="TC019952"/>
        <s v="TR312833"/>
        <s v="TC057823"/>
        <s v="TR385957"/>
        <s v="TR253961"/>
        <s v="TR253457"/>
        <s v="TR411498"/>
        <s v="TR425461"/>
        <s v="TR285739"/>
        <s v="TR310961"/>
        <s v="TR364006"/>
        <s v="TR327584"/>
        <s v="TC055994"/>
        <s v="TR590429"/>
        <s v="TR343526"/>
        <s v="TR360424"/>
        <s v="TR603796"/>
        <s v="TR680093"/>
        <s v="TR666504"/>
        <s v="TR306352"/>
        <s v="TR445546"/>
        <s v="TR680151"/>
        <s v="TR603812"/>
        <s v="TR688885"/>
        <s v="TR623675"/>
        <s v="TR623673"/>
        <s v="TR357071"/>
        <s v="TR623660"/>
        <s v="TR559424"/>
        <s v="TR263779"/>
        <s v="TR666484"/>
        <s v="TR253074"/>
        <s v="TR612289"/>
        <s v="TR403777"/>
        <s v="TR577476"/>
        <s v="TC025459"/>
        <s v="TR580327"/>
        <s v="TC053017"/>
        <s v="TR603816"/>
        <s v="TR331127"/>
        <s v="TR252824"/>
        <s v="TR577478"/>
        <s v="TR284163"/>
        <s v="TR314112"/>
        <s v="TR396777"/>
        <s v="TR526980"/>
        <s v="TR432774"/>
        <s v="TR610424"/>
        <s v="TR360187"/>
        <s v="TR317168"/>
        <s v="TR311842"/>
        <s v="TR653186"/>
        <s v="TR613638"/>
        <s v="TR438445"/>
        <s v="TR657134"/>
        <s v="TR518456"/>
        <s v="TR259879"/>
        <s v="TR605446"/>
        <s v="TR260061"/>
        <s v="TR663253"/>
        <s v="TR612299"/>
        <s v="TR680467"/>
        <s v="TR335233"/>
        <s v="TR343626"/>
        <s v="TR384031"/>
        <s v="TR518927"/>
        <s v="TR588057"/>
        <s v="TR330975"/>
        <s v="TR666472"/>
        <s v="TR610965"/>
        <s v="TC011148"/>
        <s v="TR331830"/>
        <s v="TR377203"/>
        <s v="TR588065"/>
        <s v="TR361846"/>
        <s v="TR615533"/>
        <s v="TR681455"/>
        <s v="TR681462"/>
        <s v="TR256752"/>
        <s v="TR435183"/>
        <s v="TR663246"/>
        <s v="TR323190"/>
        <s v="TR559421"/>
        <s v="TR323544"/>
        <s v="TR331987"/>
        <s v="TR680065"/>
        <s v="TR565363"/>
        <s v="TR657669"/>
        <s v="TR668379"/>
        <s v="TR527869"/>
        <s v="TR400277"/>
        <s v="TR257435"/>
        <s v="TR377183"/>
        <s v="TR655777"/>
        <s v="TR258608"/>
        <s v="TR688884"/>
        <s v="TR455590"/>
        <s v="TR575688"/>
        <s v="TR578452"/>
        <s v="TR610953"/>
        <s v="TR559449"/>
        <s v="TR577484"/>
        <s v="TR302867"/>
        <s v="TR680091"/>
        <s v="TR590426"/>
        <s v="TR328360"/>
        <s v="TR466332"/>
        <s v="TR563754"/>
        <s v="TR467273"/>
        <s v="TR655792"/>
        <s v="TR681886"/>
        <s v="TC050542"/>
        <s v="TR610948"/>
        <s v="TR612344"/>
        <s v="TR548156"/>
        <s v="TR259882"/>
        <s v="TR591873"/>
        <s v="TR363940"/>
        <s v="TR257238"/>
        <s v="TR612279"/>
        <s v="TR612313"/>
        <s v="TR680466"/>
        <s v="TR544407"/>
        <s v="TR365349"/>
        <s v="TR304740"/>
        <s v="TR355904"/>
        <s v="TR572673"/>
        <s v="TR610176"/>
        <s v="TR317392"/>
        <s v="TR253592"/>
        <s v="TR253156"/>
        <s v="TR320218"/>
        <s v="TR257150"/>
        <s v="TR315026"/>
        <s v="TR591871"/>
        <s v="TR575116"/>
        <s v="TR287215"/>
        <s v="TR632929"/>
        <s v="TR499703"/>
        <s v="TR610421"/>
        <s v="TR261876"/>
        <s v="TR612309"/>
        <s v="TR576542"/>
        <s v="TR257226"/>
        <s v="TR257389"/>
        <s v="TR304729"/>
        <s v="TR314111"/>
        <s v="TR291362"/>
        <s v="TR666481"/>
        <s v="TR364802"/>
        <s v="TR254705"/>
        <s v="TC038731"/>
        <s v="TR252318"/>
        <s v="TR286151"/>
        <s v="TR570532"/>
        <s v="TR663261"/>
        <s v="TR256771"/>
        <s v="TR284249"/>
        <s v="TR256263"/>
        <s v="TR347075"/>
        <s v="TR309570"/>
        <s v="TR355902"/>
        <s v="TR572073"/>
        <s v="TR680085"/>
        <s v="TR360173"/>
        <s v="TR537986"/>
        <s v="TR256839"/>
        <s v="TR328458"/>
        <s v="TR619380"/>
        <s v="TR594255"/>
        <s v="TR258839"/>
        <s v="TR319804"/>
        <s v="TR253593"/>
        <s v="TR320042"/>
        <s v="TR572498"/>
        <s v="TR256299"/>
        <s v="TR343581"/>
        <s v="TR491702"/>
        <s v="TR304612"/>
        <s v="TR536984"/>
        <s v="TR258819"/>
        <s v="TR257031"/>
        <s v="TR254012"/>
        <s v="TR680156"/>
        <s v="TR258935"/>
        <s v="TR369703"/>
        <s v="TR252835"/>
        <s v="TR610962"/>
        <s v="TR610420"/>
        <s v="TR551867"/>
        <s v="TR368249"/>
        <s v="TR308169"/>
        <s v="TR653179"/>
        <s v="TR368854"/>
        <s v="TR638494"/>
        <s v="TR436862"/>
        <s v="TR384030"/>
        <s v="TR360140"/>
        <s v="TC052182"/>
        <s v="TR560796"/>
        <s v="TR619383"/>
        <s v="TR563092"/>
        <s v="TC047216"/>
        <s v="TR252232"/>
        <s v="TR252874"/>
        <s v="TR641069"/>
        <s v="TR432812"/>
        <s v="TR657133"/>
        <s v="TR612292"/>
        <s v="TR529651"/>
        <s v="TR686716"/>
        <s v="TR284180"/>
        <s v="TR256420"/>
        <s v="TR256547"/>
        <s v="TR284462"/>
        <s v="TR302432"/>
        <s v="TR257241"/>
        <s v="TR264089"/>
        <s v="TC015491"/>
        <s v="TR382363"/>
        <s v="TC048405"/>
        <s v="TR605442"/>
        <s v="TR612298"/>
        <s v="TR566004"/>
        <s v="TC050776"/>
        <s v="TR322616"/>
        <s v="TR360479"/>
        <s v="TR368021"/>
        <s v="TR317202"/>
        <s v="TC017173"/>
        <s v="TR366106"/>
        <s v="TR680067"/>
        <s v="TR330882"/>
        <s v="TR559419"/>
        <s v="TC051410"/>
        <s v="TR610938"/>
        <s v="TR317155"/>
        <s v="TR256675"/>
        <s v="TR603805"/>
        <s v="TR610426"/>
        <s v="TR680063"/>
        <s v="TR343585"/>
        <s v="TR330984"/>
        <s v="TR513270"/>
        <s v="TR317289"/>
        <s v="TR362219"/>
        <s v="TR254009"/>
        <s v="TR386937"/>
        <s v="TR513265"/>
        <s v="TR518956"/>
        <s v="TR520827"/>
        <s v="TC010583"/>
        <s v="TR253619"/>
        <s v="TR610179"/>
        <s v="TR542747"/>
        <s v="TR644486"/>
        <s v="TR292227"/>
        <s v="TR520815"/>
        <s v="TR520822"/>
        <s v="TR520828"/>
        <s v="TR520823"/>
        <s v="TR526823"/>
        <s v="TR252635"/>
        <s v="TR316818"/>
        <s v="TR252705"/>
        <s v="TR326209"/>
        <s v="TR256815"/>
        <s v="TR256657"/>
        <s v="TC009860"/>
        <s v="TR319247"/>
        <s v="TR300908"/>
        <s v="TR319895"/>
        <s v="TR255187"/>
        <s v="TC008889"/>
        <s v="TR253036"/>
        <s v="TR254371"/>
        <s v="TR287919"/>
        <s v="TR252817"/>
        <s v="TR290094"/>
        <s v="TR317036"/>
        <s v="TR252225"/>
        <s v="TR252444"/>
        <s v="TR284477"/>
        <s v="TR252300"/>
        <s v="TR254017"/>
        <s v="TR324103"/>
        <s v="TR609460"/>
        <s v="TR253032"/>
        <s v="TR666482"/>
        <s v="TR404421"/>
        <s v="TR577985"/>
        <s v="TR254716"/>
        <s v="TR260902"/>
        <s v="TR257434"/>
        <s v="TR257027"/>
        <s v="TR254369"/>
        <s v="TR262930"/>
        <s v="TR257251"/>
        <s v="TR666477"/>
        <s v="TC055427"/>
        <s v="TR344120"/>
        <s v="TR284156"/>
        <s v="TR252397"/>
        <s v="TR277951"/>
        <s v="TR525294"/>
        <s v="TC004595"/>
        <s v="TR253740"/>
        <s v="TR572482"/>
        <s v="TR257220"/>
        <s v="TR623646"/>
        <s v="TR253977"/>
        <s v="TR355894"/>
        <s v="TR302149"/>
        <s v="TR286153"/>
        <s v="TR256818"/>
        <s v="TR284184"/>
        <s v="TR259699"/>
        <s v="TC016870"/>
        <s v="TR610815"/>
        <s v="TR317029"/>
        <s v="TR252707"/>
        <s v="TR252233"/>
        <s v="TR401705"/>
        <s v="TR257032"/>
        <s v="TR291869"/>
        <s v="TC051414"/>
        <s v="TR401707"/>
        <s v="TR344200"/>
        <s v="TR252122"/>
        <s v="TR256400"/>
        <s v="TR572503"/>
        <s v="TC024530"/>
        <s v="TR256742"/>
        <s v="TC010584"/>
        <s v="TR400481"/>
        <s v="TR256479"/>
        <s v="TR257020"/>
        <s v="TR314922"/>
        <s v="TR259346"/>
        <s v="TR284469"/>
        <s v="TR400478"/>
        <s v="TR252363"/>
        <s v="TR252319"/>
        <s v="TR624788"/>
        <s v="TR252443"/>
        <s v="TR311865"/>
        <s v="TC013073"/>
        <s v="TR252615"/>
        <s v="TR343988"/>
        <s v="TR252281"/>
        <s v="TR610430"/>
        <s v="TR623594"/>
        <s v="TR610955"/>
        <s v="TC005490"/>
        <s v="TR666530"/>
        <s v="TR663242"/>
        <s v="TR294347"/>
        <s v="TR252104"/>
        <s v="TR257428"/>
        <s v="TR252798"/>
        <s v="TC000366"/>
        <s v="TR343544"/>
        <s v="TR256503"/>
        <s v="TR257244"/>
        <s v="TR252414"/>
        <s v="TR290900"/>
        <s v="TR411497"/>
        <s v="TR256727"/>
        <s v="TR681453"/>
        <s v="TR252293"/>
        <s v="TR269798"/>
        <s v="TR267424"/>
        <s v="TR657149"/>
        <s v="TC057278"/>
        <s v="TC020531"/>
        <s v="TR559458"/>
        <s v="TR330327"/>
        <s v="TR570530"/>
        <s v="TR317214"/>
        <s v="TR258947"/>
        <s v="TR296800"/>
        <s v="TR252645"/>
        <s v="TR577521"/>
        <s v="TR252244"/>
        <s v="TR252298"/>
        <s v="TR635152"/>
        <s v="TR252713"/>
        <s v="TR319758"/>
        <s v="TR253550"/>
        <s v="TR610172"/>
        <s v="TR253627"/>
        <s v="TR285889"/>
        <s v="TR253591"/>
        <s v="TR253608"/>
        <s v="TR521962"/>
        <s v="TR288005"/>
        <s v="TR515935"/>
        <s v="TR663269"/>
        <s v="TR257588"/>
        <s v="TR294226"/>
        <s v="TR687514"/>
        <s v="TR253574"/>
        <s v="TR257441"/>
        <s v="TR256708"/>
        <s v="TR556621"/>
        <s v="TR572496"/>
        <s v="TR253563"/>
        <s v="TR252398"/>
        <s v="TR253557"/>
        <s v="TR256777"/>
        <s v="TR319235"/>
        <s v="TR256286"/>
        <s v="TR252256"/>
        <s v="TR681456"/>
        <s v="TR329563"/>
        <s v="TR252813"/>
        <s v="TR603808"/>
        <s v="TR563152"/>
        <s v="TR612282"/>
        <s v="TR566730"/>
        <s v="TR559410"/>
        <s v="TR666483"/>
        <s v="TR254710"/>
        <s v="TR259253"/>
        <s v="TR252286"/>
        <s v="TR319425"/>
        <s v="TR329682"/>
        <s v="TR385955"/>
        <s v="TR471708"/>
        <s v="TC012604"/>
        <s v="TR663271"/>
        <s v="TR610431"/>
        <s v="TR577493"/>
        <s v="TR330288"/>
        <s v="TC049348"/>
        <s v="TR666475"/>
        <s v="TR257019"/>
        <s v="TC006746"/>
        <s v="TR252670"/>
        <s v="TC006473"/>
        <s v="TR252325"/>
        <s v="TR284162"/>
        <s v="TR361679"/>
        <s v="TR252250"/>
        <s v="TR657977"/>
        <s v="TR346339"/>
        <s v="TC051169"/>
        <s v="TR252887"/>
        <s v="TC009649"/>
        <s v="TC013673"/>
        <s v="TR254013"/>
        <s v="TR686709"/>
        <s v="TR680079"/>
        <s v="TR662097"/>
        <s v="TR302731"/>
        <s v="TR565983"/>
        <s v="TR666204"/>
        <s v="TR533306"/>
        <s v="TC013470"/>
        <s v="TR666474"/>
        <s v="TR544563"/>
        <s v="TR257313"/>
        <s v="TR658609"/>
        <s v="TR610821"/>
        <s v="TR631674"/>
        <s v="TC047383"/>
        <s v="TR252321"/>
        <s v="TR657976"/>
        <s v="TR622559"/>
        <s v="TR256587"/>
        <s v="TR551149"/>
        <s v="TR663239"/>
        <s v="TR657665"/>
        <s v="TR466066"/>
        <s v="TR288014"/>
        <s v="TR396832"/>
        <s v="TR623652"/>
        <s v="TR310753"/>
        <s v="TR255500"/>
        <s v="TR563513"/>
        <s v="TR368105"/>
        <s v="TR289765"/>
        <s v="TR252259"/>
        <s v="TR432806"/>
        <s v="TR563758"/>
        <s v="TR283352"/>
        <s v="TR253108"/>
        <s v="TR686706"/>
        <s v="TR669175"/>
        <s v="TR316888"/>
        <s v="TR565317"/>
        <s v="TR400453"/>
        <s v="TR257321"/>
        <s v="TR331778"/>
        <s v="TR256826"/>
        <s v="TR284186"/>
        <s v="TR257117"/>
        <s v="TR284194"/>
        <s v="TC002338"/>
        <s v="TR609521"/>
        <s v="TR276171"/>
        <s v="TR257057"/>
        <s v="TR288009"/>
        <s v="TR260962"/>
        <s v="TR257444"/>
        <s v="TR577470"/>
        <s v="TR252469"/>
        <s v="TR558648"/>
        <s v="TR467270"/>
        <s v="TR603802"/>
        <s v="TR610413"/>
        <s v="TR641064"/>
        <s v="TR644494"/>
        <s v="TR624174"/>
        <s v="TR610419"/>
        <s v="TR259139"/>
        <s v="TR331981"/>
        <s v="TR680473"/>
        <s v="TR432780"/>
        <s v="TR328456"/>
        <s v="TR680061"/>
        <s v="TR252812"/>
        <s v="TR252410"/>
        <s v="TR343165"/>
        <s v="TR317237"/>
        <s v="TR612342"/>
        <s v="TR301834"/>
        <s v="TR360150"/>
        <s v="TR359611"/>
        <s v="TR623613"/>
        <s v="TR522030"/>
        <s v="TR253461"/>
        <s v="TR256786"/>
        <s v="TR253762"/>
        <s v="TR518959"/>
        <s v="TR644476"/>
        <s v="TR515962"/>
        <s v="TR368652"/>
        <s v="TR252750"/>
        <s v="TR253676"/>
        <s v="TR252354"/>
        <s v="TR252881"/>
        <s v="TR269831"/>
        <s v="TR688882"/>
        <s v="TR343484"/>
        <s v="TR254434"/>
        <s v="TR591877"/>
        <s v="TR367248"/>
        <s v="TC004651"/>
        <s v="TR570640"/>
        <s v="TR666201"/>
        <s v="TR252239"/>
        <s v="TR277137"/>
        <s v="TR388393"/>
        <s v="TR252870"/>
        <s v="TC027847"/>
        <s v="TR259843"/>
        <s v="TR256841"/>
        <s v="TR318117"/>
        <s v="TR315821"/>
        <s v="TR284229"/>
        <s v="TR253624"/>
        <s v="TR535671"/>
        <s v="TR257334"/>
        <s v="TR253973"/>
        <s v="TR488131"/>
        <s v="TR492259"/>
        <s v="TR252303"/>
        <s v="TR256399"/>
        <s v="TR330121"/>
        <s v="TR686727"/>
        <s v="TR254435"/>
        <s v="TR527036"/>
        <s v="TR657155"/>
        <s v="TR680144"/>
        <s v="TR688875"/>
        <s v="TR483182"/>
        <s v="TR520824"/>
        <s v="TR411496"/>
        <s v="TR572400"/>
        <s v="TR390633"/>
        <s v="TR289934"/>
        <s v="TR653180"/>
        <s v="TR663265"/>
        <s v="TR610175"/>
        <s v="TR663305"/>
        <s v="TR377192"/>
        <s v="TR656982"/>
        <s v="TR589300"/>
        <s v="TR663263"/>
        <s v="TR369139"/>
        <s v="TR538310"/>
        <s v="TR324054"/>
        <s v="TR641277"/>
        <s v="TR622568"/>
        <s v="TR266451"/>
        <s v="TR436419"/>
        <s v="TR256607"/>
        <s v="TR594611"/>
        <s v="TR680168"/>
        <s v="TR610405"/>
        <s v="TR657667"/>
        <s v="TR618806"/>
        <s v="TR666207"/>
        <s v="TR615538"/>
        <s v="TR266285"/>
        <s v="TR658608"/>
        <s v="TR562225"/>
        <s v="TR661593"/>
        <s v="TR256763"/>
        <s v="TR663260"/>
        <s v="TR653184"/>
        <s v="TR554813"/>
        <s v="TR515203"/>
        <s v="TR300675"/>
        <s v="TR262160"/>
        <s v="TR663259"/>
        <s v="TR343489"/>
        <s v="TR575673"/>
      </sharedItems>
    </cacheField>
    <cacheField name="MAT_FPW" numFmtId="0">
      <sharedItems containsBlank="1" count="1337">
        <s v="413680"/>
        <s v="413689"/>
        <s v="413705"/>
        <s v="413706"/>
        <s v="413721"/>
        <s v="413723"/>
        <s v="413728"/>
        <s v="413763"/>
        <s v="413778"/>
        <s v="413811"/>
        <s v="413812"/>
        <s v="413838"/>
        <s v="413840"/>
        <s v="413661"/>
        <s v="413667"/>
        <s v="413675"/>
        <s v="413698"/>
        <s v="413707"/>
        <s v="413739"/>
        <s v="413744"/>
        <s v="413845"/>
        <s v="413849"/>
        <s v="413854"/>
        <s v="413946"/>
        <s v="414036"/>
        <s v="414077"/>
        <s v="414132"/>
        <s v="413753"/>
        <s v="413758"/>
        <s v="413771"/>
        <s v="413781"/>
        <s v="413783"/>
        <s v="413791"/>
        <s v="414144"/>
        <s v="414171"/>
        <s v="414181"/>
        <s v="414250"/>
        <s v="414251"/>
        <s v="414359"/>
        <s v="414412"/>
        <s v="414440"/>
        <s v="414450"/>
        <s v="414455"/>
        <s v="414456"/>
        <s v="414457"/>
        <s v="414497"/>
        <s v="414506"/>
        <s v="414519"/>
        <s v="414524"/>
        <s v="414527"/>
        <s v="414536"/>
        <s v="414543"/>
        <s v="414577"/>
        <s v="414604"/>
        <s v="414611"/>
        <s v="414623"/>
        <s v="414652"/>
        <s v="414658"/>
        <s v="414662"/>
        <s v="414683"/>
        <s v="414734"/>
        <s v="414766"/>
        <s v="414784"/>
        <s v="414858"/>
        <s v="414879"/>
        <s v="414900"/>
        <s v="414914"/>
        <s v="414915"/>
        <s v="414925"/>
        <s v="414950"/>
        <s v="415000"/>
        <s v="415068"/>
        <s v="415073"/>
        <s v="415077"/>
        <s v="415121"/>
        <s v="415124"/>
        <s v="415166"/>
        <s v="416931"/>
        <s v="416982"/>
        <s v="416984"/>
        <s v="416989"/>
        <s v="416993"/>
        <s v="417014"/>
        <s v="417072"/>
        <s v="417093"/>
        <s v="417103"/>
        <s v="417107"/>
        <s v="417121"/>
        <s v="417129"/>
        <s v="417130"/>
        <s v="417141"/>
        <s v="417149"/>
        <s v="417159"/>
        <s v="417187"/>
        <s v="417202"/>
        <s v="417203"/>
        <s v="417204"/>
        <s v="417221"/>
        <s v="417250"/>
        <s v="417293"/>
        <s v="417319"/>
        <s v="417345"/>
        <s v="417374"/>
        <s v="417385"/>
        <s v="417398"/>
        <s v="417402"/>
        <s v="417410"/>
        <s v="417452"/>
        <s v="417453"/>
        <s v="417501"/>
        <s v="417504"/>
        <s v="417538"/>
        <s v="417547"/>
        <s v="417553"/>
        <s v="417578"/>
        <s v="417604"/>
        <s v="417613"/>
        <s v="417614"/>
        <s v="417627"/>
        <s v="417662"/>
        <s v="417666"/>
        <s v="417684"/>
        <s v="417698"/>
        <s v="417736"/>
        <s v="417768"/>
        <s v="417783"/>
        <s v="417798"/>
        <s v="417799"/>
        <s v="417821"/>
        <s v="417827"/>
        <s v="417834"/>
        <s v="415260"/>
        <s v="415262"/>
        <s v="415267"/>
        <s v="415292"/>
        <s v="415318"/>
        <s v="415332"/>
        <s v="415354"/>
        <s v="415422"/>
        <s v="415433"/>
        <s v="415437"/>
        <s v="415457"/>
        <s v="415463"/>
        <s v="415482"/>
        <s v="415501"/>
        <s v="415564"/>
        <s v="415594"/>
        <s v="415597"/>
        <s v="415622"/>
        <s v="415667"/>
        <s v="415677"/>
        <s v="415686"/>
        <s v="415714"/>
        <s v="415725"/>
        <s v="415812"/>
        <s v="415813"/>
        <s v="415838"/>
        <s v="415907"/>
        <s v="415924"/>
        <s v="415927"/>
        <s v="415950"/>
        <s v="415975"/>
        <s v="415987"/>
        <s v="416045"/>
        <s v="416055"/>
        <s v="416060"/>
        <s v="416083"/>
        <s v="416088"/>
        <s v="416097"/>
        <s v="416147"/>
        <s v="416155"/>
        <s v="416180"/>
        <s v="416201"/>
        <s v="416215"/>
        <s v="416229"/>
        <s v="416260"/>
        <s v="416261"/>
        <s v="416269"/>
        <s v="416273"/>
        <s v="416284"/>
        <s v="416309"/>
        <s v="416340"/>
        <s v="416355"/>
        <s v="416368"/>
        <s v="416386"/>
        <s v="416406"/>
        <s v="416407"/>
        <s v="413815"/>
        <s v="413816"/>
        <s v="413825"/>
        <s v="413831"/>
        <s v="413833"/>
        <s v="413837"/>
        <s v="413843"/>
        <s v="413934"/>
        <s v="413937"/>
        <s v="413985"/>
        <s v="413998"/>
        <s v="414003"/>
        <s v="414018"/>
        <s v="416438"/>
        <s v="416471"/>
        <s v="416514"/>
        <s v="416543"/>
        <s v="416560"/>
        <s v="416563"/>
        <s v="416564"/>
        <s v="416584"/>
        <s v="416592"/>
        <s v="416594"/>
        <s v="416597"/>
        <s v="416604"/>
        <s v="414053"/>
        <s v="414091"/>
        <s v="414254"/>
        <s v="414292"/>
        <s v="414369"/>
        <s v="414403"/>
        <s v="414407"/>
        <s v="414427"/>
        <s v="414479"/>
        <s v="414489"/>
        <s v="414516"/>
        <s v="414533"/>
        <s v="414553"/>
        <s v="414557"/>
        <s v="414573"/>
        <s v="414593"/>
        <s v="414596"/>
        <s v="414639"/>
        <s v="414648"/>
        <s v="414661"/>
        <s v="414717"/>
        <s v="414754"/>
        <s v="414764"/>
        <s v="414768"/>
        <s v="414831"/>
        <s v="414842"/>
        <s v="414843"/>
        <s v="414859"/>
        <s v="414885"/>
        <s v="414891"/>
        <s v="414895"/>
        <s v="416637"/>
        <s v="416652"/>
        <s v="416658"/>
        <s v="416665"/>
        <s v="416676"/>
        <s v="416682"/>
        <s v="414896"/>
        <s v="414911"/>
        <s v="414928"/>
        <s v="414944"/>
        <s v="414951"/>
        <s v="414959"/>
        <s v="416689"/>
        <s v="416713"/>
        <s v="416719"/>
        <s v="416744"/>
        <s v="416745"/>
        <s v="416764"/>
        <s v="414962"/>
        <s v="414977"/>
        <s v="415011"/>
        <s v="415062"/>
        <s v="415066"/>
        <s v="415069"/>
        <s v="415112"/>
        <s v="415122"/>
        <s v="415143"/>
        <s v="415147"/>
        <s v="416935"/>
        <s v="416951"/>
        <s v="416954"/>
        <s v="416963"/>
        <s v="416969"/>
        <s v="416971"/>
        <s v="416976"/>
        <s v="416985"/>
        <s v="417034"/>
        <s v="417040"/>
        <s v="417044"/>
        <s v="417046"/>
        <s v="417057"/>
        <s v="417061"/>
        <s v="417076"/>
        <s v="416765"/>
        <s v="416789"/>
        <s v="416808"/>
        <s v="416830"/>
        <s v="416838"/>
        <s v="416840"/>
        <s v="417078"/>
        <s v="417091"/>
        <s v="417114"/>
        <s v="417119"/>
        <s v="417123"/>
        <s v="417177"/>
        <s v="417180"/>
        <s v="416860"/>
        <s v="416874"/>
        <s v="418747"/>
        <s v="418749"/>
        <s v="418757"/>
        <s v="418784"/>
        <s v="417185"/>
        <s v="417208"/>
        <s v="417231"/>
        <s v="417244"/>
        <s v="417256"/>
        <s v="417303"/>
        <s v="417311"/>
        <s v="417328"/>
        <s v="417335"/>
        <s v="417341"/>
        <s v="417348"/>
        <s v="417357"/>
        <s v="418795"/>
        <s v="418799"/>
        <s v="418832"/>
        <s v="418845"/>
        <s v="418852"/>
        <s v="418864"/>
        <s v="417443"/>
        <s v="417498"/>
        <s v="417521"/>
        <s v="417529"/>
        <s v="417549"/>
        <s v="417581"/>
        <s v="417590"/>
        <s v="417597"/>
        <s v="417610"/>
        <s v="417617"/>
        <s v="417646"/>
        <s v="417651"/>
        <s v="415283"/>
        <s v="415300"/>
        <s v="415334"/>
        <s v="415361"/>
        <s v="415377"/>
        <s v="415383"/>
        <s v="415436"/>
        <s v="415439"/>
        <s v="415466"/>
        <s v="415476"/>
        <s v="415628"/>
        <s v="415687"/>
        <s v="415704"/>
        <s v="415713"/>
        <s v="415719"/>
        <s v="415748"/>
        <s v="415754"/>
        <s v="415758"/>
        <s v="415791"/>
        <s v="418868"/>
        <s v="418892"/>
        <s v="418928"/>
        <s v="418964"/>
        <s v="418965"/>
        <s v="418985"/>
        <s v="415823"/>
        <s v="415834"/>
        <s v="415837"/>
        <s v="415841"/>
        <s v="415882"/>
        <s v="415917"/>
        <s v="415929"/>
        <s v="418986"/>
        <s v="418990"/>
        <s v="419007"/>
        <s v="419018"/>
        <s v="419032"/>
        <s v="419052"/>
        <s v="419070"/>
        <s v="419104"/>
        <s v="419110"/>
        <s v="419124"/>
        <s v="419126"/>
        <s v="419127"/>
        <s v="415939"/>
        <s v="415960"/>
        <s v="415970"/>
        <s v="416005"/>
        <s v="416008"/>
        <s v="416013"/>
        <s v="416053"/>
        <s v="416082"/>
        <s v="416099"/>
        <s v="416102"/>
        <s v="416113"/>
        <s v="416115"/>
        <s v="416126"/>
        <s v="419174"/>
        <s v="419176"/>
        <s v="419177"/>
        <s v="419190"/>
        <s v="419197"/>
        <s v="419212"/>
        <s v="416137"/>
        <s v="416183"/>
        <s v="416184"/>
        <s v="416193"/>
        <s v="416272"/>
        <s v="416276"/>
        <s v="416299"/>
        <s v="416315"/>
        <s v="416320"/>
        <s v="416335"/>
        <s v="416344"/>
        <s v="416367"/>
        <s v="419246"/>
        <s v="419286"/>
        <s v="419303"/>
        <s v="419317"/>
        <s v="419324"/>
        <s v="419353"/>
        <s v="416381"/>
        <s v="416417"/>
        <s v="416421"/>
        <s v="416434"/>
        <s v="416436"/>
        <s v="416439"/>
        <s v="416464"/>
        <s v="416465"/>
        <s v="416475"/>
        <s v="416519"/>
        <s v="416530"/>
        <s v="416534"/>
        <s v="416542"/>
        <s v="416551"/>
        <s v="416554"/>
        <s v="416555"/>
        <s v="416567"/>
        <s v="416570"/>
        <s v="416573"/>
        <s v="416581"/>
        <s v="416588"/>
        <s v="416607"/>
        <s v="416616"/>
        <s v="416619"/>
        <s v="416633"/>
        <s v="416662"/>
        <s v="416663"/>
        <s v="416673"/>
        <s v="416675"/>
        <s v="416677"/>
        <s v="416708"/>
        <s v="419389"/>
        <s v="419393"/>
        <s v="419396"/>
        <s v="419416"/>
        <s v="419429"/>
        <s v="419432"/>
        <s v="416715"/>
        <s v="416720"/>
        <s v="416772"/>
        <s v="416780"/>
        <s v="416788"/>
        <s v="416794"/>
        <s v="419438"/>
        <s v="419458"/>
        <s v="419460"/>
        <s v="419477"/>
        <s v="419482"/>
        <s v="419489"/>
        <s v="419501"/>
        <s v="419517"/>
        <s v="419524"/>
        <s v="419534"/>
        <s v="419566"/>
        <s v="419567"/>
        <s v="419587"/>
        <s v="419637"/>
        <s v="419640"/>
        <s v="419642"/>
        <s v="419663"/>
        <s v="419667"/>
        <s v="419677"/>
        <s v="416795"/>
        <s v="416797"/>
        <s v="416806"/>
        <s v="416807"/>
        <s v="416810"/>
        <s v="416823"/>
        <s v="416824"/>
        <s v="419689"/>
        <s v="419714"/>
        <s v="419730"/>
        <s v="419758"/>
        <s v="419759"/>
        <s v="419778"/>
        <s v="416878"/>
        <s v="416882"/>
        <s v="416918"/>
        <s v="418725"/>
        <s v="418790"/>
        <s v="418796"/>
        <s v="418804"/>
        <s v="419779"/>
        <s v="419796"/>
        <s v="419832"/>
        <s v="419846"/>
        <s v="419867"/>
        <s v="419883"/>
        <s v="418818"/>
        <s v="418841"/>
        <s v="418865"/>
        <s v="418867"/>
        <s v="418872"/>
        <s v="418911"/>
        <s v="419885"/>
        <s v="419893"/>
        <s v="419921"/>
        <s v="419934"/>
        <s v="419946"/>
        <s v="419949"/>
        <s v="419017"/>
        <s v="419028"/>
        <s v="419030"/>
        <s v="419071"/>
        <s v="419130"/>
        <s v="419155"/>
        <s v="419165"/>
        <s v="419173"/>
        <s v="419191"/>
        <s v="419202"/>
        <s v="419206"/>
        <s v="419232"/>
        <s v="419289"/>
        <s v="419292"/>
        <s v="419304"/>
        <s v="419320"/>
        <s v="419323"/>
        <s v="419334"/>
        <s v="419348"/>
        <s v="419349"/>
        <s v="419354"/>
        <s v="419365"/>
        <s v="419380"/>
        <s v="419409"/>
        <s v="419433"/>
        <s v="419453"/>
        <s v="419471"/>
        <s v="419956"/>
        <s v="419957"/>
        <s v="419964"/>
        <s v="419974"/>
        <s v="419985"/>
        <s v="419986"/>
        <s v="419485"/>
        <s v="419506"/>
        <s v="419515"/>
        <s v="419531"/>
        <s v="419576"/>
        <s v="419580"/>
        <s v="419592"/>
        <s v="419606"/>
        <s v="419630"/>
        <s v="419644"/>
        <s v="419649"/>
        <s v="419650"/>
        <s v="419988"/>
        <s v="420011"/>
        <s v="420022"/>
        <s v="420046"/>
        <s v="420048"/>
        <s v="420050"/>
        <s v="420071"/>
        <s v="420079"/>
        <s v="420081"/>
        <s v="420082"/>
        <s v="420107"/>
        <s v="420119"/>
        <s v="420158"/>
        <s v="419661"/>
        <s v="419684"/>
        <s v="419687"/>
        <s v="419713"/>
        <s v="419737"/>
        <s v="419755"/>
        <s v="419766"/>
        <s v="419771"/>
        <s v="419785"/>
        <s v="419788"/>
        <s v="419841"/>
        <s v="419855"/>
        <s v="419856"/>
        <s v="420159"/>
        <s v="420181"/>
        <s v="420196"/>
        <s v="420201"/>
        <s v="420212"/>
        <s v="420215"/>
        <s v="420216"/>
        <s v="420241"/>
        <s v="420243"/>
        <s v="420257"/>
        <s v="420275"/>
        <s v="420276"/>
        <s v="419861"/>
        <s v="419884"/>
        <s v="419902"/>
        <s v="419910"/>
        <s v="419931"/>
        <s v="419947"/>
        <s v="419955"/>
        <s v="419965"/>
        <s v="419996"/>
        <s v="420001"/>
        <s v="420008"/>
        <s v="420015"/>
        <s v="420043"/>
        <s v="420064"/>
        <s v="420078"/>
        <s v="420083"/>
        <s v="420091"/>
        <s v="420112"/>
        <s v="420122"/>
        <s v="420127"/>
        <s v="420150"/>
        <s v="420162"/>
        <s v="420163"/>
        <s v="420170"/>
        <s v="420209"/>
        <s v="420277"/>
        <s v="420278"/>
        <s v="420282"/>
        <s v="420300"/>
        <s v="420306"/>
        <s v="420340"/>
        <s v="420213"/>
        <s v="420217"/>
        <s v="420218"/>
        <s v="420222"/>
        <s v="420225"/>
        <s v="420226"/>
        <s v="420233"/>
        <s v="420234"/>
        <s v="420240"/>
        <s v="420247"/>
        <s v="420254"/>
        <s v="420255"/>
        <s v="420261"/>
        <s v="420346"/>
        <s v="420353"/>
        <s v="420360"/>
        <s v="420361"/>
        <s v="420365"/>
        <s v="420370"/>
        <s v="420312"/>
        <s v="420316"/>
        <s v="420325"/>
        <s v="420327"/>
        <s v="420356"/>
        <s v="420359"/>
        <s v="420393"/>
        <s v="420394"/>
        <s v="420397"/>
        <s v="420407"/>
        <s v="420411"/>
        <s v="420415"/>
        <s v="420433"/>
        <s v="420380"/>
        <s v="420384"/>
        <s v="420385"/>
        <s v="420402"/>
        <s v="420420"/>
        <s v="420424"/>
        <s v="420439"/>
        <s v="420440"/>
        <s v="420489"/>
        <s v="420511"/>
        <s v="420543"/>
        <s v="420551"/>
        <s v="420571"/>
        <s v="420593"/>
        <s v="420612"/>
        <s v="420653"/>
        <s v="420663"/>
        <s v="420669"/>
        <s v="420436"/>
        <s v="420446"/>
        <s v="420450"/>
        <s v="420462"/>
        <s v="420473"/>
        <s v="420499"/>
        <s v="420671"/>
        <s v="420678"/>
        <s v="420714"/>
        <s v="420768"/>
        <s v="420772"/>
        <s v="420856"/>
        <s v="420865"/>
        <s v="420879"/>
        <s v="420889"/>
        <s v="420913"/>
        <s v="420964"/>
        <s v="420970"/>
        <s v="421046"/>
        <s v="421063"/>
        <s v="421118"/>
        <s v="421125"/>
        <s v="421173"/>
        <s v="421182"/>
        <s v="421190"/>
        <s v="421194"/>
        <s v="421231"/>
        <s v="421294"/>
        <s v="421314"/>
        <s v="421350"/>
        <s v="421357"/>
        <s v="421361"/>
        <s v="420523"/>
        <s v="420527"/>
        <s v="420530"/>
        <s v="420539"/>
        <s v="420544"/>
        <s v="420556"/>
        <s v="420562"/>
        <s v="421366"/>
        <s v="421385"/>
        <s v="421453"/>
        <s v="421474"/>
        <s v="421545"/>
        <s v="421549"/>
        <s v="420569"/>
        <s v="420581"/>
        <s v="420613"/>
        <s v="420623"/>
        <s v="420646"/>
        <s v="420668"/>
        <s v="420717"/>
        <s v="421558"/>
        <s v="421559"/>
        <s v="421571"/>
        <s v="421584"/>
        <s v="421620"/>
        <s v="421637"/>
        <s v="421688"/>
        <s v="421811"/>
        <s v="421822"/>
        <s v="421877"/>
        <s v="421888"/>
        <s v="421958"/>
        <s v="421969"/>
        <s v="421995"/>
        <s v="421998"/>
        <s v="422115"/>
        <s v="422122"/>
        <s v="422146"/>
        <s v="422151"/>
        <s v="422176"/>
        <s v="422177"/>
        <s v="422204"/>
        <s v="422235"/>
        <s v="422246"/>
        <s v="422264"/>
        <s v="422285"/>
        <s v="417873"/>
        <s v="417881"/>
        <s v="417912"/>
        <s v="417929"/>
        <s v="417933"/>
        <s v="417943"/>
        <s v="417946"/>
        <s v="417958"/>
        <s v="417996"/>
        <s v="418007"/>
        <s v="418018"/>
        <s v="418055"/>
        <s v="422340"/>
        <s v="422341"/>
        <s v="422369"/>
        <s v="422391"/>
        <s v="422405"/>
        <s v="422408"/>
        <s v="422435"/>
        <s v="418107"/>
        <s v="418116"/>
        <s v="418132"/>
        <s v="418143"/>
        <s v="418159"/>
        <s v="418168"/>
        <s v="418170"/>
        <s v="422465"/>
        <s v="422471"/>
        <s v="422491"/>
        <s v="422497"/>
        <s v="422499"/>
        <s v="422511"/>
        <s v="422551"/>
        <s v="422555"/>
        <s v="422570"/>
        <s v="422579"/>
        <s v="422582"/>
        <s v="422611"/>
        <s v="422674"/>
        <s v="422681"/>
        <s v="422688"/>
        <s v="422718"/>
        <s v="422732"/>
        <s v="422747"/>
        <s v="418180"/>
        <s v="418202"/>
        <s v="418220"/>
        <s v="418221"/>
        <s v="418222"/>
        <s v="418230"/>
        <s v="418265"/>
        <s v="422784"/>
        <s v="422787"/>
        <s v="422858"/>
        <s v="422879"/>
        <s v="422890"/>
        <s v="422893"/>
        <s v="422899"/>
        <s v="422914"/>
        <s v="422926"/>
        <s v="422970"/>
        <s v="422973"/>
        <s v="422976"/>
        <s v="422991"/>
        <s v="423036"/>
        <s v="423058"/>
        <s v="423059"/>
        <s v="423064"/>
        <s v="423075"/>
        <s v="423096"/>
        <s v="418270"/>
        <s v="418273"/>
        <s v="418295"/>
        <s v="418315"/>
        <s v="418338"/>
        <s v="418339"/>
        <s v="423112"/>
        <s v="423153"/>
        <s v="423243"/>
        <s v="423301"/>
        <s v="423310"/>
        <s v="423312"/>
        <s v="423338"/>
        <s v="423350"/>
        <s v="423383"/>
        <s v="423508"/>
        <s v="423521"/>
        <s v="423562"/>
        <s v="423646"/>
        <s v="423662"/>
        <s v="423663"/>
        <s v="423669"/>
        <s v="423673"/>
        <s v="423684"/>
        <s v="423693"/>
        <s v="423699"/>
        <s v="423701"/>
        <s v="423738"/>
        <s v="423747"/>
        <s v="423753"/>
        <s v="423787"/>
        <s v="423792"/>
        <s v="423800"/>
        <s v="423816"/>
        <s v="423834"/>
        <s v="423849"/>
        <s v="423857"/>
        <s v="423914"/>
        <s v="423973"/>
        <s v="423974"/>
        <s v="424010"/>
        <s v="424019"/>
        <s v="424055"/>
        <s v="424062"/>
        <s v="417672"/>
        <s v="417687"/>
        <s v="417692"/>
        <s v="417706"/>
        <s v="417751"/>
        <s v="417755"/>
        <s v="417762"/>
        <s v="417804"/>
        <s v="417810"/>
        <s v="417815"/>
        <s v="417843"/>
        <s v="417862"/>
        <s v="418340"/>
        <s v="418351"/>
        <s v="418382"/>
        <s v="418430"/>
        <s v="418463"/>
        <s v="418485"/>
        <s v="417877"/>
        <s v="417882"/>
        <s v="417893"/>
        <s v="417894"/>
        <s v="417920"/>
        <s v="417932"/>
        <s v="418494"/>
        <s v="418508"/>
        <s v="418526"/>
        <s v="418528"/>
        <s v="418531"/>
        <s v="418534"/>
        <s v="417937"/>
        <s v="417939"/>
        <s v="417942"/>
        <s v="417948"/>
        <s v="417959"/>
        <s v="417982"/>
        <s v="417991"/>
        <s v="417995"/>
        <s v="418015"/>
        <s v="418040"/>
        <s v="418089"/>
        <s v="418095"/>
        <s v="418110"/>
        <s v="418535"/>
        <s v="418557"/>
        <s v="418588"/>
        <s v="418591"/>
        <s v="418604"/>
        <s v="418607"/>
        <s v="418111"/>
        <s v="418115"/>
        <s v="418120"/>
        <s v="418175"/>
        <s v="418211"/>
        <s v="418214"/>
        <s v="418229"/>
        <s v="418328"/>
        <s v="418335"/>
        <s v="418402"/>
        <s v="418431"/>
        <s v="418459"/>
        <s v="418642"/>
        <s v="418657"/>
        <s v="418692"/>
        <s v="418696"/>
        <s v="418713"/>
        <s v="425793"/>
        <s v="418481"/>
        <s v="418512"/>
        <s v="418595"/>
        <s v="418601"/>
        <s v="418608"/>
        <s v="418609"/>
        <s v="418619"/>
        <s v="418695"/>
        <s v="425855"/>
        <s v="425877"/>
        <s v="425889"/>
        <s v="425897"/>
        <s v="425794"/>
        <s v="425811"/>
        <s v="425822"/>
        <s v="425828"/>
        <s v="425907"/>
        <s v="425928"/>
        <s v="425904"/>
        <s v="425908"/>
        <s v="425911"/>
        <s v="425932"/>
        <s v="425942"/>
        <s v="425945"/>
        <s v="425990"/>
        <s v="425949"/>
        <s v="425989"/>
        <s v="426012"/>
        <s v="426038"/>
        <s v="426048"/>
        <s v="426084"/>
        <s v="426116"/>
        <s v="426355"/>
        <s v="426379"/>
        <s v="426388"/>
        <s v="426408"/>
        <s v="426429"/>
        <s v="426435"/>
        <s v="426438"/>
        <s v="426451"/>
        <s v="426509"/>
        <s v="426540"/>
        <s v="426619"/>
        <s v="426007"/>
        <s v="426039"/>
        <s v="426044"/>
        <s v="426049"/>
        <s v="426080"/>
        <s v="426098"/>
        <s v="426622"/>
        <s v="426623"/>
        <s v="426624"/>
        <s v="426642"/>
        <s v="426669"/>
        <s v="426681"/>
        <s v="426702"/>
        <s v="426804"/>
        <s v="426823"/>
        <s v="426859"/>
        <s v="426873"/>
        <s v="426878"/>
        <s v="426964"/>
        <s v="427017"/>
        <s v="427018"/>
        <s v="427060"/>
        <s v="427156"/>
        <s v="427168"/>
        <s v="427189"/>
        <s v="427242"/>
        <s v="427260"/>
        <s v="427273"/>
        <s v="427278"/>
        <s v="427281"/>
        <s v="427282"/>
        <s v="426100"/>
        <s v="426104"/>
        <s v="426113"/>
        <s v="426185"/>
        <s v="426361"/>
        <s v="426384"/>
        <s v="426428"/>
        <s v="426437"/>
        <s v="426459"/>
        <s v="426535"/>
        <s v="426590"/>
        <s v="426613"/>
        <s v="426617"/>
        <s v="427314"/>
        <s v="427327"/>
        <s v="427355"/>
        <s v="427410"/>
        <s v="427415"/>
        <s v="427419"/>
        <s v="427432"/>
        <s v="426709"/>
        <s v="426736"/>
        <s v="426741"/>
        <s v="426754"/>
        <s v="426830"/>
        <s v="426865"/>
        <s v="426876"/>
        <s v="426893"/>
        <s v="426943"/>
        <s v="426953"/>
        <s v="426987"/>
        <s v="427142"/>
        <s v="427283"/>
        <s v="427286"/>
        <s v="427316"/>
        <s v="427326"/>
        <s v="427343"/>
        <s v="427357"/>
        <s v="427381"/>
        <s v="427446"/>
        <s v="427481"/>
        <s v="427493"/>
        <s v="427520"/>
        <s v="427543"/>
        <s v="427544"/>
        <s v="427528"/>
        <s v="427562"/>
        <s v="427605"/>
        <s v="427606"/>
        <s v="339988"/>
        <s v="341473"/>
        <s v="427559"/>
        <s v="353719"/>
        <s v="339990"/>
        <s v="341319"/>
        <s v="341487"/>
        <s v="342115"/>
        <s v="342376"/>
        <s v="343211"/>
        <s v="343439"/>
        <s v="420726"/>
        <s v="420733"/>
        <s v="420848"/>
        <s v="342152"/>
        <s v="342370"/>
        <s v="342372"/>
        <s v="342374"/>
        <s v="342375"/>
        <s v="343237"/>
        <s v="420925"/>
        <s v="420930"/>
        <s v="420941"/>
        <s v="420947"/>
        <s v="420950"/>
        <s v="420983"/>
        <s v="421075"/>
        <s v="421159"/>
        <s v="421166"/>
        <s v="421241"/>
        <s v="421243"/>
        <s v="421244"/>
        <s v="421253"/>
        <s v="421284"/>
        <s v="421296"/>
        <s v="421326"/>
        <s v="421346"/>
        <s v="421356"/>
        <s v="421363"/>
        <s v="421371"/>
        <s v="421428"/>
        <s v="421437"/>
        <s v="421484"/>
        <s v="421497"/>
        <s v="421524"/>
        <s v="421534"/>
        <s v="421546"/>
        <s v="421594"/>
        <s v="421604"/>
        <s v="421629"/>
        <s v="421690"/>
        <s v="421750"/>
        <s v="421765"/>
        <s v="421781"/>
        <s v="421790"/>
        <s v="421797"/>
        <s v="421809"/>
        <s v="421820"/>
        <s v="421826"/>
        <s v="421858"/>
        <s v="421948"/>
        <s v="421977"/>
        <s v="421985"/>
        <s v="422117"/>
        <s v="422130"/>
        <s v="422131"/>
        <s v="422139"/>
        <s v="422143"/>
        <s v="422188"/>
        <s v="343445"/>
        <s v="343708"/>
        <s v="344120"/>
        <s v="344127"/>
        <s v="424071"/>
        <s v="424107"/>
        <s v="422216"/>
        <s v="422232"/>
        <s v="422238"/>
        <s v="422239"/>
        <s v="422271"/>
        <s v="422273"/>
        <s v="422275"/>
        <s v="422323"/>
        <s v="422387"/>
        <s v="422390"/>
        <s v="422397"/>
        <s v="422410"/>
        <s v="424135"/>
        <s v="424235"/>
        <s v="424243"/>
        <s v="424255"/>
        <s v="424259"/>
        <s v="424264"/>
        <s v="422411"/>
        <s v="422425"/>
        <s v="422426"/>
        <s v="422427"/>
        <s v="422446"/>
        <s v="422474"/>
        <s v="422482"/>
        <s v="422489"/>
        <s v="422492"/>
        <s v="422512"/>
        <s v="422514"/>
        <s v="422557"/>
        <s v="424280"/>
        <s v="424293"/>
        <s v="424321"/>
        <s v="424345"/>
        <s v="424385"/>
        <s v="424391"/>
        <s v="424410"/>
        <s v="424417"/>
        <s v="424452"/>
        <s v="424567"/>
        <s v="424570"/>
        <s v="424581"/>
        <s v="424597"/>
        <s v="424680"/>
        <s v="422562"/>
        <s v="422572"/>
        <s v="422610"/>
        <s v="422615"/>
        <s v="422654"/>
        <s v="422684"/>
        <s v="424712"/>
        <s v="424730"/>
        <s v="424742"/>
        <s v="424749"/>
        <s v="424762"/>
        <s v="424799"/>
        <s v="422746"/>
        <s v="422753"/>
        <s v="422778"/>
        <s v="422809"/>
        <s v="422815"/>
        <s v="422897"/>
        <s v="422928"/>
        <s v="424807"/>
        <s v="424846"/>
        <s v="424906"/>
        <s v="424933"/>
        <s v="424947"/>
        <s v="424961"/>
        <s v="424977"/>
        <s v="425011"/>
        <s v="425012"/>
        <s v="425023"/>
        <s v="425032"/>
        <s v="425038"/>
        <s v="422995"/>
        <s v="423029"/>
        <s v="423108"/>
        <s v="423122"/>
        <s v="423160"/>
        <s v="423236"/>
        <s v="425041"/>
        <s v="425082"/>
        <s v="425100"/>
        <s v="425131"/>
        <s v="425187"/>
        <s v="425188"/>
        <s v="425198"/>
        <s v="425245"/>
        <s v="425320"/>
        <s v="425457"/>
        <s v="425458"/>
        <s v="425498"/>
        <s v="425510"/>
        <s v="425512"/>
        <s v="425514"/>
        <s v="425525"/>
        <s v="425551"/>
        <s v="425556"/>
        <s v="423241"/>
        <s v="423242"/>
        <s v="423263"/>
        <s v="423307"/>
        <s v="423326"/>
        <s v="423443"/>
        <s v="425590"/>
        <s v="425636"/>
        <s v="425651"/>
        <s v="425686"/>
        <s v="425698"/>
        <s v="335811"/>
        <s v="335848"/>
        <s v="339178"/>
        <m/>
        <s v="423506"/>
        <s v="423509"/>
        <s v="423513"/>
        <s v="423533"/>
        <s v="423574"/>
        <s v="423591"/>
        <s v="423594"/>
        <s v="423622"/>
        <s v="423629"/>
        <s v="423630"/>
        <s v="423653"/>
        <s v="423670"/>
        <s v="423703"/>
        <s v="423797"/>
        <s v="423867"/>
        <s v="423881"/>
        <s v="423968"/>
        <s v="424049"/>
        <s v="424057"/>
        <s v="424063"/>
        <s v="424082"/>
        <s v="424095"/>
        <s v="424109"/>
        <s v="424120"/>
        <s v="424145"/>
        <s v="424179"/>
        <s v="424208"/>
        <s v="424241"/>
        <s v="424246"/>
        <s v="424269"/>
        <s v="424300"/>
        <s v="424304"/>
        <s v="424313"/>
        <s v="424322"/>
        <s v="424339"/>
        <s v="424362"/>
        <s v="424436"/>
        <s v="424454"/>
        <s v="424470"/>
        <s v="424532"/>
        <s v="424536"/>
        <s v="424548"/>
        <s v="424622"/>
        <s v="424648"/>
        <s v="424658"/>
        <s v="424681"/>
        <s v="424706"/>
        <s v="424732"/>
        <s v="424796"/>
        <s v="424824"/>
        <s v="424831"/>
        <s v="424857"/>
        <s v="424869"/>
        <s v="424896"/>
        <s v="424914"/>
        <s v="424941"/>
        <s v="424956"/>
        <s v="424967"/>
        <s v="425015"/>
        <s v="425019"/>
        <s v="425043"/>
        <s v="425054"/>
        <s v="425057"/>
        <s v="425073"/>
        <s v="425139"/>
        <s v="425177"/>
        <s v="425272"/>
        <s v="425343"/>
        <s v="425370"/>
        <s v="425421"/>
        <s v="425568"/>
        <s v="425577"/>
        <s v="425598"/>
        <s v="425649"/>
        <s v="425700"/>
        <s v="425726"/>
        <s v="425757"/>
        <s v="335815"/>
        <s v="343461"/>
        <s v="343705"/>
        <s v="344122"/>
        <s v="344311"/>
        <s v="336445"/>
        <s v="336980"/>
        <s v="338248"/>
        <s v="338444"/>
      </sharedItems>
    </cacheField>
    <cacheField name="GESTOR_AREA" numFmtId="0">
      <sharedItems count="89">
        <s v="ALEXANDRE SEVERINO "/>
        <s v="ANTONIO FABIO "/>
        <s v="MICHEL SOARES "/>
        <s v="NILO WEBER "/>
        <s v="THIAGO SILVA "/>
        <s v="BRUNO SAVIO "/>
        <s v="CLAUDECIR GOMES "/>
        <s v="HAMILTON DAVINO "/>
        <s v="EDSON CARLOS "/>
        <s v="FRANCISCO MARCOS "/>
        <s v="LYNDON JONHSON "/>
        <s v="KARLYSSON FRANCO "/>
        <s v="THIAGO DE "/>
        <s v="CRISTIANO ADOLFO "/>
        <s v="ANA CLAUDIA "/>
        <s v="AMAURY ASSIS "/>
        <s v="FERNANDO ANTONIO "/>
        <s v="CARLOS REIS "/>
        <s v="JOSENIL GOMES "/>
        <s v="PATRICIO MARTINS "/>
        <s v="MARCILIO RIBEIRO "/>
        <s v="JOSILENE MACENA "/>
        <s v="AILTON JOSE "/>
        <s v="JOSUE MOURA "/>
        <s v="SIDNEY MOURA "/>
        <s v="FRANCISCO JOSE "/>
        <s v="ANTONIO ERINEUDES "/>
        <s v="FERNANDO FREITAS "/>
        <s v="WILSON CARLOS "/>
        <s v="FABIO BATISTA "/>
        <s v="PAULO JOSE "/>
        <s v="FRANCISCO DE "/>
        <s v="JOSE NILTON "/>
        <s v="BRUNO LUIZ "/>
        <s v="JOSE HENRIQUE "/>
        <s v="JOSEVAN DE "/>
        <s v="JOSUEL FERREIRA "/>
        <s v="ALESSANDRO DIONISIO "/>
        <s v="ALTAIR LUIZ "/>
        <s v="GLAUBER JOSE "/>
        <s v="CARLOS FERNANDES "/>
        <s v="ANTONIO MAGNO "/>
        <s v="IVALDO BEZERRA "/>
        <s v="ANDRIER CARLOS "/>
        <s v="RAFAEL FERNANDES "/>
        <s v="CARLOS AUGUSTO "/>
        <s v="JOSE HAILTON "/>
        <s v="SHEYLA MARIA "/>
        <s v="RAMSES DE "/>
        <s v="LUIZ RICARDO "/>
        <s v="ANTONIO GILSON "/>
        <s v="RICELE DA "/>
        <s v="HENRIQUE OLIVEIRA "/>
        <s v="BRUNO VINICIUS "/>
        <s v="MARCUS VINICIUS "/>
        <s v="ALYSSON HENRIQUE "/>
        <s v="MAURO BRAGA "/>
        <s v="PAULO PEREIRA "/>
        <s v="STANLEY MEDEIROS "/>
        <s v="RODRIGO ALBUQUERQUE "/>
        <s v="AMARILDO GOMES "/>
        <s v="ADRIANO VICENTE "/>
        <s v="MARCOS ALBERTO "/>
        <s v="GENELSON AUGUSTO "/>
        <s v="REINILSON IGLESIAS "/>
        <s v="FERNANDO TOSCANO "/>
        <s v="HENRIQUE GONCALVES "/>
        <s v="JOSE MARDEM "/>
        <s v="ALEXANDRE ONASSIS "/>
        <s v="ADENILTON CORREIA "/>
        <s v="ANDRE LUIZ "/>
        <s v="LUIZ GUSTAVO "/>
        <s v="JOSE VENILSON "/>
        <s v="RODRIGO CARDOZO "/>
        <s v="DIEGO MARTINS "/>
        <s v="DANIEL MARTINS "/>
        <s v="KALYNE GOUVEIA "/>
        <s v="ROBERTO CLAUDIO "/>
        <s v="AELGRICIO SILVA "/>
        <s v="ROGER DO "/>
        <s v="-"/>
        <s v="MARCELO JOSE "/>
        <s v="DJAIR DE "/>
        <s v="ANTONIO ROBEVANIO "/>
        <s v="LEANDRO COUTINHO "/>
        <s v="ALDO GOMES "/>
        <s v="" u="1"/>
        <s v="EDER TABOSA " u="1"/>
        <s v="ANCELIO DE " u="1"/>
      </sharedItems>
    </cacheField>
    <cacheField name="GESTOR_OPERACIONAL" numFmtId="0">
      <sharedItems count="18">
        <s v="DECIO FABIANO "/>
        <s v="ANTONIO ROBEVANIO "/>
        <s v="JEFFERSON OLIVEIRA "/>
        <s v="MARCOS DE "/>
        <s v="ALENCAR DE "/>
        <s v="CRISTIANO ADOLFO "/>
        <s v="WENDELL FRANKLIN "/>
        <s v="REINILSON IGLESIAS "/>
        <s v="VANDERLEI HENZEL "/>
        <s v="BRUNO VINICIUS "/>
        <s v="EDERLINDO GONCALVES "/>
        <s v="RODRIGO ALBUQUERQUE "/>
        <s v="CARLOS EDUARDO "/>
        <s v="ANDRE LUIS "/>
        <s v="CRISTIANO FERREIRA "/>
        <s v="ROBERTA OLIVEIRA "/>
        <s v="-"/>
        <s v="" u="1"/>
      </sharedItems>
    </cacheField>
    <cacheField name="GESTOR_GERAL" numFmtId="0">
      <sharedItems count="8">
        <s v="NIVALDO DE "/>
        <s v="JONILSON FELIPE "/>
        <s v="JESSE GONCALVES "/>
        <s v="WENDELL FRANKLIN "/>
        <s v="RODRIGO ALBUQUERQUE "/>
        <s v="HEBERT JONES "/>
        <s v="-"/>
        <s v="" u="1"/>
      </sharedItems>
    </cacheField>
    <cacheField name="SITUAÇÃO_FOLHA" numFmtId="0">
      <sharedItems count="7">
        <s v="ATIVO"/>
        <s v="FÉRIAS"/>
        <s v="AFASTADO"/>
        <s v="DESLIGADO"/>
        <s v="INATIVO"/>
        <s v="-" u="1"/>
        <s v="NÃO LOCALIZADO" u="1"/>
      </sharedItems>
    </cacheField>
    <cacheField name="HC PCP?" numFmtId="0">
      <sharedItems count="2">
        <s v="SIM"/>
        <s v="NÃO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39">
  <r>
    <x v="0"/>
    <n v="413841"/>
    <s v="ATIVIDADE NORMAL"/>
    <s v="19/07/2019"/>
    <x v="0"/>
    <x v="0"/>
    <x v="0"/>
    <x v="0"/>
    <s v="Regional Pernambuco"/>
    <s v="Interior"/>
    <s v="Tecnico de campo"/>
    <x v="0"/>
    <s v="TEC MULTIFUNCIONAL"/>
    <s v="ATIVIDADE NORMAL"/>
    <s v="CRU"/>
    <s v="06178859406"/>
    <s v="04/09/2019"/>
    <s v="ALEXANDRE SEVERINO DA COSTA SILVA"/>
    <s v="DECIO FABIANO LOPES FERREIRA"/>
    <s v="NIVALDO DE OLIVEIRA SOARES"/>
    <x v="0"/>
    <x v="0"/>
    <x v="0"/>
    <s v="TECNICO MULTIFUNCIONAL"/>
    <x v="0"/>
    <x v="0"/>
    <x v="0"/>
    <x v="0"/>
    <x v="0"/>
    <x v="0"/>
    <x v="0"/>
  </r>
  <r>
    <x v="1"/>
    <n v="413841"/>
    <s v="ATIVIDADE NORMAL"/>
    <s v="19/07/2019"/>
    <x v="0"/>
    <x v="0"/>
    <x v="0"/>
    <x v="0"/>
    <s v="Regional Pernambuco"/>
    <s v="Interior"/>
    <s v="Tecnico de campo"/>
    <x v="0"/>
    <s v="TEC MULTIFUNCIONAL"/>
    <s v="ATIVIDADE NORMAL"/>
    <s v="CRU"/>
    <s v="06299616466"/>
    <s v="04/09/2019"/>
    <s v="ALEXANDRE SEVERINO DA COSTA SILVA"/>
    <s v="DECIO FABIANO LOPES FERREIRA"/>
    <s v="NIVALDO DE OLIVEIRA SOARES"/>
    <x v="0"/>
    <x v="0"/>
    <x v="0"/>
    <s v="TECNICO MULTIFUNCIONAL"/>
    <x v="1"/>
    <x v="1"/>
    <x v="0"/>
    <x v="0"/>
    <x v="0"/>
    <x v="0"/>
    <x v="0"/>
  </r>
  <r>
    <x v="2"/>
    <n v="101010210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03106141395"/>
    <s v="04/09/2019"/>
    <s v="ANTONIO FABIO DOS SANTOS LIMA"/>
    <s v="ANTONIO ROBEVANIO PINHEIRO"/>
    <s v="JONILSON FELIPE VIEIRA"/>
    <x v="0"/>
    <x v="1"/>
    <x v="1"/>
    <s v="TECNICO MULTIFUNCIONAL"/>
    <x v="2"/>
    <x v="2"/>
    <x v="1"/>
    <x v="1"/>
    <x v="1"/>
    <x v="0"/>
    <x v="0"/>
  </r>
  <r>
    <x v="3"/>
    <n v="101001488"/>
    <s v="ATIVIDADE NORMAL"/>
    <s v="19/07/2019"/>
    <x v="1"/>
    <x v="2"/>
    <x v="1"/>
    <x v="2"/>
    <s v="Regional Ceará"/>
    <s v="Capital Sul Ceará"/>
    <s v="Tecnico de campo"/>
    <x v="0"/>
    <s v="TEC MULTIFUNCIONAL"/>
    <s v="ATIVIDADE NORMAL"/>
    <s v="GCL"/>
    <s v="02039587306"/>
    <s v="04/09/2019"/>
    <s v="MICHEL SOARES DE OLIVEIRA"/>
    <s v="ANTONIO ROBEVANIO PINHEIRO"/>
    <s v="JONILSON FELIPE VIEIRA"/>
    <x v="0"/>
    <x v="2"/>
    <x v="1"/>
    <s v="TECNICO MULTIFUNCIONAL"/>
    <x v="3"/>
    <x v="3"/>
    <x v="2"/>
    <x v="1"/>
    <x v="1"/>
    <x v="0"/>
    <x v="0"/>
  </r>
  <r>
    <x v="4"/>
    <n v="101008003"/>
    <s v="ATIVIDADE NORMAL"/>
    <s v="19/07/2019"/>
    <x v="1"/>
    <x v="3"/>
    <x v="1"/>
    <x v="3"/>
    <s v="Regional Ceará"/>
    <s v="Capital Oeste Ceará"/>
    <s v="Tecnico de campo"/>
    <x v="0"/>
    <s v="TEC MULTIFUNCIONAL"/>
    <s v="ATIVIDADE NORMAL"/>
    <s v="CNO"/>
    <s v="01597865338"/>
    <s v="04/09/2019"/>
    <s v="NILO WEBER RAMOS RIBEIRO"/>
    <s v="ANTONIO ROBEVANIO PINHEIRO"/>
    <s v="JONILSON FELIPE VIEIRA"/>
    <x v="0"/>
    <x v="3"/>
    <x v="1"/>
    <s v="TECNICO MULTIFUNCIONAL"/>
    <x v="4"/>
    <x v="4"/>
    <x v="3"/>
    <x v="1"/>
    <x v="1"/>
    <x v="0"/>
    <x v="0"/>
  </r>
  <r>
    <x v="5"/>
    <n v="413841"/>
    <s v="ATIVIDADE NORMAL"/>
    <s v="19/07/2019"/>
    <x v="0"/>
    <x v="0"/>
    <x v="0"/>
    <x v="0"/>
    <s v="Regional Pernambuco"/>
    <s v="Interior"/>
    <s v="Tecnico de campo"/>
    <x v="0"/>
    <s v="TEC MULTIFUNCIONAL"/>
    <s v="ATIVIDADE NORMAL"/>
    <s v="CRU"/>
    <s v="09852991426"/>
    <s v="04/09/2019"/>
    <s v="ALEXANDRE SEVERINO DA COSTA SILVA"/>
    <s v="DECIO FABIANO LOPES FERREIRA"/>
    <s v="NIVALDO DE OLIVEIRA SOARES"/>
    <x v="0"/>
    <x v="0"/>
    <x v="0"/>
    <s v="TECNICO MULTIFUNCIONAL"/>
    <x v="5"/>
    <x v="5"/>
    <x v="0"/>
    <x v="0"/>
    <x v="0"/>
    <x v="0"/>
    <x v="0"/>
  </r>
  <r>
    <x v="6"/>
    <n v="101010821"/>
    <s v="ATIVIDADE NORMAL"/>
    <s v="19/07/2019"/>
    <x v="1"/>
    <x v="2"/>
    <x v="1"/>
    <x v="2"/>
    <s v="Regional Ceará"/>
    <s v="Capital Sul Ceará"/>
    <s v="Tecnico de campo"/>
    <x v="0"/>
    <s v="TEC MULTIFUNCIONAL"/>
    <s v="ATIVIDADE NORMAL"/>
    <s v="GCL"/>
    <s v="01425223338"/>
    <s v="04/09/2019"/>
    <s v="THIAGO SILVA DE OLIVEIRA"/>
    <s v="ANTONIO ROBEVANIO PINHEIRO"/>
    <s v="JONILSON FELIPE VIEIRA"/>
    <x v="0"/>
    <x v="1"/>
    <x v="1"/>
    <s v="TECNICO MULTIFUNCIONAL"/>
    <x v="6"/>
    <x v="6"/>
    <x v="4"/>
    <x v="1"/>
    <x v="1"/>
    <x v="0"/>
    <x v="0"/>
  </r>
  <r>
    <x v="7"/>
    <n v="101010821"/>
    <s v="ATIVIDADE NORMAL"/>
    <s v="19/07/2019"/>
    <x v="1"/>
    <x v="2"/>
    <x v="1"/>
    <x v="2"/>
    <s v="Regional Ceará"/>
    <s v="Capital Sul Ceará"/>
    <s v="Tecnico de campo"/>
    <x v="0"/>
    <s v="TEC MULTIFUNCIONAL"/>
    <s v="ATIVIDADE NORMAL"/>
    <s v="GCL"/>
    <s v="02779843357"/>
    <s v="04/09/2019"/>
    <s v="THIAGO SILVA DE OLIVEIRA"/>
    <s v="ANTONIO ROBEVANIO PINHEIRO"/>
    <s v="JONILSON FELIPE VIEIRA"/>
    <x v="0"/>
    <x v="2"/>
    <x v="1"/>
    <s v="TECNICO MULTIFUNCIONAL"/>
    <x v="7"/>
    <x v="7"/>
    <x v="4"/>
    <x v="1"/>
    <x v="1"/>
    <x v="0"/>
    <x v="0"/>
  </r>
  <r>
    <x v="8"/>
    <n v="101010210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31592899315"/>
    <s v="04/09/2019"/>
    <s v="ANTONIO FABIO DOS SANTOS LIMA"/>
    <s v="ANTONIO ROBEVANIO PINHEIRO"/>
    <s v="JONILSON FELIPE VIEIRA"/>
    <x v="0"/>
    <x v="1"/>
    <x v="1"/>
    <s v="TECNICO MULTIFUNCIONAL"/>
    <x v="8"/>
    <x v="8"/>
    <x v="1"/>
    <x v="1"/>
    <x v="1"/>
    <x v="0"/>
    <x v="0"/>
  </r>
  <r>
    <x v="9"/>
    <n v="101008134"/>
    <s v="ATIVIDADE NORMAL"/>
    <s v="19/07/2019"/>
    <x v="1"/>
    <x v="4"/>
    <x v="1"/>
    <x v="4"/>
    <s v="Regional Ceará"/>
    <s v="Capital Oeste Ceará"/>
    <s v="Tecnico de campo"/>
    <x v="0"/>
    <s v="TEC MULTIFUNCIONAL"/>
    <s v="ATIVIDADE NORMAL"/>
    <s v="COO"/>
    <s v="03842621396"/>
    <s v="04/09/2019"/>
    <s v="BRUNO SAVIO DA SILVA"/>
    <s v="ANTONIO ROBEVANIO PINHEIRO"/>
    <s v="JONILSON FELIPE VIEIRA"/>
    <x v="0"/>
    <x v="4"/>
    <x v="1"/>
    <s v="TECNICO MULTIFUNCIONAL"/>
    <x v="9"/>
    <x v="9"/>
    <x v="5"/>
    <x v="1"/>
    <x v="1"/>
    <x v="0"/>
    <x v="0"/>
  </r>
  <r>
    <x v="10"/>
    <n v="101001488"/>
    <s v="ATIVIDADE NORMAL"/>
    <s v="19/07/2019"/>
    <x v="1"/>
    <x v="3"/>
    <x v="1"/>
    <x v="3"/>
    <s v="Regional Ceará"/>
    <s v="Capital Oeste Ceará"/>
    <s v="Tecnico de campo"/>
    <x v="0"/>
    <s v="TEC MULTIFUNCIONAL"/>
    <s v="ATIVIDADE NORMAL"/>
    <s v="CNO"/>
    <s v="61409502368"/>
    <s v="04/09/2019"/>
    <s v="MICHEL SOARES DE OLIVEIRA"/>
    <s v="ANTONIO ROBEVANIO PINHEIRO"/>
    <s v="JONILSON FELIPE VIEIRA"/>
    <x v="0"/>
    <x v="3"/>
    <x v="1"/>
    <s v="TECNICO MULTIFUNCIONAL"/>
    <x v="10"/>
    <x v="10"/>
    <x v="2"/>
    <x v="1"/>
    <x v="1"/>
    <x v="0"/>
    <x v="0"/>
  </r>
  <r>
    <x v="11"/>
    <n v="101001488"/>
    <s v="ATIVIDADE NORMAL"/>
    <s v="19/07/2019"/>
    <x v="1"/>
    <x v="4"/>
    <x v="1"/>
    <x v="4"/>
    <s v="Regional Ceará"/>
    <s v="Capital Oeste Ceará"/>
    <s v="Tecnico de campo"/>
    <x v="0"/>
    <s v="TEC MULTIFUNCIONAL"/>
    <s v="ATIVIDADE NORMAL"/>
    <s v="COO"/>
    <s v="71948180359"/>
    <s v="04/09/2019"/>
    <s v="MICHEL SOARES DE OLIVEIRA"/>
    <s v="ANTONIO ROBEVANIO PINHEIRO"/>
    <s v="JONILSON FELIPE VIEIRA"/>
    <x v="0"/>
    <x v="4"/>
    <x v="1"/>
    <s v="TECNICO MULTIFUNCIONAL"/>
    <x v="11"/>
    <x v="11"/>
    <x v="2"/>
    <x v="1"/>
    <x v="1"/>
    <x v="0"/>
    <x v="0"/>
  </r>
  <r>
    <x v="12"/>
    <n v="101008003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66418186320"/>
    <s v="04/09/2019"/>
    <s v="NILO WEBER RAMOS RIBEIRO"/>
    <s v="ANTONIO ROBEVANIO PINHEIRO"/>
    <s v="JONILSON FELIPE VIEIRA"/>
    <x v="0"/>
    <x v="1"/>
    <x v="1"/>
    <s v="TECNICO MULTIFUNCIONAL"/>
    <x v="12"/>
    <x v="12"/>
    <x v="3"/>
    <x v="1"/>
    <x v="1"/>
    <x v="0"/>
    <x v="0"/>
  </r>
  <r>
    <x v="13"/>
    <n v="101010210"/>
    <s v="ATIVIDADE NORMAL"/>
    <s v="22/07/2019"/>
    <x v="1"/>
    <x v="1"/>
    <x v="1"/>
    <x v="1"/>
    <s v="Regional Ceará"/>
    <s v="Capital Sul Ceará"/>
    <s v="Tecnico de campo"/>
    <x v="0"/>
    <s v="TEC MULTIFUNCIONAL"/>
    <s v="ATIVIDADE NORMAL"/>
    <s v="GCS - FTTH"/>
    <s v="01038685346"/>
    <s v="04/09/2019"/>
    <s v="ANTONIO FABIO DOS SANTOS LIMA"/>
    <s v="ANTONIO ROBEVANIO PINHEIRO"/>
    <s v="JONILSON FELIPE VIEIRA"/>
    <x v="0"/>
    <x v="1"/>
    <x v="1"/>
    <s v="TECNICO MULTIFUNCIONAL"/>
    <x v="13"/>
    <x v="13"/>
    <x v="1"/>
    <x v="1"/>
    <x v="1"/>
    <x v="0"/>
    <x v="0"/>
  </r>
  <r>
    <x v="14"/>
    <n v="101008003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67253172353"/>
    <s v="04/09/2019"/>
    <s v="NILO WEBER RAMOS RIBEIRO"/>
    <s v="ANTONIO ROBEVANIO PINHEIRO"/>
    <s v="JONILSON FELIPE VIEIRA"/>
    <x v="0"/>
    <x v="1"/>
    <x v="1"/>
    <s v="TECNICO MULTIFUNCIONAL"/>
    <x v="14"/>
    <x v="14"/>
    <x v="3"/>
    <x v="1"/>
    <x v="1"/>
    <x v="0"/>
    <x v="0"/>
  </r>
  <r>
    <x v="15"/>
    <n v="101008134"/>
    <s v="ATIVIDADE NORMAL"/>
    <s v="19/07/2019"/>
    <x v="1"/>
    <x v="3"/>
    <x v="1"/>
    <x v="3"/>
    <s v="Regional Ceará"/>
    <s v="Capital Oeste Ceará"/>
    <s v="Tecnico de campo"/>
    <x v="0"/>
    <s v="TEC MULTIFUNCIONAL"/>
    <s v="ATIVIDADE NORMAL"/>
    <s v="CNO"/>
    <s v="62541544391"/>
    <s v="04/09/2019"/>
    <s v="BRUNO SAVIO DA SILVA"/>
    <s v="ANTONIO ROBEVANIO PINHEIRO"/>
    <s v="JONILSON FELIPE VIEIRA"/>
    <x v="0"/>
    <x v="3"/>
    <x v="1"/>
    <s v="TECNICO MULTIFUNCIONAL"/>
    <x v="15"/>
    <x v="15"/>
    <x v="5"/>
    <x v="1"/>
    <x v="1"/>
    <x v="0"/>
    <x v="0"/>
  </r>
  <r>
    <x v="16"/>
    <n v="413841"/>
    <s v="ATIVIDADE NORMAL"/>
    <s v="19/07/2019"/>
    <x v="0"/>
    <x v="0"/>
    <x v="0"/>
    <x v="0"/>
    <s v="Regional Pernambuco"/>
    <s v="Interior"/>
    <s v="Tecnico de campo"/>
    <x v="0"/>
    <s v="TEC MULTIFUNCIONAL"/>
    <s v="ATIVIDADE NORMAL"/>
    <s v="CRU"/>
    <s v="10701792485"/>
    <s v="04/09/2019"/>
    <s v="ALEXANDRE SEVERINO DA COSTA SILVA"/>
    <s v="DECIO FABIANO LOPES FERREIRA"/>
    <s v="NIVALDO DE OLIVEIRA SOARES"/>
    <x v="0"/>
    <x v="0"/>
    <x v="0"/>
    <s v="TECNICO MULTIFUNCIONAL"/>
    <x v="16"/>
    <x v="16"/>
    <x v="0"/>
    <x v="0"/>
    <x v="0"/>
    <x v="0"/>
    <x v="0"/>
  </r>
  <r>
    <x v="17"/>
    <n v="101008003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01058847317"/>
    <s v="04/09/2019"/>
    <s v="NILO WEBER RAMOS RIBEIRO"/>
    <s v="ANTONIO ROBEVANIO PINHEIRO"/>
    <s v="JONILSON FELIPE VIEIRA"/>
    <x v="0"/>
    <x v="1"/>
    <x v="1"/>
    <s v="TECNICO MULTIFUNCIONAL"/>
    <x v="17"/>
    <x v="17"/>
    <x v="3"/>
    <x v="1"/>
    <x v="1"/>
    <x v="0"/>
    <x v="0"/>
  </r>
  <r>
    <x v="18"/>
    <n v="101001488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01322390355"/>
    <s v="04/09/2019"/>
    <s v="MICHEL SOARES DE OLIVEIRA"/>
    <s v="ANTONIO ROBEVANIO PINHEIRO"/>
    <s v="JONILSON FELIPE VIEIRA"/>
    <x v="0"/>
    <x v="1"/>
    <x v="1"/>
    <s v="TECNICO MULTIFUNCIONAL"/>
    <x v="18"/>
    <x v="18"/>
    <x v="2"/>
    <x v="1"/>
    <x v="1"/>
    <x v="0"/>
    <x v="0"/>
  </r>
  <r>
    <x v="19"/>
    <n v="101008134"/>
    <s v="ATIVIDADE NORMAL"/>
    <s v="19/07/2019"/>
    <x v="1"/>
    <x v="3"/>
    <x v="1"/>
    <x v="3"/>
    <s v="Regional Ceará"/>
    <s v="Capital Oeste Ceará"/>
    <s v="Tecnico de campo"/>
    <x v="0"/>
    <s v="TEC MULTIFUNCIONAL"/>
    <s v="ATIVIDADE NORMAL"/>
    <s v="CNO"/>
    <s v="04951405385"/>
    <s v="04/09/2019"/>
    <s v="BRUNO SAVIO DA SILVA"/>
    <s v="ANTONIO ROBEVANIO PINHEIRO"/>
    <s v="JONILSON FELIPE VIEIRA"/>
    <x v="0"/>
    <x v="3"/>
    <x v="1"/>
    <s v="TECNICO MULTIFUNCIONAL"/>
    <x v="19"/>
    <x v="19"/>
    <x v="5"/>
    <x v="1"/>
    <x v="1"/>
    <x v="0"/>
    <x v="0"/>
  </r>
  <r>
    <x v="20"/>
    <n v="101001488"/>
    <s v="ATIVIDADE NORMAL"/>
    <s v="19/07/2019"/>
    <x v="1"/>
    <x v="4"/>
    <x v="1"/>
    <x v="4"/>
    <s v="Regional Ceará"/>
    <s v="Capital Oeste Ceará"/>
    <s v="Tecnico de campo"/>
    <x v="0"/>
    <s v="TEC MULTIFUNCIONAL"/>
    <s v="ATIVIDADE NORMAL"/>
    <s v="COO"/>
    <s v="03618079370"/>
    <s v="04/09/2019"/>
    <s v="MICHEL SOARES DE OLIVEIRA"/>
    <s v="ANTONIO ROBEVANIO PINHEIRO"/>
    <s v="JONILSON FELIPE VIEIRA"/>
    <x v="0"/>
    <x v="4"/>
    <x v="1"/>
    <s v="TECNICO MULTIFUNCIONAL"/>
    <x v="20"/>
    <x v="20"/>
    <x v="2"/>
    <x v="1"/>
    <x v="1"/>
    <x v="0"/>
    <x v="0"/>
  </r>
  <r>
    <x v="21"/>
    <n v="101010210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66894840334"/>
    <s v="04/09/2019"/>
    <s v="ANTONIO FABIO DOS SANTOS LIMA"/>
    <s v="ANTONIO ROBEVANIO PINHEIRO"/>
    <s v="JONILSON FELIPE VIEIRA"/>
    <x v="0"/>
    <x v="1"/>
    <x v="1"/>
    <s v="TECNICO MULTIFUNCIONAL"/>
    <x v="21"/>
    <x v="21"/>
    <x v="1"/>
    <x v="1"/>
    <x v="1"/>
    <x v="0"/>
    <x v="0"/>
  </r>
  <r>
    <x v="22"/>
    <n v="101010821"/>
    <s v="ATIVIDADE NORMAL"/>
    <s v="19/07/2019"/>
    <x v="1"/>
    <x v="4"/>
    <x v="1"/>
    <x v="4"/>
    <s v="Regional Ceará"/>
    <s v="Capital Oeste Ceará"/>
    <s v="Tecnico de campo"/>
    <x v="0"/>
    <s v="TEC MULTIFUNCIONAL"/>
    <s v="ATIVIDADE NORMAL"/>
    <s v="COO"/>
    <s v="00541004379"/>
    <s v="04/09/2019"/>
    <s v="THIAGO SILVA DE OLIVEIRA"/>
    <s v="ANTONIO ROBEVANIO PINHEIRO"/>
    <s v="JONILSON FELIPE VIEIRA"/>
    <x v="0"/>
    <x v="4"/>
    <x v="1"/>
    <s v="TECNICO MULTIFUNCIONAL"/>
    <x v="22"/>
    <x v="22"/>
    <x v="4"/>
    <x v="1"/>
    <x v="1"/>
    <x v="0"/>
    <x v="0"/>
  </r>
  <r>
    <x v="23"/>
    <n v="101005241"/>
    <s v="FERIAS NORMAIS"/>
    <s v="02/09/2019"/>
    <x v="1"/>
    <x v="5"/>
    <x v="0"/>
    <x v="5"/>
    <s v="Regional Ceará"/>
    <s v="Juazeiro"/>
    <s v="MultiSkill"/>
    <x v="0"/>
    <s v="TEC MULTIFUNCIONAL"/>
    <s v="FERIAS NORMAIS"/>
    <s v="JNE"/>
    <s v="00015234304"/>
    <s v="04/09/2019"/>
    <s v="CLAUDECIR GOMES MACIEL"/>
    <s v="JEFFERSON OLIVEIRA DA SILVA"/>
    <s v="JONILSON FELIPE VIEIRA"/>
    <x v="1"/>
    <x v="5"/>
    <x v="2"/>
    <s v="TECNICO MULTIFUNCIONAL"/>
    <x v="23"/>
    <x v="23"/>
    <x v="6"/>
    <x v="2"/>
    <x v="1"/>
    <x v="1"/>
    <x v="0"/>
  </r>
  <r>
    <x v="24"/>
    <n v="109000427"/>
    <s v="FERIAS NORMAIS"/>
    <s v="26/08/2019"/>
    <x v="0"/>
    <x v="6"/>
    <x v="2"/>
    <x v="6"/>
    <s v="Regional Pernambuco"/>
    <s v="Interior"/>
    <s v="Tecnico de campo"/>
    <x v="1"/>
    <s v="CABISTA II"/>
    <s v="FERIAS NORMAIS"/>
    <s v="PTA"/>
    <s v="00138542830"/>
    <s v="04/09/2019"/>
    <s v="HAMILTON DAVINO DA SILVA"/>
    <s v="MARCOS DE OLIVEIRA STEHLING"/>
    <s v="NIVALDO DE OLIVEIRA SOARES"/>
    <x v="1"/>
    <x v="6"/>
    <x v="3"/>
    <s v="CABISTA II"/>
    <x v="24"/>
    <x v="24"/>
    <x v="7"/>
    <x v="3"/>
    <x v="0"/>
    <x v="1"/>
    <x v="1"/>
  </r>
  <r>
    <x v="25"/>
    <n v="109504534"/>
    <s v="ATIVIDADE NORMAL"/>
    <s v="05/06/2019"/>
    <x v="0"/>
    <x v="7"/>
    <x v="2"/>
    <x v="7"/>
    <s v="Regional Pernambuco"/>
    <s v="Recife"/>
    <s v="Tecnico de campo"/>
    <x v="1"/>
    <s v="CABISTA I"/>
    <s v="ATIVIDADE NORMAL"/>
    <s v="LES"/>
    <s v="00216222486"/>
    <s v="04/09/2019"/>
    <s v="EDSON CARLOS BARBOSA JUNIOR"/>
    <s v="MARCOS DE OLIVEIRA STEHLING"/>
    <s v="NIVALDO DE OLIVEIRA SOARES"/>
    <x v="0"/>
    <x v="7"/>
    <x v="3"/>
    <s v="CABISTA I"/>
    <x v="25"/>
    <x v="25"/>
    <x v="8"/>
    <x v="3"/>
    <x v="0"/>
    <x v="0"/>
    <x v="1"/>
  </r>
  <r>
    <x v="26"/>
    <n v="101001670"/>
    <s v="ATIVIDADE NORMAL"/>
    <s v="31/10/2018"/>
    <x v="1"/>
    <x v="8"/>
    <x v="3"/>
    <x v="2"/>
    <s v="Regional Ceará"/>
    <s v="Capital Sul Ceará"/>
    <s v="Tecnico de campo"/>
    <x v="2"/>
    <s v="TEC ADSL I"/>
    <s v="ATIVIDADE NORMAL"/>
    <s v="GCL"/>
    <s v="00314245383"/>
    <s v="04/09/2019"/>
    <s v="FRANCISCO MARCOS TEIXEIRA DOS SANTOS"/>
    <s v="JEFFERSON OLIVEIRA DA SILVA"/>
    <s v="JONILSON FELIPE VIEIRA"/>
    <x v="0"/>
    <x v="8"/>
    <x v="4"/>
    <s v="TECNICO ADSL"/>
    <x v="26"/>
    <x v="26"/>
    <x v="9"/>
    <x v="2"/>
    <x v="1"/>
    <x v="0"/>
    <x v="0"/>
  </r>
  <r>
    <x v="27"/>
    <n v="101010821"/>
    <s v="ATIVIDADE NORMAL"/>
    <s v="19/07/2019"/>
    <x v="1"/>
    <x v="4"/>
    <x v="1"/>
    <x v="4"/>
    <s v="Regional Ceará"/>
    <s v="Capital Oeste Ceará"/>
    <s v="Tecnico de campo"/>
    <x v="0"/>
    <s v="TEC MULTIFUNCIONAL"/>
    <s v="ATIVIDADE NORMAL"/>
    <s v="COO"/>
    <s v="58975721272"/>
    <s v="04/09/2019"/>
    <s v="THIAGO SILVA DE OLIVEIRA"/>
    <s v="ANTONIO ROBEVANIO PINHEIRO"/>
    <s v="JONILSON FELIPE VIEIRA"/>
    <x v="0"/>
    <x v="2"/>
    <x v="1"/>
    <s v="TECNICO MULTIFUNCIONAL"/>
    <x v="27"/>
    <x v="27"/>
    <x v="4"/>
    <x v="1"/>
    <x v="1"/>
    <x v="0"/>
    <x v="0"/>
  </r>
  <r>
    <x v="28"/>
    <n v="413841"/>
    <s v="ATIVIDADE NORMAL"/>
    <s v="19/07/2019"/>
    <x v="0"/>
    <x v="0"/>
    <x v="0"/>
    <x v="0"/>
    <s v="Regional Pernambuco"/>
    <s v="Interior"/>
    <s v="Tecnico de campo"/>
    <x v="0"/>
    <s v="TEC MULTIFUNCIONAL"/>
    <s v="ATIVIDADE NORMAL"/>
    <s v="CRU"/>
    <s v="05676963409"/>
    <s v="04/09/2019"/>
    <s v="ALEXANDRE SEVERINO DA COSTA SILVA"/>
    <s v="DECIO FABIANO LOPES FERREIRA"/>
    <s v="NIVALDO DE OLIVEIRA SOARES"/>
    <x v="0"/>
    <x v="0"/>
    <x v="0"/>
    <s v="TECNICO MULTIFUNCIONAL"/>
    <x v="28"/>
    <x v="28"/>
    <x v="0"/>
    <x v="0"/>
    <x v="0"/>
    <x v="0"/>
    <x v="0"/>
  </r>
  <r>
    <x v="29"/>
    <n v="101001488"/>
    <s v="ATIVIDADE NORMAL"/>
    <s v="19/07/2019"/>
    <x v="1"/>
    <x v="2"/>
    <x v="1"/>
    <x v="2"/>
    <s v="Regional Ceará"/>
    <s v="Capital Sul Ceará"/>
    <s v="Tecnico de campo"/>
    <x v="0"/>
    <s v="TEC MULTIFUNCIONAL"/>
    <s v="ATIVIDADE NORMAL"/>
    <s v="GCL"/>
    <s v="00758637314"/>
    <s v="04/09/2019"/>
    <s v="MICHEL SOARES DE OLIVEIRA"/>
    <s v="ANTONIO ROBEVANIO PINHEIRO"/>
    <s v="JONILSON FELIPE VIEIRA"/>
    <x v="0"/>
    <x v="2"/>
    <x v="1"/>
    <s v="TECNICO MULTIFUNCIONAL"/>
    <x v="29"/>
    <x v="29"/>
    <x v="2"/>
    <x v="1"/>
    <x v="1"/>
    <x v="0"/>
    <x v="0"/>
  </r>
  <r>
    <x v="30"/>
    <n v="413841"/>
    <s v="ATIVIDADE NORMAL"/>
    <s v="19/07/2019"/>
    <x v="0"/>
    <x v="0"/>
    <x v="0"/>
    <x v="0"/>
    <s v="Regional Pernambuco"/>
    <s v="Interior"/>
    <s v="Tecnico de campo"/>
    <x v="0"/>
    <s v="TEC MULTIFUNCIONAL"/>
    <s v="ATIVIDADE NORMAL"/>
    <s v="CRU"/>
    <s v="01175362450"/>
    <s v="04/09/2019"/>
    <s v="ALEXANDRE SEVERINO DA COSTA SILVA"/>
    <s v="DECIO FABIANO LOPES FERREIRA"/>
    <s v="NIVALDO DE OLIVEIRA SOARES"/>
    <x v="0"/>
    <x v="0"/>
    <x v="0"/>
    <s v="TECNICO MULTIFUNCIONAL"/>
    <x v="30"/>
    <x v="30"/>
    <x v="0"/>
    <x v="0"/>
    <x v="0"/>
    <x v="0"/>
    <x v="0"/>
  </r>
  <r>
    <x v="31"/>
    <n v="101008134"/>
    <s v="ATIVIDADE NORMAL"/>
    <s v="19/07/2019"/>
    <x v="1"/>
    <x v="4"/>
    <x v="1"/>
    <x v="4"/>
    <s v="Regional Ceará"/>
    <s v="Capital Oeste Ceará"/>
    <s v="Tecnico de campo"/>
    <x v="0"/>
    <s v="TEC MULTIFUNCIONAL"/>
    <s v="ATIVIDADE NORMAL"/>
    <s v="COO"/>
    <s v="02943884359"/>
    <s v="04/09/2019"/>
    <s v="BRUNO SAVIO DA SILVA"/>
    <s v="ANTONIO ROBEVANIO PINHEIRO"/>
    <s v="JONILSON FELIPE VIEIRA"/>
    <x v="0"/>
    <x v="4"/>
    <x v="1"/>
    <s v="TECNICO MULTIFUNCIONAL"/>
    <x v="31"/>
    <x v="31"/>
    <x v="5"/>
    <x v="1"/>
    <x v="1"/>
    <x v="0"/>
    <x v="0"/>
  </r>
  <r>
    <x v="32"/>
    <n v="413841"/>
    <s v="ATIVIDADE NORMAL"/>
    <s v="19/07/2019"/>
    <x v="0"/>
    <x v="0"/>
    <x v="0"/>
    <x v="0"/>
    <s v="Regional Pernambuco"/>
    <s v="Interior"/>
    <s v="Tecnico de campo"/>
    <x v="0"/>
    <s v="TEC MULTIFUNCIONAL"/>
    <s v="ATIVIDADE NORMAL"/>
    <s v="CRU"/>
    <s v="09684186436"/>
    <s v="04/09/2019"/>
    <s v="ALEXANDRE SEVERINO DA COSTA SILVA"/>
    <s v="DECIO FABIANO LOPES FERREIRA"/>
    <s v="NIVALDO DE OLIVEIRA SOARES"/>
    <x v="0"/>
    <x v="0"/>
    <x v="0"/>
    <s v="TECNICO MULTIFUNCIONAL"/>
    <x v="32"/>
    <x v="32"/>
    <x v="0"/>
    <x v="0"/>
    <x v="0"/>
    <x v="0"/>
    <x v="0"/>
  </r>
  <r>
    <x v="33"/>
    <n v="101001782"/>
    <s v="ATIVIDADE NORMAL"/>
    <s v="28/11/2018"/>
    <x v="1"/>
    <x v="9"/>
    <x v="4"/>
    <x v="8"/>
    <s v="Regional Ceará"/>
    <s v="Quixadá"/>
    <s v="MultiSkill"/>
    <x v="3"/>
    <s v="TEC MULTIFUNCIONAL"/>
    <s v="ATIVIDADE NORMAL"/>
    <s v="QXA"/>
    <s v="00327783338"/>
    <s v="04/09/2019"/>
    <s v="LYNDON JONHSON SILVA LIMA"/>
    <s v="ALENCAR DE SOUZA SANTOS"/>
    <s v="JONILSON FELIPE VIEIRA"/>
    <x v="0"/>
    <x v="9"/>
    <x v="2"/>
    <s v="TECNICO MULTIFUNCIONAL"/>
    <x v="33"/>
    <x v="33"/>
    <x v="10"/>
    <x v="4"/>
    <x v="1"/>
    <x v="0"/>
    <x v="0"/>
  </r>
  <r>
    <x v="34"/>
    <n v="101010209"/>
    <s v="ATIVIDADE NORMAL"/>
    <s v="26/11/2018"/>
    <x v="1"/>
    <x v="10"/>
    <x v="5"/>
    <x v="4"/>
    <s v="Regional Ceará"/>
    <s v="Capital Oeste Ceará"/>
    <s v="MultiSkill"/>
    <x v="4"/>
    <s v="TEC MULTIFUNCIONAL"/>
    <s v="ATIVIDADE NORMAL"/>
    <s v="COO"/>
    <s v="00355931303"/>
    <s v="04/09/2019"/>
    <s v="KARLYSSON FRANCO SANTANA DE SOUSA"/>
    <s v="ALENCAR DE SOUZA SANTOS"/>
    <s v="JONILSON FELIPE VIEIRA"/>
    <x v="0"/>
    <x v="10"/>
    <x v="2"/>
    <s v="TECNICO MULTIFUNCIONAL"/>
    <x v="34"/>
    <x v="34"/>
    <x v="11"/>
    <x v="4"/>
    <x v="1"/>
    <x v="0"/>
    <x v="0"/>
  </r>
  <r>
    <x v="35"/>
    <n v="109505858"/>
    <s v="FERIAS NORMAIS"/>
    <s v="19/08/2019"/>
    <x v="0"/>
    <x v="6"/>
    <x v="6"/>
    <x v="6"/>
    <s v="Regional Pernambuco"/>
    <s v="Interior"/>
    <s v="Tecnico de campo"/>
    <x v="5"/>
    <s v="TEC MULTIFUNCIONAL"/>
    <s v="FERIAS NORMAIS"/>
    <s v="PTA"/>
    <s v="00369645570"/>
    <s v="04/09/2019"/>
    <s v="THIAGO DE LIMA PIRES RODRIGUES"/>
    <s v="DECIO FABIANO LOPES FERREIRA"/>
    <s v="NIVALDO DE OLIVEIRA SOARES"/>
    <x v="1"/>
    <x v="11"/>
    <x v="2"/>
    <s v="TECNICO MULTIFUNCIONAL"/>
    <x v="35"/>
    <x v="35"/>
    <x v="12"/>
    <x v="0"/>
    <x v="0"/>
    <x v="1"/>
    <x v="1"/>
  </r>
  <r>
    <x v="36"/>
    <n v="101010178"/>
    <s v="FERIAS NORMAIS"/>
    <s v="02/09/2019"/>
    <x v="1"/>
    <x v="11"/>
    <x v="7"/>
    <x v="9"/>
    <s v="Regional Ceará"/>
    <s v="Juazeiro"/>
    <s v="Tecnico de campo"/>
    <x v="1"/>
    <s v="GESTOR DE AREA FIBRA OTICA I"/>
    <s v="FERIAS NORMAIS"/>
    <s v="IAU"/>
    <s v="00458626309"/>
    <s v="04/09/2019"/>
    <s v="CRISTIANO ADOLFO TORRES SAMPAIO"/>
    <s v="CRISTIANO ADOLFO TORRES SAMPAIO"/>
    <s v="JESSE GONCALVES PASSOS DE LIMA"/>
    <x v="1"/>
    <x v="12"/>
    <x v="5"/>
    <s v="COORDENADOR OPERACIONAL"/>
    <x v="36"/>
    <x v="36"/>
    <x v="13"/>
    <x v="5"/>
    <x v="2"/>
    <x v="1"/>
    <x v="1"/>
  </r>
  <r>
    <x v="37"/>
    <n v="101010210"/>
    <s v="ATIVIDADE NORMAL"/>
    <s v="25/06/2019"/>
    <x v="1"/>
    <x v="1"/>
    <x v="1"/>
    <x v="1"/>
    <s v="Regional Ceará"/>
    <s v="Capital Sul Ceará"/>
    <s v="Tecnico de campo"/>
    <x v="0"/>
    <s v="TEC MULTIFUNCIONAL"/>
    <s v="ATIVIDADE NORMAL"/>
    <s v="GCS - FTTH"/>
    <s v="00458995339"/>
    <s v="04/09/2019"/>
    <s v="ANTONIO FABIO DOS SANTOS LIMA"/>
    <s v="ANTONIO ROBEVANIO PINHEIRO"/>
    <s v="JONILSON FELIPE VIEIRA"/>
    <x v="0"/>
    <x v="1"/>
    <x v="1"/>
    <s v="TECNICO MULTIFUNCIONAL"/>
    <x v="37"/>
    <x v="37"/>
    <x v="1"/>
    <x v="1"/>
    <x v="1"/>
    <x v="0"/>
    <x v="0"/>
  </r>
  <r>
    <x v="38"/>
    <n v="101003771"/>
    <s v="ATIVIDADE NORMAL"/>
    <s v="16/06/2019"/>
    <x v="1"/>
    <x v="12"/>
    <x v="6"/>
    <x v="1"/>
    <s v="Regional Ceará"/>
    <s v="Capital Sul Ceará"/>
    <s v="Tecnico de campo"/>
    <x v="5"/>
    <s v="INSTALADOR"/>
    <s v="ATIVIDADE NORMAL"/>
    <s v="GCS"/>
    <s v="00650278330"/>
    <s v="04/09/2019"/>
    <s v="ANA CLAUDIA DE CASTRO DA SILVA"/>
    <s v="ALENCAR DE SOUZA SANTOS"/>
    <s v="JONILSON FELIPE VIEIRA"/>
    <x v="0"/>
    <x v="13"/>
    <x v="6"/>
    <s v="INSTALADOR I"/>
    <x v="38"/>
    <x v="38"/>
    <x v="14"/>
    <x v="4"/>
    <x v="1"/>
    <x v="0"/>
    <x v="1"/>
  </r>
  <r>
    <x v="39"/>
    <n v="109000017"/>
    <s v="ATIVIDADE NORMAL"/>
    <s v="12/06/2019"/>
    <x v="0"/>
    <x v="13"/>
    <x v="8"/>
    <x v="10"/>
    <s v="Regional Pernambuco"/>
    <s v="Recife"/>
    <s v="Tecnico de campo"/>
    <x v="6"/>
    <s v="CABISTA I"/>
    <s v="ATIVIDADE NORMAL"/>
    <s v="PES"/>
    <s v="00736506411"/>
    <s v="04/09/2019"/>
    <s v="AMAURY ASSIS DE LIMA"/>
    <s v="DECIO FABIANO LOPES FERREIRA"/>
    <s v="NIVALDO DE OLIVEIRA SOARES"/>
    <x v="0"/>
    <x v="14"/>
    <x v="7"/>
    <s v="CABISTA I"/>
    <x v="39"/>
    <x v="39"/>
    <x v="15"/>
    <x v="0"/>
    <x v="0"/>
    <x v="0"/>
    <x v="1"/>
  </r>
  <r>
    <x v="40"/>
    <n v="109505858"/>
    <s v="AFAST DOENCA MAIS DE 15 DIAS"/>
    <s v="25/12/2014"/>
    <x v="0"/>
    <x v="14"/>
    <x v="9"/>
    <x v="11"/>
    <s v="Regional Pernambuco"/>
    <s v="Interior"/>
    <s v="Tecnico de campo"/>
    <x v="7"/>
    <s v="INSTALADOR"/>
    <s v="AFAST DOENCA MAIS DE 15 DIAS"/>
    <s v="ACV"/>
    <s v="00772398496"/>
    <s v="04/09/2019"/>
    <s v="THIAGO DE LIMA PIRES RODRIGUES"/>
    <s v="DECIO FABIANO LOPES FERREIRA"/>
    <s v="NIVALDO DE OLIVEIRA SOARES"/>
    <x v="1"/>
    <x v="11"/>
    <x v="2"/>
    <s v="INSTALADOR I"/>
    <x v="40"/>
    <x v="40"/>
    <x v="12"/>
    <x v="0"/>
    <x v="0"/>
    <x v="2"/>
    <x v="0"/>
  </r>
  <r>
    <x v="41"/>
    <n v="105303208"/>
    <s v="ATIVIDADE NORMAL"/>
    <s v="17/04/2019"/>
    <x v="2"/>
    <x v="15"/>
    <x v="10"/>
    <x v="12"/>
    <s v="Regional Pernambuco"/>
    <s v="João Pessoa"/>
    <s v="MultiSkill"/>
    <x v="4"/>
    <s v="TEC MULTIFUNCIONAL"/>
    <s v="ATIVIDADE NORMAL"/>
    <s v="JPA"/>
    <s v="00783009402"/>
    <s v="04/09/2019"/>
    <s v="FERNANDO ANTONIO PORTO DE FREITAS"/>
    <s v="WENDELL FRANKLIN VIEIRA MAIA"/>
    <s v="WENDELL FRANKLIN VIEIRA MAIA"/>
    <x v="1"/>
    <x v="15"/>
    <x v="2"/>
    <s v="TECNICO MULTIFUNCIONAL"/>
    <x v="41"/>
    <x v="41"/>
    <x v="16"/>
    <x v="6"/>
    <x v="3"/>
    <x v="0"/>
    <x v="0"/>
  </r>
  <r>
    <x v="42"/>
    <n v="109506032"/>
    <s v="ATIVIDADE NORMAL"/>
    <s v="01/05/2019"/>
    <x v="0"/>
    <x v="16"/>
    <x v="8"/>
    <x v="13"/>
    <s v="Regional Pernambuco"/>
    <s v="Recife"/>
    <s v="Equipe SWAT"/>
    <x v="6"/>
    <s v="CABISTA III"/>
    <s v="ATIVIDADE NORMAL"/>
    <s v="OES"/>
    <s v="00786196459"/>
    <s v="04/09/2019"/>
    <s v="CARLOS REIS GONZAGA"/>
    <s v="DECIO FABIANO LOPES FERREIRA"/>
    <s v="NIVALDO DE OLIVEIRA SOARES"/>
    <x v="0"/>
    <x v="16"/>
    <x v="7"/>
    <s v="CABISTA III"/>
    <x v="42"/>
    <x v="42"/>
    <x v="17"/>
    <x v="0"/>
    <x v="0"/>
    <x v="0"/>
    <x v="1"/>
  </r>
  <r>
    <x v="43"/>
    <n v="109505858"/>
    <s v="ATIVIDADE NORMAL"/>
    <s v="26/05/2019"/>
    <x v="0"/>
    <x v="6"/>
    <x v="11"/>
    <x v="6"/>
    <s v="Regional Pernambuco"/>
    <s v="Interior"/>
    <s v="MultiSkill"/>
    <x v="1"/>
    <s v="TEC MULTIFUNCIONAL"/>
    <s v="ATIVIDADE NORMAL"/>
    <s v="PTA"/>
    <s v="00788316443"/>
    <s v="04/09/2019"/>
    <s v="THIAGO DE LIMA PIRES RODRIGUES"/>
    <s v="DECIO FABIANO LOPES FERREIRA"/>
    <s v="NIVALDO DE OLIVEIRA SOARES"/>
    <x v="0"/>
    <x v="11"/>
    <x v="2"/>
    <s v="TECNICO MULTIFUNCIONAL"/>
    <x v="43"/>
    <x v="43"/>
    <x v="12"/>
    <x v="0"/>
    <x v="0"/>
    <x v="0"/>
    <x v="1"/>
  </r>
  <r>
    <x v="44"/>
    <n v="101005989"/>
    <s v="ATIVIDADE NORMAL"/>
    <s v="31/07/2019"/>
    <x v="1"/>
    <x v="17"/>
    <x v="2"/>
    <x v="3"/>
    <s v="Regional Ceará"/>
    <s v="Capital Oeste Ceará"/>
    <s v="Tecnico de campo"/>
    <x v="1"/>
    <s v="CABISTA I"/>
    <s v="ATIVIDADE NORMAL"/>
    <s v="CNO"/>
    <s v="00788453351"/>
    <s v="04/09/2019"/>
    <s v="JOSENIL GOMES RODRIGUES"/>
    <s v="ALENCAR DE SOUZA SANTOS"/>
    <s v="JONILSON FELIPE VIEIRA"/>
    <x v="0"/>
    <x v="17"/>
    <x v="7"/>
    <s v="CABISTA I"/>
    <x v="44"/>
    <x v="44"/>
    <x v="18"/>
    <x v="4"/>
    <x v="1"/>
    <x v="0"/>
    <x v="1"/>
  </r>
  <r>
    <x v="45"/>
    <n v="109500038"/>
    <s v="ATIVIDADE NORMAL"/>
    <s v="13/04/2019"/>
    <x v="0"/>
    <x v="18"/>
    <x v="12"/>
    <x v="14"/>
    <s v="Regional Pernambuco"/>
    <s v="Recife"/>
    <s v="Tecnico de campo"/>
    <x v="6"/>
    <s v="CABISTA III"/>
    <s v="ATIVIDADE NORMAL"/>
    <s v="NOR"/>
    <s v="00814090443"/>
    <s v="04/09/2019"/>
    <s v="PATRICIO MARTINS DE SOUSA"/>
    <s v="MARCOS DE OLIVEIRA STEHLING"/>
    <s v="NIVALDO DE OLIVEIRA SOARES"/>
    <x v="0"/>
    <x v="18"/>
    <x v="8"/>
    <s v="CABISTA III"/>
    <x v="45"/>
    <x v="45"/>
    <x v="19"/>
    <x v="3"/>
    <x v="0"/>
    <x v="0"/>
    <x v="1"/>
  </r>
  <r>
    <x v="46"/>
    <n v="101005380"/>
    <s v="FERIAS NORMAIS"/>
    <s v="19/08/2019"/>
    <x v="1"/>
    <x v="19"/>
    <x v="5"/>
    <x v="15"/>
    <s v="Regional Ceará"/>
    <s v="Sobral"/>
    <s v="MultiSkill"/>
    <x v="4"/>
    <s v="TEC MULTIFUNCIONAL"/>
    <s v="FERIAS NORMAIS"/>
    <s v="SOL"/>
    <s v="00819571300"/>
    <s v="04/09/2019"/>
    <s v="MARCILIO RIBEIRO DOS SANTOS"/>
    <s v="JEFFERSON OLIVEIRA DA SILVA"/>
    <s v="JONILSON FELIPE VIEIRA"/>
    <x v="1"/>
    <x v="19"/>
    <x v="2"/>
    <s v="TECNICO MULTIFUNCIONAL"/>
    <x v="46"/>
    <x v="46"/>
    <x v="20"/>
    <x v="2"/>
    <x v="1"/>
    <x v="1"/>
    <x v="0"/>
  </r>
  <r>
    <x v="47"/>
    <n v="105000986"/>
    <s v="ATIVIDADE NORMAL"/>
    <s v="07/03/2019"/>
    <x v="2"/>
    <x v="20"/>
    <x v="5"/>
    <x v="16"/>
    <s v="Regional Pernambuco"/>
    <s v="João Pessoa"/>
    <s v="MultiSkill"/>
    <x v="4"/>
    <s v="TEC MULTIFUNCIONAL"/>
    <s v="ATIVIDADE NORMAL"/>
    <s v="CGE"/>
    <s v="00825748470"/>
    <s v="04/09/2019"/>
    <s v="JOSILENE MACENA DE OLIVEIRA"/>
    <s v="WENDELL FRANKLIN VIEIRA MAIA"/>
    <s v="WENDELL FRANKLIN VIEIRA MAIA"/>
    <x v="0"/>
    <x v="20"/>
    <x v="2"/>
    <s v="TECNICO MULTIFUNCIONAL"/>
    <x v="47"/>
    <x v="47"/>
    <x v="21"/>
    <x v="6"/>
    <x v="3"/>
    <x v="0"/>
    <x v="0"/>
  </r>
  <r>
    <x v="48"/>
    <n v="109000340"/>
    <s v="ATIVIDADE NORMAL"/>
    <s v="08/05/2019"/>
    <x v="0"/>
    <x v="21"/>
    <x v="13"/>
    <x v="17"/>
    <s v="Regional Pernambuco"/>
    <s v="Interior"/>
    <s v="Tecnico de campo"/>
    <x v="8"/>
    <s v="OP DG"/>
    <s v="ATIVIDADE NORMAL"/>
    <s v="GUS"/>
    <s v="00826816436"/>
    <s v="04/09/2019"/>
    <s v="AILTON JOSE DOS SANTOS"/>
    <s v="DECIO FABIANO LOPES FERREIRA"/>
    <s v="NIVALDO DE OLIVEIRA SOARES"/>
    <x v="0"/>
    <x v="21"/>
    <x v="9"/>
    <s v="OPERADOR"/>
    <x v="48"/>
    <x v="48"/>
    <x v="22"/>
    <x v="0"/>
    <x v="0"/>
    <x v="0"/>
    <x v="1"/>
  </r>
  <r>
    <x v="49"/>
    <n v="102101220"/>
    <s v="ATIVIDADE NORMAL"/>
    <s v="15/05/2019"/>
    <x v="3"/>
    <x v="22"/>
    <x v="14"/>
    <x v="18"/>
    <s v="Regional Pernambuco"/>
    <s v="Natal"/>
    <s v="MultiSkill"/>
    <x v="4"/>
    <s v="TEC MULTIFUNCIONAL"/>
    <s v="ATIVIDADE NORMAL"/>
    <s v="RNS"/>
    <s v="00827818424"/>
    <s v="04/09/2019"/>
    <s v="JOSUE MOURA DA SILVA"/>
    <s v="REINILSON IGLESIAS JUNIOR"/>
    <s v="WENDELL FRANKLIN VIEIRA MAIA"/>
    <x v="0"/>
    <x v="22"/>
    <x v="2"/>
    <s v="TECNICO MULTIFUNCIONAL"/>
    <x v="49"/>
    <x v="49"/>
    <x v="23"/>
    <x v="7"/>
    <x v="3"/>
    <x v="0"/>
    <x v="0"/>
  </r>
  <r>
    <x v="50"/>
    <n v="102101393"/>
    <s v="ATIVIDADE NORMAL"/>
    <s v="08/05/2019"/>
    <x v="3"/>
    <x v="23"/>
    <x v="2"/>
    <x v="18"/>
    <s v="Regional Pernambuco"/>
    <s v="Natal"/>
    <s v="Equipe SWAT"/>
    <x v="1"/>
    <s v="CABISTA I"/>
    <s v="ATIVIDADE NORMAL"/>
    <s v="RNS"/>
    <s v="00839626460"/>
    <s v="04/09/2019"/>
    <s v="SIDNEY MOURA FREIRE"/>
    <s v="REINILSON IGLESIAS JUNIOR"/>
    <s v="WENDELL FRANKLIN VIEIRA MAIA"/>
    <x v="0"/>
    <x v="23"/>
    <x v="10"/>
    <s v="CABISTA I"/>
    <x v="50"/>
    <x v="50"/>
    <x v="24"/>
    <x v="7"/>
    <x v="3"/>
    <x v="0"/>
    <x v="1"/>
  </r>
  <r>
    <x v="51"/>
    <n v="102101393"/>
    <s v="ATIVIDADE NORMAL"/>
    <s v="20/03/2018"/>
    <x v="3"/>
    <x v="24"/>
    <x v="6"/>
    <x v="19"/>
    <s v="Regional Pernambuco"/>
    <s v="Natal"/>
    <s v="Tecnico de campo"/>
    <x v="5"/>
    <s v="INSTALADOR TUP"/>
    <s v="ATIVIDADE NORMAL"/>
    <s v="NTN"/>
    <s v="00842503480"/>
    <s v="04/09/2019"/>
    <s v="SIDNEY MOURA FREIRE"/>
    <s v="REINILSON IGLESIAS JUNIOR"/>
    <s v="WENDELL FRANKLIN VIEIRA MAIA"/>
    <x v="0"/>
    <x v="23"/>
    <x v="6"/>
    <s v="INSTALADOR I"/>
    <x v="51"/>
    <x v="51"/>
    <x v="24"/>
    <x v="7"/>
    <x v="3"/>
    <x v="0"/>
    <x v="1"/>
  </r>
  <r>
    <x v="52"/>
    <n v="109000017"/>
    <s v="ATIVIDADE NORMAL"/>
    <s v="06/03/2019"/>
    <x v="0"/>
    <x v="25"/>
    <x v="15"/>
    <x v="10"/>
    <s v="Regional Pernambuco"/>
    <s v="Recife"/>
    <s v="Tecnico de campo"/>
    <x v="9"/>
    <s v="INSTALADOR DTH"/>
    <s v="ATIVIDADE NORMAL"/>
    <s v="PES"/>
    <s v="00869391496"/>
    <s v="04/09/2019"/>
    <s v="AMAURY ASSIS DE LIMA"/>
    <s v="DECIO FABIANO LOPES FERREIRA"/>
    <s v="NIVALDO DE OLIVEIRA SOARES"/>
    <x v="0"/>
    <x v="24"/>
    <x v="11"/>
    <s v="INSTALADOR DTH"/>
    <x v="52"/>
    <x v="52"/>
    <x v="15"/>
    <x v="0"/>
    <x v="0"/>
    <x v="0"/>
    <x v="0"/>
  </r>
  <r>
    <x v="53"/>
    <n v="109504012"/>
    <s v="ATIVIDADE NORMAL"/>
    <s v="16/03/2018"/>
    <x v="2"/>
    <x v="15"/>
    <x v="6"/>
    <x v="12"/>
    <s v="Regional Pernambuco"/>
    <s v="João Pessoa"/>
    <s v="Tecnico de campo"/>
    <x v="5"/>
    <s v="INSTALADOR TUP"/>
    <s v="ATIVIDADE NORMAL"/>
    <s v="JPA"/>
    <s v="00895029499"/>
    <s v="04/09/2019"/>
    <s v="FRANCISCO JOSE DIAS DA SILVA"/>
    <s v="WENDELL FRANKLIN VIEIRA MAIA"/>
    <s v="WENDELL FRANKLIN VIEIRA MAIA"/>
    <x v="0"/>
    <x v="25"/>
    <x v="6"/>
    <s v="INSTALADOR I"/>
    <x v="53"/>
    <x v="53"/>
    <x v="25"/>
    <x v="6"/>
    <x v="3"/>
    <x v="0"/>
    <x v="1"/>
  </r>
  <r>
    <x v="54"/>
    <n v="101010062"/>
    <s v="ATIVIDADE NORMAL"/>
    <s v="25/07/2019"/>
    <x v="1"/>
    <x v="26"/>
    <x v="10"/>
    <x v="15"/>
    <s v="Regional Ceará"/>
    <s v="Sobral"/>
    <s v="MultiSkill"/>
    <x v="4"/>
    <s v="TEC MULTIFUNCIONAL"/>
    <s v="ATIVIDADE NORMAL"/>
    <s v="SOL"/>
    <s v="00900905352"/>
    <s v="04/09/2019"/>
    <s v="ANTONIO ERINEUDES CAVALCANTE FEIJAO"/>
    <s v="JEFFERSON OLIVEIRA DA SILVA"/>
    <s v="JONILSON FELIPE VIEIRA"/>
    <x v="0"/>
    <x v="26"/>
    <x v="6"/>
    <s v="TECNICO MULTIFUNCIONAL"/>
    <x v="54"/>
    <x v="54"/>
    <x v="26"/>
    <x v="2"/>
    <x v="1"/>
    <x v="0"/>
    <x v="0"/>
  </r>
  <r>
    <x v="55"/>
    <n v="102100917"/>
    <s v="ATIVIDADE NORMAL"/>
    <s v="31/07/2019"/>
    <x v="3"/>
    <x v="27"/>
    <x v="10"/>
    <x v="20"/>
    <s v="Regional Pernambuco"/>
    <s v="Natal"/>
    <s v="MultiSkill"/>
    <x v="4"/>
    <s v="TEC MULTIFUNCIONAL"/>
    <s v="ATIVIDADE NORMAL"/>
    <s v="MRO"/>
    <s v="00916212408"/>
    <s v="04/09/2019"/>
    <s v="FERNANDO FREITAS ALMEIDA DOS SANTOS"/>
    <s v="REINILSON IGLESIAS JUNIOR"/>
    <s v="WENDELL FRANKLIN VIEIRA MAIA"/>
    <x v="0"/>
    <x v="27"/>
    <x v="2"/>
    <s v="TECNICO MULTIFUNCIONAL"/>
    <x v="55"/>
    <x v="55"/>
    <x v="27"/>
    <x v="7"/>
    <x v="3"/>
    <x v="0"/>
    <x v="0"/>
  </r>
  <r>
    <x v="56"/>
    <n v="102100917"/>
    <s v="ATIVIDADE NORMAL"/>
    <s v="14/02/2019"/>
    <x v="3"/>
    <x v="27"/>
    <x v="4"/>
    <x v="20"/>
    <s v="Regional Pernambuco"/>
    <s v="Natal"/>
    <s v="MultiSkill"/>
    <x v="3"/>
    <s v="TEC MULTIFUNCIONAL"/>
    <s v="ATIVIDADE NORMAL"/>
    <s v="MRO"/>
    <s v="00960932429"/>
    <s v="04/09/2019"/>
    <s v="FERNANDO FREITAS ALMEIDA DOS SANTOS"/>
    <s v="REINILSON IGLESIAS JUNIOR"/>
    <s v="WENDELL FRANKLIN VIEIRA MAIA"/>
    <x v="0"/>
    <x v="28"/>
    <x v="2"/>
    <s v="TECNICO MULTIFUNCIONAL"/>
    <x v="56"/>
    <x v="56"/>
    <x v="27"/>
    <x v="7"/>
    <x v="3"/>
    <x v="0"/>
    <x v="0"/>
  </r>
  <r>
    <x v="57"/>
    <n v="102101642"/>
    <s v="ATIVIDADE NORMAL"/>
    <s v="02/01/2019"/>
    <x v="3"/>
    <x v="28"/>
    <x v="13"/>
    <x v="21"/>
    <s v="Regional Pernambuco"/>
    <s v="Natal"/>
    <s v="Tecnico de campo"/>
    <x v="8"/>
    <s v="OP DG"/>
    <s v="ATIVIDADE NORMAL"/>
    <s v="NTS"/>
    <s v="00965791459"/>
    <s v="04/09/2019"/>
    <s v="WILSON CARLOS SILVEIRA LEIROS"/>
    <s v="REINILSON IGLESIAS JUNIOR"/>
    <s v="WENDELL FRANKLIN VIEIRA MAIA"/>
    <x v="1"/>
    <x v="29"/>
    <x v="9"/>
    <s v="OPERADOR"/>
    <x v="57"/>
    <x v="57"/>
    <x v="28"/>
    <x v="7"/>
    <x v="3"/>
    <x v="0"/>
    <x v="1"/>
  </r>
  <r>
    <x v="58"/>
    <n v="102100917"/>
    <s v="FERIAS NORMAIS"/>
    <s v="02/09/2019"/>
    <x v="3"/>
    <x v="27"/>
    <x v="2"/>
    <x v="20"/>
    <s v="Regional Pernambuco"/>
    <s v="Natal"/>
    <s v="Tecnico de campo"/>
    <x v="1"/>
    <s v="CABISTA I"/>
    <s v="FERIAS NORMAIS"/>
    <s v="MRO"/>
    <s v="00969030401"/>
    <s v="04/09/2019"/>
    <s v="FERNANDO FREITAS ALMEIDA DOS SANTOS"/>
    <s v="REINILSON IGLESIAS JUNIOR"/>
    <s v="WENDELL FRANKLIN VIEIRA MAIA"/>
    <x v="1"/>
    <x v="28"/>
    <x v="7"/>
    <s v="CABISTA I"/>
    <x v="58"/>
    <x v="58"/>
    <x v="27"/>
    <x v="7"/>
    <x v="3"/>
    <x v="1"/>
    <x v="1"/>
  </r>
  <r>
    <x v="59"/>
    <n v="102101634"/>
    <s v="ATIVIDADE NORMAL"/>
    <s v="06/05/2019"/>
    <x v="3"/>
    <x v="29"/>
    <x v="10"/>
    <x v="19"/>
    <s v="Regional Pernambuco"/>
    <s v="Natal"/>
    <s v="Tecnico de campo"/>
    <x v="4"/>
    <s v="TEC MULTIFUNCIONAL"/>
    <s v="ATIVIDADE NORMAL"/>
    <s v="NTN"/>
    <s v="00992721482"/>
    <s v="04/09/2019"/>
    <s v="FABIO BATISTA DA SILVA"/>
    <s v="REINILSON IGLESIAS JUNIOR"/>
    <s v="WENDELL FRANKLIN VIEIRA MAIA"/>
    <x v="0"/>
    <x v="30"/>
    <x v="2"/>
    <s v="TECNICO MULTIFUNCIONAL"/>
    <x v="59"/>
    <x v="59"/>
    <x v="29"/>
    <x v="7"/>
    <x v="3"/>
    <x v="0"/>
    <x v="0"/>
  </r>
  <r>
    <x v="60"/>
    <n v="109504193"/>
    <s v="ATIVIDADE NORMAL"/>
    <s v="14/04/2019"/>
    <x v="0"/>
    <x v="30"/>
    <x v="2"/>
    <x v="13"/>
    <s v="Regional Pernambuco"/>
    <s v="Recife"/>
    <s v="Tecnico de campo"/>
    <x v="1"/>
    <s v="TEC MULTIFUNCIONAL"/>
    <s v="ATIVIDADE NORMAL"/>
    <s v="OES"/>
    <s v="01060418436"/>
    <s v="04/09/2019"/>
    <s v="PAULO JOSE DA SILVA JUNIOR"/>
    <s v="MARCOS DE OLIVEIRA STEHLING"/>
    <s v="NIVALDO DE OLIVEIRA SOARES"/>
    <x v="0"/>
    <x v="31"/>
    <x v="12"/>
    <s v="TECNICO MULTIFUNCIONAL"/>
    <x v="60"/>
    <x v="60"/>
    <x v="30"/>
    <x v="3"/>
    <x v="0"/>
    <x v="0"/>
    <x v="1"/>
  </r>
  <r>
    <x v="61"/>
    <n v="101005241"/>
    <s v="ATIVIDADE NORMAL"/>
    <s v="20/02/2019"/>
    <x v="1"/>
    <x v="31"/>
    <x v="2"/>
    <x v="5"/>
    <s v="Regional Ceará"/>
    <s v="Juazeiro"/>
    <s v="Equipe SWAT"/>
    <x v="1"/>
    <s v="CABISTA I"/>
    <s v="ATIVIDADE NORMAL"/>
    <s v="JNE"/>
    <s v="01089207395"/>
    <s v="04/09/2019"/>
    <s v="CLAUDECIR GOMES MACIEL"/>
    <s v="JEFFERSON OLIVEIRA DA SILVA"/>
    <s v="JONILSON FELIPE VIEIRA"/>
    <x v="0"/>
    <x v="5"/>
    <x v="10"/>
    <s v="CABISTA I"/>
    <x v="61"/>
    <x v="61"/>
    <x v="6"/>
    <x v="2"/>
    <x v="1"/>
    <x v="0"/>
    <x v="1"/>
  </r>
  <r>
    <x v="62"/>
    <n v="101006255"/>
    <s v="ATIVIDADE NORMAL"/>
    <s v="16/02/2019"/>
    <x v="1"/>
    <x v="32"/>
    <x v="5"/>
    <x v="2"/>
    <s v="Regional Ceará"/>
    <s v="Capital Sul Ceará"/>
    <s v="MultiSkill"/>
    <x v="4"/>
    <s v="TEC MULTIFUNCIONAL"/>
    <s v="ATIVIDADE NORMAL"/>
    <s v="GCL"/>
    <s v="01102006327"/>
    <s v="04/09/2019"/>
    <s v="FRANCISCO DE ASSIS FILHO"/>
    <s v="JEFFERSON OLIVEIRA DA SILVA"/>
    <s v="JONILSON FELIPE VIEIRA"/>
    <x v="0"/>
    <x v="32"/>
    <x v="2"/>
    <s v="TECNICO MULTIFUNCIONAL"/>
    <x v="62"/>
    <x v="62"/>
    <x v="31"/>
    <x v="2"/>
    <x v="1"/>
    <x v="0"/>
    <x v="0"/>
  </r>
  <r>
    <x v="63"/>
    <n v="105303208"/>
    <s v="FERIAS NOR AD 13 SALARIO"/>
    <s v="02/09/2019"/>
    <x v="2"/>
    <x v="15"/>
    <x v="5"/>
    <x v="12"/>
    <s v="Regional Pernambuco"/>
    <s v="João Pessoa"/>
    <s v="MultiSkill"/>
    <x v="4"/>
    <s v="TEC MULTIFUNCIONAL"/>
    <s v="FERIAS NOR AD 13 SALARIO"/>
    <s v="JPA"/>
    <s v="01168767431"/>
    <s v="04/09/2019"/>
    <s v="FERNANDO ANTONIO PORTO DE FREITAS"/>
    <s v="WENDELL FRANKLIN VIEIRA MAIA"/>
    <s v="WENDELL FRANKLIN VIEIRA MAIA"/>
    <x v="1"/>
    <x v="25"/>
    <x v="2"/>
    <s v="TECNICO MULTIFUNCIONAL"/>
    <x v="63"/>
    <x v="63"/>
    <x v="16"/>
    <x v="6"/>
    <x v="3"/>
    <x v="1"/>
    <x v="0"/>
  </r>
  <r>
    <x v="64"/>
    <n v="102101220"/>
    <s v="FERIAS NORMAIS"/>
    <s v="19/08/2019"/>
    <x v="3"/>
    <x v="22"/>
    <x v="14"/>
    <x v="18"/>
    <s v="Regional Pernambuco"/>
    <s v="Natal"/>
    <s v="MultiSkill"/>
    <x v="4"/>
    <s v="TEC MULTIFUNCIONAL"/>
    <s v="FERIAS NORMAIS"/>
    <s v="RNS"/>
    <s v="01190422409"/>
    <s v="04/09/2019"/>
    <s v="JOSUE MOURA DA SILVA"/>
    <s v="REINILSON IGLESIAS JUNIOR"/>
    <s v="WENDELL FRANKLIN VIEIRA MAIA"/>
    <x v="1"/>
    <x v="22"/>
    <x v="2"/>
    <s v="TECNICO MULTIFUNCIONAL"/>
    <x v="64"/>
    <x v="64"/>
    <x v="23"/>
    <x v="7"/>
    <x v="3"/>
    <x v="1"/>
    <x v="0"/>
  </r>
  <r>
    <x v="65"/>
    <n v="108401409"/>
    <s v="ATIVIDADE NORMAL"/>
    <s v="03/07/2019"/>
    <x v="1"/>
    <x v="8"/>
    <x v="15"/>
    <x v="2"/>
    <s v="Regional Ceará"/>
    <s v="Capital Sul Ceará"/>
    <s v="Tecnico de campo"/>
    <x v="9"/>
    <s v="INSTALADOR DTH"/>
    <s v="ATIVIDADE NORMAL"/>
    <s v="GCL"/>
    <s v="01211591328"/>
    <s v="04/09/2019"/>
    <s v="JOSE NILTON MENDES LIMA"/>
    <s v="VANDERLEI HENZEL CHOLLET"/>
    <s v="JONILSON FELIPE VIEIRA"/>
    <x v="0"/>
    <x v="33"/>
    <x v="11"/>
    <s v="INSTALADOR DTH"/>
    <x v="65"/>
    <x v="65"/>
    <x v="32"/>
    <x v="8"/>
    <x v="1"/>
    <x v="0"/>
    <x v="0"/>
  </r>
  <r>
    <x v="66"/>
    <n v="109505154"/>
    <s v="ATIVIDADE NORMAL"/>
    <s v="17/10/2018"/>
    <x v="0"/>
    <x v="30"/>
    <x v="2"/>
    <x v="13"/>
    <s v="Regional Pernambuco"/>
    <s v="Recife"/>
    <s v="Tecnico de campo"/>
    <x v="1"/>
    <s v="INSTALADOR"/>
    <s v="ATIVIDADE NORMAL"/>
    <s v="OES"/>
    <s v="01231217448"/>
    <s v="04/09/2019"/>
    <s v="BRUNO LUIZ SANTOS DA SILVA"/>
    <s v="MARCOS DE OLIVEIRA STEHLING"/>
    <s v="NIVALDO DE OLIVEIRA SOARES"/>
    <x v="0"/>
    <x v="34"/>
    <x v="8"/>
    <s v="INSTALADOR I"/>
    <x v="66"/>
    <x v="66"/>
    <x v="33"/>
    <x v="3"/>
    <x v="0"/>
    <x v="0"/>
    <x v="1"/>
  </r>
  <r>
    <x v="67"/>
    <n v="109504012"/>
    <s v="ATIVIDADE NORMAL"/>
    <s v="08/05/2019"/>
    <x v="2"/>
    <x v="33"/>
    <x v="6"/>
    <x v="16"/>
    <s v="Regional Pernambuco"/>
    <s v="João Pessoa"/>
    <s v="Tecnico de campo"/>
    <x v="5"/>
    <s v="INSTALADOR TUP"/>
    <s v="ATIVIDADE NORMAL"/>
    <s v="CGE"/>
    <s v="01232103489"/>
    <s v="04/09/2019"/>
    <s v="FRANCISCO JOSE DIAS DA SILVA"/>
    <s v="WENDELL FRANKLIN VIEIRA MAIA"/>
    <s v="WENDELL FRANKLIN VIEIRA MAIA"/>
    <x v="0"/>
    <x v="35"/>
    <x v="6"/>
    <s v="INSTALADOR I"/>
    <x v="67"/>
    <x v="67"/>
    <x v="25"/>
    <x v="6"/>
    <x v="3"/>
    <x v="0"/>
    <x v="1"/>
  </r>
  <r>
    <x v="68"/>
    <n v="101001782"/>
    <s v="ATIVIDADE NORMAL"/>
    <s v="30/09/2019"/>
    <x v="1"/>
    <x v="9"/>
    <x v="4"/>
    <x v="8"/>
    <s v="Regional Ceará"/>
    <s v="Quixadá"/>
    <s v="MultiSkill"/>
    <x v="3"/>
    <s v="TEC MULTIFUNCIONAL"/>
    <s v="ATIVIDADE NORMAL"/>
    <s v="QXA"/>
    <s v="01244164380"/>
    <s v="04/09/2019"/>
    <s v="LYNDON JONHSON SILVA LIMA"/>
    <s v="ALENCAR DE SOUZA SANTOS"/>
    <s v="JONILSON FELIPE VIEIRA"/>
    <x v="0"/>
    <x v="9"/>
    <x v="2"/>
    <s v="TECNICO MULTIFUNCIONAL"/>
    <x v="68"/>
    <x v="68"/>
    <x v="10"/>
    <x v="4"/>
    <x v="1"/>
    <x v="0"/>
    <x v="0"/>
  </r>
  <r>
    <x v="69"/>
    <n v="109504012"/>
    <s v="ATIVIDADE NORMAL"/>
    <s v="06/03/2019"/>
    <x v="2"/>
    <x v="34"/>
    <x v="6"/>
    <x v="12"/>
    <s v="Regional Pernambuco"/>
    <s v="João Pessoa"/>
    <s v="MultiSkill"/>
    <x v="5"/>
    <s v="TEC MULTIFUNCIONAL"/>
    <s v="ATIVIDADE NORMAL"/>
    <s v="JPA"/>
    <s v="01273042409"/>
    <s v="04/09/2019"/>
    <s v="FRANCISCO JOSE DIAS DA SILVA"/>
    <s v="WENDELL FRANKLIN VIEIRA MAIA"/>
    <s v="WENDELL FRANKLIN VIEIRA MAIA"/>
    <x v="0"/>
    <x v="36"/>
    <x v="2"/>
    <s v="TECNICO MULTIFUNCIONAL"/>
    <x v="69"/>
    <x v="69"/>
    <x v="25"/>
    <x v="6"/>
    <x v="3"/>
    <x v="0"/>
    <x v="1"/>
  </r>
  <r>
    <x v="70"/>
    <n v="105303208"/>
    <s v="FERIAS NORMAIS"/>
    <s v="19/08/2019"/>
    <x v="2"/>
    <x v="15"/>
    <x v="16"/>
    <x v="12"/>
    <s v="Regional Pernambuco"/>
    <s v="João Pessoa"/>
    <s v="Tecnico de campo"/>
    <x v="9"/>
    <s v="INSTALADOR DTH"/>
    <s v="FERIAS NORMAIS"/>
    <s v="JPA"/>
    <s v="01311062440"/>
    <s v="04/09/2019"/>
    <s v="FERNANDO ANTONIO PORTO DE FREITAS"/>
    <s v="WENDELL FRANKLIN VIEIRA MAIA"/>
    <s v="WENDELL FRANKLIN VIEIRA MAIA"/>
    <x v="1"/>
    <x v="25"/>
    <x v="11"/>
    <s v="INSTALADOR DTH"/>
    <x v="70"/>
    <x v="70"/>
    <x v="16"/>
    <x v="6"/>
    <x v="3"/>
    <x v="1"/>
    <x v="0"/>
  </r>
  <r>
    <x v="71"/>
    <n v="109501286"/>
    <s v="ATIVIDADE NORMAL"/>
    <s v="31/05/2019"/>
    <x v="0"/>
    <x v="30"/>
    <x v="15"/>
    <x v="13"/>
    <s v="Regional Pernambuco"/>
    <s v="Recife"/>
    <s v="Tecnico de campo"/>
    <x v="9"/>
    <s v="INSTALADOR DTH"/>
    <s v="ATIVIDADE NORMAL"/>
    <s v="OES"/>
    <s v="01372893407"/>
    <s v="04/09/2019"/>
    <s v="JOSE HENRIQUE NEGRAO DE MEDEIROS"/>
    <s v="DECIO FABIANO LOPES FERREIRA"/>
    <s v="NIVALDO DE OLIVEIRA SOARES"/>
    <x v="0"/>
    <x v="37"/>
    <x v="11"/>
    <s v="INSTALADOR DTH"/>
    <x v="71"/>
    <x v="71"/>
    <x v="34"/>
    <x v="0"/>
    <x v="0"/>
    <x v="0"/>
    <x v="0"/>
  </r>
  <r>
    <x v="72"/>
    <n v="109504193"/>
    <s v="ATIVIDADE NORMAL"/>
    <s v="02/01/2019"/>
    <x v="0"/>
    <x v="35"/>
    <x v="2"/>
    <x v="14"/>
    <s v="Regional Pernambuco"/>
    <s v="Recife"/>
    <s v="Tecnico de campo"/>
    <x v="1"/>
    <s v="CABISTA I"/>
    <s v="ATIVIDADE NORMAL"/>
    <s v="NOR"/>
    <s v="01379670470"/>
    <s v="04/09/2019"/>
    <s v="PAULO JOSE DA SILVA JUNIOR"/>
    <s v="MARCOS DE OLIVEIRA STEHLING"/>
    <s v="NIVALDO DE OLIVEIRA SOARES"/>
    <x v="0"/>
    <x v="38"/>
    <x v="13"/>
    <s v="CABISTA I"/>
    <x v="72"/>
    <x v="72"/>
    <x v="30"/>
    <x v="3"/>
    <x v="0"/>
    <x v="0"/>
    <x v="1"/>
  </r>
  <r>
    <x v="73"/>
    <n v="101007963"/>
    <s v="ATIVIDADE NORMAL"/>
    <s v="18/10/2018"/>
    <x v="1"/>
    <x v="36"/>
    <x v="5"/>
    <x v="4"/>
    <s v="Regional Ceará"/>
    <s v="Capital Oeste Ceará"/>
    <s v="MultiSkill"/>
    <x v="4"/>
    <s v="TEC MULTIFUNCIONAL"/>
    <s v="ATIVIDADE NORMAL"/>
    <s v="COO"/>
    <s v="01381184340"/>
    <s v="04/09/2019"/>
    <s v="JOSEVAN DE SOUSA SILVA"/>
    <s v="ALENCAR DE SOUZA SANTOS"/>
    <s v="JONILSON FELIPE VIEIRA"/>
    <x v="0"/>
    <x v="39"/>
    <x v="2"/>
    <s v="TECNICO MULTIFUNCIONAL"/>
    <x v="73"/>
    <x v="73"/>
    <x v="35"/>
    <x v="4"/>
    <x v="1"/>
    <x v="0"/>
    <x v="0"/>
  </r>
  <r>
    <x v="74"/>
    <n v="101005241"/>
    <s v="FERIAS NORMAIS"/>
    <s v="02/09/2019"/>
    <x v="1"/>
    <x v="5"/>
    <x v="0"/>
    <x v="5"/>
    <s v="Regional Ceará"/>
    <s v="Juazeiro"/>
    <s v="MultiSkill"/>
    <x v="0"/>
    <s v="TEC MULTIFUNCIONAL"/>
    <s v="FERIAS NORMAIS"/>
    <s v="JNE"/>
    <s v="01429937351"/>
    <s v="04/09/2019"/>
    <s v="CLAUDECIR GOMES MACIEL"/>
    <s v="JEFFERSON OLIVEIRA DA SILVA"/>
    <s v="JONILSON FELIPE VIEIRA"/>
    <x v="1"/>
    <x v="5"/>
    <x v="1"/>
    <s v="TECNICO MULTIFUNCIONAL"/>
    <x v="74"/>
    <x v="74"/>
    <x v="6"/>
    <x v="2"/>
    <x v="1"/>
    <x v="1"/>
    <x v="0"/>
  </r>
  <r>
    <x v="75"/>
    <n v="109500177"/>
    <s v="AFAST DOENCA MAIS DE 15 DIAS"/>
    <s v="10/05/2019"/>
    <x v="0"/>
    <x v="37"/>
    <x v="10"/>
    <x v="14"/>
    <s v="Regional Pernambuco"/>
    <s v="Recife"/>
    <s v="MultiSkill"/>
    <x v="4"/>
    <s v="TEC MULTIFUNCIONAL"/>
    <s v="AFAST DOENCA MAIS DE 15 DIAS"/>
    <s v="NOR"/>
    <s v="01432007475"/>
    <s v="04/09/2019"/>
    <s v="JOSUEL FERREIRA DE BRITO"/>
    <s v="BRUNO VINICIUS DE ALBERTINS ALVES"/>
    <s v="NIVALDO DE OLIVEIRA SOARES"/>
    <x v="1"/>
    <x v="40"/>
    <x v="2"/>
    <s v="TECNICO MULTIFUNCIONAL"/>
    <x v="75"/>
    <x v="75"/>
    <x v="36"/>
    <x v="9"/>
    <x v="0"/>
    <x v="2"/>
    <x v="0"/>
  </r>
  <r>
    <x v="76"/>
    <n v="101001782"/>
    <s v="ATIVIDADE NORMAL"/>
    <s v="30/09/2019"/>
    <x v="1"/>
    <x v="9"/>
    <x v="4"/>
    <x v="8"/>
    <s v="Regional Ceará"/>
    <s v="Quixadá"/>
    <s v="MultiSkill"/>
    <x v="3"/>
    <s v="TEC MULTIFUNCIONAL"/>
    <s v="ATIVIDADE NORMAL"/>
    <s v="QXA"/>
    <s v="01491597305"/>
    <s v="04/09/2019"/>
    <s v="LYNDON JONHSON SILVA LIMA"/>
    <s v="ALENCAR DE SOUZA SANTOS"/>
    <s v="JONILSON FELIPE VIEIRA"/>
    <x v="0"/>
    <x v="9"/>
    <x v="2"/>
    <s v="TECNICO MULTIFUNCIONAL"/>
    <x v="76"/>
    <x v="76"/>
    <x v="10"/>
    <x v="4"/>
    <x v="1"/>
    <x v="0"/>
    <x v="0"/>
  </r>
  <r>
    <x v="77"/>
    <n v="109000340"/>
    <s v="FERIAS NORMAIS"/>
    <s v="02/09/2019"/>
    <x v="0"/>
    <x v="38"/>
    <x v="14"/>
    <x v="22"/>
    <s v="Regional Pernambuco"/>
    <s v="Interior"/>
    <s v="MultiSkill"/>
    <x v="4"/>
    <s v="TEC MULTIFUNCIONAL"/>
    <s v="FERIAS NORMAIS"/>
    <s v="CAA"/>
    <s v="03388675465"/>
    <s v="04/09/2019"/>
    <s v="AILTON JOSE DOS SANTOS"/>
    <s v="DECIO FABIANO LOPES FERREIRA"/>
    <s v="NIVALDO DE OLIVEIRA SOARES"/>
    <x v="1"/>
    <x v="41"/>
    <x v="2"/>
    <s v="TECNICO MULTIFUNCIONAL"/>
    <x v="77"/>
    <x v="77"/>
    <x v="22"/>
    <x v="0"/>
    <x v="0"/>
    <x v="1"/>
    <x v="0"/>
  </r>
  <r>
    <x v="78"/>
    <n v="109505819"/>
    <s v="ATIVIDADE NORMAL"/>
    <s v="06/03/2019"/>
    <x v="0"/>
    <x v="39"/>
    <x v="3"/>
    <x v="13"/>
    <s v="Regional Pernambuco"/>
    <s v="Recife"/>
    <s v="Tecnico de campo"/>
    <x v="2"/>
    <s v="TEC MULTIFUNCIONAL"/>
    <s v="ATIVIDADE NORMAL"/>
    <s v="OES"/>
    <s v="03433533423"/>
    <s v="04/09/2019"/>
    <s v="ALESSANDRO DIONISIO DE FRANCA"/>
    <s v="DECIO FABIANO LOPES FERREIRA"/>
    <s v="NIVALDO DE OLIVEIRA SOARES"/>
    <x v="0"/>
    <x v="14"/>
    <x v="2"/>
    <s v="TECNICO MULTIFUNCIONAL"/>
    <x v="78"/>
    <x v="78"/>
    <x v="37"/>
    <x v="0"/>
    <x v="0"/>
    <x v="0"/>
    <x v="0"/>
  </r>
  <r>
    <x v="79"/>
    <n v="101005989"/>
    <s v="ATIVIDADE NORMAL"/>
    <s v="31/07/2019"/>
    <x v="1"/>
    <x v="17"/>
    <x v="17"/>
    <x v="3"/>
    <s v="Regional Ceará"/>
    <s v="Capital Oeste Ceará"/>
    <s v="MultiSkill"/>
    <x v="4"/>
    <s v="TEC MULTIFUNCIONAL"/>
    <s v="ATIVIDADE NORMAL"/>
    <s v="CNO"/>
    <s v="03433690367"/>
    <s v="04/09/2019"/>
    <s v="JOSENIL GOMES RODRIGUES"/>
    <s v="ALENCAR DE SOUZA SANTOS"/>
    <s v="JONILSON FELIPE VIEIRA"/>
    <x v="0"/>
    <x v="13"/>
    <x v="2"/>
    <s v="TECNICO MULTIFUNCIONAL"/>
    <x v="79"/>
    <x v="79"/>
    <x v="18"/>
    <x v="4"/>
    <x v="1"/>
    <x v="0"/>
    <x v="0"/>
  </r>
  <r>
    <x v="80"/>
    <n v="101001782"/>
    <s v="ATIVIDADE NORMAL"/>
    <s v="26/05/2019"/>
    <x v="1"/>
    <x v="40"/>
    <x v="8"/>
    <x v="8"/>
    <s v="Regional Ceará"/>
    <s v="Quixadá"/>
    <s v="Tecnico de campo"/>
    <x v="6"/>
    <s v="CABISTA I"/>
    <s v="ATIVIDADE NORMAL"/>
    <s v="QXA"/>
    <s v="03437547380"/>
    <s v="04/09/2019"/>
    <s v="LYNDON JONHSON SILVA LIMA"/>
    <s v="ALENCAR DE SOUZA SANTOS"/>
    <s v="JONILSON FELIPE VIEIRA"/>
    <x v="0"/>
    <x v="9"/>
    <x v="7"/>
    <s v="CABISTA I"/>
    <x v="80"/>
    <x v="80"/>
    <x v="10"/>
    <x v="4"/>
    <x v="1"/>
    <x v="0"/>
    <x v="1"/>
  </r>
  <r>
    <x v="81"/>
    <n v="101007963"/>
    <s v="FERIAS NORMAIS"/>
    <s v="19/08/2019"/>
    <x v="1"/>
    <x v="41"/>
    <x v="5"/>
    <x v="4"/>
    <s v="Regional Ceará"/>
    <s v="Capital Oeste Ceará"/>
    <s v="MultiSkill"/>
    <x v="4"/>
    <s v="TEC MULTIFUNCIONAL"/>
    <s v="FERIAS NORMAIS"/>
    <s v="COO"/>
    <s v="03441516389"/>
    <s v="04/09/2019"/>
    <s v="JOSEVAN DE SOUSA SILVA"/>
    <s v="ALENCAR DE SOUZA SANTOS"/>
    <s v="JONILSON FELIPE VIEIRA"/>
    <x v="1"/>
    <x v="39"/>
    <x v="2"/>
    <s v="TECNICO MULTIFUNCIONAL"/>
    <x v="81"/>
    <x v="81"/>
    <x v="35"/>
    <x v="4"/>
    <x v="1"/>
    <x v="1"/>
    <x v="0"/>
  </r>
  <r>
    <x v="82"/>
    <n v="102101220"/>
    <s v="ATIVIDADE NORMAL"/>
    <s v="10/10/2018"/>
    <x v="3"/>
    <x v="22"/>
    <x v="10"/>
    <x v="18"/>
    <s v="Regional Pernambuco"/>
    <s v="Natal"/>
    <s v="MultiSkill"/>
    <x v="4"/>
    <s v="TEC MULTIFUNCIONAL"/>
    <s v="ATIVIDADE NORMAL"/>
    <s v="RNS"/>
    <s v="03472707437"/>
    <s v="04/09/2019"/>
    <s v="JOSUE MOURA DA SILVA"/>
    <s v="REINILSON IGLESIAS JUNIOR"/>
    <s v="WENDELL FRANKLIN VIEIRA MAIA"/>
    <x v="0"/>
    <x v="22"/>
    <x v="2"/>
    <s v="TECNICO MULTIFUNCIONAL"/>
    <x v="82"/>
    <x v="82"/>
    <x v="23"/>
    <x v="7"/>
    <x v="3"/>
    <x v="0"/>
    <x v="0"/>
  </r>
  <r>
    <x v="83"/>
    <n v="109000499"/>
    <s v="ATIVIDADE NORMAL"/>
    <s v="16/06/2019"/>
    <x v="0"/>
    <x v="25"/>
    <x v="13"/>
    <x v="10"/>
    <s v="Regional Pernambuco"/>
    <s v="Recife"/>
    <s v="Tecnico de campo"/>
    <x v="8"/>
    <s v="OP DG"/>
    <s v="ATIVIDADE NORMAL"/>
    <s v="PES"/>
    <s v="03543040464"/>
    <s v="04/09/2019"/>
    <s v="ALTAIR LUIZ DO NASCIMENTO"/>
    <s v="DECIO FABIANO LOPES FERREIRA"/>
    <s v="NIVALDO DE OLIVEIRA SOARES"/>
    <x v="0"/>
    <x v="42"/>
    <x v="9"/>
    <s v="OPERADOR"/>
    <x v="83"/>
    <x v="83"/>
    <x v="38"/>
    <x v="0"/>
    <x v="0"/>
    <x v="0"/>
    <x v="1"/>
  </r>
  <r>
    <x v="84"/>
    <n v="105303134"/>
    <s v="ATIVIDADE NORMAL"/>
    <s v="08/05/2019"/>
    <x v="2"/>
    <x v="42"/>
    <x v="16"/>
    <x v="12"/>
    <s v="Regional Pernambuco"/>
    <s v="João Pessoa"/>
    <s v="Tecnico de campo"/>
    <x v="9"/>
    <s v="INSTALADOR DTH"/>
    <s v="ATIVIDADE NORMAL"/>
    <s v="JPA"/>
    <s v="03563694478"/>
    <s v="04/09/2019"/>
    <s v="GLAUBER JOSE GOMES LEITAO"/>
    <s v="WENDELL FRANKLIN VIEIRA MAIA"/>
    <s v="WENDELL FRANKLIN VIEIRA MAIA"/>
    <x v="0"/>
    <x v="43"/>
    <x v="11"/>
    <s v="INSTALADOR DTH"/>
    <x v="84"/>
    <x v="84"/>
    <x v="39"/>
    <x v="6"/>
    <x v="3"/>
    <x v="0"/>
    <x v="0"/>
  </r>
  <r>
    <x v="85"/>
    <n v="101006811"/>
    <s v="FERIAS NORMAIS"/>
    <s v="02/09/2019"/>
    <x v="1"/>
    <x v="43"/>
    <x v="14"/>
    <x v="8"/>
    <s v="Regional Ceará"/>
    <s v="Quixadá"/>
    <s v="MultiSkill"/>
    <x v="4"/>
    <s v="TEC MULTIFUNCIONAL"/>
    <s v="FERIAS NORMAIS"/>
    <s v="QXA"/>
    <s v="03576730346"/>
    <s v="04/09/2019"/>
    <s v="CARLOS FERNANDES GUIMARAES"/>
    <s v="ALENCAR DE SOUZA SANTOS"/>
    <s v="JONILSON FELIPE VIEIRA"/>
    <x v="1"/>
    <x v="44"/>
    <x v="2"/>
    <s v="TECNICO MULTIFUNCIONAL"/>
    <x v="85"/>
    <x v="85"/>
    <x v="40"/>
    <x v="4"/>
    <x v="1"/>
    <x v="1"/>
    <x v="0"/>
  </r>
  <r>
    <x v="86"/>
    <n v="109000926"/>
    <s v="ATIVIDADE NORMAL"/>
    <s v="19/12/2018"/>
    <x v="0"/>
    <x v="44"/>
    <x v="10"/>
    <x v="7"/>
    <s v="Regional Pernambuco"/>
    <s v="Recife"/>
    <s v="MultiSkill"/>
    <x v="4"/>
    <s v="TEC MULTIFUNCIONAL"/>
    <s v="ATIVIDADE NORMAL"/>
    <s v="LES"/>
    <s v="03582015432"/>
    <s v="04/09/2019"/>
    <s v="ANTONIO MAGNO DE CASTRO LEAO"/>
    <s v="BRUNO VINICIUS DE ALBERTINS ALVES"/>
    <s v="NIVALDO DE OLIVEIRA SOARES"/>
    <x v="0"/>
    <x v="45"/>
    <x v="2"/>
    <s v="TECNICO MULTIFUNCIONAL"/>
    <x v="86"/>
    <x v="86"/>
    <x v="41"/>
    <x v="9"/>
    <x v="0"/>
    <x v="0"/>
    <x v="0"/>
  </r>
  <r>
    <x v="87"/>
    <n v="101001488"/>
    <s v="ATIVIDADE NORMAL"/>
    <s v="24/04/2019"/>
    <x v="1"/>
    <x v="2"/>
    <x v="18"/>
    <x v="2"/>
    <s v="Regional Ceará"/>
    <s v="Capital Sul Ceará"/>
    <s v="Tecnico de campo"/>
    <x v="0"/>
    <s v="TEC MULTIFUNCIONAL"/>
    <s v="ATIVIDADE NORMAL"/>
    <s v="GCL"/>
    <s v="03602440338"/>
    <s v="04/09/2019"/>
    <s v="MICHEL SOARES DE OLIVEIRA"/>
    <s v="ANTONIO ROBEVANIO PINHEIRO"/>
    <s v="JONILSON FELIPE VIEIRA"/>
    <x v="0"/>
    <x v="46"/>
    <x v="1"/>
    <s v="TECNICO MULTIFUNCIONAL"/>
    <x v="87"/>
    <x v="87"/>
    <x v="2"/>
    <x v="1"/>
    <x v="1"/>
    <x v="0"/>
    <x v="0"/>
  </r>
  <r>
    <x v="88"/>
    <n v="109500315"/>
    <s v="ATIVIDADE NORMAL"/>
    <s v="19/06/2019"/>
    <x v="0"/>
    <x v="7"/>
    <x v="6"/>
    <x v="7"/>
    <s v="Regional Pernambuco"/>
    <s v="Recife"/>
    <s v="Tecnico de campo"/>
    <x v="5"/>
    <s v="INSTALADOR TUP"/>
    <s v="ATIVIDADE NORMAL"/>
    <s v="LES"/>
    <s v="03609517409"/>
    <s v="04/09/2019"/>
    <s v="IVALDO BEZERRA NOVAIS"/>
    <s v="DECIO FABIANO LOPES FERREIRA"/>
    <s v="NIVALDO DE OLIVEIRA SOARES"/>
    <x v="0"/>
    <x v="47"/>
    <x v="6"/>
    <s v="INSTALADOR I"/>
    <x v="88"/>
    <x v="88"/>
    <x v="42"/>
    <x v="0"/>
    <x v="0"/>
    <x v="0"/>
    <x v="1"/>
  </r>
  <r>
    <x v="89"/>
    <n v="102100390"/>
    <s v="ATIVIDADE NORMAL"/>
    <s v="19/11/2018"/>
    <x v="3"/>
    <x v="45"/>
    <x v="10"/>
    <x v="21"/>
    <s v="Regional Pernambuco"/>
    <s v="Natal"/>
    <s v="MultiSkill"/>
    <x v="4"/>
    <s v="TEC MULTIFUNCIONAL"/>
    <s v="ATIVIDADE NORMAL"/>
    <s v="NTS"/>
    <s v="03610932333"/>
    <s v="04/09/2019"/>
    <s v="ANDRIER CARLOS SOARES FERREIRA"/>
    <s v="REINILSON IGLESIAS JUNIOR"/>
    <s v="WENDELL FRANKLIN VIEIRA MAIA"/>
    <x v="0"/>
    <x v="48"/>
    <x v="11"/>
    <s v="TECNICO MULTIFUNCIONAL"/>
    <x v="89"/>
    <x v="89"/>
    <x v="43"/>
    <x v="7"/>
    <x v="3"/>
    <x v="0"/>
    <x v="0"/>
  </r>
  <r>
    <x v="90"/>
    <n v="105303134"/>
    <s v="ATIVIDADE NORMAL"/>
    <s v="18/05/2018"/>
    <x v="2"/>
    <x v="42"/>
    <x v="5"/>
    <x v="12"/>
    <s v="Regional Pernambuco"/>
    <s v="João Pessoa"/>
    <s v="MultiSkill"/>
    <x v="4"/>
    <s v="TEC MULTIFUNCIONAL"/>
    <s v="ATIVIDADE NORMAL"/>
    <s v="JPA"/>
    <s v="03623407496"/>
    <s v="04/09/2019"/>
    <s v="GLAUBER JOSE GOMES LEITAO"/>
    <s v="WENDELL FRANKLIN VIEIRA MAIA"/>
    <s v="WENDELL FRANKLIN VIEIRA MAIA"/>
    <x v="0"/>
    <x v="43"/>
    <x v="2"/>
    <s v="TECNICO MULTIFUNCIONAL"/>
    <x v="90"/>
    <x v="90"/>
    <x v="39"/>
    <x v="6"/>
    <x v="3"/>
    <x v="0"/>
    <x v="0"/>
  </r>
  <r>
    <x v="91"/>
    <n v="105000986"/>
    <s v="ATIVIDADE NORMAL"/>
    <s v="10/10/2018"/>
    <x v="2"/>
    <x v="33"/>
    <x v="4"/>
    <x v="16"/>
    <s v="Regional Pernambuco"/>
    <s v="João Pessoa"/>
    <s v="MultiSkill"/>
    <x v="3"/>
    <s v="TEC MULTIFUNCIONAL"/>
    <s v="ATIVIDADE NORMAL"/>
    <s v="CGE"/>
    <s v="03629401422"/>
    <s v="04/09/2019"/>
    <s v="JOSILENE MACENA DE OLIVEIRA"/>
    <s v="WENDELL FRANKLIN VIEIRA MAIA"/>
    <s v="WENDELL FRANKLIN VIEIRA MAIA"/>
    <x v="0"/>
    <x v="20"/>
    <x v="2"/>
    <s v="TECNICO MULTIFUNCIONAL"/>
    <x v="91"/>
    <x v="91"/>
    <x v="21"/>
    <x v="6"/>
    <x v="3"/>
    <x v="0"/>
    <x v="0"/>
  </r>
  <r>
    <x v="92"/>
    <n v="105303207"/>
    <s v="ATIVIDADE NORMAL"/>
    <s v="06/02/2019"/>
    <x v="2"/>
    <x v="34"/>
    <x v="10"/>
    <x v="12"/>
    <s v="Regional Pernambuco"/>
    <s v="João Pessoa"/>
    <s v="MultiSkill"/>
    <x v="4"/>
    <s v="TEC MULTIFUNCIONAL"/>
    <s v="ATIVIDADE NORMAL"/>
    <s v="JPA"/>
    <s v="03647817422"/>
    <s v="04/09/2019"/>
    <s v="RAFAEL FERNANDES MATIAS"/>
    <s v="WENDELL FRANKLIN VIEIRA MAIA"/>
    <s v="WENDELL FRANKLIN VIEIRA MAIA"/>
    <x v="0"/>
    <x v="49"/>
    <x v="2"/>
    <s v="TECNICO MULTIFUNCIONAL"/>
    <x v="92"/>
    <x v="92"/>
    <x v="44"/>
    <x v="6"/>
    <x v="3"/>
    <x v="0"/>
    <x v="0"/>
  </r>
  <r>
    <x v="93"/>
    <n v="109505858"/>
    <s v="ATIVIDADE NORMAL"/>
    <s v="03/10/2018"/>
    <x v="0"/>
    <x v="46"/>
    <x v="14"/>
    <x v="11"/>
    <s v="Regional Pernambuco"/>
    <s v="Interior"/>
    <s v="MultiSkill"/>
    <x v="4"/>
    <s v="TEC MULTIFUNCIONAL"/>
    <s v="ATIVIDADE NORMAL"/>
    <s v="ACV"/>
    <s v="03684013404"/>
    <s v="04/09/2019"/>
    <s v="THIAGO DE LIMA PIRES RODRIGUES"/>
    <s v="DECIO FABIANO LOPES FERREIRA"/>
    <s v="NIVALDO DE OLIVEIRA SOARES"/>
    <x v="0"/>
    <x v="11"/>
    <x v="2"/>
    <s v="TECNICO MULTIFUNCIONAL"/>
    <x v="93"/>
    <x v="93"/>
    <x v="12"/>
    <x v="0"/>
    <x v="0"/>
    <x v="0"/>
    <x v="0"/>
  </r>
  <r>
    <x v="94"/>
    <n v="101001488"/>
    <s v="ATIVIDADE NORMAL"/>
    <s v="25/06/2019"/>
    <x v="1"/>
    <x v="3"/>
    <x v="1"/>
    <x v="3"/>
    <s v="Regional Ceará"/>
    <s v="Capital Oeste Ceará"/>
    <s v="MultiSkill"/>
    <x v="0"/>
    <s v="TEC MULTIFUNCIONAL"/>
    <s v="ATIVIDADE NORMAL"/>
    <s v="CNO"/>
    <s v="03712058322"/>
    <s v="04/09/2019"/>
    <s v="MICHEL SOARES DE OLIVEIRA"/>
    <s v="ANTONIO ROBEVANIO PINHEIRO"/>
    <s v="JONILSON FELIPE VIEIRA"/>
    <x v="0"/>
    <x v="50"/>
    <x v="1"/>
    <s v="TECNICO MULTIFUNCIONAL"/>
    <x v="94"/>
    <x v="94"/>
    <x v="2"/>
    <x v="1"/>
    <x v="1"/>
    <x v="0"/>
    <x v="0"/>
  </r>
  <r>
    <x v="95"/>
    <n v="102100390"/>
    <s v="ATIVIDADE NORMAL"/>
    <s v="19/11/2018"/>
    <x v="3"/>
    <x v="45"/>
    <x v="10"/>
    <x v="21"/>
    <s v="Regional Pernambuco"/>
    <s v="Natal"/>
    <s v="MultiSkill"/>
    <x v="4"/>
    <s v="TEC MULTIFUNCIONAL"/>
    <s v="ATIVIDADE NORMAL"/>
    <s v="NTS"/>
    <s v="03712655410"/>
    <s v="04/09/2019"/>
    <s v="ANDRIER CARLOS SOARES FERREIRA"/>
    <s v="REINILSON IGLESIAS JUNIOR"/>
    <s v="WENDELL FRANKLIN VIEIRA MAIA"/>
    <x v="0"/>
    <x v="48"/>
    <x v="2"/>
    <s v="TECNICO MULTIFUNCIONAL"/>
    <x v="95"/>
    <x v="95"/>
    <x v="43"/>
    <x v="7"/>
    <x v="3"/>
    <x v="0"/>
    <x v="0"/>
  </r>
  <r>
    <x v="96"/>
    <n v="102101642"/>
    <s v="ATIVIDADE NORMAL"/>
    <s v="06/05/2019"/>
    <x v="3"/>
    <x v="28"/>
    <x v="10"/>
    <x v="21"/>
    <s v="Regional Pernambuco"/>
    <s v="Natal"/>
    <s v="Tecnico de campo"/>
    <x v="4"/>
    <s v="TEC MULTIFUNCIONAL"/>
    <s v="ATIVIDADE NORMAL"/>
    <s v="NTS"/>
    <s v="03712932430"/>
    <s v="04/09/2019"/>
    <s v="WILSON CARLOS SILVEIRA LEIROS"/>
    <s v="REINILSON IGLESIAS JUNIOR"/>
    <s v="WENDELL FRANKLIN VIEIRA MAIA"/>
    <x v="0"/>
    <x v="51"/>
    <x v="2"/>
    <s v="TECNICO MULTIFUNCIONAL"/>
    <x v="96"/>
    <x v="96"/>
    <x v="28"/>
    <x v="7"/>
    <x v="3"/>
    <x v="0"/>
    <x v="0"/>
  </r>
  <r>
    <x v="97"/>
    <n v="101007963"/>
    <s v="AFAST DOENCA MAIS DE 15 DIAS"/>
    <s v="16/08/2019"/>
    <x v="1"/>
    <x v="36"/>
    <x v="5"/>
    <x v="4"/>
    <s v="Regional Ceará"/>
    <s v="Capital Oeste Ceará"/>
    <s v="MultiSkill"/>
    <x v="4"/>
    <s v="TEC MULTIFUNCIONAL"/>
    <s v="AFAST DOENCA MAIS DE 15 DIAS"/>
    <s v="COO"/>
    <s v="03735111327"/>
    <s v="04/09/2019"/>
    <s v="JOSEVAN DE SOUSA SILVA"/>
    <s v="ALENCAR DE SOUZA SANTOS"/>
    <s v="JONILSON FELIPE VIEIRA"/>
    <x v="1"/>
    <x v="39"/>
    <x v="2"/>
    <s v="TECNICO MULTIFUNCIONAL"/>
    <x v="97"/>
    <x v="97"/>
    <x v="35"/>
    <x v="4"/>
    <x v="1"/>
    <x v="2"/>
    <x v="0"/>
  </r>
  <r>
    <x v="98"/>
    <n v="101010210"/>
    <s v="ATIVIDADE NORMAL"/>
    <s v="24/04/2019"/>
    <x v="1"/>
    <x v="4"/>
    <x v="0"/>
    <x v="4"/>
    <s v="Regional Ceará"/>
    <s v="Capital Oeste Ceará"/>
    <s v="Tecnico de campo"/>
    <x v="0"/>
    <s v="TEC MULTIFUNCIONAL"/>
    <s v="ATIVIDADE NORMAL"/>
    <s v="COO"/>
    <s v="03774187304"/>
    <s v="04/09/2019"/>
    <s v="ANTONIO FABIO DOS SANTOS LIMA"/>
    <s v="ANTONIO ROBEVANIO PINHEIRO"/>
    <s v="JONILSON FELIPE VIEIRA"/>
    <x v="0"/>
    <x v="52"/>
    <x v="1"/>
    <s v="TECNICO MULTIFUNCIONAL"/>
    <x v="98"/>
    <x v="98"/>
    <x v="1"/>
    <x v="1"/>
    <x v="1"/>
    <x v="0"/>
    <x v="0"/>
  </r>
  <r>
    <x v="99"/>
    <n v="101008134"/>
    <s v="ATIVIDADE NORMAL"/>
    <s v="06/02/2019"/>
    <x v="1"/>
    <x v="47"/>
    <x v="10"/>
    <x v="1"/>
    <s v="Regional Ceará"/>
    <s v="Capital Sul Ceará"/>
    <s v="MultiSkill"/>
    <x v="4"/>
    <s v="TEC MULTIFUNCIONAL"/>
    <s v="ATIVIDADE NORMAL"/>
    <s v="GCS"/>
    <s v="03818645370"/>
    <s v="04/09/2019"/>
    <s v="BRUNO SAVIO DA SILVA"/>
    <s v="ANTONIO ROBEVANIO PINHEIRO"/>
    <s v="JONILSON FELIPE VIEIRA"/>
    <x v="0"/>
    <x v="53"/>
    <x v="2"/>
    <s v="TECNICO MULTIFUNCIONAL"/>
    <x v="99"/>
    <x v="99"/>
    <x v="5"/>
    <x v="1"/>
    <x v="1"/>
    <x v="0"/>
    <x v="0"/>
  </r>
  <r>
    <x v="100"/>
    <n v="109505858"/>
    <s v="ATIVIDADE NORMAL"/>
    <s v="17/04/2019"/>
    <x v="0"/>
    <x v="6"/>
    <x v="6"/>
    <x v="6"/>
    <s v="Regional Pernambuco"/>
    <s v="Interior"/>
    <s v="Tecnico de campo"/>
    <x v="5"/>
    <s v="INSTALADOR"/>
    <s v="ATIVIDADE NORMAL"/>
    <s v="PTA"/>
    <s v="03842848412"/>
    <s v="04/09/2019"/>
    <s v="THIAGO DE LIMA PIRES RODRIGUES"/>
    <s v="DECIO FABIANO LOPES FERREIRA"/>
    <s v="NIVALDO DE OLIVEIRA SOARES"/>
    <x v="0"/>
    <x v="11"/>
    <x v="6"/>
    <s v="INSTALADOR I"/>
    <x v="100"/>
    <x v="100"/>
    <x v="12"/>
    <x v="0"/>
    <x v="0"/>
    <x v="0"/>
    <x v="1"/>
  </r>
  <r>
    <x v="101"/>
    <n v="109000499"/>
    <s v="ATIVIDADE NORMAL"/>
    <s v="03/07/2019"/>
    <x v="0"/>
    <x v="44"/>
    <x v="13"/>
    <x v="7"/>
    <s v="Regional Pernambuco"/>
    <s v="Recife"/>
    <s v="Tecnico de campo"/>
    <x v="8"/>
    <s v="OPERADOR GPON I"/>
    <s v="ATIVIDADE NORMAL"/>
    <s v="LES"/>
    <s v="03878754418"/>
    <s v="04/09/2019"/>
    <s v="ALTAIR LUIZ DO NASCIMENTO"/>
    <s v="DECIO FABIANO LOPES FERREIRA"/>
    <s v="NIVALDO DE OLIVEIRA SOARES"/>
    <x v="0"/>
    <x v="42"/>
    <x v="1"/>
    <s v="OPERADOR"/>
    <x v="101"/>
    <x v="101"/>
    <x v="38"/>
    <x v="0"/>
    <x v="0"/>
    <x v="0"/>
    <x v="1"/>
  </r>
  <r>
    <x v="102"/>
    <n v="109500315"/>
    <s v="FERIAS NORMAIS"/>
    <s v="26/08/2019"/>
    <x v="0"/>
    <x v="30"/>
    <x v="6"/>
    <x v="13"/>
    <s v="Regional Pernambuco"/>
    <s v="Recife"/>
    <s v="Tecnico de campo"/>
    <x v="5"/>
    <s v="INSTALADOR TUP"/>
    <s v="FERIAS NORMAIS"/>
    <s v="OES"/>
    <s v="03908384460"/>
    <s v="04/09/2019"/>
    <s v="IVALDO BEZERRA NOVAIS"/>
    <s v="DECIO FABIANO LOPES FERREIRA"/>
    <s v="NIVALDO DE OLIVEIRA SOARES"/>
    <x v="1"/>
    <x v="47"/>
    <x v="6"/>
    <s v="INSTALADOR I"/>
    <x v="102"/>
    <x v="102"/>
    <x v="42"/>
    <x v="0"/>
    <x v="0"/>
    <x v="1"/>
    <x v="1"/>
  </r>
  <r>
    <x v="103"/>
    <n v="109000926"/>
    <s v="ATIVIDADE NORMAL"/>
    <s v="06/02/2019"/>
    <x v="0"/>
    <x v="7"/>
    <x v="11"/>
    <x v="7"/>
    <s v="Regional Pernambuco"/>
    <s v="Recife"/>
    <s v="Tecnico de campo"/>
    <x v="1"/>
    <s v="TEC MULTIFUNCIONAL"/>
    <s v="ATIVIDADE NORMAL"/>
    <s v="LES"/>
    <s v="03928146416"/>
    <s v="04/09/2019"/>
    <s v="ANTONIO MAGNO DE CASTRO LEAO"/>
    <s v="BRUNO VINICIUS DE ALBERTINS ALVES"/>
    <s v="NIVALDO DE OLIVEIRA SOARES"/>
    <x v="0"/>
    <x v="45"/>
    <x v="2"/>
    <s v="TECNICO MULTIFUNCIONAL"/>
    <x v="103"/>
    <x v="103"/>
    <x v="41"/>
    <x v="9"/>
    <x v="0"/>
    <x v="0"/>
    <x v="1"/>
  </r>
  <r>
    <x v="104"/>
    <n v="101008003"/>
    <s v="ATIVIDADE NORMAL"/>
    <s v="18/10/2018"/>
    <x v="1"/>
    <x v="4"/>
    <x v="0"/>
    <x v="4"/>
    <s v="Regional Ceará"/>
    <s v="Capital Oeste Ceará"/>
    <s v="Tecnico de campo"/>
    <x v="0"/>
    <s v="TEC MULTIFUNCIONAL"/>
    <s v="ATIVIDADE NORMAL"/>
    <s v="COO"/>
    <s v="03942531321"/>
    <s v="04/09/2019"/>
    <s v="NILO WEBER RAMOS RIBEIRO"/>
    <s v="ANTONIO ROBEVANIO PINHEIRO"/>
    <s v="JONILSON FELIPE VIEIRA"/>
    <x v="0"/>
    <x v="54"/>
    <x v="1"/>
    <s v="TECNICO MULTIFUNCIONAL"/>
    <x v="104"/>
    <x v="104"/>
    <x v="3"/>
    <x v="1"/>
    <x v="1"/>
    <x v="0"/>
    <x v="0"/>
  </r>
  <r>
    <x v="105"/>
    <n v="109000499"/>
    <s v="FERIAS NORMAIS"/>
    <s v="19/08/2019"/>
    <x v="0"/>
    <x v="18"/>
    <x v="13"/>
    <x v="14"/>
    <s v="Regional Pernambuco"/>
    <s v="Recife"/>
    <s v="Tecnico de campo"/>
    <x v="8"/>
    <s v="OP DG"/>
    <s v="FERIAS NORMAIS"/>
    <s v="NOR"/>
    <s v="03943501469"/>
    <s v="04/09/2019"/>
    <s v="ALTAIR LUIZ DO NASCIMENTO"/>
    <s v="DECIO FABIANO LOPES FERREIRA"/>
    <s v="NIVALDO DE OLIVEIRA SOARES"/>
    <x v="1"/>
    <x v="42"/>
    <x v="9"/>
    <s v="OPERADOR"/>
    <x v="105"/>
    <x v="105"/>
    <x v="38"/>
    <x v="0"/>
    <x v="0"/>
    <x v="1"/>
    <x v="1"/>
  </r>
  <r>
    <x v="106"/>
    <n v="101007665"/>
    <s v="ATIVIDADE NORMAL"/>
    <s v="03/07/2019"/>
    <x v="1"/>
    <x v="48"/>
    <x v="5"/>
    <x v="3"/>
    <s v="Regional Ceará"/>
    <s v="Capital Oeste Ceará"/>
    <s v="MultiSkill"/>
    <x v="4"/>
    <s v="TEC MULTIFUNCIONAL"/>
    <s v="ATIVIDADE NORMAL"/>
    <s v="CNO"/>
    <s v="03952700304"/>
    <s v="04/09/2019"/>
    <s v="CARLOS AUGUSTO ALVES DE SOUSA"/>
    <s v="ALENCAR DE SOUZA SANTOS"/>
    <s v="JONILSON FELIPE VIEIRA"/>
    <x v="0"/>
    <x v="33"/>
    <x v="2"/>
    <s v="TECNICO MULTIFUNCIONAL"/>
    <x v="106"/>
    <x v="106"/>
    <x v="45"/>
    <x v="4"/>
    <x v="1"/>
    <x v="0"/>
    <x v="0"/>
  </r>
  <r>
    <x v="107"/>
    <n v="101001782"/>
    <s v="ATIVIDADE NORMAL"/>
    <s v="02/01/2019"/>
    <x v="1"/>
    <x v="9"/>
    <x v="13"/>
    <x v="8"/>
    <s v="Regional Ceará"/>
    <s v="Quixadá"/>
    <s v="Tecnico de campo"/>
    <x v="8"/>
    <s v="OP DG"/>
    <s v="ATIVIDADE NORMAL"/>
    <s v="QXA"/>
    <s v="04021838350"/>
    <s v="04/09/2019"/>
    <s v="LYNDON JONHSON SILVA LIMA"/>
    <s v="ALENCAR DE SOUZA SANTOS"/>
    <s v="JONILSON FELIPE VIEIRA"/>
    <x v="1"/>
    <x v="9"/>
    <x v="2"/>
    <s v="OPERADOR"/>
    <x v="107"/>
    <x v="107"/>
    <x v="10"/>
    <x v="4"/>
    <x v="1"/>
    <x v="0"/>
    <x v="1"/>
  </r>
  <r>
    <x v="108"/>
    <n v="109506032"/>
    <s v="FERIAS NORMAIS"/>
    <s v="19/08/2019"/>
    <x v="0"/>
    <x v="49"/>
    <x v="10"/>
    <x v="13"/>
    <s v="Regional Pernambuco"/>
    <s v="Recife"/>
    <s v="MultiSkill"/>
    <x v="4"/>
    <s v="TEC MULTIFUNCIONAL"/>
    <s v="FERIAS NORMAIS"/>
    <s v="OES"/>
    <s v="04024224492"/>
    <s v="04/09/2019"/>
    <s v="CARLOS REIS GONZAGA"/>
    <s v="DECIO FABIANO LOPES FERREIRA"/>
    <s v="NIVALDO DE OLIVEIRA SOARES"/>
    <x v="1"/>
    <x v="16"/>
    <x v="2"/>
    <s v="TECNICO MULTIFUNCIONAL"/>
    <x v="108"/>
    <x v="108"/>
    <x v="17"/>
    <x v="0"/>
    <x v="0"/>
    <x v="1"/>
    <x v="0"/>
  </r>
  <r>
    <x v="109"/>
    <n v="109000017"/>
    <s v="FERIAS NORMAIS"/>
    <s v="02/09/2019"/>
    <x v="0"/>
    <x v="13"/>
    <x v="15"/>
    <x v="10"/>
    <s v="Regional Pernambuco"/>
    <s v="Recife"/>
    <s v="Tecnico de campo"/>
    <x v="9"/>
    <s v="INSTALADOR DTH"/>
    <s v="FERIAS NORMAIS"/>
    <s v="PES"/>
    <s v="04076207459"/>
    <s v="04/09/2019"/>
    <s v="AMAURY ASSIS DE LIMA"/>
    <s v="DECIO FABIANO LOPES FERREIRA"/>
    <s v="NIVALDO DE OLIVEIRA SOARES"/>
    <x v="1"/>
    <x v="24"/>
    <x v="11"/>
    <s v="INSTALADOR DTH"/>
    <x v="109"/>
    <x v="109"/>
    <x v="15"/>
    <x v="0"/>
    <x v="0"/>
    <x v="1"/>
    <x v="0"/>
  </r>
  <r>
    <x v="110"/>
    <n v="105000986"/>
    <s v="ATIVIDADE NORMAL"/>
    <s v="02/01/2019"/>
    <x v="2"/>
    <x v="33"/>
    <x v="5"/>
    <x v="16"/>
    <s v="Regional Pernambuco"/>
    <s v="João Pessoa"/>
    <s v="MultiSkill"/>
    <x v="4"/>
    <s v="TEC MULTIFUNCIONAL"/>
    <s v="ATIVIDADE NORMAL"/>
    <s v="CGE"/>
    <s v="04078382444"/>
    <s v="04/09/2019"/>
    <s v="JOSILENE MACENA DE OLIVEIRA"/>
    <s v="WENDELL FRANKLIN VIEIRA MAIA"/>
    <s v="WENDELL FRANKLIN VIEIRA MAIA"/>
    <x v="0"/>
    <x v="20"/>
    <x v="2"/>
    <s v="TECNICO MULTIFUNCIONAL"/>
    <x v="110"/>
    <x v="110"/>
    <x v="21"/>
    <x v="6"/>
    <x v="3"/>
    <x v="0"/>
    <x v="0"/>
  </r>
  <r>
    <x v="111"/>
    <n v="109504369"/>
    <s v="ATIVIDADE NORMAL"/>
    <s v="27/03/2019"/>
    <x v="0"/>
    <x v="50"/>
    <x v="2"/>
    <x v="17"/>
    <s v="Regional Pernambuco"/>
    <s v="Interior"/>
    <s v="Tecnico de campo"/>
    <x v="1"/>
    <s v="INSTALADOR"/>
    <s v="ATIVIDADE NORMAL"/>
    <s v="GUS"/>
    <s v="04123254462"/>
    <s v="04/09/2019"/>
    <s v="JOSE HAILTON ATAIDE"/>
    <s v="MARCOS DE OLIVEIRA STEHLING"/>
    <s v="NIVALDO DE OLIVEIRA SOARES"/>
    <x v="0"/>
    <x v="55"/>
    <x v="3"/>
    <s v="INSTALADOR I"/>
    <x v="111"/>
    <x v="111"/>
    <x v="46"/>
    <x v="3"/>
    <x v="0"/>
    <x v="0"/>
    <x v="1"/>
  </r>
  <r>
    <x v="112"/>
    <n v="109505154"/>
    <s v="ATIVIDADE NORMAL"/>
    <s v="12/09/2018"/>
    <x v="0"/>
    <x v="18"/>
    <x v="2"/>
    <x v="14"/>
    <s v="Regional Pernambuco"/>
    <s v="Recife"/>
    <s v="Tecnico de campo"/>
    <x v="1"/>
    <s v="TEC MULTIFUNCIONAL"/>
    <s v="ATIVIDADE NORMAL"/>
    <s v="NOR"/>
    <s v="04137842400"/>
    <s v="04/09/2019"/>
    <s v="BRUNO LUIZ SANTOS DA SILVA"/>
    <s v="MARCOS DE OLIVEIRA STEHLING"/>
    <s v="NIVALDO DE OLIVEIRA SOARES"/>
    <x v="1"/>
    <x v="34"/>
    <x v="8"/>
    <s v="TECNICO MULTIFUNCIONAL"/>
    <x v="112"/>
    <x v="112"/>
    <x v="33"/>
    <x v="3"/>
    <x v="0"/>
    <x v="0"/>
    <x v="1"/>
  </r>
  <r>
    <x v="113"/>
    <n v="428271"/>
    <s v="ATIVIDADE NORMAL"/>
    <s v="26/11/2018"/>
    <x v="1"/>
    <x v="12"/>
    <x v="10"/>
    <x v="1"/>
    <s v="Regional Ceará"/>
    <s v="Capital Sul Ceará"/>
    <s v="MultiSkill"/>
    <x v="4"/>
    <s v="TEC MULTIFUNCIONAL"/>
    <s v="ATIVIDADE NORMAL"/>
    <s v="GCS"/>
    <s v="04142855301"/>
    <s v="04/09/2019"/>
    <s v="SHEYLA MARIA CALIOPE DE MELO MOURA"/>
    <s v="JEFFERSON OLIVEIRA DA SILVA"/>
    <s v="JONILSON FELIPE VIEIRA"/>
    <x v="0"/>
    <x v="56"/>
    <x v="2"/>
    <s v="TECNICO MULTIFUNCIONAL"/>
    <x v="113"/>
    <x v="113"/>
    <x v="47"/>
    <x v="2"/>
    <x v="1"/>
    <x v="0"/>
    <x v="0"/>
  </r>
  <r>
    <x v="114"/>
    <n v="101001670"/>
    <s v="ATIVIDADE NORMAL"/>
    <s v="06/02/2019"/>
    <x v="1"/>
    <x v="8"/>
    <x v="13"/>
    <x v="2"/>
    <s v="Regional Ceará"/>
    <s v="Capital Sul Ceará"/>
    <s v="Tecnico de campo"/>
    <x v="8"/>
    <s v="OP DG"/>
    <s v="ATIVIDADE NORMAL"/>
    <s v="GCL"/>
    <s v="04180954346"/>
    <s v="04/09/2019"/>
    <s v="FRANCISCO MARCOS TEIXEIRA DOS SANTOS"/>
    <s v="JEFFERSON OLIVEIRA DA SILVA"/>
    <s v="JONILSON FELIPE VIEIRA"/>
    <x v="1"/>
    <x v="8"/>
    <x v="9"/>
    <s v="OPERADOR"/>
    <x v="114"/>
    <x v="114"/>
    <x v="9"/>
    <x v="2"/>
    <x v="1"/>
    <x v="0"/>
    <x v="1"/>
  </r>
  <r>
    <x v="115"/>
    <n v="109505049"/>
    <s v="ATIVIDADE NORMAL"/>
    <s v="23/11/2018"/>
    <x v="0"/>
    <x v="51"/>
    <x v="0"/>
    <x v="14"/>
    <s v="Regional Pernambuco"/>
    <s v="Recife"/>
    <s v="MultiSkill"/>
    <x v="0"/>
    <s v="TEC MULTIFUNCIONAL"/>
    <s v="ATIVIDADE NORMAL"/>
    <s v="NOR"/>
    <s v="04213522482"/>
    <s v="04/09/2019"/>
    <s v="RAMSES DE ANDRADE MACHADO RODRIGUES LAVRA"/>
    <s v="BRUNO VINICIUS DE ALBERTINS ALVES"/>
    <s v="NIVALDO DE OLIVEIRA SOARES"/>
    <x v="0"/>
    <x v="57"/>
    <x v="1"/>
    <s v="TECNICO MULTIFUNCIONAL"/>
    <x v="115"/>
    <x v="115"/>
    <x v="48"/>
    <x v="9"/>
    <x v="0"/>
    <x v="0"/>
    <x v="0"/>
  </r>
  <r>
    <x v="116"/>
    <n v="101005241"/>
    <s v="FERIAS NORMAIS"/>
    <s v="02/09/2019"/>
    <x v="1"/>
    <x v="11"/>
    <x v="12"/>
    <x v="9"/>
    <s v="Regional Ceará"/>
    <s v="Juazeiro"/>
    <s v="Tecnico de campo"/>
    <x v="6"/>
    <s v="CABISTA I"/>
    <s v="FERIAS NORMAIS"/>
    <s v="IAU"/>
    <s v="04220599355"/>
    <s v="04/09/2019"/>
    <s v="CLAUDECIR GOMES MACIEL"/>
    <s v="JEFFERSON OLIVEIRA DA SILVA"/>
    <s v="JONILSON FELIPE VIEIRA"/>
    <x v="1"/>
    <x v="5"/>
    <x v="10"/>
    <s v="CABISTA I"/>
    <x v="116"/>
    <x v="116"/>
    <x v="6"/>
    <x v="2"/>
    <x v="1"/>
    <x v="1"/>
    <x v="1"/>
  </r>
  <r>
    <x v="117"/>
    <n v="109505049"/>
    <s v="ATIVIDADE NORMAL"/>
    <s v="24/04/2019"/>
    <x v="0"/>
    <x v="52"/>
    <x v="0"/>
    <x v="7"/>
    <s v="Regional Pernambuco"/>
    <s v="Recife"/>
    <s v="Tecnico de campo"/>
    <x v="0"/>
    <s v="TEC MULTIFUNCIONAL"/>
    <s v="ATIVIDADE NORMAL"/>
    <s v="LES"/>
    <s v="04220800476"/>
    <s v="04/09/2019"/>
    <s v="RAMSES DE ANDRADE MACHADO RODRIGUES LAVRA"/>
    <s v="BRUNO VINICIUS DE ALBERTINS ALVES"/>
    <s v="NIVALDO DE OLIVEIRA SOARES"/>
    <x v="0"/>
    <x v="57"/>
    <x v="1"/>
    <s v="TECNICO MULTIFUNCIONAL"/>
    <x v="117"/>
    <x v="117"/>
    <x v="48"/>
    <x v="9"/>
    <x v="0"/>
    <x v="0"/>
    <x v="0"/>
  </r>
  <r>
    <x v="118"/>
    <n v="109000340"/>
    <s v="ATIVIDADE NORMAL"/>
    <s v="13/03/2019"/>
    <x v="0"/>
    <x v="21"/>
    <x v="4"/>
    <x v="17"/>
    <s v="Regional Pernambuco"/>
    <s v="Interior"/>
    <s v="MultiSkill"/>
    <x v="3"/>
    <s v="TEC MULTIFUNCIONAL"/>
    <s v="ATIVIDADE NORMAL"/>
    <s v="GUS"/>
    <s v="04250951421"/>
    <s v="04/09/2019"/>
    <s v="AILTON JOSE DOS SANTOS"/>
    <s v="DECIO FABIANO LOPES FERREIRA"/>
    <s v="NIVALDO DE OLIVEIRA SOARES"/>
    <x v="0"/>
    <x v="21"/>
    <x v="2"/>
    <s v="TECNICO MULTIFUNCIONAL"/>
    <x v="118"/>
    <x v="118"/>
    <x v="22"/>
    <x v="0"/>
    <x v="0"/>
    <x v="0"/>
    <x v="0"/>
  </r>
  <r>
    <x v="119"/>
    <n v="108401409"/>
    <s v="ATIVIDADE NORMAL"/>
    <s v="06/02/2019"/>
    <x v="1"/>
    <x v="10"/>
    <x v="15"/>
    <x v="4"/>
    <s v="Regional Ceará"/>
    <s v="Capital Oeste Ceará"/>
    <s v="Tecnico de campo"/>
    <x v="9"/>
    <s v="INSTALADOR DTH"/>
    <s v="ATIVIDADE NORMAL"/>
    <s v="COO"/>
    <s v="04285749394"/>
    <s v="04/09/2019"/>
    <s v="JOSE NILTON MENDES LIMA"/>
    <s v="VANDERLEI HENZEL CHOLLET"/>
    <s v="JONILSON FELIPE VIEIRA"/>
    <x v="0"/>
    <x v="39"/>
    <x v="11"/>
    <s v="INSTALADOR DTH"/>
    <x v="119"/>
    <x v="119"/>
    <x v="32"/>
    <x v="8"/>
    <x v="1"/>
    <x v="0"/>
    <x v="0"/>
  </r>
  <r>
    <x v="120"/>
    <n v="102100917"/>
    <s v="FERIAS NORMAIS"/>
    <s v="19/08/2019"/>
    <x v="3"/>
    <x v="27"/>
    <x v="10"/>
    <x v="20"/>
    <s v="Regional Pernambuco"/>
    <s v="Natal"/>
    <s v="MultiSkill"/>
    <x v="4"/>
    <s v="TEC MULTIFUNCIONAL"/>
    <s v="FERIAS NORMAIS"/>
    <s v="MRO"/>
    <s v="04289059783"/>
    <s v="04/09/2019"/>
    <s v="FERNANDO FREITAS ALMEIDA DOS SANTOS"/>
    <s v="REINILSON IGLESIAS JUNIOR"/>
    <s v="WENDELL FRANKLIN VIEIRA MAIA"/>
    <x v="1"/>
    <x v="28"/>
    <x v="2"/>
    <s v="TECNICO MULTIFUNCIONAL"/>
    <x v="120"/>
    <x v="120"/>
    <x v="27"/>
    <x v="7"/>
    <x v="3"/>
    <x v="1"/>
    <x v="0"/>
  </r>
  <r>
    <x v="121"/>
    <n v="101007963"/>
    <s v="ATIVIDADE NORMAL"/>
    <s v="31/07/2019"/>
    <x v="1"/>
    <x v="36"/>
    <x v="8"/>
    <x v="4"/>
    <s v="Regional Ceará"/>
    <s v="Capital Oeste Ceará"/>
    <s v="Tecnico de campo"/>
    <x v="6"/>
    <s v="CABISTA I"/>
    <s v="ATIVIDADE NORMAL"/>
    <s v="COO"/>
    <s v="04302246308"/>
    <s v="04/09/2019"/>
    <s v="JOSEVAN DE SOUSA SILVA"/>
    <s v="ALENCAR DE SOUZA SANTOS"/>
    <s v="JONILSON FELIPE VIEIRA"/>
    <x v="0"/>
    <x v="39"/>
    <x v="7"/>
    <s v="CABISTA I"/>
    <x v="121"/>
    <x v="121"/>
    <x v="35"/>
    <x v="4"/>
    <x v="1"/>
    <x v="0"/>
    <x v="1"/>
  </r>
  <r>
    <x v="122"/>
    <n v="109506091"/>
    <s v="ATIVIDADE NORMAL"/>
    <s v="31/07/2019"/>
    <x v="0"/>
    <x v="35"/>
    <x v="12"/>
    <x v="14"/>
    <s v="Regional Pernambuco"/>
    <s v="Recife"/>
    <s v="Tecnico de campo"/>
    <x v="6"/>
    <s v="CABISTA I"/>
    <s v="ATIVIDADE NORMAL"/>
    <s v="NOR"/>
    <s v="04318206432"/>
    <s v="04/09/2019"/>
    <s v="LUIZ RICARDO LIMA DA SILVA"/>
    <s v="BRUNO VINICIUS DE ALBERTINS ALVES"/>
    <s v="NIVALDO DE OLIVEIRA SOARES"/>
    <x v="0"/>
    <x v="38"/>
    <x v="7"/>
    <s v="CABISTA I"/>
    <x v="122"/>
    <x v="122"/>
    <x v="49"/>
    <x v="9"/>
    <x v="0"/>
    <x v="0"/>
    <x v="1"/>
  </r>
  <r>
    <x v="123"/>
    <n v="109000017"/>
    <s v="FERIAS NORMAIS"/>
    <s v="02/09/2019"/>
    <x v="0"/>
    <x v="25"/>
    <x v="10"/>
    <x v="10"/>
    <s v="Regional Pernambuco"/>
    <s v="Recife"/>
    <s v="MultiSkill"/>
    <x v="4"/>
    <s v="TEC MULTIFUNCIONAL"/>
    <s v="FERIAS NORMAIS"/>
    <s v="PES"/>
    <s v="04364944424"/>
    <s v="04/09/2019"/>
    <s v="AMAURY ASSIS DE LIMA"/>
    <s v="DECIO FABIANO LOPES FERREIRA"/>
    <s v="NIVALDO DE OLIVEIRA SOARES"/>
    <x v="1"/>
    <x v="24"/>
    <x v="2"/>
    <s v="TECNICO MULTIFUNCIONAL"/>
    <x v="123"/>
    <x v="123"/>
    <x v="15"/>
    <x v="0"/>
    <x v="0"/>
    <x v="1"/>
    <x v="0"/>
  </r>
  <r>
    <x v="124"/>
    <n v="109000340"/>
    <s v="ATIVIDADE NORMAL"/>
    <s v="06/02/2019"/>
    <x v="0"/>
    <x v="38"/>
    <x v="4"/>
    <x v="22"/>
    <s v="Regional Pernambuco"/>
    <s v="Interior"/>
    <s v="MultiSkill"/>
    <x v="3"/>
    <s v="TEC MULTIFUNCIONAL"/>
    <s v="ATIVIDADE NORMAL"/>
    <s v="CAA"/>
    <s v="04422417479"/>
    <s v="04/09/2019"/>
    <s v="AILTON JOSE DOS SANTOS"/>
    <s v="DECIO FABIANO LOPES FERREIRA"/>
    <s v="NIVALDO DE OLIVEIRA SOARES"/>
    <x v="0"/>
    <x v="41"/>
    <x v="2"/>
    <s v="TECNICO MULTIFUNCIONAL"/>
    <x v="124"/>
    <x v="124"/>
    <x v="22"/>
    <x v="0"/>
    <x v="0"/>
    <x v="0"/>
    <x v="0"/>
  </r>
  <r>
    <x v="125"/>
    <n v="109505858"/>
    <s v="ATIVIDADE NORMAL"/>
    <s v="10/04/2019"/>
    <x v="0"/>
    <x v="14"/>
    <x v="14"/>
    <x v="11"/>
    <s v="Regional Pernambuco"/>
    <s v="Interior"/>
    <s v="MultiSkill"/>
    <x v="4"/>
    <s v="TEC MULTIFUNCIONAL"/>
    <s v="ATIVIDADE NORMAL"/>
    <s v="ACV"/>
    <s v="04441414480"/>
    <s v="04/09/2019"/>
    <s v="THIAGO DE LIMA PIRES RODRIGUES"/>
    <s v="DECIO FABIANO LOPES FERREIRA"/>
    <s v="NIVALDO DE OLIVEIRA SOARES"/>
    <x v="0"/>
    <x v="11"/>
    <x v="2"/>
    <s v="TECNICO MULTIFUNCIONAL"/>
    <x v="125"/>
    <x v="125"/>
    <x v="12"/>
    <x v="0"/>
    <x v="0"/>
    <x v="0"/>
    <x v="0"/>
  </r>
  <r>
    <x v="126"/>
    <n v="101001782"/>
    <s v="ATIVIDADE NORMAL"/>
    <s v="10/07/2019"/>
    <x v="1"/>
    <x v="40"/>
    <x v="13"/>
    <x v="8"/>
    <s v="Regional Ceará"/>
    <s v="Quixadá"/>
    <s v="Tecnico de campo"/>
    <x v="8"/>
    <s v="OP DG"/>
    <s v="ATIVIDADE NORMAL"/>
    <s v="QXA"/>
    <s v="04461167348"/>
    <s v="04/09/2019"/>
    <s v="LYNDON JONHSON SILVA LIMA"/>
    <s v="ALENCAR DE SOUZA SANTOS"/>
    <s v="JONILSON FELIPE VIEIRA"/>
    <x v="0"/>
    <x v="9"/>
    <x v="9"/>
    <s v="OPERADOR"/>
    <x v="126"/>
    <x v="126"/>
    <x v="10"/>
    <x v="4"/>
    <x v="1"/>
    <x v="0"/>
    <x v="1"/>
  </r>
  <r>
    <x v="127"/>
    <n v="109500177"/>
    <s v="ATIVIDADE NORMAL"/>
    <s v="27/03/2019"/>
    <x v="0"/>
    <x v="37"/>
    <x v="15"/>
    <x v="14"/>
    <s v="Regional Pernambuco"/>
    <s v="Recife"/>
    <s v="Tecnico de campo"/>
    <x v="9"/>
    <s v="INSTALADOR DTH"/>
    <s v="ATIVIDADE NORMAL"/>
    <s v="NOR"/>
    <s v="04461970418"/>
    <s v="04/09/2019"/>
    <s v="JOSUEL FERREIRA DE BRITO"/>
    <s v="BRUNO VINICIUS DE ALBERTINS ALVES"/>
    <s v="NIVALDO DE OLIVEIRA SOARES"/>
    <x v="0"/>
    <x v="58"/>
    <x v="11"/>
    <s v="INSTALADOR DTH"/>
    <x v="127"/>
    <x v="127"/>
    <x v="36"/>
    <x v="9"/>
    <x v="0"/>
    <x v="0"/>
    <x v="0"/>
  </r>
  <r>
    <x v="128"/>
    <n v="105303134"/>
    <s v="ATIVIDADE NORMAL"/>
    <s v="06/03/2019"/>
    <x v="2"/>
    <x v="42"/>
    <x v="10"/>
    <x v="12"/>
    <s v="Regional Pernambuco"/>
    <s v="João Pessoa"/>
    <s v="MultiSkill"/>
    <x v="4"/>
    <s v="TEC MULTIFUNCIONAL"/>
    <s v="ATIVIDADE NORMAL"/>
    <s v="JPA"/>
    <s v="04486452461"/>
    <s v="04/09/2019"/>
    <s v="GLAUBER JOSE GOMES LEITAO"/>
    <s v="WENDELL FRANKLIN VIEIRA MAIA"/>
    <s v="WENDELL FRANKLIN VIEIRA MAIA"/>
    <x v="0"/>
    <x v="43"/>
    <x v="2"/>
    <s v="TECNICO MULTIFUNCIONAL"/>
    <x v="128"/>
    <x v="128"/>
    <x v="39"/>
    <x v="6"/>
    <x v="3"/>
    <x v="0"/>
    <x v="0"/>
  </r>
  <r>
    <x v="129"/>
    <n v="101001782"/>
    <s v="ATIVIDADE NORMAL"/>
    <s v="02/01/2019"/>
    <x v="1"/>
    <x v="40"/>
    <x v="10"/>
    <x v="8"/>
    <s v="Regional Ceará"/>
    <s v="Quixadá"/>
    <s v="MultiSkill"/>
    <x v="4"/>
    <s v="TEC MULTIFUNCIONAL"/>
    <s v="ATIVIDADE NORMAL"/>
    <s v="QXA"/>
    <s v="04492108394"/>
    <s v="04/09/2019"/>
    <s v="LYNDON JONHSON SILVA LIMA"/>
    <s v="ALENCAR DE SOUZA SANTOS"/>
    <s v="JONILSON FELIPE VIEIRA"/>
    <x v="0"/>
    <x v="9"/>
    <x v="4"/>
    <s v="TECNICO MULTIFUNCIONAL"/>
    <x v="129"/>
    <x v="129"/>
    <x v="10"/>
    <x v="4"/>
    <x v="1"/>
    <x v="0"/>
    <x v="0"/>
  </r>
  <r>
    <x v="130"/>
    <n v="109504369"/>
    <s v="ATIVIDADE NORMAL"/>
    <s v="30/09/2019"/>
    <x v="0"/>
    <x v="53"/>
    <x v="2"/>
    <x v="23"/>
    <s v="Regional Pernambuco"/>
    <s v="Interior"/>
    <s v="Tecnico de campo"/>
    <x v="1"/>
    <s v="CABISTA I"/>
    <s v="ATIVIDADE NORMAL"/>
    <s v="CBO"/>
    <s v="04502897450"/>
    <s v="04/09/2019"/>
    <s v="JOSE HAILTON ATAIDE"/>
    <s v="MARCOS DE OLIVEIRA STEHLING"/>
    <s v="NIVALDO DE OLIVEIRA SOARES"/>
    <x v="0"/>
    <x v="55"/>
    <x v="3"/>
    <s v="CABISTA I"/>
    <x v="130"/>
    <x v="130"/>
    <x v="46"/>
    <x v="3"/>
    <x v="0"/>
    <x v="0"/>
    <x v="1"/>
  </r>
  <r>
    <x v="131"/>
    <n v="109506032"/>
    <s v="AFAST ACID TRAB MAIS 15 DIAS"/>
    <s v="17/07/2019"/>
    <x v="0"/>
    <x v="49"/>
    <x v="10"/>
    <x v="13"/>
    <s v="Regional Pernambuco"/>
    <s v="Recife"/>
    <s v="MultiSkill"/>
    <x v="4"/>
    <s v="TEC MULTIFUNCIONAL"/>
    <s v="AFAST ACID TRAB MAIS 15 DIAS"/>
    <s v="OES"/>
    <s v="01604282460"/>
    <s v="04/09/2019"/>
    <s v="CARLOS REIS GONZAGA"/>
    <s v="DECIO FABIANO LOPES FERREIRA"/>
    <s v="NIVALDO DE OLIVEIRA SOARES"/>
    <x v="1"/>
    <x v="16"/>
    <x v="2"/>
    <s v="TECNICO MULTIFUNCIONAL"/>
    <x v="131"/>
    <x v="131"/>
    <x v="17"/>
    <x v="0"/>
    <x v="0"/>
    <x v="2"/>
    <x v="0"/>
  </r>
  <r>
    <x v="132"/>
    <n v="105000986"/>
    <s v="ATIVIDADE NORMAL"/>
    <s v="17/12/2018"/>
    <x v="2"/>
    <x v="33"/>
    <x v="10"/>
    <x v="16"/>
    <s v="Regional Pernambuco"/>
    <s v="João Pessoa"/>
    <s v="MultiSkill"/>
    <x v="4"/>
    <s v="TEC MULTIFUNCIONAL"/>
    <s v="ATIVIDADE NORMAL"/>
    <s v="CGE"/>
    <s v="01605325406"/>
    <s v="04/09/2019"/>
    <s v="JOSILENE MACENA DE OLIVEIRA"/>
    <s v="WENDELL FRANKLIN VIEIRA MAIA"/>
    <s v="WENDELL FRANKLIN VIEIRA MAIA"/>
    <x v="0"/>
    <x v="20"/>
    <x v="2"/>
    <s v="TECNICO MULTIFUNCIONAL"/>
    <x v="132"/>
    <x v="132"/>
    <x v="21"/>
    <x v="6"/>
    <x v="3"/>
    <x v="0"/>
    <x v="0"/>
  </r>
  <r>
    <x v="133"/>
    <n v="109504012"/>
    <s v="ATIVIDADE NORMAL"/>
    <s v="24/04/2019"/>
    <x v="2"/>
    <x v="54"/>
    <x v="6"/>
    <x v="12"/>
    <s v="Regional Pernambuco"/>
    <s v="João Pessoa"/>
    <s v="Tecnico de campo"/>
    <x v="5"/>
    <s v="TEC MULTIFUNCIONAL"/>
    <s v="ATIVIDADE NORMAL"/>
    <s v="JPA"/>
    <s v="01610142403"/>
    <s v="04/09/2019"/>
    <s v="FRANCISCO JOSE DIAS DA SILVA"/>
    <s v="WENDELL FRANKLIN VIEIRA MAIA"/>
    <s v="WENDELL FRANKLIN VIEIRA MAIA"/>
    <x v="0"/>
    <x v="59"/>
    <x v="2"/>
    <s v="TECNICO MULTIFUNCIONAL"/>
    <x v="133"/>
    <x v="133"/>
    <x v="25"/>
    <x v="6"/>
    <x v="3"/>
    <x v="0"/>
    <x v="1"/>
  </r>
  <r>
    <x v="134"/>
    <n v="101010175"/>
    <s v="ATIVIDADE NORMAL"/>
    <s v="17/07/2019"/>
    <x v="1"/>
    <x v="36"/>
    <x v="11"/>
    <x v="4"/>
    <s v="Regional Ceará"/>
    <s v="Capital Oeste Ceará"/>
    <s v="Tecnico de campo"/>
    <x v="1"/>
    <s v="LIDER DE OBRAS"/>
    <s v="ATIVIDADE NORMAL"/>
    <s v="COO"/>
    <s v="01646734319"/>
    <s v="04/09/2019"/>
    <s v="ANTONIO GILSON BANDEIRA VALE"/>
    <s v="CRISTIANO ADOLFO TORRES SAMPAIO"/>
    <s v="JESSE GONCALVES PASSOS DE LIMA"/>
    <x v="1"/>
    <x v="60"/>
    <x v="5"/>
    <s v="LIDER DE OBRAS"/>
    <x v="134"/>
    <x v="134"/>
    <x v="50"/>
    <x v="5"/>
    <x v="2"/>
    <x v="0"/>
    <x v="1"/>
  </r>
  <r>
    <x v="135"/>
    <n v="102100917"/>
    <s v="ATIVIDADE NORMAL"/>
    <s v="03/07/2019"/>
    <x v="3"/>
    <x v="27"/>
    <x v="2"/>
    <x v="20"/>
    <s v="Regional Pernambuco"/>
    <s v="Natal"/>
    <s v="Tecnico de campo"/>
    <x v="1"/>
    <s v="CABISTA I"/>
    <s v="ATIVIDADE NORMAL"/>
    <s v="MRO"/>
    <s v="01675390436"/>
    <s v="04/09/2019"/>
    <s v="FERNANDO FREITAS ALMEIDA DOS SANTOS"/>
    <s v="REINILSON IGLESIAS JUNIOR"/>
    <s v="WENDELL FRANKLIN VIEIRA MAIA"/>
    <x v="0"/>
    <x v="28"/>
    <x v="7"/>
    <s v="CABISTA I"/>
    <x v="135"/>
    <x v="135"/>
    <x v="27"/>
    <x v="7"/>
    <x v="3"/>
    <x v="0"/>
    <x v="1"/>
  </r>
  <r>
    <x v="136"/>
    <n v="108401409"/>
    <s v="ATIVIDADE NORMAL"/>
    <s v="25/04/2019"/>
    <x v="1"/>
    <x v="55"/>
    <x v="15"/>
    <x v="1"/>
    <s v="Regional Ceará"/>
    <s v="Capital Sul Ceará"/>
    <s v="Tecnico de campo"/>
    <x v="9"/>
    <s v="INSTALADOR DTH"/>
    <s v="ATIVIDADE NORMAL"/>
    <s v="GCS"/>
    <s v="01699071390"/>
    <s v="04/09/2019"/>
    <s v="JOSE NILTON MENDES LIMA"/>
    <s v="VANDERLEI HENZEL CHOLLET"/>
    <s v="JONILSON FELIPE VIEIRA"/>
    <x v="0"/>
    <x v="8"/>
    <x v="11"/>
    <s v="INSTALADOR DTH"/>
    <x v="136"/>
    <x v="136"/>
    <x v="32"/>
    <x v="8"/>
    <x v="1"/>
    <x v="0"/>
    <x v="0"/>
  </r>
  <r>
    <x v="137"/>
    <n v="101005241"/>
    <s v="ATIVIDADE NORMAL"/>
    <s v="19/12/2018"/>
    <x v="1"/>
    <x v="11"/>
    <x v="5"/>
    <x v="9"/>
    <s v="Regional Ceará"/>
    <s v="Juazeiro"/>
    <s v="MultiSkill"/>
    <x v="4"/>
    <s v="TEC MULTIFUNCIONAL"/>
    <s v="ATIVIDADE NORMAL"/>
    <s v="IAU"/>
    <s v="01727412389"/>
    <s v="04/09/2019"/>
    <s v="CLAUDECIR GOMES MACIEL"/>
    <s v="JEFFERSON OLIVEIRA DA SILVA"/>
    <s v="JONILSON FELIPE VIEIRA"/>
    <x v="0"/>
    <x v="5"/>
    <x v="2"/>
    <s v="TECNICO MULTIFUNCIONAL"/>
    <x v="137"/>
    <x v="137"/>
    <x v="6"/>
    <x v="2"/>
    <x v="1"/>
    <x v="0"/>
    <x v="0"/>
  </r>
  <r>
    <x v="138"/>
    <n v="108401409"/>
    <s v="ATIVIDADE NORMAL"/>
    <s v="28/04/2019"/>
    <x v="1"/>
    <x v="43"/>
    <x v="15"/>
    <x v="8"/>
    <s v="Regional Ceará"/>
    <s v="Quixadá"/>
    <s v="Tecnico de campo"/>
    <x v="9"/>
    <s v="INSTALADOR DTH"/>
    <s v="ATIVIDADE NORMAL"/>
    <s v="QXA"/>
    <s v="01798882345"/>
    <s v="04/09/2019"/>
    <s v="JOSE NILTON MENDES LIMA"/>
    <s v="VANDERLEI HENZEL CHOLLET"/>
    <s v="JONILSON FELIPE VIEIRA"/>
    <x v="0"/>
    <x v="44"/>
    <x v="11"/>
    <s v="INSTALADOR DTH"/>
    <x v="138"/>
    <x v="138"/>
    <x v="32"/>
    <x v="8"/>
    <x v="1"/>
    <x v="0"/>
    <x v="0"/>
  </r>
  <r>
    <x v="139"/>
    <n v="101006811"/>
    <s v="ATIVIDADE NORMAL"/>
    <s v="25/07/2019"/>
    <x v="1"/>
    <x v="43"/>
    <x v="4"/>
    <x v="8"/>
    <s v="Regional Ceará"/>
    <s v="Quixadá"/>
    <s v="MultiSkill"/>
    <x v="3"/>
    <s v="TEC MULTIFUNCIONAL"/>
    <s v="ATIVIDADE NORMAL"/>
    <s v="QXA"/>
    <s v="01810953359"/>
    <s v="04/09/2019"/>
    <s v="CARLOS FERNANDES GUIMARAES"/>
    <s v="ALENCAR DE SOUZA SANTOS"/>
    <s v="JONILSON FELIPE VIEIRA"/>
    <x v="0"/>
    <x v="44"/>
    <x v="2"/>
    <s v="TECNICO MULTIFUNCIONAL"/>
    <x v="139"/>
    <x v="139"/>
    <x v="40"/>
    <x v="4"/>
    <x v="1"/>
    <x v="0"/>
    <x v="0"/>
  </r>
  <r>
    <x v="140"/>
    <n v="102101642"/>
    <s v="ATIVIDADE NORMAL"/>
    <s v="19/11/2018"/>
    <x v="3"/>
    <x v="24"/>
    <x v="10"/>
    <x v="19"/>
    <s v="Regional Pernambuco"/>
    <s v="Natal"/>
    <s v="MultiSkill"/>
    <x v="4"/>
    <s v="TEC MULTIFUNCIONAL"/>
    <s v="ATIVIDADE NORMAL"/>
    <s v="NTN"/>
    <s v="01814466428"/>
    <s v="04/09/2019"/>
    <s v="WILSON CARLOS SILVEIRA LEIROS"/>
    <s v="REINILSON IGLESIAS JUNIOR"/>
    <s v="WENDELL FRANKLIN VIEIRA MAIA"/>
    <x v="0"/>
    <x v="51"/>
    <x v="2"/>
    <s v="TECNICO MULTIFUNCIONAL"/>
    <x v="140"/>
    <x v="140"/>
    <x v="28"/>
    <x v="7"/>
    <x v="3"/>
    <x v="0"/>
    <x v="0"/>
  </r>
  <r>
    <x v="141"/>
    <n v="101010210"/>
    <s v="ATIVIDADE NORMAL"/>
    <s v="25/06/2019"/>
    <x v="1"/>
    <x v="3"/>
    <x v="1"/>
    <x v="3"/>
    <s v="Regional Ceará"/>
    <s v="Capital Oeste Ceará"/>
    <s v="MultiSkill"/>
    <x v="0"/>
    <s v="TEC MULTIFUNCIONAL"/>
    <s v="ATIVIDADE NORMAL"/>
    <s v="CNO"/>
    <s v="01829427326"/>
    <s v="04/09/2019"/>
    <s v="ANTONIO FABIO DOS SANTOS LIMA"/>
    <s v="ANTONIO ROBEVANIO PINHEIRO"/>
    <s v="JONILSON FELIPE VIEIRA"/>
    <x v="0"/>
    <x v="61"/>
    <x v="1"/>
    <s v="TECNICO MULTIFUNCIONAL"/>
    <x v="141"/>
    <x v="141"/>
    <x v="1"/>
    <x v="1"/>
    <x v="1"/>
    <x v="0"/>
    <x v="0"/>
  </r>
  <r>
    <x v="142"/>
    <n v="101007665"/>
    <s v="ATIVIDADE NORMAL"/>
    <s v="05/06/2019"/>
    <x v="1"/>
    <x v="48"/>
    <x v="2"/>
    <x v="3"/>
    <s v="Regional Ceará"/>
    <s v="Capital Oeste Ceará"/>
    <s v="Tecnico de campo"/>
    <x v="1"/>
    <s v="CABISTA I"/>
    <s v="ATIVIDADE NORMAL"/>
    <s v="CNO"/>
    <s v="01833141318"/>
    <s v="04/09/2019"/>
    <s v="CARLOS AUGUSTO ALVES DE SOUSA"/>
    <s v="ALENCAR DE SOUZA SANTOS"/>
    <s v="JONILSON FELIPE VIEIRA"/>
    <x v="0"/>
    <x v="33"/>
    <x v="10"/>
    <s v="CABISTA I"/>
    <x v="142"/>
    <x v="142"/>
    <x v="45"/>
    <x v="4"/>
    <x v="1"/>
    <x v="0"/>
    <x v="1"/>
  </r>
  <r>
    <x v="143"/>
    <n v="101010210"/>
    <s v="ATIVIDADE NORMAL"/>
    <s v="03/07/2019"/>
    <x v="1"/>
    <x v="1"/>
    <x v="18"/>
    <x v="1"/>
    <s v="Regional Ceará"/>
    <s v="Capital Sul Ceará"/>
    <s v="Tecnico de campo"/>
    <x v="0"/>
    <s v="TEC MULTIFUNCIONAL"/>
    <s v="ATIVIDADE NORMAL"/>
    <s v="GCS - FTTH"/>
    <s v="01853177318"/>
    <s v="04/09/2019"/>
    <s v="ANTONIO FABIO DOS SANTOS LIMA"/>
    <s v="ANTONIO ROBEVANIO PINHEIRO"/>
    <s v="JONILSON FELIPE VIEIRA"/>
    <x v="0"/>
    <x v="54"/>
    <x v="1"/>
    <s v="TECNICO MULTIFUNCIONAL"/>
    <x v="143"/>
    <x v="143"/>
    <x v="1"/>
    <x v="1"/>
    <x v="1"/>
    <x v="0"/>
    <x v="0"/>
  </r>
  <r>
    <x v="144"/>
    <n v="102101393"/>
    <s v="ATIVIDADE NORMAL"/>
    <s v="31/07/2019"/>
    <x v="3"/>
    <x v="22"/>
    <x v="6"/>
    <x v="18"/>
    <s v="Regional Pernambuco"/>
    <s v="Natal"/>
    <s v="Tecnico de campo"/>
    <x v="5"/>
    <s v="INSTALADOR TUP"/>
    <s v="ATIVIDADE NORMAL"/>
    <s v="RNS"/>
    <s v="01873428499"/>
    <s v="04/09/2019"/>
    <s v="SIDNEY MOURA FREIRE"/>
    <s v="REINILSON IGLESIAS JUNIOR"/>
    <s v="WENDELL FRANKLIN VIEIRA MAIA"/>
    <x v="0"/>
    <x v="62"/>
    <x v="6"/>
    <s v="INSTALADOR I"/>
    <x v="144"/>
    <x v="144"/>
    <x v="24"/>
    <x v="7"/>
    <x v="3"/>
    <x v="0"/>
    <x v="1"/>
  </r>
  <r>
    <x v="145"/>
    <n v="428271"/>
    <s v="ATIVIDADE NORMAL"/>
    <s v="20/02/2019"/>
    <x v="1"/>
    <x v="12"/>
    <x v="2"/>
    <x v="1"/>
    <s v="Regional Ceará"/>
    <s v="Capital Sul Ceará"/>
    <s v="Equipe SWAT"/>
    <x v="1"/>
    <s v="CABISTA I"/>
    <s v="ATIVIDADE NORMAL"/>
    <s v="GCS"/>
    <s v="01950349373"/>
    <s v="04/09/2019"/>
    <s v="SHEYLA MARIA CALIOPE DE MELO MOURA"/>
    <s v="JEFFERSON OLIVEIRA DA SILVA"/>
    <s v="JONILSON FELIPE VIEIRA"/>
    <x v="0"/>
    <x v="56"/>
    <x v="10"/>
    <s v="CABISTA I"/>
    <x v="145"/>
    <x v="145"/>
    <x v="47"/>
    <x v="2"/>
    <x v="1"/>
    <x v="0"/>
    <x v="1"/>
  </r>
  <r>
    <x v="146"/>
    <n v="105000986"/>
    <s v="ATIVIDADE NORMAL"/>
    <s v="10/07/2019"/>
    <x v="2"/>
    <x v="33"/>
    <x v="12"/>
    <x v="16"/>
    <s v="Regional Pernambuco"/>
    <s v="João Pessoa"/>
    <s v="Tecnico de campo"/>
    <x v="6"/>
    <s v="CABISTA II"/>
    <s v="ATIVIDADE NORMAL"/>
    <s v="CGE"/>
    <s v="01970874422"/>
    <s v="04/09/2019"/>
    <s v="JOSILENE MACENA DE OLIVEIRA"/>
    <s v="WENDELL FRANKLIN VIEIRA MAIA"/>
    <s v="WENDELL FRANKLIN VIEIRA MAIA"/>
    <x v="0"/>
    <x v="20"/>
    <x v="7"/>
    <s v="CABISTA II"/>
    <x v="146"/>
    <x v="146"/>
    <x v="21"/>
    <x v="6"/>
    <x v="3"/>
    <x v="0"/>
    <x v="1"/>
  </r>
  <r>
    <x v="147"/>
    <n v="101001488"/>
    <s v="ATIVIDADE NORMAL"/>
    <s v="24/04/2019"/>
    <x v="1"/>
    <x v="2"/>
    <x v="18"/>
    <x v="2"/>
    <s v="Regional Ceará"/>
    <s v="Capital Sul Ceará"/>
    <s v="Tecnico de campo"/>
    <x v="0"/>
    <s v="TEC MULTIFUNCIONAL"/>
    <s v="ATIVIDADE NORMAL"/>
    <s v="GCL"/>
    <s v="01977934366"/>
    <s v="04/09/2019"/>
    <s v="MICHEL SOARES DE OLIVEIRA"/>
    <s v="ANTONIO ROBEVANIO PINHEIRO"/>
    <s v="JONILSON FELIPE VIEIRA"/>
    <x v="0"/>
    <x v="46"/>
    <x v="1"/>
    <s v="TECNICO MULTIFUNCIONAL"/>
    <x v="147"/>
    <x v="147"/>
    <x v="2"/>
    <x v="1"/>
    <x v="1"/>
    <x v="0"/>
    <x v="0"/>
  </r>
  <r>
    <x v="148"/>
    <n v="101008134"/>
    <s v="ATIVIDADE NORMAL"/>
    <s v="01/08/2019"/>
    <x v="1"/>
    <x v="47"/>
    <x v="19"/>
    <x v="1"/>
    <s v="Regional Ceará"/>
    <s v="Capital Sul Ceará"/>
    <s v="MultiSkill"/>
    <x v="8"/>
    <s v="TEC ADSL I"/>
    <s v="ATIVIDADE NORMAL"/>
    <s v="GCS"/>
    <s v="01999551311"/>
    <s v="04/09/2019"/>
    <s v="BRUNO SAVIO DA SILVA"/>
    <s v="ANTONIO ROBEVANIO PINHEIRO"/>
    <s v="JONILSON FELIPE VIEIRA"/>
    <x v="0"/>
    <x v="4"/>
    <x v="4"/>
    <s v="TECNICO ADSL"/>
    <x v="148"/>
    <x v="148"/>
    <x v="5"/>
    <x v="1"/>
    <x v="1"/>
    <x v="0"/>
    <x v="1"/>
  </r>
  <r>
    <x v="149"/>
    <n v="101007963"/>
    <s v="ATIVIDADE NORMAL"/>
    <s v="05/06/2019"/>
    <x v="1"/>
    <x v="41"/>
    <x v="2"/>
    <x v="4"/>
    <s v="Regional Ceará"/>
    <s v="Capital Oeste Ceará"/>
    <s v="Equipe SWAT"/>
    <x v="1"/>
    <s v="CABISTA I"/>
    <s v="ATIVIDADE NORMAL"/>
    <s v="COO"/>
    <s v="02047611318"/>
    <s v="04/09/2019"/>
    <s v="JOSEVAN DE SOUSA SILVA"/>
    <s v="ALENCAR DE SOUZA SANTOS"/>
    <s v="JONILSON FELIPE VIEIRA"/>
    <x v="0"/>
    <x v="39"/>
    <x v="10"/>
    <s v="CABISTA I"/>
    <x v="149"/>
    <x v="149"/>
    <x v="35"/>
    <x v="4"/>
    <x v="1"/>
    <x v="0"/>
    <x v="1"/>
  </r>
  <r>
    <x v="150"/>
    <n v="101003771"/>
    <s v="ATIVIDADE NORMAL"/>
    <s v="08/05/2019"/>
    <x v="1"/>
    <x v="8"/>
    <x v="6"/>
    <x v="2"/>
    <s v="Regional Ceará"/>
    <s v="Capital Sul Ceará"/>
    <s v="Tecnico de campo"/>
    <x v="5"/>
    <s v="INSTALADOR TUP"/>
    <s v="ATIVIDADE NORMAL"/>
    <s v="GCL"/>
    <s v="02068467380"/>
    <s v="04/09/2019"/>
    <s v="ANA CLAUDIA DE CASTRO DA SILVA"/>
    <s v="ALENCAR DE SOUZA SANTOS"/>
    <s v="JONILSON FELIPE VIEIRA"/>
    <x v="0"/>
    <x v="13"/>
    <x v="6"/>
    <s v="INSTALADOR I"/>
    <x v="150"/>
    <x v="150"/>
    <x v="14"/>
    <x v="4"/>
    <x v="1"/>
    <x v="0"/>
    <x v="1"/>
  </r>
  <r>
    <x v="151"/>
    <n v="102101634"/>
    <s v="FERIAS NORMAIS"/>
    <s v="19/08/2019"/>
    <x v="3"/>
    <x v="29"/>
    <x v="2"/>
    <x v="19"/>
    <s v="Regional Pernambuco"/>
    <s v="Natal"/>
    <s v="Tecnico de campo"/>
    <x v="1"/>
    <s v="CABISTA III"/>
    <s v="FERIAS NORMAIS"/>
    <s v="NTN"/>
    <s v="02078476498"/>
    <s v="04/09/2019"/>
    <s v="FABIO BATISTA DA SILVA"/>
    <s v="REINILSON IGLESIAS JUNIOR"/>
    <s v="WENDELL FRANKLIN VIEIRA MAIA"/>
    <x v="1"/>
    <x v="30"/>
    <x v="7"/>
    <s v="CABISTA III"/>
    <x v="151"/>
    <x v="151"/>
    <x v="29"/>
    <x v="7"/>
    <x v="3"/>
    <x v="1"/>
    <x v="1"/>
  </r>
  <r>
    <x v="152"/>
    <n v="109500315"/>
    <s v="ATIVIDADE NORMAL"/>
    <s v="30/09/2019"/>
    <x v="0"/>
    <x v="37"/>
    <x v="6"/>
    <x v="14"/>
    <s v="Regional Pernambuco"/>
    <s v="Recife"/>
    <s v="Tecnico de campo"/>
    <x v="5"/>
    <s v="INSTALADOR TUP"/>
    <s v="ATIVIDADE NORMAL"/>
    <s v="NOR"/>
    <s v="02125918439"/>
    <s v="04/09/2019"/>
    <s v="IVALDO BEZERRA NOVAIS"/>
    <s v="DECIO FABIANO LOPES FERREIRA"/>
    <s v="NIVALDO DE OLIVEIRA SOARES"/>
    <x v="0"/>
    <x v="47"/>
    <x v="6"/>
    <s v="INSTALADOR I"/>
    <x v="152"/>
    <x v="152"/>
    <x v="42"/>
    <x v="0"/>
    <x v="0"/>
    <x v="0"/>
    <x v="1"/>
  </r>
  <r>
    <x v="153"/>
    <n v="101005241"/>
    <s v="FERIAS NORMAIS"/>
    <s v="19/08/2019"/>
    <x v="1"/>
    <x v="11"/>
    <x v="2"/>
    <x v="9"/>
    <s v="Regional Ceará"/>
    <s v="Juazeiro"/>
    <s v="MultiSkill"/>
    <x v="1"/>
    <s v="TEC MULTIFUNCIONAL"/>
    <s v="FERIAS NORMAIS"/>
    <s v="IAU"/>
    <s v="02139638336"/>
    <s v="04/09/2019"/>
    <s v="CLAUDECIR GOMES MACIEL"/>
    <s v="JEFFERSON OLIVEIRA DA SILVA"/>
    <s v="JONILSON FELIPE VIEIRA"/>
    <x v="1"/>
    <x v="8"/>
    <x v="2"/>
    <s v="TECNICO MULTIFUNCIONAL"/>
    <x v="153"/>
    <x v="153"/>
    <x v="6"/>
    <x v="2"/>
    <x v="1"/>
    <x v="1"/>
    <x v="1"/>
  </r>
  <r>
    <x v="154"/>
    <n v="109000340"/>
    <s v="FERIAS NORMAIS"/>
    <s v="19/08/2019"/>
    <x v="0"/>
    <x v="38"/>
    <x v="14"/>
    <x v="22"/>
    <s v="Regional Pernambuco"/>
    <s v="Interior"/>
    <s v="MultiSkill"/>
    <x v="4"/>
    <s v="TEC MULTIFUNCIONAL"/>
    <s v="FERIAS NORMAIS"/>
    <s v="CAA"/>
    <s v="02238117423"/>
    <s v="04/09/2019"/>
    <s v="AILTON JOSE DOS SANTOS"/>
    <s v="DECIO FABIANO LOPES FERREIRA"/>
    <s v="NIVALDO DE OLIVEIRA SOARES"/>
    <x v="1"/>
    <x v="41"/>
    <x v="2"/>
    <s v="TECNICO MULTIFUNCIONAL"/>
    <x v="154"/>
    <x v="154"/>
    <x v="22"/>
    <x v="0"/>
    <x v="0"/>
    <x v="1"/>
    <x v="0"/>
  </r>
  <r>
    <x v="155"/>
    <n v="109000017"/>
    <s v="FERIAS NORMAIS"/>
    <s v="02/09/2019"/>
    <x v="0"/>
    <x v="56"/>
    <x v="10"/>
    <x v="10"/>
    <s v="Regional Pernambuco"/>
    <s v="Recife"/>
    <s v="MultiSkill"/>
    <x v="4"/>
    <s v="TEC MULTIFUNCIONAL"/>
    <s v="FERIAS NORMAIS"/>
    <s v="PES"/>
    <s v="02238534458"/>
    <s v="04/09/2019"/>
    <s v="AMAURY ASSIS DE LIMA"/>
    <s v="DECIO FABIANO LOPES FERREIRA"/>
    <s v="NIVALDO DE OLIVEIRA SOARES"/>
    <x v="1"/>
    <x v="24"/>
    <x v="2"/>
    <s v="TECNICO MULTIFUNCIONAL"/>
    <x v="155"/>
    <x v="155"/>
    <x v="15"/>
    <x v="0"/>
    <x v="0"/>
    <x v="1"/>
    <x v="0"/>
  </r>
  <r>
    <x v="156"/>
    <n v="101007963"/>
    <s v="ATIVIDADE NORMAL"/>
    <s v="31/07/2019"/>
    <x v="1"/>
    <x v="41"/>
    <x v="14"/>
    <x v="4"/>
    <s v="Regional Ceará"/>
    <s v="Capital Oeste Ceará"/>
    <s v="MultiSkill"/>
    <x v="4"/>
    <s v="TEC MULTIFUNCIONAL"/>
    <s v="ATIVIDADE NORMAL"/>
    <s v="COO"/>
    <s v="02259884377"/>
    <s v="04/09/2019"/>
    <s v="JOSEVAN DE SOUSA SILVA"/>
    <s v="ALENCAR DE SOUZA SANTOS"/>
    <s v="JONILSON FELIPE VIEIRA"/>
    <x v="0"/>
    <x v="17"/>
    <x v="2"/>
    <s v="TECNICO MULTIFUNCIONAL"/>
    <x v="156"/>
    <x v="156"/>
    <x v="35"/>
    <x v="4"/>
    <x v="1"/>
    <x v="0"/>
    <x v="0"/>
  </r>
  <r>
    <x v="157"/>
    <n v="102002917"/>
    <s v="ATIVIDADE NORMAL"/>
    <s v="06/05/2019"/>
    <x v="3"/>
    <x v="23"/>
    <x v="20"/>
    <x v="18"/>
    <s v="Regional Pernambuco"/>
    <s v="Natal"/>
    <s v="Tecnico de campo"/>
    <x v="7"/>
    <s v="TEC MULTIFUNCIONAL"/>
    <s v="ATIVIDADE NORMAL"/>
    <s v="RNS"/>
    <s v="02335932411"/>
    <s v="04/09/2019"/>
    <s v="RICELE DA SILVA NASCIMENTO"/>
    <s v="REINILSON IGLESIAS JUNIOR"/>
    <s v="WENDELL FRANKLIN VIEIRA MAIA"/>
    <x v="0"/>
    <x v="29"/>
    <x v="2"/>
    <s v="TECNICO MULTIFUNCIONAL"/>
    <x v="157"/>
    <x v="157"/>
    <x v="51"/>
    <x v="7"/>
    <x v="3"/>
    <x v="0"/>
    <x v="0"/>
  </r>
  <r>
    <x v="158"/>
    <n v="102101393"/>
    <s v="ATIVIDADE NORMAL"/>
    <s v="14/05/2018"/>
    <x v="3"/>
    <x v="23"/>
    <x v="6"/>
    <x v="18"/>
    <s v="Regional Pernambuco"/>
    <s v="Natal"/>
    <s v="Tecnico de campo"/>
    <x v="5"/>
    <s v="INSTALADOR TUP"/>
    <s v="ATIVIDADE NORMAL"/>
    <s v="RNS"/>
    <s v="02349995437"/>
    <s v="04/09/2019"/>
    <s v="SIDNEY MOURA FREIRE"/>
    <s v="REINILSON IGLESIAS JUNIOR"/>
    <s v="WENDELL FRANKLIN VIEIRA MAIA"/>
    <x v="0"/>
    <x v="23"/>
    <x v="6"/>
    <s v="INSTALADOR I"/>
    <x v="158"/>
    <x v="158"/>
    <x v="24"/>
    <x v="7"/>
    <x v="3"/>
    <x v="0"/>
    <x v="1"/>
  </r>
  <r>
    <x v="159"/>
    <n v="101003771"/>
    <s v="ATIVIDADE NORMAL"/>
    <s v="01/05/2019"/>
    <x v="1"/>
    <x v="9"/>
    <x v="6"/>
    <x v="8"/>
    <s v="Regional Ceará"/>
    <s v="Quixadá"/>
    <s v="Tecnico de campo"/>
    <x v="5"/>
    <s v="INSTALADOR TUP"/>
    <s v="ATIVIDADE NORMAL"/>
    <s v="QXA"/>
    <s v="02352631335"/>
    <s v="04/09/2019"/>
    <s v="ANA CLAUDIA DE CASTRO DA SILVA"/>
    <s v="ALENCAR DE SOUZA SANTOS"/>
    <s v="JONILSON FELIPE VIEIRA"/>
    <x v="0"/>
    <x v="13"/>
    <x v="6"/>
    <s v="INSTALADOR I"/>
    <x v="159"/>
    <x v="159"/>
    <x v="14"/>
    <x v="4"/>
    <x v="1"/>
    <x v="0"/>
    <x v="1"/>
  </r>
  <r>
    <x v="160"/>
    <n v="105000986"/>
    <s v="ATIVIDADE NORMAL"/>
    <s v="02/01/2019"/>
    <x v="2"/>
    <x v="20"/>
    <x v="10"/>
    <x v="16"/>
    <s v="Regional Pernambuco"/>
    <s v="João Pessoa"/>
    <s v="MultiSkill"/>
    <x v="4"/>
    <s v="TEC MULTIFUNCIONAL"/>
    <s v="ATIVIDADE NORMAL"/>
    <s v="CGE"/>
    <s v="02371496480"/>
    <s v="04/09/2019"/>
    <s v="JOSILENE MACENA DE OLIVEIRA"/>
    <s v="WENDELL FRANKLIN VIEIRA MAIA"/>
    <s v="WENDELL FRANKLIN VIEIRA MAIA"/>
    <x v="0"/>
    <x v="20"/>
    <x v="2"/>
    <s v="TECNICO MULTIFUNCIONAL"/>
    <x v="160"/>
    <x v="160"/>
    <x v="21"/>
    <x v="6"/>
    <x v="3"/>
    <x v="0"/>
    <x v="0"/>
  </r>
  <r>
    <x v="161"/>
    <n v="109000340"/>
    <s v="ATIVIDADE NORMAL"/>
    <s v="17/04/2019"/>
    <x v="0"/>
    <x v="0"/>
    <x v="14"/>
    <x v="0"/>
    <s v="Regional Pernambuco"/>
    <s v="Interior"/>
    <s v="MultiSkill"/>
    <x v="4"/>
    <s v="TEC MULTIFUNCIONAL"/>
    <s v="ATIVIDADE NORMAL"/>
    <s v="CRU"/>
    <s v="02399668480"/>
    <s v="04/09/2019"/>
    <s v="AILTON JOSE DOS SANTOS"/>
    <s v="DECIO FABIANO LOPES FERREIRA"/>
    <s v="NIVALDO DE OLIVEIRA SOARES"/>
    <x v="0"/>
    <x v="21"/>
    <x v="2"/>
    <s v="TECNICO MULTIFUNCIONAL"/>
    <x v="161"/>
    <x v="161"/>
    <x v="22"/>
    <x v="0"/>
    <x v="0"/>
    <x v="0"/>
    <x v="0"/>
  </r>
  <r>
    <x v="162"/>
    <n v="109505049"/>
    <s v="ATIVIDADE NORMAL"/>
    <s v="23/11/2018"/>
    <x v="0"/>
    <x v="52"/>
    <x v="0"/>
    <x v="7"/>
    <s v="Regional Pernambuco"/>
    <s v="Recife"/>
    <s v="Tecnico de campo"/>
    <x v="0"/>
    <s v="TEC MULTIFUNCIONAL"/>
    <s v="ATIVIDADE NORMAL"/>
    <s v="LES"/>
    <s v="02410489400"/>
    <s v="04/09/2019"/>
    <s v="RAMSES DE ANDRADE MACHADO RODRIGUES LAVRA"/>
    <s v="BRUNO VINICIUS DE ALBERTINS ALVES"/>
    <s v="NIVALDO DE OLIVEIRA SOARES"/>
    <x v="0"/>
    <x v="57"/>
    <x v="1"/>
    <s v="TECNICO MULTIFUNCIONAL"/>
    <x v="162"/>
    <x v="162"/>
    <x v="48"/>
    <x v="9"/>
    <x v="0"/>
    <x v="0"/>
    <x v="0"/>
  </r>
  <r>
    <x v="163"/>
    <n v="105303134"/>
    <s v="ATIVIDADE NORMAL"/>
    <s v="17/12/2018"/>
    <x v="2"/>
    <x v="42"/>
    <x v="2"/>
    <x v="12"/>
    <s v="Regional Pernambuco"/>
    <s v="João Pessoa"/>
    <s v="Tecnico de campo"/>
    <x v="1"/>
    <s v="CABISTA I"/>
    <s v="ATIVIDADE NORMAL"/>
    <s v="JPA"/>
    <s v="02473693498"/>
    <s v="04/09/2019"/>
    <s v="GLAUBER JOSE GOMES LEITAO"/>
    <s v="WENDELL FRANKLIN VIEIRA MAIA"/>
    <s v="WENDELL FRANKLIN VIEIRA MAIA"/>
    <x v="0"/>
    <x v="43"/>
    <x v="2"/>
    <s v="CABISTA I"/>
    <x v="163"/>
    <x v="163"/>
    <x v="39"/>
    <x v="6"/>
    <x v="3"/>
    <x v="0"/>
    <x v="1"/>
  </r>
  <r>
    <x v="164"/>
    <n v="101010209"/>
    <s v="FERIAS NORMAIS"/>
    <s v="19/08/2019"/>
    <x v="1"/>
    <x v="10"/>
    <x v="10"/>
    <x v="4"/>
    <s v="Regional Ceará"/>
    <s v="Capital Oeste Ceará"/>
    <s v="MultiSkill"/>
    <x v="4"/>
    <s v="TEC MULTIFUNCIONAL"/>
    <s v="FERIAS NORMAIS"/>
    <s v="COO"/>
    <s v="02487822317"/>
    <s v="04/09/2019"/>
    <s v="KARLYSSON FRANCO SANTANA DE SOUSA"/>
    <s v="ALENCAR DE SOUZA SANTOS"/>
    <s v="JONILSON FELIPE VIEIRA"/>
    <x v="1"/>
    <x v="10"/>
    <x v="2"/>
    <s v="TECNICO MULTIFUNCIONAL"/>
    <x v="164"/>
    <x v="164"/>
    <x v="11"/>
    <x v="4"/>
    <x v="1"/>
    <x v="1"/>
    <x v="0"/>
  </r>
  <r>
    <x v="165"/>
    <n v="109000427"/>
    <s v="FERIAS NORMAIS"/>
    <s v="26/08/2019"/>
    <x v="0"/>
    <x v="14"/>
    <x v="2"/>
    <x v="11"/>
    <s v="Regional Pernambuco"/>
    <s v="Interior"/>
    <s v="Tecnico de campo"/>
    <x v="1"/>
    <s v="CABISTA I"/>
    <s v="FERIAS NORMAIS"/>
    <s v="ACV"/>
    <s v="02494458404"/>
    <s v="04/09/2019"/>
    <s v="HAMILTON DAVINO DA SILVA"/>
    <s v="MARCOS DE OLIVEIRA STEHLING"/>
    <s v="NIVALDO DE OLIVEIRA SOARES"/>
    <x v="1"/>
    <x v="6"/>
    <x v="3"/>
    <s v="CABISTA I"/>
    <x v="165"/>
    <x v="165"/>
    <x v="7"/>
    <x v="3"/>
    <x v="0"/>
    <x v="1"/>
    <x v="1"/>
  </r>
  <r>
    <x v="166"/>
    <n v="101008003"/>
    <s v="ATIVIDADE NORMAL"/>
    <s v="09/01/2019"/>
    <x v="1"/>
    <x v="2"/>
    <x v="18"/>
    <x v="2"/>
    <s v="Regional Ceará"/>
    <s v="Capital Sul Ceará"/>
    <s v="Tecnico de campo"/>
    <x v="0"/>
    <s v="INSTALADOR DTH"/>
    <s v="ATIVIDADE NORMAL"/>
    <s v="GCL"/>
    <s v="02512740390"/>
    <s v="04/09/2019"/>
    <s v="NILO WEBER RAMOS RIBEIRO"/>
    <s v="ANTONIO ROBEVANIO PINHEIRO"/>
    <s v="JONILSON FELIPE VIEIRA"/>
    <x v="0"/>
    <x v="54"/>
    <x v="1"/>
    <s v="INSTALADOR DTH"/>
    <x v="166"/>
    <x v="166"/>
    <x v="3"/>
    <x v="1"/>
    <x v="1"/>
    <x v="0"/>
    <x v="0"/>
  </r>
  <r>
    <x v="167"/>
    <n v="109504012"/>
    <s v="ATIVIDADE NORMAL"/>
    <s v="06/03/2019"/>
    <x v="2"/>
    <x v="54"/>
    <x v="10"/>
    <x v="12"/>
    <s v="Regional Pernambuco"/>
    <s v="João Pessoa"/>
    <s v="MultiSkill"/>
    <x v="4"/>
    <s v="TEC MULTIFUNCIONAL"/>
    <s v="ATIVIDADE NORMAL"/>
    <s v="JPA"/>
    <s v="02517619409"/>
    <s v="04/09/2019"/>
    <s v="FRANCISCO JOSE DIAS DA SILVA"/>
    <s v="WENDELL FRANKLIN VIEIRA MAIA"/>
    <s v="WENDELL FRANKLIN VIEIRA MAIA"/>
    <x v="0"/>
    <x v="36"/>
    <x v="4"/>
    <s v="TECNICO MULTIFUNCIONAL"/>
    <x v="167"/>
    <x v="167"/>
    <x v="25"/>
    <x v="6"/>
    <x v="3"/>
    <x v="0"/>
    <x v="0"/>
  </r>
  <r>
    <x v="168"/>
    <n v="101004033"/>
    <s v="ATIVIDADE NORMAL"/>
    <s v="24/07/2019"/>
    <x v="1"/>
    <x v="57"/>
    <x v="12"/>
    <x v="4"/>
    <s v="Regional Ceará"/>
    <s v="Capital Oeste Ceará"/>
    <s v="Tecnico de campo"/>
    <x v="6"/>
    <s v="CABISTA I"/>
    <s v="ATIVIDADE NORMAL"/>
    <s v="COO"/>
    <s v="02529065357"/>
    <s v="04/09/2019"/>
    <s v="HENRIQUE OLIVEIRA DO NASCIMENTO"/>
    <s v="ALENCAR DE SOUZA SANTOS"/>
    <s v="JONILSON FELIPE VIEIRA"/>
    <x v="0"/>
    <x v="63"/>
    <x v="7"/>
    <s v="CABISTA I"/>
    <x v="168"/>
    <x v="168"/>
    <x v="52"/>
    <x v="4"/>
    <x v="1"/>
    <x v="0"/>
    <x v="1"/>
  </r>
  <r>
    <x v="169"/>
    <n v="109505149"/>
    <s v="ATIVIDADE NORMAL"/>
    <s v="07/05/2019"/>
    <x v="0"/>
    <x v="51"/>
    <x v="0"/>
    <x v="14"/>
    <s v="Regional Pernambuco"/>
    <s v="Recife"/>
    <s v="Tecnico de campo"/>
    <x v="0"/>
    <s v="TEC MULTIFUNCIONAL"/>
    <s v="ATIVIDADE NORMAL"/>
    <s v="NOR"/>
    <s v="02577803435"/>
    <s v="04/09/2019"/>
    <s v="BRUNO VINICIUS DE ALBERTINS ALVES"/>
    <s v="BRUNO VINICIUS DE ALBERTINS ALVES"/>
    <s v="NIVALDO DE OLIVEIRA SOARES"/>
    <x v="0"/>
    <x v="57"/>
    <x v="1"/>
    <s v="TECNICO MULTIFUNCIONAL"/>
    <x v="169"/>
    <x v="169"/>
    <x v="53"/>
    <x v="9"/>
    <x v="0"/>
    <x v="0"/>
    <x v="0"/>
  </r>
  <r>
    <x v="170"/>
    <n v="101007963"/>
    <s v="FERIAS NORMAIS"/>
    <s v="02/09/2019"/>
    <x v="1"/>
    <x v="36"/>
    <x v="17"/>
    <x v="4"/>
    <s v="Regional Ceará"/>
    <s v="Capital Oeste Ceará"/>
    <s v="MultiSkill"/>
    <x v="4"/>
    <s v="TEC MULTIFUNCIONAL"/>
    <s v="FERIAS NORMAIS"/>
    <s v="COO"/>
    <s v="02581242370"/>
    <s v="04/09/2019"/>
    <s v="JOSEVAN DE SOUSA SILVA"/>
    <s v="ALENCAR DE SOUZA SANTOS"/>
    <s v="JONILSON FELIPE VIEIRA"/>
    <x v="1"/>
    <x v="39"/>
    <x v="2"/>
    <s v="TECNICO MULTIFUNCIONAL"/>
    <x v="170"/>
    <x v="170"/>
    <x v="35"/>
    <x v="4"/>
    <x v="1"/>
    <x v="1"/>
    <x v="0"/>
  </r>
  <r>
    <x v="171"/>
    <n v="101004033"/>
    <s v="ATIVIDADE NORMAL"/>
    <s v="20/02/2019"/>
    <x v="1"/>
    <x v="58"/>
    <x v="2"/>
    <x v="4"/>
    <s v="Regional Ceará"/>
    <s v="Capital Oeste Ceará"/>
    <s v="Equipe SWAT"/>
    <x v="1"/>
    <s v="CABISTA I"/>
    <s v="ATIVIDADE NORMAL"/>
    <s v="COO"/>
    <s v="02606246322"/>
    <s v="04/09/2019"/>
    <s v="HENRIQUE OLIVEIRA DO NASCIMENTO"/>
    <s v="ALENCAR DE SOUZA SANTOS"/>
    <s v="JONILSON FELIPE VIEIRA"/>
    <x v="0"/>
    <x v="63"/>
    <x v="10"/>
    <s v="CABISTA I"/>
    <x v="171"/>
    <x v="171"/>
    <x v="52"/>
    <x v="4"/>
    <x v="1"/>
    <x v="0"/>
    <x v="1"/>
  </r>
  <r>
    <x v="172"/>
    <n v="108401409"/>
    <s v="ATIVIDADE NORMAL"/>
    <s v="07/06/2019"/>
    <x v="1"/>
    <x v="8"/>
    <x v="15"/>
    <x v="2"/>
    <s v="Regional Ceará"/>
    <s v="Capital Sul Ceará"/>
    <s v="Tecnico de campo"/>
    <x v="9"/>
    <s v="INSTALADOR DTH"/>
    <s v="ATIVIDADE NORMAL"/>
    <s v="GCL"/>
    <s v="02633441343"/>
    <s v="04/09/2019"/>
    <s v="JOSE NILTON MENDES LIMA"/>
    <s v="VANDERLEI HENZEL CHOLLET"/>
    <s v="JONILSON FELIPE VIEIRA"/>
    <x v="0"/>
    <x v="32"/>
    <x v="11"/>
    <s v="INSTALADOR DTH"/>
    <x v="172"/>
    <x v="172"/>
    <x v="32"/>
    <x v="8"/>
    <x v="1"/>
    <x v="0"/>
    <x v="0"/>
  </r>
  <r>
    <x v="173"/>
    <n v="101006811"/>
    <s v="FERIAS NORMAIS"/>
    <s v="19/08/2019"/>
    <x v="1"/>
    <x v="43"/>
    <x v="5"/>
    <x v="8"/>
    <s v="Regional Ceará"/>
    <s v="Quixadá"/>
    <s v="MultiSkill"/>
    <x v="4"/>
    <s v="TEC MULTIFUNCIONAL"/>
    <s v="FERIAS NORMAIS"/>
    <s v="QXA"/>
    <s v="02652680366"/>
    <s v="04/09/2019"/>
    <s v="CARLOS FERNANDES GUIMARAES"/>
    <s v="ALENCAR DE SOUZA SANTOS"/>
    <s v="JONILSON FELIPE VIEIRA"/>
    <x v="1"/>
    <x v="44"/>
    <x v="2"/>
    <s v="TECNICO MULTIFUNCIONAL"/>
    <x v="173"/>
    <x v="173"/>
    <x v="40"/>
    <x v="4"/>
    <x v="1"/>
    <x v="1"/>
    <x v="0"/>
  </r>
  <r>
    <x v="174"/>
    <n v="109000340"/>
    <s v="FERIAS NORMAIS"/>
    <s v="26/08/2019"/>
    <x v="0"/>
    <x v="38"/>
    <x v="6"/>
    <x v="22"/>
    <s v="Regional Pernambuco"/>
    <s v="Interior"/>
    <s v="Tecnico de campo"/>
    <x v="5"/>
    <s v="INSTALADOR TUP"/>
    <s v="FERIAS NORMAIS"/>
    <s v="CAA"/>
    <s v="02665325438"/>
    <s v="04/09/2019"/>
    <s v="AILTON JOSE DOS SANTOS"/>
    <s v="DECIO FABIANO LOPES FERREIRA"/>
    <s v="NIVALDO DE OLIVEIRA SOARES"/>
    <x v="1"/>
    <x v="41"/>
    <x v="6"/>
    <s v="INSTALADOR I"/>
    <x v="174"/>
    <x v="174"/>
    <x v="22"/>
    <x v="0"/>
    <x v="0"/>
    <x v="1"/>
    <x v="1"/>
  </r>
  <r>
    <x v="175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02697235442"/>
    <s v="04/09/2019"/>
    <s v="RAMSES DE ANDRADE MACHADO RODRIGUES LAVRA"/>
    <s v="BRUNO VINICIUS DE ALBERTINS ALVES"/>
    <s v="NIVALDO DE OLIVEIRA SOARES"/>
    <x v="0"/>
    <x v="57"/>
    <x v="1"/>
    <s v="TECNICO MULTIFUNCIONAL"/>
    <x v="175"/>
    <x v="175"/>
    <x v="48"/>
    <x v="9"/>
    <x v="0"/>
    <x v="0"/>
    <x v="0"/>
  </r>
  <r>
    <x v="176"/>
    <n v="109504012"/>
    <s v="ATIVIDADE NORMAL"/>
    <s v="03/04/2019"/>
    <x v="2"/>
    <x v="54"/>
    <x v="16"/>
    <x v="12"/>
    <s v="Regional Pernambuco"/>
    <s v="João Pessoa"/>
    <s v="Tecnico de campo"/>
    <x v="9"/>
    <s v="INSTALADOR DTH"/>
    <s v="ATIVIDADE NORMAL"/>
    <s v="JPA"/>
    <s v="02698651440"/>
    <s v="04/09/2019"/>
    <s v="FRANCISCO JOSE DIAS DA SILVA"/>
    <s v="WENDELL FRANKLIN VIEIRA MAIA"/>
    <s v="WENDELL FRANKLIN VIEIRA MAIA"/>
    <x v="0"/>
    <x v="36"/>
    <x v="11"/>
    <s v="INSTALADOR DTH"/>
    <x v="176"/>
    <x v="176"/>
    <x v="25"/>
    <x v="6"/>
    <x v="3"/>
    <x v="0"/>
    <x v="0"/>
  </r>
  <r>
    <x v="177"/>
    <n v="109505858"/>
    <s v="ATIVIDADE NORMAL"/>
    <s v="16/01/2019"/>
    <x v="0"/>
    <x v="6"/>
    <x v="14"/>
    <x v="6"/>
    <s v="Regional Pernambuco"/>
    <s v="Interior"/>
    <s v="MultiSkill"/>
    <x v="4"/>
    <s v="TEC MULTIFUNCIONAL"/>
    <s v="ATIVIDADE NORMAL"/>
    <s v="PTA"/>
    <s v="02707429481"/>
    <s v="04/09/2019"/>
    <s v="THIAGO DE LIMA PIRES RODRIGUES"/>
    <s v="DECIO FABIANO LOPES FERREIRA"/>
    <s v="NIVALDO DE OLIVEIRA SOARES"/>
    <x v="0"/>
    <x v="11"/>
    <x v="2"/>
    <s v="TECNICO MULTIFUNCIONAL"/>
    <x v="177"/>
    <x v="177"/>
    <x v="12"/>
    <x v="0"/>
    <x v="0"/>
    <x v="0"/>
    <x v="0"/>
  </r>
  <r>
    <x v="178"/>
    <n v="102101642"/>
    <s v="ATIVIDADE NORMAL"/>
    <s v="13/06/2019"/>
    <x v="3"/>
    <x v="28"/>
    <x v="10"/>
    <x v="21"/>
    <s v="Regional Pernambuco"/>
    <s v="Natal"/>
    <s v="MultiSkill"/>
    <x v="4"/>
    <s v="TEC MULTIFUNCIONAL"/>
    <s v="ATIVIDADE NORMAL"/>
    <s v="NTS"/>
    <s v="02710336499"/>
    <s v="04/09/2019"/>
    <s v="WILSON CARLOS SILVEIRA LEIROS"/>
    <s v="REINILSON IGLESIAS JUNIOR"/>
    <s v="WENDELL FRANKLIN VIEIRA MAIA"/>
    <x v="0"/>
    <x v="51"/>
    <x v="2"/>
    <s v="TECNICO MULTIFUNCIONAL"/>
    <x v="178"/>
    <x v="178"/>
    <x v="28"/>
    <x v="7"/>
    <x v="3"/>
    <x v="0"/>
    <x v="0"/>
  </r>
  <r>
    <x v="179"/>
    <n v="109506172"/>
    <s v="ATIVIDADE NORMAL"/>
    <s v="10/04/2019"/>
    <x v="0"/>
    <x v="59"/>
    <x v="3"/>
    <x v="13"/>
    <s v="Regional Pernambuco"/>
    <s v="Recife"/>
    <s v="Tecnico de campo"/>
    <x v="2"/>
    <s v="TEC MULTIFUNCIONAL"/>
    <s v="ATIVIDADE NORMAL"/>
    <s v="OES"/>
    <s v="02722423499"/>
    <s v="04/09/2019"/>
    <s v="MARCUS VINICIUS NEVES DE BRITO"/>
    <s v="DECIO FABIANO LOPES FERREIRA"/>
    <s v="NIVALDO DE OLIVEIRA SOARES"/>
    <x v="0"/>
    <x v="64"/>
    <x v="2"/>
    <s v="TECNICO MULTIFUNCIONAL"/>
    <x v="179"/>
    <x v="179"/>
    <x v="54"/>
    <x v="0"/>
    <x v="0"/>
    <x v="0"/>
    <x v="0"/>
  </r>
  <r>
    <x v="180"/>
    <n v="109505049"/>
    <s v="ATIVIDADE NORMAL"/>
    <s v="23/11/2018"/>
    <x v="0"/>
    <x v="52"/>
    <x v="0"/>
    <x v="7"/>
    <s v="Regional Pernambuco"/>
    <s v="Recife"/>
    <s v="MultiSkill"/>
    <x v="0"/>
    <s v="TEC MULTIFUNCIONAL"/>
    <s v="ATIVIDADE NORMAL"/>
    <s v="LES"/>
    <s v="02749342481"/>
    <s v="04/09/2019"/>
    <s v="RAMSES DE ANDRADE MACHADO RODRIGUES LAVRA"/>
    <s v="BRUNO VINICIUS DE ALBERTINS ALVES"/>
    <s v="NIVALDO DE OLIVEIRA SOARES"/>
    <x v="0"/>
    <x v="57"/>
    <x v="1"/>
    <s v="TECNICO MULTIFUNCIONAL"/>
    <x v="180"/>
    <x v="180"/>
    <x v="48"/>
    <x v="9"/>
    <x v="0"/>
    <x v="0"/>
    <x v="0"/>
  </r>
  <r>
    <x v="181"/>
    <n v="101010062"/>
    <s v="ATIVIDADE NORMAL"/>
    <s v="02/01/2019"/>
    <x v="1"/>
    <x v="57"/>
    <x v="5"/>
    <x v="4"/>
    <s v="Regional Ceará"/>
    <s v="Capital Oeste Ceará"/>
    <s v="MultiSkill"/>
    <x v="4"/>
    <s v="TEC MULTIFUNCIONAL"/>
    <s v="ATIVIDADE NORMAL"/>
    <s v="COO"/>
    <s v="02780897392"/>
    <s v="04/09/2019"/>
    <s v="ANTONIO ERINEUDES CAVALCANTE FEIJAO"/>
    <s v="JEFFERSON OLIVEIRA DA SILVA"/>
    <s v="JONILSON FELIPE VIEIRA"/>
    <x v="0"/>
    <x v="65"/>
    <x v="2"/>
    <s v="TECNICO MULTIFUNCIONAL"/>
    <x v="181"/>
    <x v="181"/>
    <x v="26"/>
    <x v="2"/>
    <x v="1"/>
    <x v="0"/>
    <x v="0"/>
  </r>
  <r>
    <x v="182"/>
    <n v="109506174"/>
    <s v="ATIVIDADE NORMAL"/>
    <s v="06/02/2019"/>
    <x v="0"/>
    <x v="53"/>
    <x v="4"/>
    <x v="23"/>
    <s v="Regional Pernambuco"/>
    <s v="Interior"/>
    <s v="MultiSkill"/>
    <x v="3"/>
    <s v="TEC MULTIFUNCIONAL"/>
    <s v="ATIVIDADE NORMAL"/>
    <s v="CBO"/>
    <s v="02796418421"/>
    <s v="04/09/2019"/>
    <s v="ALYSSON HENRIQUE FERREIRA DE LUCENA"/>
    <s v="DECIO FABIANO LOPES FERREIRA"/>
    <s v="NIVALDO DE OLIVEIRA SOARES"/>
    <x v="0"/>
    <x v="21"/>
    <x v="2"/>
    <s v="TECNICO MULTIFUNCIONAL"/>
    <x v="182"/>
    <x v="182"/>
    <x v="55"/>
    <x v="0"/>
    <x v="0"/>
    <x v="0"/>
    <x v="0"/>
  </r>
  <r>
    <x v="183"/>
    <n v="109000340"/>
    <s v="FERIAS NORMAIS"/>
    <s v="26/08/2019"/>
    <x v="0"/>
    <x v="21"/>
    <x v="6"/>
    <x v="17"/>
    <s v="Regional Pernambuco"/>
    <s v="Interior"/>
    <s v="Equipe SWAT"/>
    <x v="5"/>
    <s v="TEC MULTIFUNCIONAL"/>
    <s v="FERIAS NORMAIS"/>
    <s v="GUS"/>
    <s v="02816361411"/>
    <s v="04/09/2019"/>
    <s v="AILTON JOSE DOS SANTOS"/>
    <s v="DECIO FABIANO LOPES FERREIRA"/>
    <s v="NIVALDO DE OLIVEIRA SOARES"/>
    <x v="1"/>
    <x v="21"/>
    <x v="6"/>
    <s v="TECNICO MULTIFUNCIONAL"/>
    <x v="183"/>
    <x v="183"/>
    <x v="22"/>
    <x v="0"/>
    <x v="0"/>
    <x v="1"/>
    <x v="1"/>
  </r>
  <r>
    <x v="184"/>
    <n v="109000943"/>
    <s v="ATIVIDADE NORMAL"/>
    <s v="17/02/2019"/>
    <x v="0"/>
    <x v="60"/>
    <x v="12"/>
    <x v="14"/>
    <s v="Regional Pernambuco"/>
    <s v="Recife"/>
    <s v="Tecnico de campo"/>
    <x v="6"/>
    <s v="CABISTA I"/>
    <s v="ATIVIDADE NORMAL"/>
    <s v="NOR"/>
    <s v="02844143440"/>
    <s v="04/09/2019"/>
    <s v="MAURO BRAGA RANGEL"/>
    <s v="BRUNO VINICIUS DE ALBERTINS ALVES"/>
    <s v="NIVALDO DE OLIVEIRA SOARES"/>
    <x v="0"/>
    <x v="38"/>
    <x v="7"/>
    <s v="CABISTA I"/>
    <x v="184"/>
    <x v="184"/>
    <x v="56"/>
    <x v="9"/>
    <x v="0"/>
    <x v="0"/>
    <x v="1"/>
  </r>
  <r>
    <x v="185"/>
    <n v="105302862"/>
    <s v="ATIVIDADE NORMAL"/>
    <s v="17/07/2019"/>
    <x v="2"/>
    <x v="42"/>
    <x v="2"/>
    <x v="12"/>
    <s v="Regional Pernambuco"/>
    <s v="João Pessoa"/>
    <s v="Tecnico de campo"/>
    <x v="1"/>
    <s v="CABISTA I"/>
    <s v="ATIVIDADE NORMAL"/>
    <s v="JPA"/>
    <s v="02862677485"/>
    <s v="04/09/2019"/>
    <s v="PAULO PEREIRA DA SILVA"/>
    <s v="EDERLINDO GONCALVES SOARES"/>
    <s v="WENDELL FRANKLIN VIEIRA MAIA"/>
    <x v="0"/>
    <x v="66"/>
    <x v="3"/>
    <s v="CABISTA I"/>
    <x v="185"/>
    <x v="185"/>
    <x v="57"/>
    <x v="10"/>
    <x v="3"/>
    <x v="0"/>
    <x v="1"/>
  </r>
  <r>
    <x v="186"/>
    <n v="101010062"/>
    <s v="FERIAS NORMAIS"/>
    <s v="19/08/2019"/>
    <x v="1"/>
    <x v="26"/>
    <x v="14"/>
    <x v="15"/>
    <s v="Regional Ceará"/>
    <s v="Sobral"/>
    <s v="MultiSkill"/>
    <x v="4"/>
    <s v="TEC MULTIFUNCIONAL"/>
    <s v="FERIAS NORMAIS"/>
    <s v="SOL"/>
    <s v="02863233386"/>
    <s v="04/09/2019"/>
    <s v="ANTONIO ERINEUDES CAVALCANTE FEIJAO"/>
    <s v="JEFFERSON OLIVEIRA DA SILVA"/>
    <s v="JONILSON FELIPE VIEIRA"/>
    <x v="1"/>
    <x v="26"/>
    <x v="2"/>
    <s v="TECNICO MULTIFUNCIONAL"/>
    <x v="186"/>
    <x v="186"/>
    <x v="26"/>
    <x v="2"/>
    <x v="1"/>
    <x v="1"/>
    <x v="0"/>
  </r>
  <r>
    <x v="187"/>
    <n v="101008134"/>
    <s v="ATIVIDADE NORMAL"/>
    <s v="19/07/2019"/>
    <x v="1"/>
    <x v="3"/>
    <x v="1"/>
    <x v="3"/>
    <s v="Regional Ceará"/>
    <s v="Capital Oeste Ceará"/>
    <s v="Tecnico de campo"/>
    <x v="0"/>
    <s v="TEC MULTIFUNCIONAL"/>
    <s v="ATIVIDADE NORMAL"/>
    <s v="CNO"/>
    <s v="63263289349"/>
    <s v="04/09/2019"/>
    <s v="BRUNO SAVIO DA SILVA"/>
    <s v="ANTONIO ROBEVANIO PINHEIRO"/>
    <s v="JONILSON FELIPE VIEIRA"/>
    <x v="0"/>
    <x v="3"/>
    <x v="1"/>
    <s v="TECNICO MULTIFUNCIONAL"/>
    <x v="187"/>
    <x v="187"/>
    <x v="5"/>
    <x v="1"/>
    <x v="1"/>
    <x v="0"/>
    <x v="0"/>
  </r>
  <r>
    <x v="188"/>
    <n v="101010210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93085257349"/>
    <s v="04/09/2019"/>
    <s v="ANTONIO FABIO DOS SANTOS LIMA"/>
    <s v="ANTONIO ROBEVANIO PINHEIRO"/>
    <s v="JONILSON FELIPE VIEIRA"/>
    <x v="0"/>
    <x v="1"/>
    <x v="1"/>
    <s v="TECNICO MULTIFUNCIONAL"/>
    <x v="188"/>
    <x v="188"/>
    <x v="1"/>
    <x v="1"/>
    <x v="1"/>
    <x v="0"/>
    <x v="0"/>
  </r>
  <r>
    <x v="189"/>
    <n v="101010210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60934598371"/>
    <s v="04/09/2019"/>
    <s v="ANTONIO FABIO DOS SANTOS LIMA"/>
    <s v="ANTONIO ROBEVANIO PINHEIRO"/>
    <s v="JONILSON FELIPE VIEIRA"/>
    <x v="0"/>
    <x v="1"/>
    <x v="1"/>
    <s v="TECNICO MULTIFUNCIONAL"/>
    <x v="189"/>
    <x v="189"/>
    <x v="1"/>
    <x v="1"/>
    <x v="1"/>
    <x v="0"/>
    <x v="0"/>
  </r>
  <r>
    <x v="190"/>
    <n v="101010821"/>
    <s v="ATIVIDADE NORMAL"/>
    <s v="19/07/2019"/>
    <x v="1"/>
    <x v="2"/>
    <x v="1"/>
    <x v="2"/>
    <s v="Regional Ceará"/>
    <s v="Capital Sul Ceará"/>
    <s v="Tecnico de campo"/>
    <x v="0"/>
    <s v="TEC MULTIFUNCIONAL"/>
    <s v="ATIVIDADE NORMAL"/>
    <s v="GCL"/>
    <s v="03308610930"/>
    <s v="04/09/2019"/>
    <s v="THIAGO SILVA DE OLIVEIRA"/>
    <s v="ANTONIO ROBEVANIO PINHEIRO"/>
    <s v="JONILSON FELIPE VIEIRA"/>
    <x v="0"/>
    <x v="2"/>
    <x v="1"/>
    <s v="TECNICO MULTIFUNCIONAL"/>
    <x v="190"/>
    <x v="190"/>
    <x v="4"/>
    <x v="1"/>
    <x v="1"/>
    <x v="0"/>
    <x v="0"/>
  </r>
  <r>
    <x v="191"/>
    <n v="101010821"/>
    <s v="ATIVIDADE NORMAL"/>
    <s v="19/07/2019"/>
    <x v="1"/>
    <x v="1"/>
    <x v="1"/>
    <x v="1"/>
    <s v="Regional Ceará"/>
    <s v="Capital Sul Ceará"/>
    <s v="Tecnico de campo"/>
    <x v="0"/>
    <s v="TEC MULTIFUNCIONAL"/>
    <s v="ATIVIDADE NORMAL"/>
    <s v="GCS - FTTH"/>
    <s v="00862884314"/>
    <s v="04/09/2019"/>
    <s v="THIAGO SILVA DE OLIVEIRA"/>
    <s v="ANTONIO ROBEVANIO PINHEIRO"/>
    <s v="JONILSON FELIPE VIEIRA"/>
    <x v="0"/>
    <x v="1"/>
    <x v="1"/>
    <s v="TECNICO MULTIFUNCIONAL"/>
    <x v="191"/>
    <x v="191"/>
    <x v="4"/>
    <x v="1"/>
    <x v="1"/>
    <x v="0"/>
    <x v="0"/>
  </r>
  <r>
    <x v="192"/>
    <n v="101008134"/>
    <s v="ATIVIDADE NORMAL"/>
    <s v="19/07/2019"/>
    <x v="1"/>
    <x v="3"/>
    <x v="1"/>
    <x v="3"/>
    <s v="Regional Ceará"/>
    <s v="Capital Oeste Ceará"/>
    <s v="Tecnico de campo"/>
    <x v="0"/>
    <s v="TEC MULTIFUNCIONAL"/>
    <s v="ATIVIDADE NORMAL"/>
    <s v="CNO"/>
    <s v="96836768391"/>
    <s v="04/09/2019"/>
    <s v="BRUNO SAVIO DA SILVA"/>
    <s v="ANTONIO ROBEVANIO PINHEIRO"/>
    <s v="JONILSON FELIPE VIEIRA"/>
    <x v="0"/>
    <x v="3"/>
    <x v="1"/>
    <s v="TECNICO MULTIFUNCIONAL"/>
    <x v="192"/>
    <x v="192"/>
    <x v="5"/>
    <x v="1"/>
    <x v="1"/>
    <x v="0"/>
    <x v="0"/>
  </r>
  <r>
    <x v="193"/>
    <n v="101008134"/>
    <s v="ATIVIDADE NORMAL"/>
    <s v="19/07/2019"/>
    <x v="1"/>
    <x v="4"/>
    <x v="1"/>
    <x v="4"/>
    <s v="Regional Ceará"/>
    <s v="Capital Oeste Ceará"/>
    <s v="Tecnico de campo"/>
    <x v="0"/>
    <s v="TEC MULTIFUNCIONAL"/>
    <s v="ATIVIDADE NORMAL"/>
    <s v="COO"/>
    <s v="51068729368"/>
    <s v="04/09/2019"/>
    <s v="BRUNO SAVIO DA SILVA"/>
    <s v="ANTONIO ROBEVANIO PINHEIRO"/>
    <s v="JONILSON FELIPE VIEIRA"/>
    <x v="0"/>
    <x v="4"/>
    <x v="1"/>
    <s v="TECNICO MULTIFUNCIONAL"/>
    <x v="193"/>
    <x v="193"/>
    <x v="5"/>
    <x v="1"/>
    <x v="1"/>
    <x v="0"/>
    <x v="0"/>
  </r>
  <r>
    <x v="194"/>
    <n v="101010062"/>
    <s v="ATIVIDADE NORMAL"/>
    <s v="10/07/2019"/>
    <x v="1"/>
    <x v="26"/>
    <x v="10"/>
    <x v="15"/>
    <s v="Regional Ceará"/>
    <s v="Sobral"/>
    <s v="MultiSkill"/>
    <x v="4"/>
    <s v="TEC MULTIFUNCIONAL"/>
    <s v="ATIVIDADE NORMAL"/>
    <s v="SOL"/>
    <s v="00002889340"/>
    <s v="04/09/2019"/>
    <s v="ANTONIO ERINEUDES CAVALCANTE FEIJAO"/>
    <s v="JEFFERSON OLIVEIRA DA SILVA"/>
    <s v="JONILSON FELIPE VIEIRA"/>
    <x v="0"/>
    <x v="26"/>
    <x v="2"/>
    <s v="TECNICO MULTIFUNCIONAL"/>
    <x v="194"/>
    <x v="194"/>
    <x v="26"/>
    <x v="2"/>
    <x v="1"/>
    <x v="0"/>
    <x v="0"/>
  </r>
  <r>
    <x v="195"/>
    <n v="105000985"/>
    <s v="ATIVIDADE NORMAL"/>
    <s v="01/02/2019"/>
    <x v="2"/>
    <x v="61"/>
    <x v="5"/>
    <x v="24"/>
    <s v="Regional Pernambuco"/>
    <s v="João Pessoa"/>
    <s v="MultiSkill"/>
    <x v="4"/>
    <s v="TEC MULTIFUNCIONAL"/>
    <s v="ATIVIDADE NORMAL"/>
    <s v="POS"/>
    <s v="00005050480"/>
    <s v="04/09/2019"/>
    <s v="STANLEY MEDEIROS WANDERLEY"/>
    <s v="WENDELL FRANKLIN VIEIRA MAIA"/>
    <s v="WENDELL FRANKLIN VIEIRA MAIA"/>
    <x v="0"/>
    <x v="67"/>
    <x v="2"/>
    <s v="TECNICO MULTIFUNCIONAL"/>
    <x v="195"/>
    <x v="195"/>
    <x v="58"/>
    <x v="6"/>
    <x v="3"/>
    <x v="0"/>
    <x v="0"/>
  </r>
  <r>
    <x v="196"/>
    <n v="101004033"/>
    <s v="ATIVIDADE NORMAL"/>
    <s v="31/07/2019"/>
    <x v="1"/>
    <x v="57"/>
    <x v="10"/>
    <x v="4"/>
    <s v="Regional Ceará"/>
    <s v="Capital Oeste Ceará"/>
    <s v="MultiSkill"/>
    <x v="4"/>
    <s v="TEC MULTIFUNCIONAL"/>
    <s v="ATIVIDADE NORMAL"/>
    <s v="COO"/>
    <s v="00089548361"/>
    <s v="04/09/2019"/>
    <s v="HENRIQUE OLIVEIRA DO NASCIMENTO"/>
    <s v="ALENCAR DE SOUZA SANTOS"/>
    <s v="JONILSON FELIPE VIEIRA"/>
    <x v="0"/>
    <x v="63"/>
    <x v="2"/>
    <s v="TECNICO MULTIFUNCIONAL"/>
    <x v="196"/>
    <x v="196"/>
    <x v="52"/>
    <x v="4"/>
    <x v="1"/>
    <x v="0"/>
    <x v="0"/>
  </r>
  <r>
    <x v="197"/>
    <n v="105000986"/>
    <s v="ATIVIDADE NORMAL"/>
    <s v="03/04/2019"/>
    <x v="2"/>
    <x v="33"/>
    <x v="14"/>
    <x v="16"/>
    <s v="Regional Pernambuco"/>
    <s v="João Pessoa"/>
    <s v="MultiSkill"/>
    <x v="4"/>
    <s v="TEC MULTIFUNCIONAL"/>
    <s v="ATIVIDADE NORMAL"/>
    <s v="CGE"/>
    <s v="00102510148"/>
    <s v="04/09/2019"/>
    <s v="JOSILENE MACENA DE OLIVEIRA"/>
    <s v="WENDELL FRANKLIN VIEIRA MAIA"/>
    <s v="WENDELL FRANKLIN VIEIRA MAIA"/>
    <x v="0"/>
    <x v="20"/>
    <x v="2"/>
    <s v="TECNICO MULTIFUNCIONAL"/>
    <x v="197"/>
    <x v="197"/>
    <x v="21"/>
    <x v="6"/>
    <x v="3"/>
    <x v="0"/>
    <x v="0"/>
  </r>
  <r>
    <x v="198"/>
    <n v="101001782"/>
    <s v="ATIVIDADE NORMAL"/>
    <s v="06/03/2019"/>
    <x v="1"/>
    <x v="9"/>
    <x v="14"/>
    <x v="8"/>
    <s v="Regional Ceará"/>
    <s v="Quixadá"/>
    <s v="MultiSkill"/>
    <x v="4"/>
    <s v="TEC MULTIFUNCIONAL"/>
    <s v="ATIVIDADE NORMAL"/>
    <s v="QXA"/>
    <s v="00105862371"/>
    <s v="04/09/2019"/>
    <s v="LYNDON JONHSON SILVA LIMA"/>
    <s v="ALENCAR DE SOUZA SANTOS"/>
    <s v="JONILSON FELIPE VIEIRA"/>
    <x v="0"/>
    <x v="9"/>
    <x v="2"/>
    <s v="TECNICO MULTIFUNCIONAL"/>
    <x v="198"/>
    <x v="198"/>
    <x v="10"/>
    <x v="4"/>
    <x v="1"/>
    <x v="0"/>
    <x v="0"/>
  </r>
  <r>
    <x v="199"/>
    <n v="105303134"/>
    <s v="ATIVIDADE NORMAL"/>
    <s v="28/11/2018"/>
    <x v="2"/>
    <x v="42"/>
    <x v="5"/>
    <x v="12"/>
    <s v="Regional Pernambuco"/>
    <s v="João Pessoa"/>
    <s v="MultiSkill"/>
    <x v="4"/>
    <s v="TEC MULTIFUNCIONAL"/>
    <s v="ATIVIDADE NORMAL"/>
    <s v="JPA"/>
    <s v="00121315479"/>
    <s v="04/09/2019"/>
    <s v="GLAUBER JOSE GOMES LEITAO"/>
    <s v="WENDELL FRANKLIN VIEIRA MAIA"/>
    <s v="WENDELL FRANKLIN VIEIRA MAIA"/>
    <x v="0"/>
    <x v="43"/>
    <x v="2"/>
    <s v="TECNICO MULTIFUNCIONAL"/>
    <x v="199"/>
    <x v="199"/>
    <x v="39"/>
    <x v="6"/>
    <x v="3"/>
    <x v="0"/>
    <x v="0"/>
  </r>
  <r>
    <x v="200"/>
    <n v="102002917"/>
    <s v="ATIVIDADE NORMAL"/>
    <s v="03/04/2019"/>
    <x v="3"/>
    <x v="23"/>
    <x v="14"/>
    <x v="18"/>
    <s v="Regional Pernambuco"/>
    <s v="Natal"/>
    <s v="MultiSkill"/>
    <x v="4"/>
    <s v="TEC MULTIFUNCIONAL"/>
    <s v="ATIVIDADE NORMAL"/>
    <s v="RNS"/>
    <s v="02882700458"/>
    <s v="04/09/2019"/>
    <s v="RICELE DA SILVA NASCIMENTO"/>
    <s v="REINILSON IGLESIAS JUNIOR"/>
    <s v="WENDELL FRANKLIN VIEIRA MAIA"/>
    <x v="0"/>
    <x v="29"/>
    <x v="2"/>
    <s v="TECNICO MULTIFUNCIONAL"/>
    <x v="200"/>
    <x v="200"/>
    <x v="51"/>
    <x v="7"/>
    <x v="3"/>
    <x v="0"/>
    <x v="0"/>
  </r>
  <r>
    <x v="201"/>
    <n v="101006811"/>
    <s v="ATIVIDADE NORMAL"/>
    <s v="26/11/2018"/>
    <x v="1"/>
    <x v="17"/>
    <x v="5"/>
    <x v="3"/>
    <s v="Regional Ceará"/>
    <s v="Capital Oeste Ceará"/>
    <s v="MultiSkill"/>
    <x v="4"/>
    <s v="TEC MULTIFUNCIONAL"/>
    <s v="ATIVIDADE NORMAL"/>
    <s v="CNO"/>
    <s v="02918721310"/>
    <s v="04/09/2019"/>
    <s v="CARLOS FERNANDES GUIMARAES"/>
    <s v="ALENCAR DE SOUZA SANTOS"/>
    <s v="JONILSON FELIPE VIEIRA"/>
    <x v="0"/>
    <x v="44"/>
    <x v="2"/>
    <s v="TECNICO MULTIFUNCIONAL"/>
    <x v="201"/>
    <x v="201"/>
    <x v="40"/>
    <x v="4"/>
    <x v="1"/>
    <x v="0"/>
    <x v="0"/>
  </r>
  <r>
    <x v="202"/>
    <n v="101005241"/>
    <s v="ATIVIDADE NORMAL"/>
    <s v="16/05/2019"/>
    <x v="1"/>
    <x v="31"/>
    <x v="4"/>
    <x v="5"/>
    <s v="Regional Ceará"/>
    <s v="Juazeiro"/>
    <s v="MultiSkill"/>
    <x v="3"/>
    <s v="TEC MULTIFUNCIONAL"/>
    <s v="ATIVIDADE NORMAL"/>
    <s v="JNE"/>
    <s v="02966192488"/>
    <s v="04/09/2019"/>
    <s v="CLAUDECIR GOMES MACIEL"/>
    <s v="JEFFERSON OLIVEIRA DA SILVA"/>
    <s v="JONILSON FELIPE VIEIRA"/>
    <x v="0"/>
    <x v="5"/>
    <x v="2"/>
    <s v="TECNICO MULTIFUNCIONAL"/>
    <x v="202"/>
    <x v="202"/>
    <x v="6"/>
    <x v="2"/>
    <x v="1"/>
    <x v="0"/>
    <x v="0"/>
  </r>
  <r>
    <x v="203"/>
    <n v="109506091"/>
    <s v="ATIVIDADE NORMAL"/>
    <s v="01/05/2019"/>
    <x v="0"/>
    <x v="60"/>
    <x v="2"/>
    <x v="14"/>
    <s v="Regional Pernambuco"/>
    <s v="Recife"/>
    <s v="Tecnico de campo"/>
    <x v="1"/>
    <s v="CABISTA III"/>
    <s v="ATIVIDADE NORMAL"/>
    <s v="NOR"/>
    <s v="02998496431"/>
    <s v="04/09/2019"/>
    <s v="LUIZ RICARDO LIMA DA SILVA"/>
    <s v="BRUNO VINICIUS DE ALBERTINS ALVES"/>
    <s v="NIVALDO DE OLIVEIRA SOARES"/>
    <x v="0"/>
    <x v="18"/>
    <x v="7"/>
    <s v="CABISTA III"/>
    <x v="203"/>
    <x v="203"/>
    <x v="49"/>
    <x v="9"/>
    <x v="0"/>
    <x v="0"/>
    <x v="1"/>
  </r>
  <r>
    <x v="204"/>
    <n v="109506174"/>
    <s v="FERIAS NORMAIS"/>
    <s v="19/08/2019"/>
    <x v="0"/>
    <x v="53"/>
    <x v="14"/>
    <x v="23"/>
    <s v="Regional Pernambuco"/>
    <s v="Interior"/>
    <s v="MultiSkill"/>
    <x v="4"/>
    <s v="TEC MULTIFUNCIONAL"/>
    <s v="FERIAS NORMAIS"/>
    <s v="CBO"/>
    <s v="03017069486"/>
    <s v="04/09/2019"/>
    <s v="ALYSSON HENRIQUE FERREIRA DE LUCENA"/>
    <s v="DECIO FABIANO LOPES FERREIRA"/>
    <s v="NIVALDO DE OLIVEIRA SOARES"/>
    <x v="1"/>
    <x v="21"/>
    <x v="2"/>
    <s v="TECNICO MULTIFUNCIONAL"/>
    <x v="204"/>
    <x v="204"/>
    <x v="55"/>
    <x v="0"/>
    <x v="0"/>
    <x v="1"/>
    <x v="0"/>
  </r>
  <r>
    <x v="205"/>
    <n v="109505858"/>
    <s v="ATIVIDADE NORMAL"/>
    <s v="13/03/2019"/>
    <x v="0"/>
    <x v="6"/>
    <x v="11"/>
    <x v="6"/>
    <s v="Regional Pernambuco"/>
    <s v="Interior"/>
    <s v="MultiSkill"/>
    <x v="1"/>
    <s v="TEC MULTIFUNCIONAL"/>
    <s v="ATIVIDADE NORMAL"/>
    <s v="PTA"/>
    <s v="03017784428"/>
    <s v="04/09/2019"/>
    <s v="THIAGO DE LIMA PIRES RODRIGUES"/>
    <s v="DECIO FABIANO LOPES FERREIRA"/>
    <s v="NIVALDO DE OLIVEIRA SOARES"/>
    <x v="0"/>
    <x v="11"/>
    <x v="2"/>
    <s v="TECNICO MULTIFUNCIONAL"/>
    <x v="205"/>
    <x v="205"/>
    <x v="12"/>
    <x v="0"/>
    <x v="0"/>
    <x v="0"/>
    <x v="1"/>
  </r>
  <r>
    <x v="206"/>
    <n v="105000985"/>
    <s v="ATIVIDADE NORMAL"/>
    <s v="05/09/2018"/>
    <x v="2"/>
    <x v="61"/>
    <x v="6"/>
    <x v="24"/>
    <s v="Regional Pernambuco"/>
    <s v="João Pessoa"/>
    <s v="MultiSkill"/>
    <x v="5"/>
    <s v="TEC MULTIFUNCIONAL"/>
    <s v="ATIVIDADE NORMAL"/>
    <s v="POS"/>
    <s v="03018906411"/>
    <s v="04/09/2019"/>
    <s v="STANLEY MEDEIROS WANDERLEY"/>
    <s v="WENDELL FRANKLIN VIEIRA MAIA"/>
    <s v="WENDELL FRANKLIN VIEIRA MAIA"/>
    <x v="0"/>
    <x v="67"/>
    <x v="2"/>
    <s v="TECNICO MULTIFUNCIONAL"/>
    <x v="206"/>
    <x v="206"/>
    <x v="58"/>
    <x v="6"/>
    <x v="3"/>
    <x v="0"/>
    <x v="1"/>
  </r>
  <r>
    <x v="207"/>
    <n v="109505858"/>
    <s v="AFAST DOENCA MAIS DE 15 DIAS"/>
    <s v="31/01/2014"/>
    <x v="0"/>
    <x v="14"/>
    <x v="9"/>
    <x v="11"/>
    <s v="Regional Pernambuco"/>
    <s v="Interior"/>
    <s v="Tecnico de campo"/>
    <x v="7"/>
    <s v="INSTALADOR"/>
    <s v="AFAST DOENCA MAIS DE 15 DIAS"/>
    <s v="ACV"/>
    <s v="03038889466"/>
    <s v="04/09/2019"/>
    <s v="THIAGO DE LIMA PIRES RODRIGUES"/>
    <s v="DECIO FABIANO LOPES FERREIRA"/>
    <s v="NIVALDO DE OLIVEIRA SOARES"/>
    <x v="1"/>
    <x v="11"/>
    <x v="2"/>
    <s v="INSTALADOR I"/>
    <x v="207"/>
    <x v="207"/>
    <x v="12"/>
    <x v="0"/>
    <x v="0"/>
    <x v="2"/>
    <x v="0"/>
  </r>
  <r>
    <x v="208"/>
    <n v="105000985"/>
    <s v="ATIVIDADE NORMAL"/>
    <s v="13/03/2019"/>
    <x v="2"/>
    <x v="61"/>
    <x v="6"/>
    <x v="24"/>
    <s v="Regional Pernambuco"/>
    <s v="João Pessoa"/>
    <s v="MultiSkill"/>
    <x v="5"/>
    <s v="TEC MULTIFUNCIONAL"/>
    <s v="ATIVIDADE NORMAL"/>
    <s v="POS"/>
    <s v="03048013482"/>
    <s v="04/09/2019"/>
    <s v="STANLEY MEDEIROS WANDERLEY"/>
    <s v="WENDELL FRANKLIN VIEIRA MAIA"/>
    <s v="WENDELL FRANKLIN VIEIRA MAIA"/>
    <x v="0"/>
    <x v="67"/>
    <x v="2"/>
    <s v="TECNICO MULTIFUNCIONAL"/>
    <x v="208"/>
    <x v="208"/>
    <x v="58"/>
    <x v="6"/>
    <x v="3"/>
    <x v="0"/>
    <x v="1"/>
  </r>
  <r>
    <x v="209"/>
    <n v="101005241"/>
    <s v="ATIVIDADE NORMAL"/>
    <s v="01/08/2018"/>
    <x v="1"/>
    <x v="5"/>
    <x v="0"/>
    <x v="5"/>
    <s v="Regional Ceará"/>
    <s v="Juazeiro"/>
    <s v="MultiSkill"/>
    <x v="0"/>
    <s v="TEC MULTIFUNCIONAL"/>
    <s v="ATIVIDADE NORMAL"/>
    <s v="JNE"/>
    <s v="03048671366"/>
    <s v="04/09/2019"/>
    <s v="CLAUDECIR GOMES MACIEL"/>
    <s v="JEFFERSON OLIVEIRA DA SILVA"/>
    <s v="JONILSON FELIPE VIEIRA"/>
    <x v="0"/>
    <x v="5"/>
    <x v="2"/>
    <s v="TECNICO MULTIFUNCIONAL"/>
    <x v="209"/>
    <x v="209"/>
    <x v="6"/>
    <x v="2"/>
    <x v="1"/>
    <x v="0"/>
    <x v="0"/>
  </r>
  <r>
    <x v="210"/>
    <n v="105303208"/>
    <s v="ATIVIDADE NORMAL"/>
    <s v="17/12/2018"/>
    <x v="2"/>
    <x v="15"/>
    <x v="10"/>
    <x v="12"/>
    <s v="Regional Pernambuco"/>
    <s v="João Pessoa"/>
    <s v="MultiSkill"/>
    <x v="4"/>
    <s v="TEC MULTIFUNCIONAL"/>
    <s v="ATIVIDADE NORMAL"/>
    <s v="JPA"/>
    <s v="03050137428"/>
    <s v="04/09/2019"/>
    <s v="FERNANDO ANTONIO PORTO DE FREITAS"/>
    <s v="WENDELL FRANKLIN VIEIRA MAIA"/>
    <s v="WENDELL FRANKLIN VIEIRA MAIA"/>
    <x v="0"/>
    <x v="49"/>
    <x v="2"/>
    <s v="TECNICO MULTIFUNCIONAL"/>
    <x v="210"/>
    <x v="210"/>
    <x v="16"/>
    <x v="6"/>
    <x v="3"/>
    <x v="0"/>
    <x v="0"/>
  </r>
  <r>
    <x v="211"/>
    <n v="102101634"/>
    <s v="FERIAS NORMAIS"/>
    <s v="02/09/2019"/>
    <x v="3"/>
    <x v="29"/>
    <x v="16"/>
    <x v="19"/>
    <s v="Regional Pernambuco"/>
    <s v="Natal"/>
    <s v="Tecnico de campo"/>
    <x v="9"/>
    <s v="INSTALADOR DTH"/>
    <s v="FERIAS NORMAIS"/>
    <s v="NTN"/>
    <s v="03057696422"/>
    <s v="04/09/2019"/>
    <s v="FABIO BATISTA DA SILVA"/>
    <s v="REINILSON IGLESIAS JUNIOR"/>
    <s v="WENDELL FRANKLIN VIEIRA MAIA"/>
    <x v="1"/>
    <x v="30"/>
    <x v="11"/>
    <s v="INSTALADOR DTH"/>
    <x v="211"/>
    <x v="211"/>
    <x v="29"/>
    <x v="7"/>
    <x v="3"/>
    <x v="1"/>
    <x v="0"/>
  </r>
  <r>
    <x v="212"/>
    <n v="101010062"/>
    <s v="ATIVIDADE NORMAL"/>
    <s v="02/01/2019"/>
    <x v="1"/>
    <x v="26"/>
    <x v="2"/>
    <x v="15"/>
    <s v="Regional Ceará"/>
    <s v="Sobral"/>
    <s v="Tecnico de campo"/>
    <x v="1"/>
    <s v="CABISTA I"/>
    <s v="ATIVIDADE NORMAL"/>
    <s v="SOL"/>
    <s v="00171149343"/>
    <s v="04/09/2019"/>
    <s v="ANTONIO ERINEUDES CAVALCANTE FEIJAO"/>
    <s v="JEFFERSON OLIVEIRA DA SILVA"/>
    <s v="JONILSON FELIPE VIEIRA"/>
    <x v="0"/>
    <x v="26"/>
    <x v="7"/>
    <s v="CABISTA I"/>
    <x v="212"/>
    <x v="212"/>
    <x v="26"/>
    <x v="2"/>
    <x v="1"/>
    <x v="0"/>
    <x v="1"/>
  </r>
  <r>
    <x v="213"/>
    <n v="101001670"/>
    <s v="ATIVIDADE NORMAL"/>
    <s v="03/07/2019"/>
    <x v="1"/>
    <x v="8"/>
    <x v="10"/>
    <x v="2"/>
    <s v="Regional Ceará"/>
    <s v="Capital Sul Ceará"/>
    <s v="MultiSkill"/>
    <x v="4"/>
    <s v="TEC MULTIFUNCIONAL"/>
    <s v="ATIVIDADE NORMAL"/>
    <s v="GCL"/>
    <s v="00247280399"/>
    <s v="04/09/2019"/>
    <s v="FRANCISCO MARCOS TEIXEIRA DOS SANTOS"/>
    <s v="JEFFERSON OLIVEIRA DA SILVA"/>
    <s v="JONILSON FELIPE VIEIRA"/>
    <x v="0"/>
    <x v="8"/>
    <x v="2"/>
    <s v="TECNICO MULTIFUNCIONAL"/>
    <x v="213"/>
    <x v="213"/>
    <x v="9"/>
    <x v="2"/>
    <x v="1"/>
    <x v="0"/>
    <x v="0"/>
  </r>
  <r>
    <x v="214"/>
    <n v="101003771"/>
    <s v="ATIVIDADE NORMAL"/>
    <s v="10/10/2018"/>
    <x v="1"/>
    <x v="41"/>
    <x v="6"/>
    <x v="4"/>
    <s v="Regional Ceará"/>
    <s v="Capital Oeste Ceará"/>
    <s v="Equipe SWAT"/>
    <x v="5"/>
    <s v="INSTALADOR TUP"/>
    <s v="ATIVIDADE NORMAL"/>
    <s v="COO"/>
    <s v="00466561385"/>
    <s v="04/09/2019"/>
    <s v="ANA CLAUDIA DE CASTRO DA SILVA"/>
    <s v="ALENCAR DE SOUZA SANTOS"/>
    <s v="JONILSON FELIPE VIEIRA"/>
    <x v="0"/>
    <x v="13"/>
    <x v="6"/>
    <s v="INSTALADOR I"/>
    <x v="214"/>
    <x v="214"/>
    <x v="14"/>
    <x v="4"/>
    <x v="1"/>
    <x v="0"/>
    <x v="1"/>
  </r>
  <r>
    <x v="215"/>
    <n v="101006811"/>
    <s v="ATIVIDADE NORMAL"/>
    <s v="31/07/2019"/>
    <x v="1"/>
    <x v="43"/>
    <x v="14"/>
    <x v="8"/>
    <s v="Regional Ceará"/>
    <s v="Quixadá"/>
    <s v="MultiSkill"/>
    <x v="4"/>
    <s v="TEC MULTIFUNCIONAL"/>
    <s v="ATIVIDADE NORMAL"/>
    <s v="QXA"/>
    <s v="00533919347"/>
    <s v="04/09/2019"/>
    <s v="CARLOS FERNANDES GUIMARAES"/>
    <s v="ALENCAR DE SOUZA SANTOS"/>
    <s v="JONILSON FELIPE VIEIRA"/>
    <x v="0"/>
    <x v="44"/>
    <x v="2"/>
    <s v="TECNICO MULTIFUNCIONAL"/>
    <x v="215"/>
    <x v="215"/>
    <x v="40"/>
    <x v="4"/>
    <x v="1"/>
    <x v="0"/>
    <x v="0"/>
  </r>
  <r>
    <x v="216"/>
    <n v="101006811"/>
    <s v="ATIVIDADE NORMAL"/>
    <s v="31/07/2019"/>
    <x v="1"/>
    <x v="43"/>
    <x v="8"/>
    <x v="8"/>
    <s v="Regional Ceará"/>
    <s v="Quixadá"/>
    <s v="Tecnico de campo"/>
    <x v="6"/>
    <s v="CABISTA II"/>
    <s v="ATIVIDADE NORMAL"/>
    <s v="QXA"/>
    <s v="00655372385"/>
    <s v="04/09/2019"/>
    <s v="CARLOS FERNANDES GUIMARAES"/>
    <s v="ALENCAR DE SOUZA SANTOS"/>
    <s v="JONILSON FELIPE VIEIRA"/>
    <x v="0"/>
    <x v="44"/>
    <x v="7"/>
    <s v="CABISTA II"/>
    <x v="216"/>
    <x v="216"/>
    <x v="40"/>
    <x v="4"/>
    <x v="1"/>
    <x v="0"/>
    <x v="1"/>
  </r>
  <r>
    <x v="217"/>
    <n v="101007963"/>
    <s v="ATIVIDADE NORMAL"/>
    <s v="19/06/2019"/>
    <x v="1"/>
    <x v="36"/>
    <x v="13"/>
    <x v="4"/>
    <s v="Regional Ceará"/>
    <s v="Capital Oeste Ceará"/>
    <s v="Tecnico de campo"/>
    <x v="8"/>
    <s v="OP DG"/>
    <s v="ATIVIDADE NORMAL"/>
    <s v="COO"/>
    <s v="00711514356"/>
    <s v="04/09/2019"/>
    <s v="JOSEVAN DE SOUSA SILVA"/>
    <s v="ALENCAR DE SOUZA SANTOS"/>
    <s v="JONILSON FELIPE VIEIRA"/>
    <x v="1"/>
    <x v="39"/>
    <x v="9"/>
    <s v="OPERADOR"/>
    <x v="217"/>
    <x v="217"/>
    <x v="35"/>
    <x v="4"/>
    <x v="1"/>
    <x v="0"/>
    <x v="1"/>
  </r>
  <r>
    <x v="218"/>
    <n v="101007963"/>
    <s v="ATIVIDADE NORMAL"/>
    <s v="31/07/2019"/>
    <x v="1"/>
    <x v="36"/>
    <x v="17"/>
    <x v="4"/>
    <s v="Regional Ceará"/>
    <s v="Capital Oeste Ceará"/>
    <s v="MultiSkill"/>
    <x v="4"/>
    <s v="TEC MULTIFUNCIONAL"/>
    <s v="ATIVIDADE NORMAL"/>
    <s v="COO"/>
    <s v="00731267303"/>
    <s v="04/09/2019"/>
    <s v="JOSEVAN DE SOUSA SILVA"/>
    <s v="ALENCAR DE SOUZA SANTOS"/>
    <s v="JONILSON FELIPE VIEIRA"/>
    <x v="0"/>
    <x v="39"/>
    <x v="2"/>
    <s v="TECNICO MULTIFUNCIONAL"/>
    <x v="218"/>
    <x v="218"/>
    <x v="35"/>
    <x v="4"/>
    <x v="1"/>
    <x v="0"/>
    <x v="0"/>
  </r>
  <r>
    <x v="219"/>
    <n v="428271"/>
    <s v="ATIVIDADE NORMAL"/>
    <s v="31/07/2019"/>
    <x v="1"/>
    <x v="55"/>
    <x v="10"/>
    <x v="1"/>
    <s v="Regional Ceará"/>
    <s v="Capital Sul Ceará"/>
    <s v="MultiSkill"/>
    <x v="4"/>
    <s v="TEC MULTIFUNCIONAL"/>
    <s v="ATIVIDADE NORMAL"/>
    <s v="GCS"/>
    <s v="00758486359"/>
    <s v="04/09/2019"/>
    <s v="SHEYLA MARIA CALIOPE DE MELO MOURA"/>
    <s v="JEFFERSON OLIVEIRA DA SILVA"/>
    <s v="JONILSON FELIPE VIEIRA"/>
    <x v="0"/>
    <x v="56"/>
    <x v="2"/>
    <s v="TECNICO MULTIFUNCIONAL"/>
    <x v="219"/>
    <x v="219"/>
    <x v="47"/>
    <x v="2"/>
    <x v="1"/>
    <x v="0"/>
    <x v="0"/>
  </r>
  <r>
    <x v="220"/>
    <n v="109505858"/>
    <s v="ATIVIDADE NORMAL"/>
    <s v="12/06/2019"/>
    <x v="0"/>
    <x v="14"/>
    <x v="14"/>
    <x v="11"/>
    <s v="Regional Pernambuco"/>
    <s v="Interior"/>
    <s v="MultiSkill"/>
    <x v="4"/>
    <s v="TEC MULTIFUNCIONAL"/>
    <s v="ATIVIDADE NORMAL"/>
    <s v="ACV"/>
    <s v="00804255423"/>
    <s v="04/09/2019"/>
    <s v="THIAGO DE LIMA PIRES RODRIGUES"/>
    <s v="DECIO FABIANO LOPES FERREIRA"/>
    <s v="NIVALDO DE OLIVEIRA SOARES"/>
    <x v="0"/>
    <x v="11"/>
    <x v="2"/>
    <s v="TECNICO MULTIFUNCIONAL"/>
    <x v="220"/>
    <x v="220"/>
    <x v="12"/>
    <x v="0"/>
    <x v="0"/>
    <x v="0"/>
    <x v="0"/>
  </r>
  <r>
    <x v="221"/>
    <n v="105000986"/>
    <s v="ATIVIDADE NORMAL"/>
    <s v="03/04/2019"/>
    <x v="2"/>
    <x v="20"/>
    <x v="10"/>
    <x v="16"/>
    <s v="Regional Pernambuco"/>
    <s v="João Pessoa"/>
    <s v="MultiSkill"/>
    <x v="4"/>
    <s v="TEC MULTIFUNCIONAL"/>
    <s v="ATIVIDADE NORMAL"/>
    <s v="CGE"/>
    <s v="00808681427"/>
    <s v="04/09/2019"/>
    <s v="JOSILENE MACENA DE OLIVEIRA"/>
    <s v="WENDELL FRANKLIN VIEIRA MAIA"/>
    <s v="WENDELL FRANKLIN VIEIRA MAIA"/>
    <x v="0"/>
    <x v="20"/>
    <x v="2"/>
    <s v="TECNICO MULTIFUNCIONAL"/>
    <x v="221"/>
    <x v="221"/>
    <x v="21"/>
    <x v="6"/>
    <x v="3"/>
    <x v="0"/>
    <x v="0"/>
  </r>
  <r>
    <x v="222"/>
    <n v="101010210"/>
    <s v="ATIVIDADE NORMAL"/>
    <s v="25/06/2019"/>
    <x v="1"/>
    <x v="4"/>
    <x v="0"/>
    <x v="4"/>
    <s v="Regional Ceará"/>
    <s v="Capital Oeste Ceará"/>
    <s v="MultiSkill"/>
    <x v="0"/>
    <s v="TEC MULTIFUNCIONAL"/>
    <s v="ATIVIDADE NORMAL"/>
    <s v="COO"/>
    <s v="00823557383"/>
    <s v="04/09/2019"/>
    <s v="ANTONIO FABIO DOS SANTOS LIMA"/>
    <s v="ANTONIO ROBEVANIO PINHEIRO"/>
    <s v="JONILSON FELIPE VIEIRA"/>
    <x v="0"/>
    <x v="61"/>
    <x v="1"/>
    <s v="TECNICO MULTIFUNCIONAL"/>
    <x v="222"/>
    <x v="222"/>
    <x v="1"/>
    <x v="1"/>
    <x v="1"/>
    <x v="0"/>
    <x v="0"/>
  </r>
  <r>
    <x v="223"/>
    <n v="105303207"/>
    <s v="ATIVIDADE NORMAL"/>
    <s v="19/06/2019"/>
    <x v="2"/>
    <x v="34"/>
    <x v="12"/>
    <x v="12"/>
    <s v="Regional Pernambuco"/>
    <s v="João Pessoa"/>
    <s v="Equipe SWAT"/>
    <x v="6"/>
    <s v="CABISTA I"/>
    <s v="ATIVIDADE NORMAL"/>
    <s v="JPA"/>
    <s v="00838147445"/>
    <s v="04/09/2019"/>
    <s v="RAFAEL FERNANDES MATIAS"/>
    <s v="WENDELL FRANKLIN VIEIRA MAIA"/>
    <s v="WENDELL FRANKLIN VIEIRA MAIA"/>
    <x v="0"/>
    <x v="49"/>
    <x v="7"/>
    <s v="CABISTA I"/>
    <x v="223"/>
    <x v="223"/>
    <x v="44"/>
    <x v="6"/>
    <x v="3"/>
    <x v="0"/>
    <x v="1"/>
  </r>
  <r>
    <x v="224"/>
    <n v="102101634"/>
    <s v="ATIVIDADE NORMAL"/>
    <s v="20/03/2018"/>
    <x v="3"/>
    <x v="62"/>
    <x v="10"/>
    <x v="19"/>
    <s v="Regional Pernambuco"/>
    <s v="Natal"/>
    <s v="MultiSkill"/>
    <x v="4"/>
    <s v="TEC MULTIFUNCIONAL"/>
    <s v="ATIVIDADE NORMAL"/>
    <s v="NTN"/>
    <s v="00848421485"/>
    <s v="04/09/2019"/>
    <s v="FABIO BATISTA DA SILVA"/>
    <s v="REINILSON IGLESIAS JUNIOR"/>
    <s v="WENDELL FRANKLIN VIEIRA MAIA"/>
    <x v="0"/>
    <x v="30"/>
    <x v="2"/>
    <s v="TECNICO MULTIFUNCIONAL"/>
    <x v="224"/>
    <x v="224"/>
    <x v="29"/>
    <x v="7"/>
    <x v="3"/>
    <x v="0"/>
    <x v="0"/>
  </r>
  <r>
    <x v="225"/>
    <n v="102101393"/>
    <s v="ATIVIDADE NORMAL"/>
    <s v="20/05/2019"/>
    <x v="3"/>
    <x v="23"/>
    <x v="6"/>
    <x v="18"/>
    <s v="Regional Pernambuco"/>
    <s v="Natal"/>
    <s v="Tecnico de campo"/>
    <x v="5"/>
    <s v="INSTALADOR TUP"/>
    <s v="ATIVIDADE NORMAL"/>
    <s v="RNS"/>
    <s v="00849184460"/>
    <s v="04/09/2019"/>
    <s v="SIDNEY MOURA FREIRE"/>
    <s v="REINILSON IGLESIAS JUNIOR"/>
    <s v="WENDELL FRANKLIN VIEIRA MAIA"/>
    <x v="0"/>
    <x v="68"/>
    <x v="6"/>
    <s v="INSTALADOR I"/>
    <x v="225"/>
    <x v="225"/>
    <x v="24"/>
    <x v="7"/>
    <x v="3"/>
    <x v="0"/>
    <x v="1"/>
  </r>
  <r>
    <x v="226"/>
    <n v="102100917"/>
    <s v="ATIVIDADE NORMAL"/>
    <s v="10/10/2018"/>
    <x v="3"/>
    <x v="27"/>
    <x v="4"/>
    <x v="20"/>
    <s v="Regional Pernambuco"/>
    <s v="Natal"/>
    <s v="MultiSkill"/>
    <x v="3"/>
    <s v="TEC MULTIFUNCIONAL"/>
    <s v="ATIVIDADE NORMAL"/>
    <s v="MRO"/>
    <s v="00864787456"/>
    <s v="04/09/2019"/>
    <s v="FERNANDO FREITAS ALMEIDA DOS SANTOS"/>
    <s v="REINILSON IGLESIAS JUNIOR"/>
    <s v="WENDELL FRANKLIN VIEIRA MAIA"/>
    <x v="0"/>
    <x v="28"/>
    <x v="2"/>
    <s v="TECNICO MULTIFUNCIONAL"/>
    <x v="226"/>
    <x v="226"/>
    <x v="27"/>
    <x v="7"/>
    <x v="3"/>
    <x v="0"/>
    <x v="0"/>
  </r>
  <r>
    <x v="227"/>
    <n v="109000340"/>
    <s v="ATIVIDADE NORMAL"/>
    <s v="13/03/2019"/>
    <x v="0"/>
    <x v="21"/>
    <x v="14"/>
    <x v="17"/>
    <s v="Regional Pernambuco"/>
    <s v="Interior"/>
    <s v="MultiSkill"/>
    <x v="4"/>
    <s v="TEC MULTIFUNCIONAL"/>
    <s v="ATIVIDADE NORMAL"/>
    <s v="GUS"/>
    <s v="00886468400"/>
    <s v="04/09/2019"/>
    <s v="AILTON JOSE DOS SANTOS"/>
    <s v="DECIO FABIANO LOPES FERREIRA"/>
    <s v="NIVALDO DE OLIVEIRA SOARES"/>
    <x v="0"/>
    <x v="21"/>
    <x v="2"/>
    <s v="TECNICO MULTIFUNCIONAL"/>
    <x v="227"/>
    <x v="227"/>
    <x v="22"/>
    <x v="0"/>
    <x v="0"/>
    <x v="0"/>
    <x v="0"/>
  </r>
  <r>
    <x v="228"/>
    <n v="102100917"/>
    <s v="ATIVIDADE NORMAL"/>
    <s v="15/03/2018"/>
    <x v="3"/>
    <x v="27"/>
    <x v="2"/>
    <x v="20"/>
    <s v="Regional Pernambuco"/>
    <s v="Natal"/>
    <s v="Tecnico de campo"/>
    <x v="1"/>
    <s v="CABISTA I"/>
    <s v="ATIVIDADE NORMAL"/>
    <s v="MRO"/>
    <s v="00888165404"/>
    <s v="04/09/2019"/>
    <s v="FERNANDO FREITAS ALMEIDA DOS SANTOS"/>
    <s v="REINILSON IGLESIAS JUNIOR"/>
    <s v="WENDELL FRANKLIN VIEIRA MAIA"/>
    <x v="0"/>
    <x v="28"/>
    <x v="7"/>
    <s v="CABISTA I"/>
    <x v="228"/>
    <x v="228"/>
    <x v="27"/>
    <x v="7"/>
    <x v="3"/>
    <x v="0"/>
    <x v="1"/>
  </r>
  <r>
    <x v="229"/>
    <n v="101001670"/>
    <s v="AFAST DOENCA MAIS DE 15 DIAS"/>
    <s v="13/03/2018"/>
    <x v="1"/>
    <x v="8"/>
    <x v="10"/>
    <x v="2"/>
    <s v="Regional Ceará"/>
    <s v="Capital Sul Ceará"/>
    <s v="MultiSkill"/>
    <x v="4"/>
    <s v="TEC MULTIFUNCIONAL"/>
    <s v="AFAST DOENCA MAIS DE 15 DIAS"/>
    <s v="GCL"/>
    <s v="00939648385"/>
    <s v="04/09/2019"/>
    <s v="FRANCISCO MARCOS TEIXEIRA DOS SANTOS"/>
    <s v="JEFFERSON OLIVEIRA DA SILVA"/>
    <s v="JONILSON FELIPE VIEIRA"/>
    <x v="1"/>
    <x v="8"/>
    <x v="2"/>
    <s v="TECNICO MULTIFUNCIONAL"/>
    <x v="229"/>
    <x v="229"/>
    <x v="9"/>
    <x v="2"/>
    <x v="1"/>
    <x v="2"/>
    <x v="0"/>
  </r>
  <r>
    <x v="230"/>
    <n v="102101220"/>
    <s v="ATIVIDADE NORMAL"/>
    <s v="07/11/2018"/>
    <x v="3"/>
    <x v="22"/>
    <x v="14"/>
    <x v="18"/>
    <s v="Regional Pernambuco"/>
    <s v="Natal"/>
    <s v="MultiSkill"/>
    <x v="4"/>
    <s v="TEC MULTIFUNCIONAL"/>
    <s v="ATIVIDADE NORMAL"/>
    <s v="RNS"/>
    <s v="00953731448"/>
    <s v="04/09/2019"/>
    <s v="JOSUE MOURA DA SILVA"/>
    <s v="REINILSON IGLESIAS JUNIOR"/>
    <s v="WENDELL FRANKLIN VIEIRA MAIA"/>
    <x v="0"/>
    <x v="22"/>
    <x v="2"/>
    <s v="TECNICO MULTIFUNCIONAL"/>
    <x v="230"/>
    <x v="230"/>
    <x v="23"/>
    <x v="7"/>
    <x v="3"/>
    <x v="0"/>
    <x v="0"/>
  </r>
  <r>
    <x v="231"/>
    <n v="102101393"/>
    <s v="ATIVIDADE NORMAL"/>
    <s v="22/05/2019"/>
    <x v="3"/>
    <x v="22"/>
    <x v="6"/>
    <x v="18"/>
    <s v="Regional Pernambuco"/>
    <s v="Natal"/>
    <s v="Tecnico de campo"/>
    <x v="5"/>
    <s v="INSTALADOR TUP"/>
    <s v="ATIVIDADE NORMAL"/>
    <s v="RNS"/>
    <s v="00968524451"/>
    <s v="04/09/2019"/>
    <s v="SIDNEY MOURA FREIRE"/>
    <s v="REINILSON IGLESIAS JUNIOR"/>
    <s v="WENDELL FRANKLIN VIEIRA MAIA"/>
    <x v="0"/>
    <x v="23"/>
    <x v="6"/>
    <s v="INSTALADOR I"/>
    <x v="231"/>
    <x v="231"/>
    <x v="24"/>
    <x v="7"/>
    <x v="3"/>
    <x v="0"/>
    <x v="1"/>
  </r>
  <r>
    <x v="232"/>
    <n v="109500315"/>
    <s v="ATIVIDADE NORMAL"/>
    <s v="02/01/2019"/>
    <x v="0"/>
    <x v="49"/>
    <x v="6"/>
    <x v="13"/>
    <s v="Regional Pernambuco"/>
    <s v="Recife"/>
    <s v="Tecnico de campo"/>
    <x v="5"/>
    <s v="INSTALADOR TUP"/>
    <s v="ATIVIDADE NORMAL"/>
    <s v="OES"/>
    <s v="01039151418"/>
    <s v="04/09/2019"/>
    <s v="IVALDO BEZERRA NOVAIS"/>
    <s v="DECIO FABIANO LOPES FERREIRA"/>
    <s v="NIVALDO DE OLIVEIRA SOARES"/>
    <x v="0"/>
    <x v="47"/>
    <x v="6"/>
    <s v="INSTALADOR I"/>
    <x v="232"/>
    <x v="232"/>
    <x v="42"/>
    <x v="0"/>
    <x v="0"/>
    <x v="0"/>
    <x v="1"/>
  </r>
  <r>
    <x v="233"/>
    <n v="102101393"/>
    <s v="ATIVIDADE NORMAL"/>
    <s v="03/04/2019"/>
    <x v="3"/>
    <x v="45"/>
    <x v="2"/>
    <x v="21"/>
    <s v="Regional Pernambuco"/>
    <s v="Natal"/>
    <s v="Tecnico de campo"/>
    <x v="1"/>
    <s v="CABISTA I"/>
    <s v="ATIVIDADE NORMAL"/>
    <s v="NTS"/>
    <s v="01076801498"/>
    <s v="04/09/2019"/>
    <s v="SIDNEY MOURA FREIRE"/>
    <s v="REINILSON IGLESIAS JUNIOR"/>
    <s v="WENDELL FRANKLIN VIEIRA MAIA"/>
    <x v="0"/>
    <x v="23"/>
    <x v="7"/>
    <s v="CABISTA I"/>
    <x v="233"/>
    <x v="233"/>
    <x v="24"/>
    <x v="7"/>
    <x v="3"/>
    <x v="0"/>
    <x v="1"/>
  </r>
  <r>
    <x v="234"/>
    <n v="102002917"/>
    <s v="FERIAS NORMAIS"/>
    <s v="02/09/2019"/>
    <x v="3"/>
    <x v="23"/>
    <x v="14"/>
    <x v="18"/>
    <s v="Regional Pernambuco"/>
    <s v="Natal"/>
    <s v="MultiSkill"/>
    <x v="4"/>
    <s v="TEC MULTIFUNCIONAL"/>
    <s v="FERIAS NORMAIS"/>
    <s v="RNS"/>
    <s v="01085253414"/>
    <s v="04/09/2019"/>
    <s v="RICELE DA SILVA NASCIMENTO"/>
    <s v="REINILSON IGLESIAS JUNIOR"/>
    <s v="WENDELL FRANKLIN VIEIRA MAIA"/>
    <x v="1"/>
    <x v="29"/>
    <x v="2"/>
    <s v="TECNICO MULTIFUNCIONAL"/>
    <x v="234"/>
    <x v="234"/>
    <x v="51"/>
    <x v="7"/>
    <x v="3"/>
    <x v="1"/>
    <x v="0"/>
  </r>
  <r>
    <x v="235"/>
    <n v="101010210"/>
    <s v="ATIVIDADE NORMAL"/>
    <s v="25/06/2019"/>
    <x v="1"/>
    <x v="4"/>
    <x v="0"/>
    <x v="4"/>
    <s v="Regional Ceará"/>
    <s v="Capital Oeste Ceará"/>
    <s v="MultiSkill"/>
    <x v="0"/>
    <s v="TEC MULTIFUNCIONAL"/>
    <s v="ATIVIDADE NORMAL"/>
    <s v="COO"/>
    <s v="01091250375"/>
    <s v="04/09/2019"/>
    <s v="ANTONIO FABIO DOS SANTOS LIMA"/>
    <s v="ANTONIO ROBEVANIO PINHEIRO"/>
    <s v="JONILSON FELIPE VIEIRA"/>
    <x v="0"/>
    <x v="61"/>
    <x v="1"/>
    <s v="TECNICO MULTIFUNCIONAL"/>
    <x v="235"/>
    <x v="235"/>
    <x v="1"/>
    <x v="1"/>
    <x v="1"/>
    <x v="0"/>
    <x v="0"/>
  </r>
  <r>
    <x v="236"/>
    <n v="102101634"/>
    <s v="FERIAS NORMAIS"/>
    <s v="02/09/2019"/>
    <x v="3"/>
    <x v="29"/>
    <x v="10"/>
    <x v="19"/>
    <s v="Regional Pernambuco"/>
    <s v="Natal"/>
    <s v="MultiSkill"/>
    <x v="4"/>
    <s v="TEC MULTIFUNCIONAL"/>
    <s v="FERIAS NORMAIS"/>
    <s v="NTN"/>
    <s v="01143029445"/>
    <s v="04/09/2019"/>
    <s v="FABIO BATISTA DA SILVA"/>
    <s v="REINILSON IGLESIAS JUNIOR"/>
    <s v="WENDELL FRANKLIN VIEIRA MAIA"/>
    <x v="1"/>
    <x v="30"/>
    <x v="2"/>
    <s v="TECNICO MULTIFUNCIONAL"/>
    <x v="236"/>
    <x v="236"/>
    <x v="29"/>
    <x v="7"/>
    <x v="3"/>
    <x v="1"/>
    <x v="0"/>
  </r>
  <r>
    <x v="237"/>
    <n v="109000926"/>
    <s v="ATIVIDADE NORMAL"/>
    <s v="28/11/2018"/>
    <x v="0"/>
    <x v="7"/>
    <x v="10"/>
    <x v="7"/>
    <s v="Regional Pernambuco"/>
    <s v="Recife"/>
    <s v="MultiSkill"/>
    <x v="4"/>
    <s v="TEC MULTIFUNCIONAL"/>
    <s v="ATIVIDADE NORMAL"/>
    <s v="LES"/>
    <s v="01153964465"/>
    <s v="04/09/2019"/>
    <s v="ANTONIO MAGNO DE CASTRO LEAO"/>
    <s v="BRUNO VINICIUS DE ALBERTINS ALVES"/>
    <s v="NIVALDO DE OLIVEIRA SOARES"/>
    <x v="0"/>
    <x v="45"/>
    <x v="2"/>
    <s v="TECNICO MULTIFUNCIONAL"/>
    <x v="237"/>
    <x v="237"/>
    <x v="41"/>
    <x v="9"/>
    <x v="0"/>
    <x v="0"/>
    <x v="0"/>
  </r>
  <r>
    <x v="238"/>
    <n v="105303207"/>
    <s v="ATIVIDADE NORMAL"/>
    <s v="17/06/2019"/>
    <x v="2"/>
    <x v="63"/>
    <x v="5"/>
    <x v="12"/>
    <s v="Regional Pernambuco"/>
    <s v="João Pessoa"/>
    <s v="MultiSkill"/>
    <x v="4"/>
    <s v="TEC MULTIFUNCIONAL"/>
    <s v="ATIVIDADE NORMAL"/>
    <s v="JPA"/>
    <s v="01154035409"/>
    <s v="04/09/2019"/>
    <s v="RAFAEL FERNANDES MATIAS"/>
    <s v="WENDELL FRANKLIN VIEIRA MAIA"/>
    <s v="WENDELL FRANKLIN VIEIRA MAIA"/>
    <x v="0"/>
    <x v="49"/>
    <x v="2"/>
    <s v="TECNICO MULTIFUNCIONAL"/>
    <x v="238"/>
    <x v="238"/>
    <x v="44"/>
    <x v="6"/>
    <x v="3"/>
    <x v="0"/>
    <x v="0"/>
  </r>
  <r>
    <x v="239"/>
    <n v="109504012"/>
    <s v="ATIVIDADE NORMAL"/>
    <s v="03/04/2019"/>
    <x v="2"/>
    <x v="54"/>
    <x v="12"/>
    <x v="12"/>
    <s v="Regional Pernambuco"/>
    <s v="João Pessoa"/>
    <s v="Equipe SWAT"/>
    <x v="6"/>
    <s v="CABISTA I"/>
    <s v="ATIVIDADE NORMAL"/>
    <s v="JPA"/>
    <s v="01168986400"/>
    <s v="04/09/2019"/>
    <s v="FRANCISCO JOSE DIAS DA SILVA"/>
    <s v="WENDELL FRANKLIN VIEIRA MAIA"/>
    <s v="WENDELL FRANKLIN VIEIRA MAIA"/>
    <x v="0"/>
    <x v="36"/>
    <x v="10"/>
    <s v="CABISTA I"/>
    <x v="239"/>
    <x v="239"/>
    <x v="25"/>
    <x v="6"/>
    <x v="3"/>
    <x v="0"/>
    <x v="1"/>
  </r>
  <r>
    <x v="240"/>
    <n v="102100390"/>
    <s v="FERIAS NORMAIS"/>
    <s v="19/08/2019"/>
    <x v="3"/>
    <x v="45"/>
    <x v="10"/>
    <x v="21"/>
    <s v="Regional Pernambuco"/>
    <s v="Natal"/>
    <s v="MultiSkill"/>
    <x v="4"/>
    <s v="TEC MULTIFUNCIONAL"/>
    <s v="FERIAS NORMAIS"/>
    <s v="NTS"/>
    <s v="01193291402"/>
    <s v="04/09/2019"/>
    <s v="ANDRIER CARLOS SOARES FERREIRA"/>
    <s v="REINILSON IGLESIAS JUNIOR"/>
    <s v="WENDELL FRANKLIN VIEIRA MAIA"/>
    <x v="1"/>
    <x v="48"/>
    <x v="2"/>
    <s v="TECNICO MULTIFUNCIONAL"/>
    <x v="240"/>
    <x v="240"/>
    <x v="43"/>
    <x v="7"/>
    <x v="3"/>
    <x v="1"/>
    <x v="0"/>
  </r>
  <r>
    <x v="241"/>
    <n v="101010210"/>
    <s v="ATIVIDADE NORMAL"/>
    <s v="25/06/2019"/>
    <x v="1"/>
    <x v="4"/>
    <x v="0"/>
    <x v="4"/>
    <s v="Regional Ceará"/>
    <s v="Capital Oeste Ceará"/>
    <s v="MultiSkill"/>
    <x v="0"/>
    <s v="TEC MULTIFUNCIONAL"/>
    <s v="ATIVIDADE NORMAL"/>
    <s v="COO"/>
    <s v="01204507392"/>
    <s v="04/09/2019"/>
    <s v="ANTONIO FABIO DOS SANTOS LIMA"/>
    <s v="ANTONIO ROBEVANIO PINHEIRO"/>
    <s v="JONILSON FELIPE VIEIRA"/>
    <x v="0"/>
    <x v="61"/>
    <x v="1"/>
    <s v="TECNICO MULTIFUNCIONAL"/>
    <x v="241"/>
    <x v="241"/>
    <x v="1"/>
    <x v="1"/>
    <x v="1"/>
    <x v="0"/>
    <x v="0"/>
  </r>
  <r>
    <x v="242"/>
    <n v="109000340"/>
    <s v="ATIVIDADE NORMAL"/>
    <s v="08/05/2018"/>
    <x v="0"/>
    <x v="0"/>
    <x v="2"/>
    <x v="0"/>
    <s v="Regional Pernambuco"/>
    <s v="Interior"/>
    <s v="Equipe SWAT"/>
    <x v="1"/>
    <s v="CABISTA I"/>
    <s v="ATIVIDADE NORMAL"/>
    <s v="CRU"/>
    <s v="01206690488"/>
    <s v="04/09/2019"/>
    <s v="AILTON JOSE DOS SANTOS"/>
    <s v="DECIO FABIANO LOPES FERREIRA"/>
    <s v="NIVALDO DE OLIVEIRA SOARES"/>
    <x v="0"/>
    <x v="21"/>
    <x v="10"/>
    <s v="CABISTA I"/>
    <x v="242"/>
    <x v="242"/>
    <x v="22"/>
    <x v="0"/>
    <x v="0"/>
    <x v="0"/>
    <x v="1"/>
  </r>
  <r>
    <x v="243"/>
    <n v="105000986"/>
    <s v="ATIVIDADE NORMAL"/>
    <s v="08/08/2018"/>
    <x v="2"/>
    <x v="33"/>
    <x v="5"/>
    <x v="16"/>
    <s v="Regional Pernambuco"/>
    <s v="João Pessoa"/>
    <s v="MultiSkill"/>
    <x v="4"/>
    <s v="TEC MULTIFUNCIONAL"/>
    <s v="ATIVIDADE NORMAL"/>
    <s v="CGE"/>
    <s v="03099781495"/>
    <s v="04/09/2019"/>
    <s v="JOSILENE MACENA DE OLIVEIRA"/>
    <s v="WENDELL FRANKLIN VIEIRA MAIA"/>
    <s v="WENDELL FRANKLIN VIEIRA MAIA"/>
    <x v="0"/>
    <x v="20"/>
    <x v="2"/>
    <s v="TECNICO MULTIFUNCIONAL"/>
    <x v="243"/>
    <x v="243"/>
    <x v="21"/>
    <x v="6"/>
    <x v="3"/>
    <x v="0"/>
    <x v="0"/>
  </r>
  <r>
    <x v="244"/>
    <n v="109505858"/>
    <s v="ATIVIDADE NORMAL"/>
    <s v="06/02/2019"/>
    <x v="0"/>
    <x v="6"/>
    <x v="6"/>
    <x v="6"/>
    <s v="Regional Pernambuco"/>
    <s v="Interior"/>
    <s v="Tecnico de campo"/>
    <x v="5"/>
    <s v="TEC ADSL I"/>
    <s v="ATIVIDADE NORMAL"/>
    <s v="PTA"/>
    <s v="03113525454"/>
    <s v="04/09/2019"/>
    <s v="THIAGO DE LIMA PIRES RODRIGUES"/>
    <s v="DECIO FABIANO LOPES FERREIRA"/>
    <s v="NIVALDO DE OLIVEIRA SOARES"/>
    <x v="0"/>
    <x v="11"/>
    <x v="4"/>
    <s v="TECNICO ADSL"/>
    <x v="244"/>
    <x v="244"/>
    <x v="12"/>
    <x v="0"/>
    <x v="0"/>
    <x v="0"/>
    <x v="1"/>
  </r>
  <r>
    <x v="245"/>
    <n v="101006255"/>
    <s v="ATIVIDADE NORMAL"/>
    <s v="18/10/2018"/>
    <x v="1"/>
    <x v="8"/>
    <x v="5"/>
    <x v="2"/>
    <s v="Regional Ceará"/>
    <s v="Capital Sul Ceará"/>
    <s v="MultiSkill"/>
    <x v="4"/>
    <s v="TEC MULTIFUNCIONAL"/>
    <s v="ATIVIDADE NORMAL"/>
    <s v="GCL"/>
    <s v="03121298747"/>
    <s v="04/09/2019"/>
    <s v="FRANCISCO DE ASSIS FILHO"/>
    <s v="JEFFERSON OLIVEIRA DA SILVA"/>
    <s v="JONILSON FELIPE VIEIRA"/>
    <x v="0"/>
    <x v="32"/>
    <x v="2"/>
    <s v="TECNICO MULTIFUNCIONAL"/>
    <x v="245"/>
    <x v="245"/>
    <x v="31"/>
    <x v="2"/>
    <x v="1"/>
    <x v="0"/>
    <x v="0"/>
  </r>
  <r>
    <x v="246"/>
    <n v="101006811"/>
    <s v="ATIVIDADE NORMAL"/>
    <s v="10/07/2019"/>
    <x v="1"/>
    <x v="43"/>
    <x v="13"/>
    <x v="8"/>
    <s v="Regional Ceará"/>
    <s v="Quixadá"/>
    <s v="Tecnico de campo"/>
    <x v="8"/>
    <s v="OP DG"/>
    <s v="ATIVIDADE NORMAL"/>
    <s v="QXA"/>
    <s v="03129196382"/>
    <s v="04/09/2019"/>
    <s v="CARLOS FERNANDES GUIMARAES"/>
    <s v="ALENCAR DE SOUZA SANTOS"/>
    <s v="JONILSON FELIPE VIEIRA"/>
    <x v="1"/>
    <x v="44"/>
    <x v="9"/>
    <s v="OPERADOR"/>
    <x v="246"/>
    <x v="246"/>
    <x v="40"/>
    <x v="4"/>
    <x v="1"/>
    <x v="0"/>
    <x v="1"/>
  </r>
  <r>
    <x v="247"/>
    <n v="105303207"/>
    <s v="FERIAS NORMAIS"/>
    <s v="02/09/2019"/>
    <x v="2"/>
    <x v="34"/>
    <x v="14"/>
    <x v="12"/>
    <s v="Regional Pernambuco"/>
    <s v="João Pessoa"/>
    <s v="MultiSkill"/>
    <x v="4"/>
    <s v="TEC MULTIFUNCIONAL"/>
    <s v="FERIAS NORMAIS"/>
    <s v="JPA"/>
    <s v="03142106448"/>
    <s v="04/09/2019"/>
    <s v="RAFAEL FERNANDES MATIAS"/>
    <s v="WENDELL FRANKLIN VIEIRA MAIA"/>
    <s v="WENDELL FRANKLIN VIEIRA MAIA"/>
    <x v="1"/>
    <x v="49"/>
    <x v="2"/>
    <s v="TECNICO MULTIFUNCIONAL"/>
    <x v="247"/>
    <x v="247"/>
    <x v="44"/>
    <x v="6"/>
    <x v="3"/>
    <x v="1"/>
    <x v="0"/>
  </r>
  <r>
    <x v="248"/>
    <n v="102101634"/>
    <s v="ATIVIDADE NORMAL"/>
    <s v="10/10/2018"/>
    <x v="3"/>
    <x v="62"/>
    <x v="14"/>
    <x v="19"/>
    <s v="Regional Pernambuco"/>
    <s v="Natal"/>
    <s v="MultiSkill"/>
    <x v="4"/>
    <s v="TEC MULTIFUNCIONAL"/>
    <s v="ATIVIDADE NORMAL"/>
    <s v="NTN"/>
    <s v="03148673417"/>
    <s v="04/09/2019"/>
    <s v="FABIO BATISTA DA SILVA"/>
    <s v="REINILSON IGLESIAS JUNIOR"/>
    <s v="WENDELL FRANKLIN VIEIRA MAIA"/>
    <x v="0"/>
    <x v="30"/>
    <x v="2"/>
    <s v="TECNICO MULTIFUNCIONAL"/>
    <x v="248"/>
    <x v="248"/>
    <x v="29"/>
    <x v="7"/>
    <x v="3"/>
    <x v="0"/>
    <x v="0"/>
  </r>
  <r>
    <x v="249"/>
    <n v="102101220"/>
    <s v="ATIVIDADE NORMAL"/>
    <s v="03/04/2019"/>
    <x v="3"/>
    <x v="22"/>
    <x v="14"/>
    <x v="18"/>
    <s v="Regional Pernambuco"/>
    <s v="Natal"/>
    <s v="MultiSkill"/>
    <x v="4"/>
    <s v="TEC MULTIFUNCIONAL"/>
    <s v="ATIVIDADE NORMAL"/>
    <s v="RNS"/>
    <s v="01208038443"/>
    <s v="04/09/2019"/>
    <s v="JOSUE MOURA DA SILVA"/>
    <s v="REINILSON IGLESIAS JUNIOR"/>
    <s v="WENDELL FRANKLIN VIEIRA MAIA"/>
    <x v="0"/>
    <x v="22"/>
    <x v="2"/>
    <s v="TECNICO MULTIFUNCIONAL"/>
    <x v="249"/>
    <x v="249"/>
    <x v="23"/>
    <x v="7"/>
    <x v="3"/>
    <x v="0"/>
    <x v="0"/>
  </r>
  <r>
    <x v="250"/>
    <n v="101007963"/>
    <s v="ATIVIDADE NORMAL"/>
    <s v="02/01/2019"/>
    <x v="1"/>
    <x v="41"/>
    <x v="17"/>
    <x v="4"/>
    <s v="Regional Ceará"/>
    <s v="Capital Oeste Ceará"/>
    <s v="MultiSkill"/>
    <x v="4"/>
    <s v="TEC MULTIFUNCIONAL"/>
    <s v="ATIVIDADE NORMAL"/>
    <s v="COO"/>
    <s v="01228720371"/>
    <s v="04/09/2019"/>
    <s v="JOSEVAN DE SOUSA SILVA"/>
    <s v="ALENCAR DE SOUZA SANTOS"/>
    <s v="JONILSON FELIPE VIEIRA"/>
    <x v="0"/>
    <x v="39"/>
    <x v="2"/>
    <s v="TECNICO MULTIFUNCIONAL"/>
    <x v="250"/>
    <x v="250"/>
    <x v="35"/>
    <x v="4"/>
    <x v="1"/>
    <x v="0"/>
    <x v="0"/>
  </r>
  <r>
    <x v="251"/>
    <n v="102101393"/>
    <s v="ATIVIDADE NORMAL"/>
    <s v="14/05/2018"/>
    <x v="3"/>
    <x v="28"/>
    <x v="6"/>
    <x v="21"/>
    <s v="Regional Pernambuco"/>
    <s v="Natal"/>
    <s v="Tecnico de campo"/>
    <x v="5"/>
    <s v="INSTALADOR TUP"/>
    <s v="ATIVIDADE NORMAL"/>
    <s v="NTS"/>
    <s v="01248883489"/>
    <s v="04/09/2019"/>
    <s v="SIDNEY MOURA FREIRE"/>
    <s v="REINILSON IGLESIAS JUNIOR"/>
    <s v="WENDELL FRANKLIN VIEIRA MAIA"/>
    <x v="0"/>
    <x v="23"/>
    <x v="6"/>
    <s v="INSTALADOR I"/>
    <x v="251"/>
    <x v="251"/>
    <x v="24"/>
    <x v="7"/>
    <x v="3"/>
    <x v="0"/>
    <x v="1"/>
  </r>
  <r>
    <x v="252"/>
    <n v="105303134"/>
    <s v="ATIVIDADE NORMAL"/>
    <s v="01/05/2019"/>
    <x v="2"/>
    <x v="42"/>
    <x v="16"/>
    <x v="12"/>
    <s v="Regional Pernambuco"/>
    <s v="João Pessoa"/>
    <s v="Tecnico de campo"/>
    <x v="9"/>
    <s v="INSTALADOR DTH"/>
    <s v="ATIVIDADE NORMAL"/>
    <s v="JPA"/>
    <s v="01267148438"/>
    <s v="04/09/2019"/>
    <s v="GLAUBER JOSE GOMES LEITAO"/>
    <s v="WENDELL FRANKLIN VIEIRA MAIA"/>
    <s v="WENDELL FRANKLIN VIEIRA MAIA"/>
    <x v="0"/>
    <x v="43"/>
    <x v="11"/>
    <s v="INSTALADOR DTH"/>
    <x v="252"/>
    <x v="252"/>
    <x v="39"/>
    <x v="6"/>
    <x v="3"/>
    <x v="0"/>
    <x v="0"/>
  </r>
  <r>
    <x v="253"/>
    <n v="105000986"/>
    <s v="ATIVIDADE NORMAL"/>
    <s v="01/09/2019"/>
    <x v="2"/>
    <x v="20"/>
    <x v="15"/>
    <x v="16"/>
    <s v="Regional Pernambuco"/>
    <s v="João Pessoa"/>
    <s v="Tecnico de campo"/>
    <x v="9"/>
    <s v="INSTALADOR DTH"/>
    <s v="AFAST DOENCA MAIS DE 15 DIAS"/>
    <s v="CGE"/>
    <s v="01275145469"/>
    <s v="04/09/2019"/>
    <s v="JOSILENE MACENA DE OLIVEIRA"/>
    <s v="WENDELL FRANKLIN VIEIRA MAIA"/>
    <s v="WENDELL FRANKLIN VIEIRA MAIA"/>
    <x v="1"/>
    <x v="69"/>
    <x v="11"/>
    <s v="INSTALADOR DTH"/>
    <x v="253"/>
    <x v="253"/>
    <x v="21"/>
    <x v="6"/>
    <x v="3"/>
    <x v="2"/>
    <x v="0"/>
  </r>
  <r>
    <x v="254"/>
    <n v="102101634"/>
    <s v="ATIVIDADE NORMAL"/>
    <s v="02/01/2019"/>
    <x v="3"/>
    <x v="29"/>
    <x v="10"/>
    <x v="19"/>
    <s v="Regional Pernambuco"/>
    <s v="Natal"/>
    <s v="MultiSkill"/>
    <x v="4"/>
    <s v="TEC MULTIFUNCIONAL"/>
    <s v="ATIVIDADE NORMAL"/>
    <s v="NTN"/>
    <s v="01277299412"/>
    <s v="04/09/2019"/>
    <s v="FABIO BATISTA DA SILVA"/>
    <s v="REINILSON IGLESIAS JUNIOR"/>
    <s v="WENDELL FRANKLIN VIEIRA MAIA"/>
    <x v="0"/>
    <x v="30"/>
    <x v="2"/>
    <s v="TECNICO MULTIFUNCIONAL"/>
    <x v="254"/>
    <x v="254"/>
    <x v="29"/>
    <x v="7"/>
    <x v="3"/>
    <x v="0"/>
    <x v="0"/>
  </r>
  <r>
    <x v="255"/>
    <n v="105303207"/>
    <s v="ATIVIDADE NORMAL"/>
    <s v="21/02/2019"/>
    <x v="2"/>
    <x v="15"/>
    <x v="10"/>
    <x v="12"/>
    <s v="Regional Pernambuco"/>
    <s v="João Pessoa"/>
    <s v="MultiSkill"/>
    <x v="4"/>
    <s v="TEC MULTIFUNCIONAL"/>
    <s v="ATIVIDADE NORMAL"/>
    <s v="JPA"/>
    <s v="03155335440"/>
    <s v="04/09/2019"/>
    <s v="RAFAEL FERNANDES MATIAS"/>
    <s v="WENDELL FRANKLIN VIEIRA MAIA"/>
    <s v="WENDELL FRANKLIN VIEIRA MAIA"/>
    <x v="0"/>
    <x v="49"/>
    <x v="10"/>
    <s v="TECNICO MULTIFUNCIONAL"/>
    <x v="255"/>
    <x v="255"/>
    <x v="44"/>
    <x v="6"/>
    <x v="3"/>
    <x v="0"/>
    <x v="0"/>
  </r>
  <r>
    <x v="256"/>
    <n v="109000017"/>
    <s v="ATIVIDADE NORMAL"/>
    <s v="31/07/2019"/>
    <x v="0"/>
    <x v="56"/>
    <x v="10"/>
    <x v="10"/>
    <s v="Regional Pernambuco"/>
    <s v="Recife"/>
    <s v="MultiSkill"/>
    <x v="4"/>
    <s v="TEC MULTIFUNCIONAL"/>
    <s v="ATIVIDADE NORMAL"/>
    <s v="PES"/>
    <s v="03174120438"/>
    <s v="04/09/2019"/>
    <s v="AMAURY ASSIS DE LIMA"/>
    <s v="DECIO FABIANO LOPES FERREIRA"/>
    <s v="NIVALDO DE OLIVEIRA SOARES"/>
    <x v="0"/>
    <x v="70"/>
    <x v="2"/>
    <s v="TECNICO MULTIFUNCIONAL"/>
    <x v="256"/>
    <x v="256"/>
    <x v="15"/>
    <x v="0"/>
    <x v="0"/>
    <x v="0"/>
    <x v="0"/>
  </r>
  <r>
    <x v="257"/>
    <n v="101001670"/>
    <s v="ATIVIDADE NORMAL"/>
    <s v="13/02/2019"/>
    <x v="1"/>
    <x v="8"/>
    <x v="2"/>
    <x v="2"/>
    <s v="Regional Ceará"/>
    <s v="Capital Sul Ceará"/>
    <s v="Equipe SWAT"/>
    <x v="1"/>
    <s v="CABISTA I"/>
    <s v="ATIVIDADE NORMAL"/>
    <s v="GCL"/>
    <s v="03181926329"/>
    <s v="04/09/2019"/>
    <s v="FRANCISCO MARCOS TEIXEIRA DOS SANTOS"/>
    <s v="JEFFERSON OLIVEIRA DA SILVA"/>
    <s v="JONILSON FELIPE VIEIRA"/>
    <x v="0"/>
    <x v="33"/>
    <x v="7"/>
    <s v="CABISTA I"/>
    <x v="257"/>
    <x v="257"/>
    <x v="9"/>
    <x v="2"/>
    <x v="1"/>
    <x v="0"/>
    <x v="1"/>
  </r>
  <r>
    <x v="258"/>
    <n v="102101393"/>
    <s v="ATIVIDADE NORMAL"/>
    <s v="16/04/2018"/>
    <x v="3"/>
    <x v="23"/>
    <x v="2"/>
    <x v="18"/>
    <s v="Regional Pernambuco"/>
    <s v="Natal"/>
    <s v="Tecnico de campo"/>
    <x v="1"/>
    <s v="CABISTA I"/>
    <s v="ATIVIDADE NORMAL"/>
    <s v="RNS"/>
    <s v="03206824478"/>
    <s v="04/09/2019"/>
    <s v="SIDNEY MOURA FREIRE"/>
    <s v="REINILSON IGLESIAS JUNIOR"/>
    <s v="WENDELL FRANKLIN VIEIRA MAIA"/>
    <x v="0"/>
    <x v="23"/>
    <x v="7"/>
    <s v="CABISTA I"/>
    <x v="258"/>
    <x v="258"/>
    <x v="24"/>
    <x v="7"/>
    <x v="3"/>
    <x v="0"/>
    <x v="1"/>
  </r>
  <r>
    <x v="259"/>
    <n v="102101220"/>
    <s v="ATIVIDADE NORMAL"/>
    <s v="19/04/2019"/>
    <x v="3"/>
    <x v="22"/>
    <x v="14"/>
    <x v="18"/>
    <s v="Regional Pernambuco"/>
    <s v="Natal"/>
    <s v="MultiSkill"/>
    <x v="4"/>
    <s v="TEC MULTIFUNCIONAL"/>
    <s v="ATIVIDADE NORMAL"/>
    <s v="RNS"/>
    <s v="03207387446"/>
    <s v="04/09/2019"/>
    <s v="JOSUE MOURA DA SILVA"/>
    <s v="REINILSON IGLESIAS JUNIOR"/>
    <s v="WENDELL FRANKLIN VIEIRA MAIA"/>
    <x v="0"/>
    <x v="22"/>
    <x v="2"/>
    <s v="TECNICO MULTIFUNCIONAL"/>
    <x v="259"/>
    <x v="259"/>
    <x v="23"/>
    <x v="7"/>
    <x v="3"/>
    <x v="0"/>
    <x v="0"/>
  </r>
  <r>
    <x v="260"/>
    <n v="102101634"/>
    <s v="ATIVIDADE NORMAL"/>
    <s v="10/03/2019"/>
    <x v="3"/>
    <x v="22"/>
    <x v="4"/>
    <x v="18"/>
    <s v="Regional Pernambuco"/>
    <s v="Natal"/>
    <s v="MultiSkill"/>
    <x v="3"/>
    <s v="TEC MULTIFUNCIONAL"/>
    <s v="ATIVIDADE NORMAL"/>
    <s v="RNS"/>
    <s v="03226588451"/>
    <s v="04/09/2019"/>
    <s v="FABIO BATISTA DA SILVA"/>
    <s v="REINILSON IGLESIAS JUNIOR"/>
    <s v="WENDELL FRANKLIN VIEIRA MAIA"/>
    <x v="0"/>
    <x v="30"/>
    <x v="2"/>
    <s v="TECNICO MULTIFUNCIONAL"/>
    <x v="260"/>
    <x v="260"/>
    <x v="29"/>
    <x v="7"/>
    <x v="3"/>
    <x v="0"/>
    <x v="0"/>
  </r>
  <r>
    <x v="261"/>
    <n v="101007665"/>
    <s v="ATIVIDADE NORMAL"/>
    <s v="31/07/2019"/>
    <x v="1"/>
    <x v="64"/>
    <x v="13"/>
    <x v="3"/>
    <s v="Regional Ceará"/>
    <s v="Capital Oeste Ceará"/>
    <s v="Tecnico de campo"/>
    <x v="8"/>
    <s v="LIDER DE DG"/>
    <s v="ATIVIDADE NORMAL"/>
    <s v="CNO"/>
    <s v="01279641509"/>
    <s v="04/09/2019"/>
    <s v="CARLOS AUGUSTO ALVES DE SOUSA"/>
    <s v="ALENCAR DE SOUZA SANTOS"/>
    <s v="JONILSON FELIPE VIEIRA"/>
    <x v="1"/>
    <x v="33"/>
    <x v="9"/>
    <s v="SUPERVISOR OPERACIONAL"/>
    <x v="261"/>
    <x v="261"/>
    <x v="45"/>
    <x v="4"/>
    <x v="1"/>
    <x v="0"/>
    <x v="1"/>
  </r>
  <r>
    <x v="262"/>
    <n v="109506091"/>
    <s v="ATIVIDADE NORMAL"/>
    <s v="30/09/2019"/>
    <x v="0"/>
    <x v="35"/>
    <x v="2"/>
    <x v="14"/>
    <s v="Regional Pernambuco"/>
    <s v="Recife"/>
    <s v="Tecnico de campo"/>
    <x v="1"/>
    <s v="CABISTA I"/>
    <s v="ATIVIDADE NORMAL"/>
    <s v="NOR"/>
    <s v="01292114436"/>
    <s v="04/09/2019"/>
    <s v="LUIZ RICARDO LIMA DA SILVA"/>
    <s v="BRUNO VINICIUS DE ALBERTINS ALVES"/>
    <s v="NIVALDO DE OLIVEIRA SOARES"/>
    <x v="0"/>
    <x v="40"/>
    <x v="7"/>
    <s v="CABISTA I"/>
    <x v="262"/>
    <x v="262"/>
    <x v="49"/>
    <x v="9"/>
    <x v="0"/>
    <x v="0"/>
    <x v="1"/>
  </r>
  <r>
    <x v="263"/>
    <n v="102002917"/>
    <s v="ATIVIDADE NORMAL"/>
    <s v="24/03/2019"/>
    <x v="3"/>
    <x v="23"/>
    <x v="15"/>
    <x v="18"/>
    <s v="Regional Pernambuco"/>
    <s v="Natal"/>
    <s v="MultiSkill"/>
    <x v="9"/>
    <s v="TEC MULTIFUNCIONAL"/>
    <s v="ATIVIDADE NORMAL"/>
    <s v="RNS"/>
    <s v="01320540430"/>
    <s v="04/09/2019"/>
    <s v="RICELE DA SILVA NASCIMENTO"/>
    <s v="REINILSON IGLESIAS JUNIOR"/>
    <s v="WENDELL FRANKLIN VIEIRA MAIA"/>
    <x v="0"/>
    <x v="29"/>
    <x v="11"/>
    <s v="TECNICO MULTIFUNCIONAL"/>
    <x v="263"/>
    <x v="263"/>
    <x v="51"/>
    <x v="7"/>
    <x v="3"/>
    <x v="0"/>
    <x v="0"/>
  </r>
  <r>
    <x v="264"/>
    <n v="109000499"/>
    <s v="ATIVIDADE NORMAL"/>
    <s v="06/03/2019"/>
    <x v="0"/>
    <x v="60"/>
    <x v="13"/>
    <x v="14"/>
    <s v="Regional Pernambuco"/>
    <s v="Recife"/>
    <s v="Tecnico de campo"/>
    <x v="8"/>
    <s v="OP DG"/>
    <s v="ATIVIDADE NORMAL"/>
    <s v="NOR"/>
    <s v="01367894476"/>
    <s v="04/09/2019"/>
    <s v="ALTAIR LUIZ DO NASCIMENTO"/>
    <s v="DECIO FABIANO LOPES FERREIRA"/>
    <s v="NIVALDO DE OLIVEIRA SOARES"/>
    <x v="0"/>
    <x v="42"/>
    <x v="9"/>
    <s v="OPERADOR"/>
    <x v="264"/>
    <x v="264"/>
    <x v="38"/>
    <x v="0"/>
    <x v="0"/>
    <x v="0"/>
    <x v="1"/>
  </r>
  <r>
    <x v="265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01369696400"/>
    <s v="04/09/2019"/>
    <s v="RAMSES DE ANDRADE MACHADO RODRIGUES LAVRA"/>
    <s v="BRUNO VINICIUS DE ALBERTINS ALVES"/>
    <s v="NIVALDO DE OLIVEIRA SOARES"/>
    <x v="0"/>
    <x v="57"/>
    <x v="1"/>
    <s v="TECNICO MULTIFUNCIONAL"/>
    <x v="265"/>
    <x v="265"/>
    <x v="48"/>
    <x v="9"/>
    <x v="0"/>
    <x v="0"/>
    <x v="0"/>
  </r>
  <r>
    <x v="266"/>
    <n v="108401409"/>
    <s v="ATIVIDADE NORMAL"/>
    <s v="27/06/2019"/>
    <x v="1"/>
    <x v="31"/>
    <x v="15"/>
    <x v="5"/>
    <s v="Regional Ceará"/>
    <s v="Juazeiro"/>
    <s v="Tecnico de campo"/>
    <x v="9"/>
    <s v="INSTALADOR DTH"/>
    <s v="ATIVIDADE NORMAL"/>
    <s v="JNE"/>
    <s v="01377069362"/>
    <s v="04/09/2019"/>
    <s v="JOSE NILTON MENDES LIMA"/>
    <s v="VANDERLEI HENZEL CHOLLET"/>
    <s v="JONILSON FELIPE VIEIRA"/>
    <x v="0"/>
    <x v="5"/>
    <x v="11"/>
    <s v="INSTALADOR DTH"/>
    <x v="266"/>
    <x v="266"/>
    <x v="32"/>
    <x v="8"/>
    <x v="1"/>
    <x v="0"/>
    <x v="0"/>
  </r>
  <r>
    <x v="267"/>
    <n v="101001782"/>
    <s v="ATIVIDADE NORMAL"/>
    <s v="07/05/2019"/>
    <x v="1"/>
    <x v="40"/>
    <x v="21"/>
    <x v="8"/>
    <s v="Regional Ceará"/>
    <s v="Quixadá"/>
    <s v="MultiSkill"/>
    <x v="3"/>
    <s v="TEC MULTIFUNCIONAL"/>
    <s v="ATIVIDADE NORMAL"/>
    <s v="QXA"/>
    <s v="01418417378"/>
    <s v="04/09/2019"/>
    <s v="LYNDON JONHSON SILVA LIMA"/>
    <s v="ALENCAR DE SOUZA SANTOS"/>
    <s v="JONILSON FELIPE VIEIRA"/>
    <x v="0"/>
    <x v="9"/>
    <x v="2"/>
    <s v="TECNICO MULTIFUNCIONAL"/>
    <x v="267"/>
    <x v="267"/>
    <x v="10"/>
    <x v="4"/>
    <x v="1"/>
    <x v="0"/>
    <x v="0"/>
  </r>
  <r>
    <x v="268"/>
    <n v="109505858"/>
    <s v="ATIVIDADE NORMAL"/>
    <s v="13/03/2019"/>
    <x v="0"/>
    <x v="14"/>
    <x v="6"/>
    <x v="11"/>
    <s v="Regional Pernambuco"/>
    <s v="Interior"/>
    <s v="Tecnico de campo"/>
    <x v="5"/>
    <s v="TEC MULTIFUNCIONAL"/>
    <s v="ATIVIDADE NORMAL"/>
    <s v="ACV"/>
    <s v="01430365480"/>
    <s v="04/09/2019"/>
    <s v="THIAGO DE LIMA PIRES RODRIGUES"/>
    <s v="DECIO FABIANO LOPES FERREIRA"/>
    <s v="NIVALDO DE OLIVEIRA SOARES"/>
    <x v="0"/>
    <x v="11"/>
    <x v="6"/>
    <s v="TECNICO MULTIFUNCIONAL"/>
    <x v="268"/>
    <x v="268"/>
    <x v="12"/>
    <x v="0"/>
    <x v="0"/>
    <x v="0"/>
    <x v="1"/>
  </r>
  <r>
    <x v="269"/>
    <n v="321454"/>
    <s v="FERIAS NORMAIS"/>
    <s v="02/09/2019"/>
    <x v="0"/>
    <x v="49"/>
    <x v="10"/>
    <x v="13"/>
    <s v="Regional Pernambuco"/>
    <s v="Recife"/>
    <s v="MultiSkill"/>
    <x v="4"/>
    <s v="AUDITOR DE CAMPO"/>
    <s v="FERIAS NORMAIS"/>
    <s v="OES"/>
    <s v="01458293408"/>
    <s v="04/09/2019"/>
    <s v="RODRIGO ALBUQUERQUE DA SILVA"/>
    <s v="RODRIGO ALBUQUERQUE DA SILVA"/>
    <s v="RODRIGO ALBUQUERQUE DA SILVA"/>
    <x v="1"/>
    <x v="16"/>
    <x v="14"/>
    <s v="AUDITOR"/>
    <x v="269"/>
    <x v="269"/>
    <x v="59"/>
    <x v="11"/>
    <x v="4"/>
    <x v="1"/>
    <x v="0"/>
  </r>
  <r>
    <x v="270"/>
    <n v="105303207"/>
    <s v="ATIVIDADE NORMAL"/>
    <s v="05/09/2018"/>
    <x v="2"/>
    <x v="34"/>
    <x v="15"/>
    <x v="12"/>
    <s v="Regional Pernambuco"/>
    <s v="João Pessoa"/>
    <s v="Tecnico de campo"/>
    <x v="9"/>
    <s v="INSTALADOR DTH"/>
    <s v="ATIVIDADE NORMAL"/>
    <s v="JPA"/>
    <s v="01461392403"/>
    <s v="04/09/2019"/>
    <s v="RAFAEL FERNANDES MATIAS"/>
    <s v="WENDELL FRANKLIN VIEIRA MAIA"/>
    <s v="WENDELL FRANKLIN VIEIRA MAIA"/>
    <x v="0"/>
    <x v="49"/>
    <x v="11"/>
    <s v="INSTALADOR DTH"/>
    <x v="270"/>
    <x v="270"/>
    <x v="44"/>
    <x v="6"/>
    <x v="3"/>
    <x v="0"/>
    <x v="0"/>
  </r>
  <r>
    <x v="271"/>
    <n v="109000119"/>
    <s v="ATIVIDADE NORMAL"/>
    <s v="01/05/2019"/>
    <x v="0"/>
    <x v="56"/>
    <x v="2"/>
    <x v="10"/>
    <s v="Regional Pernambuco"/>
    <s v="Recife"/>
    <s v="Tecnico de campo"/>
    <x v="1"/>
    <s v="LIDER DE OBRAS"/>
    <s v="ATIVIDADE NORMAL"/>
    <s v="PES"/>
    <s v="03391652438"/>
    <s v="04/09/2019"/>
    <s v="AMARILDO GOMES DE MELO"/>
    <s v="MARCOS DE OLIVEIRA STEHLING"/>
    <s v="NIVALDO DE OLIVEIRA SOARES"/>
    <x v="0"/>
    <x v="71"/>
    <x v="3"/>
    <s v="LIDER DE OBRAS"/>
    <x v="271"/>
    <x v="271"/>
    <x v="60"/>
    <x v="3"/>
    <x v="0"/>
    <x v="0"/>
    <x v="1"/>
  </r>
  <r>
    <x v="272"/>
    <n v="101006811"/>
    <s v="ATIVIDADE NORMAL"/>
    <s v="31/07/2019"/>
    <x v="1"/>
    <x v="43"/>
    <x v="14"/>
    <x v="8"/>
    <s v="Regional Ceará"/>
    <s v="Quixadá"/>
    <s v="MultiSkill"/>
    <x v="4"/>
    <s v="TEC MULTIFUNCIONAL"/>
    <s v="ATIVIDADE NORMAL"/>
    <s v="QXA"/>
    <s v="03408216398"/>
    <s v="04/09/2019"/>
    <s v="CARLOS FERNANDES GUIMARAES"/>
    <s v="ALENCAR DE SOUZA SANTOS"/>
    <s v="JONILSON FELIPE VIEIRA"/>
    <x v="0"/>
    <x v="44"/>
    <x v="2"/>
    <s v="TECNICO MULTIFUNCIONAL"/>
    <x v="272"/>
    <x v="272"/>
    <x v="40"/>
    <x v="4"/>
    <x v="1"/>
    <x v="0"/>
    <x v="0"/>
  </r>
  <r>
    <x v="273"/>
    <n v="109504012"/>
    <s v="FERIAS NORMAIS"/>
    <s v="19/08/2019"/>
    <x v="2"/>
    <x v="42"/>
    <x v="6"/>
    <x v="12"/>
    <s v="Regional Pernambuco"/>
    <s v="João Pessoa"/>
    <s v="Tecnico de campo"/>
    <x v="5"/>
    <s v="INSTALADOR TUP"/>
    <s v="FERIAS NORMAIS"/>
    <s v="JPA"/>
    <s v="03413103440"/>
    <s v="04/09/2019"/>
    <s v="FRANCISCO JOSE DIAS DA SILVA"/>
    <s v="WENDELL FRANKLIN VIEIRA MAIA"/>
    <s v="WENDELL FRANKLIN VIEIRA MAIA"/>
    <x v="1"/>
    <x v="25"/>
    <x v="6"/>
    <s v="INSTALADOR I"/>
    <x v="273"/>
    <x v="273"/>
    <x v="25"/>
    <x v="6"/>
    <x v="3"/>
    <x v="1"/>
    <x v="1"/>
  </r>
  <r>
    <x v="274"/>
    <n v="101010209"/>
    <s v="ATIVIDADE NORMAL"/>
    <s v="03/10/2018"/>
    <x v="1"/>
    <x v="58"/>
    <x v="13"/>
    <x v="4"/>
    <s v="Regional Ceará"/>
    <s v="Capital Oeste Ceará"/>
    <s v="Tecnico de campo"/>
    <x v="8"/>
    <s v="OP DG"/>
    <s v="ATIVIDADE NORMAL"/>
    <s v="COO"/>
    <s v="03419198370"/>
    <s v="04/09/2019"/>
    <s v="KARLYSSON FRANCO SANTANA DE SOUSA"/>
    <s v="ALENCAR DE SOUZA SANTOS"/>
    <s v="JONILSON FELIPE VIEIRA"/>
    <x v="1"/>
    <x v="10"/>
    <x v="9"/>
    <s v="OPERADOR"/>
    <x v="274"/>
    <x v="274"/>
    <x v="11"/>
    <x v="4"/>
    <x v="1"/>
    <x v="0"/>
    <x v="1"/>
  </r>
  <r>
    <x v="275"/>
    <n v="109000340"/>
    <s v="ATIVIDADE NORMAL"/>
    <s v="31/10/2018"/>
    <x v="0"/>
    <x v="38"/>
    <x v="4"/>
    <x v="22"/>
    <s v="Regional Pernambuco"/>
    <s v="Interior"/>
    <s v="MultiSkill"/>
    <x v="3"/>
    <s v="TEC MULTIFUNCIONAL"/>
    <s v="ATIVIDADE NORMAL"/>
    <s v="CAA"/>
    <s v="03424071471"/>
    <s v="04/09/2019"/>
    <s v="AILTON JOSE DOS SANTOS"/>
    <s v="DECIO FABIANO LOPES FERREIRA"/>
    <s v="NIVALDO DE OLIVEIRA SOARES"/>
    <x v="0"/>
    <x v="41"/>
    <x v="2"/>
    <s v="TECNICO MULTIFUNCIONAL"/>
    <x v="275"/>
    <x v="275"/>
    <x v="22"/>
    <x v="0"/>
    <x v="0"/>
    <x v="0"/>
    <x v="0"/>
  </r>
  <r>
    <x v="276"/>
    <n v="109000926"/>
    <s v="ATIVIDADE NORMAL"/>
    <s v="28/11/2018"/>
    <x v="0"/>
    <x v="65"/>
    <x v="10"/>
    <x v="7"/>
    <s v="Regional Pernambuco"/>
    <s v="Recife"/>
    <s v="MultiSkill"/>
    <x v="4"/>
    <s v="TEC MULTIFUNCIONAL"/>
    <s v="ATIVIDADE NORMAL"/>
    <s v="LES"/>
    <s v="03425149466"/>
    <s v="04/09/2019"/>
    <s v="ANTONIO MAGNO DE CASTRO LEAO"/>
    <s v="BRUNO VINICIUS DE ALBERTINS ALVES"/>
    <s v="NIVALDO DE OLIVEIRA SOARES"/>
    <x v="1"/>
    <x v="45"/>
    <x v="2"/>
    <s v="TECNICO MULTIFUNCIONAL"/>
    <x v="276"/>
    <x v="276"/>
    <x v="41"/>
    <x v="9"/>
    <x v="0"/>
    <x v="0"/>
    <x v="0"/>
  </r>
  <r>
    <x v="277"/>
    <n v="109000340"/>
    <s v="ATIVIDADE NORMAL"/>
    <s v="16/03/2018"/>
    <x v="0"/>
    <x v="0"/>
    <x v="15"/>
    <x v="0"/>
    <s v="Regional Pernambuco"/>
    <s v="Interior"/>
    <s v="Tecnico de campo"/>
    <x v="9"/>
    <s v="TEC MULTIFUNCIONAL"/>
    <s v="ATIVIDADE NORMAL"/>
    <s v="CRU"/>
    <s v="03427486451"/>
    <s v="04/09/2019"/>
    <s v="AILTON JOSE DOS SANTOS"/>
    <s v="DECIO FABIANO LOPES FERREIRA"/>
    <s v="NIVALDO DE OLIVEIRA SOARES"/>
    <x v="0"/>
    <x v="21"/>
    <x v="11"/>
    <s v="TECNICO MULTIFUNCIONAL"/>
    <x v="277"/>
    <x v="277"/>
    <x v="22"/>
    <x v="0"/>
    <x v="0"/>
    <x v="0"/>
    <x v="0"/>
  </r>
  <r>
    <x v="278"/>
    <n v="109506091"/>
    <s v="ATIVIDADE NORMAL"/>
    <s v="07/06/2019"/>
    <x v="0"/>
    <x v="35"/>
    <x v="10"/>
    <x v="14"/>
    <s v="Regional Pernambuco"/>
    <s v="Recife"/>
    <s v="MultiSkill"/>
    <x v="4"/>
    <s v="TEC MULTIFUNCIONAL"/>
    <s v="ATIVIDADE NORMAL"/>
    <s v="NOR"/>
    <s v="03435054441"/>
    <s v="04/09/2019"/>
    <s v="LUIZ RICARDO LIMA DA SILVA"/>
    <s v="BRUNO VINICIUS DE ALBERTINS ALVES"/>
    <s v="NIVALDO DE OLIVEIRA SOARES"/>
    <x v="0"/>
    <x v="38"/>
    <x v="2"/>
    <s v="TECNICO MULTIFUNCIONAL"/>
    <x v="278"/>
    <x v="278"/>
    <x v="49"/>
    <x v="9"/>
    <x v="0"/>
    <x v="0"/>
    <x v="0"/>
  </r>
  <r>
    <x v="279"/>
    <n v="109000017"/>
    <s v="ATIVIDADE NORMAL"/>
    <s v="04/05/2019"/>
    <x v="0"/>
    <x v="56"/>
    <x v="10"/>
    <x v="10"/>
    <s v="Regional Pernambuco"/>
    <s v="Recife"/>
    <s v="MultiSkill"/>
    <x v="4"/>
    <s v="TEC MULTIFUNCIONAL"/>
    <s v="ATIVIDADE NORMAL"/>
    <s v="PES"/>
    <s v="03489901460"/>
    <s v="04/09/2019"/>
    <s v="AMAURY ASSIS DE LIMA"/>
    <s v="DECIO FABIANO LOPES FERREIRA"/>
    <s v="NIVALDO DE OLIVEIRA SOARES"/>
    <x v="0"/>
    <x v="70"/>
    <x v="2"/>
    <s v="TECNICO MULTIFUNCIONAL"/>
    <x v="279"/>
    <x v="279"/>
    <x v="15"/>
    <x v="0"/>
    <x v="0"/>
    <x v="0"/>
    <x v="0"/>
  </r>
  <r>
    <x v="280"/>
    <n v="102101642"/>
    <s v="ATIVIDADE NORMAL"/>
    <s v="06/02/2019"/>
    <x v="3"/>
    <x v="24"/>
    <x v="8"/>
    <x v="19"/>
    <s v="Regional Pernambuco"/>
    <s v="Natal"/>
    <s v="Equipe SWAT"/>
    <x v="6"/>
    <s v="CABISTA I"/>
    <s v="ATIVIDADE NORMAL"/>
    <s v="NTN"/>
    <s v="03499436485"/>
    <s v="04/09/2019"/>
    <s v="WILSON CARLOS SILVEIRA LEIROS"/>
    <s v="REINILSON IGLESIAS JUNIOR"/>
    <s v="WENDELL FRANKLIN VIEIRA MAIA"/>
    <x v="0"/>
    <x v="51"/>
    <x v="7"/>
    <s v="CABISTA I"/>
    <x v="280"/>
    <x v="280"/>
    <x v="28"/>
    <x v="7"/>
    <x v="3"/>
    <x v="0"/>
    <x v="1"/>
  </r>
  <r>
    <x v="281"/>
    <n v="102002917"/>
    <s v="ATIVIDADE NORMAL"/>
    <s v="01/05/2019"/>
    <x v="3"/>
    <x v="23"/>
    <x v="2"/>
    <x v="18"/>
    <s v="Regional Pernambuco"/>
    <s v="Natal"/>
    <s v="Equipe SWAT"/>
    <x v="1"/>
    <s v="CABISTA I"/>
    <s v="ATIVIDADE NORMAL"/>
    <s v="RNS"/>
    <s v="03504348402"/>
    <s v="04/09/2019"/>
    <s v="RICELE DA SILVA NASCIMENTO"/>
    <s v="REINILSON IGLESIAS JUNIOR"/>
    <s v="WENDELL FRANKLIN VIEIRA MAIA"/>
    <x v="0"/>
    <x v="29"/>
    <x v="7"/>
    <s v="CABISTA I"/>
    <x v="281"/>
    <x v="281"/>
    <x v="51"/>
    <x v="7"/>
    <x v="3"/>
    <x v="0"/>
    <x v="1"/>
  </r>
  <r>
    <x v="282"/>
    <n v="105000985"/>
    <s v="ATIVIDADE NORMAL"/>
    <s v="16/02/2019"/>
    <x v="2"/>
    <x v="61"/>
    <x v="5"/>
    <x v="24"/>
    <s v="Regional Pernambuco"/>
    <s v="João Pessoa"/>
    <s v="MultiSkill"/>
    <x v="4"/>
    <s v="TEC MULTIFUNCIONAL"/>
    <s v="ATIVIDADE NORMAL"/>
    <s v="POS"/>
    <s v="03508055477"/>
    <s v="04/09/2019"/>
    <s v="STANLEY MEDEIROS WANDERLEY"/>
    <s v="WENDELL FRANKLIN VIEIRA MAIA"/>
    <s v="WENDELL FRANKLIN VIEIRA MAIA"/>
    <x v="0"/>
    <x v="67"/>
    <x v="2"/>
    <s v="TECNICO MULTIFUNCIONAL"/>
    <x v="282"/>
    <x v="282"/>
    <x v="58"/>
    <x v="6"/>
    <x v="3"/>
    <x v="0"/>
    <x v="0"/>
  </r>
  <r>
    <x v="283"/>
    <n v="105303134"/>
    <s v="ATIVIDADE NORMAL"/>
    <s v="08/04/2019"/>
    <x v="2"/>
    <x v="42"/>
    <x v="16"/>
    <x v="12"/>
    <s v="Regional Pernambuco"/>
    <s v="João Pessoa"/>
    <s v="Tecnico de campo"/>
    <x v="9"/>
    <s v="INSTALADOR DTH"/>
    <s v="ATIVIDADE NORMAL"/>
    <s v="JPA"/>
    <s v="03517221490"/>
    <s v="04/09/2019"/>
    <s v="GLAUBER JOSE GOMES LEITAO"/>
    <s v="WENDELL FRANKLIN VIEIRA MAIA"/>
    <s v="WENDELL FRANKLIN VIEIRA MAIA"/>
    <x v="0"/>
    <x v="43"/>
    <x v="11"/>
    <s v="INSTALADOR DTH"/>
    <x v="283"/>
    <x v="283"/>
    <x v="39"/>
    <x v="6"/>
    <x v="3"/>
    <x v="0"/>
    <x v="0"/>
  </r>
  <r>
    <x v="284"/>
    <n v="101004033"/>
    <s v="ATIVIDADE NORMAL"/>
    <s v="03/07/2019"/>
    <x v="1"/>
    <x v="57"/>
    <x v="2"/>
    <x v="4"/>
    <s v="Regional Ceará"/>
    <s v="Capital Oeste Ceará"/>
    <s v="Equipe SWAT"/>
    <x v="1"/>
    <s v="CABISTA I"/>
    <s v="ATIVIDADE NORMAL"/>
    <s v="COO"/>
    <s v="03524687342"/>
    <s v="04/09/2019"/>
    <s v="HENRIQUE OLIVEIRA DO NASCIMENTO"/>
    <s v="ALENCAR DE SOUZA SANTOS"/>
    <s v="JONILSON FELIPE VIEIRA"/>
    <x v="0"/>
    <x v="63"/>
    <x v="10"/>
    <s v="CABISTA I"/>
    <x v="284"/>
    <x v="284"/>
    <x v="52"/>
    <x v="4"/>
    <x v="1"/>
    <x v="0"/>
    <x v="1"/>
  </r>
  <r>
    <x v="285"/>
    <n v="105303208"/>
    <s v="FERIAS NORMAIS"/>
    <s v="02/09/2019"/>
    <x v="2"/>
    <x v="15"/>
    <x v="5"/>
    <x v="12"/>
    <s v="Regional Pernambuco"/>
    <s v="João Pessoa"/>
    <s v="MultiSkill"/>
    <x v="4"/>
    <s v="TEC MULTIFUNCIONAL"/>
    <s v="FERIAS NORMAIS"/>
    <s v="JPA"/>
    <s v="03544210428"/>
    <s v="04/09/2019"/>
    <s v="FERNANDO ANTONIO PORTO DE FREITAS"/>
    <s v="WENDELL FRANKLIN VIEIRA MAIA"/>
    <s v="WENDELL FRANKLIN VIEIRA MAIA"/>
    <x v="1"/>
    <x v="72"/>
    <x v="2"/>
    <s v="TECNICO MULTIFUNCIONAL"/>
    <x v="285"/>
    <x v="285"/>
    <x v="16"/>
    <x v="6"/>
    <x v="3"/>
    <x v="1"/>
    <x v="0"/>
  </r>
  <r>
    <x v="286"/>
    <n v="101001782"/>
    <s v="FERIAS NORMAIS"/>
    <s v="19/08/2019"/>
    <x v="1"/>
    <x v="40"/>
    <x v="22"/>
    <x v="8"/>
    <s v="Regional Ceará"/>
    <s v="Quixadá"/>
    <s v="MultiSkill"/>
    <x v="4"/>
    <s v="TEC MULTIFUNCIONAL"/>
    <s v="FERIAS NORMAIS"/>
    <s v="QXA"/>
    <s v="03226785362"/>
    <s v="04/09/2019"/>
    <s v="LYNDON JONHSON SILVA LIMA"/>
    <s v="ALENCAR DE SOUZA SANTOS"/>
    <s v="JONILSON FELIPE VIEIRA"/>
    <x v="1"/>
    <x v="9"/>
    <x v="2"/>
    <s v="TECNICO MULTIFUNCIONAL"/>
    <x v="286"/>
    <x v="286"/>
    <x v="10"/>
    <x v="4"/>
    <x v="1"/>
    <x v="1"/>
    <x v="0"/>
  </r>
  <r>
    <x v="287"/>
    <n v="109000017"/>
    <s v="FERIAS NORMAIS"/>
    <s v="19/08/2019"/>
    <x v="0"/>
    <x v="56"/>
    <x v="10"/>
    <x v="10"/>
    <s v="Regional Pernambuco"/>
    <s v="Recife"/>
    <s v="MultiSkill"/>
    <x v="4"/>
    <s v="TEC MULTIFUNCIONAL"/>
    <s v="FERIAS NORMAIS"/>
    <s v="PES"/>
    <s v="03250707414"/>
    <s v="04/09/2019"/>
    <s v="AMAURY ASSIS DE LIMA"/>
    <s v="DECIO FABIANO LOPES FERREIRA"/>
    <s v="NIVALDO DE OLIVEIRA SOARES"/>
    <x v="1"/>
    <x v="70"/>
    <x v="2"/>
    <s v="TECNICO MULTIFUNCIONAL"/>
    <x v="287"/>
    <x v="287"/>
    <x v="15"/>
    <x v="0"/>
    <x v="0"/>
    <x v="1"/>
    <x v="0"/>
  </r>
  <r>
    <x v="288"/>
    <n v="101005380"/>
    <s v="ATIVIDADE NORMAL"/>
    <s v="31/07/2019"/>
    <x v="1"/>
    <x v="26"/>
    <x v="15"/>
    <x v="15"/>
    <s v="Regional Ceará"/>
    <s v="Sobral"/>
    <s v="MultiSkill"/>
    <x v="9"/>
    <s v="TEC MULTIFUNCIONAL"/>
    <s v="ATIVIDADE NORMAL"/>
    <s v="SOL"/>
    <s v="03267195390"/>
    <s v="04/09/2019"/>
    <s v="MARCILIO RIBEIRO DOS SANTOS"/>
    <s v="JEFFERSON OLIVEIRA DA SILVA"/>
    <s v="JONILSON FELIPE VIEIRA"/>
    <x v="0"/>
    <x v="19"/>
    <x v="11"/>
    <s v="TECNICO MULTIFUNCIONAL"/>
    <x v="288"/>
    <x v="288"/>
    <x v="20"/>
    <x v="2"/>
    <x v="1"/>
    <x v="0"/>
    <x v="0"/>
  </r>
  <r>
    <x v="289"/>
    <n v="109506091"/>
    <s v="ATIVIDADE NORMAL"/>
    <s v="28/04/2019"/>
    <x v="0"/>
    <x v="35"/>
    <x v="10"/>
    <x v="14"/>
    <s v="Regional Pernambuco"/>
    <s v="Recife"/>
    <s v="MultiSkill"/>
    <x v="4"/>
    <s v="TEC MULTIFUNCIONAL"/>
    <s v="ATIVIDADE NORMAL"/>
    <s v="NOR"/>
    <s v="03284734481"/>
    <s v="04/09/2019"/>
    <s v="LUIZ RICARDO LIMA DA SILVA"/>
    <s v="BRUNO VINICIUS DE ALBERTINS ALVES"/>
    <s v="NIVALDO DE OLIVEIRA SOARES"/>
    <x v="0"/>
    <x v="38"/>
    <x v="2"/>
    <s v="TECNICO MULTIFUNCIONAL"/>
    <x v="289"/>
    <x v="289"/>
    <x v="49"/>
    <x v="9"/>
    <x v="0"/>
    <x v="0"/>
    <x v="0"/>
  </r>
  <r>
    <x v="290"/>
    <n v="101010062"/>
    <s v="ATIVIDADE NORMAL"/>
    <s v="22/05/2019"/>
    <x v="1"/>
    <x v="26"/>
    <x v="13"/>
    <x v="15"/>
    <s v="Regional Ceará"/>
    <s v="Sobral"/>
    <s v="Tecnico de campo"/>
    <x v="8"/>
    <s v="OP DG"/>
    <s v="ATIVIDADE NORMAL"/>
    <s v="SOL"/>
    <s v="03293915345"/>
    <s v="04/09/2019"/>
    <s v="ANTONIO ERINEUDES CAVALCANTE FEIJAO"/>
    <s v="JEFFERSON OLIVEIRA DA SILVA"/>
    <s v="JONILSON FELIPE VIEIRA"/>
    <x v="1"/>
    <x v="26"/>
    <x v="9"/>
    <s v="OPERADOR"/>
    <x v="290"/>
    <x v="290"/>
    <x v="26"/>
    <x v="2"/>
    <x v="1"/>
    <x v="0"/>
    <x v="1"/>
  </r>
  <r>
    <x v="291"/>
    <n v="109000340"/>
    <s v="ATIVIDADE NORMAL"/>
    <s v="22/05/2019"/>
    <x v="0"/>
    <x v="38"/>
    <x v="6"/>
    <x v="22"/>
    <s v="Regional Pernambuco"/>
    <s v="Interior"/>
    <s v="Tecnico de campo"/>
    <x v="5"/>
    <s v="INSTALADOR TUP"/>
    <s v="ATIVIDADE NORMAL"/>
    <s v="CAA"/>
    <s v="03296038507"/>
    <s v="04/09/2019"/>
    <s v="AILTON JOSE DOS SANTOS"/>
    <s v="DECIO FABIANO LOPES FERREIRA"/>
    <s v="NIVALDO DE OLIVEIRA SOARES"/>
    <x v="0"/>
    <x v="41"/>
    <x v="6"/>
    <s v="INSTALADOR I"/>
    <x v="291"/>
    <x v="291"/>
    <x v="22"/>
    <x v="0"/>
    <x v="0"/>
    <x v="0"/>
    <x v="1"/>
  </r>
  <r>
    <x v="292"/>
    <n v="109000340"/>
    <s v="ATIVIDADE NORMAL"/>
    <s v="20/02/2019"/>
    <x v="0"/>
    <x v="38"/>
    <x v="14"/>
    <x v="22"/>
    <s v="Regional Pernambuco"/>
    <s v="Interior"/>
    <s v="MultiSkill"/>
    <x v="4"/>
    <s v="TEC MULTIFUNCIONAL"/>
    <s v="ATIVIDADE NORMAL"/>
    <s v="CAA"/>
    <s v="03544733447"/>
    <s v="04/09/2019"/>
    <s v="AILTON JOSE DOS SANTOS"/>
    <s v="DECIO FABIANO LOPES FERREIRA"/>
    <s v="NIVALDO DE OLIVEIRA SOARES"/>
    <x v="0"/>
    <x v="41"/>
    <x v="2"/>
    <s v="TECNICO MULTIFUNCIONAL"/>
    <x v="292"/>
    <x v="292"/>
    <x v="22"/>
    <x v="0"/>
    <x v="0"/>
    <x v="0"/>
    <x v="0"/>
  </r>
  <r>
    <x v="293"/>
    <n v="108401409"/>
    <s v="ATIVIDADE NORMAL"/>
    <s v="06/02/2019"/>
    <x v="1"/>
    <x v="36"/>
    <x v="15"/>
    <x v="4"/>
    <s v="Regional Ceará"/>
    <s v="Capital Oeste Ceará"/>
    <s v="Tecnico de campo"/>
    <x v="9"/>
    <s v="INSTALADOR DTH"/>
    <s v="ATIVIDADE NORMAL"/>
    <s v="COO"/>
    <s v="03560826365"/>
    <s v="04/09/2019"/>
    <s v="JOSE NILTON MENDES LIMA"/>
    <s v="VANDERLEI HENZEL CHOLLET"/>
    <s v="JONILSON FELIPE VIEIRA"/>
    <x v="0"/>
    <x v="10"/>
    <x v="11"/>
    <s v="INSTALADOR DTH"/>
    <x v="293"/>
    <x v="293"/>
    <x v="32"/>
    <x v="8"/>
    <x v="1"/>
    <x v="0"/>
    <x v="0"/>
  </r>
  <r>
    <x v="294"/>
    <n v="101010062"/>
    <s v="ATIVIDADE NORMAL"/>
    <s v="20/02/2019"/>
    <x v="1"/>
    <x v="26"/>
    <x v="6"/>
    <x v="15"/>
    <s v="Regional Ceará"/>
    <s v="Sobral"/>
    <s v="Tecnico de campo"/>
    <x v="5"/>
    <s v="INSTALADOR"/>
    <s v="ATIVIDADE NORMAL"/>
    <s v="SOL"/>
    <s v="03591555371"/>
    <s v="04/09/2019"/>
    <s v="ANTONIO ERINEUDES CAVALCANTE FEIJAO"/>
    <s v="JEFFERSON OLIVEIRA DA SILVA"/>
    <s v="JONILSON FELIPE VIEIRA"/>
    <x v="0"/>
    <x v="26"/>
    <x v="6"/>
    <s v="INSTALADOR I"/>
    <x v="294"/>
    <x v="294"/>
    <x v="26"/>
    <x v="2"/>
    <x v="1"/>
    <x v="0"/>
    <x v="1"/>
  </r>
  <r>
    <x v="295"/>
    <n v="101008003"/>
    <s v="ATIVIDADE NORMAL"/>
    <s v="28/11/2018"/>
    <x v="1"/>
    <x v="3"/>
    <x v="18"/>
    <x v="3"/>
    <s v="Regional Ceará"/>
    <s v="Capital Oeste Ceará"/>
    <s v="MultiSkill"/>
    <x v="0"/>
    <s v="TEC MULTIFUNCIONAL"/>
    <s v="ATIVIDADE NORMAL"/>
    <s v="CNO"/>
    <s v="03599468362"/>
    <s v="04/09/2019"/>
    <s v="NILO WEBER RAMOS RIBEIRO"/>
    <s v="ANTONIO ROBEVANIO PINHEIRO"/>
    <s v="JONILSON FELIPE VIEIRA"/>
    <x v="0"/>
    <x v="54"/>
    <x v="1"/>
    <s v="TECNICO MULTIFUNCIONAL"/>
    <x v="295"/>
    <x v="295"/>
    <x v="3"/>
    <x v="1"/>
    <x v="1"/>
    <x v="0"/>
    <x v="0"/>
  </r>
  <r>
    <x v="296"/>
    <n v="102002917"/>
    <s v="ATIVIDADE NORMAL"/>
    <s v="29/04/2019"/>
    <x v="3"/>
    <x v="23"/>
    <x v="15"/>
    <x v="18"/>
    <s v="Regional Pernambuco"/>
    <s v="Natal"/>
    <s v="Tecnico de campo"/>
    <x v="9"/>
    <s v="INSTALADOR DTH"/>
    <s v="ATIVIDADE NORMAL"/>
    <s v="RNS"/>
    <s v="03603673484"/>
    <s v="04/09/2019"/>
    <s v="RICELE DA SILVA NASCIMENTO"/>
    <s v="REINILSON IGLESIAS JUNIOR"/>
    <s v="WENDELL FRANKLIN VIEIRA MAIA"/>
    <x v="0"/>
    <x v="29"/>
    <x v="11"/>
    <s v="INSTALADOR DTH"/>
    <x v="296"/>
    <x v="296"/>
    <x v="51"/>
    <x v="7"/>
    <x v="3"/>
    <x v="0"/>
    <x v="0"/>
  </r>
  <r>
    <x v="297"/>
    <n v="109000340"/>
    <s v="ATIVIDADE NORMAL"/>
    <s v="06/02/2019"/>
    <x v="0"/>
    <x v="0"/>
    <x v="12"/>
    <x v="0"/>
    <s v="Regional Pernambuco"/>
    <s v="Interior"/>
    <s v="Equipe SWAT"/>
    <x v="6"/>
    <s v="CABISTA I"/>
    <s v="ATIVIDADE NORMAL"/>
    <s v="CRU"/>
    <s v="03677280443"/>
    <s v="04/09/2019"/>
    <s v="AILTON JOSE DOS SANTOS"/>
    <s v="DECIO FABIANO LOPES FERREIRA"/>
    <s v="NIVALDO DE OLIVEIRA SOARES"/>
    <x v="0"/>
    <x v="21"/>
    <x v="7"/>
    <s v="CABISTA I"/>
    <x v="297"/>
    <x v="297"/>
    <x v="22"/>
    <x v="0"/>
    <x v="0"/>
    <x v="0"/>
    <x v="1"/>
  </r>
  <r>
    <x v="298"/>
    <n v="109000111"/>
    <s v="ATIVIDADE NORMAL"/>
    <s v="26/05/2019"/>
    <x v="0"/>
    <x v="39"/>
    <x v="2"/>
    <x v="13"/>
    <s v="Regional Pernambuco"/>
    <s v="Recife"/>
    <s v="Tecnico de campo"/>
    <x v="1"/>
    <s v="TEC FIBRA OPTICA I"/>
    <s v="ATIVIDADE NORMAL"/>
    <s v="OES"/>
    <s v="03678518494"/>
    <s v="04/09/2019"/>
    <s v="ADRIANO VICENTE FERREIRA"/>
    <s v="CARLOS EDUARDO DE ALBUQUERQUE MEIRA"/>
    <s v="HEBERT JONES SOUTO ARAUJO"/>
    <x v="1"/>
    <x v="73"/>
    <x v="5"/>
    <s v="TECNICO FIBRA OPTICA"/>
    <x v="298"/>
    <x v="298"/>
    <x v="61"/>
    <x v="12"/>
    <x v="5"/>
    <x v="0"/>
    <x v="1"/>
  </r>
  <r>
    <x v="299"/>
    <n v="102100390"/>
    <s v="ATIVIDADE NORMAL"/>
    <s v="06/02/2019"/>
    <x v="3"/>
    <x v="66"/>
    <x v="10"/>
    <x v="21"/>
    <s v="Regional Pernambuco"/>
    <s v="Natal"/>
    <s v="MultiSkill"/>
    <x v="4"/>
    <s v="TEC MULTIFUNCIONAL"/>
    <s v="ATIVIDADE NORMAL"/>
    <s v="NTS"/>
    <s v="03318673463"/>
    <s v="04/09/2019"/>
    <s v="ANDRIER CARLOS SOARES FERREIRA"/>
    <s v="REINILSON IGLESIAS JUNIOR"/>
    <s v="WENDELL FRANKLIN VIEIRA MAIA"/>
    <x v="0"/>
    <x v="48"/>
    <x v="2"/>
    <s v="TECNICO MULTIFUNCIONAL"/>
    <x v="299"/>
    <x v="299"/>
    <x v="43"/>
    <x v="7"/>
    <x v="3"/>
    <x v="0"/>
    <x v="0"/>
  </r>
  <r>
    <x v="300"/>
    <n v="105303208"/>
    <s v="ATIVIDADE NORMAL"/>
    <s v="13/03/2019"/>
    <x v="2"/>
    <x v="15"/>
    <x v="14"/>
    <x v="12"/>
    <s v="Regional Pernambuco"/>
    <s v="João Pessoa"/>
    <s v="MultiSkill"/>
    <x v="4"/>
    <s v="TEC MULTIFUNCIONAL"/>
    <s v="ATIVIDADE NORMAL"/>
    <s v="JPA"/>
    <s v="03334994414"/>
    <s v="04/09/2019"/>
    <s v="FERNANDO ANTONIO PORTO DE FREITAS"/>
    <s v="WENDELL FRANKLIN VIEIRA MAIA"/>
    <s v="WENDELL FRANKLIN VIEIRA MAIA"/>
    <x v="0"/>
    <x v="72"/>
    <x v="2"/>
    <s v="TECNICO MULTIFUNCIONAL"/>
    <x v="300"/>
    <x v="300"/>
    <x v="16"/>
    <x v="6"/>
    <x v="3"/>
    <x v="0"/>
    <x v="0"/>
  </r>
  <r>
    <x v="301"/>
    <n v="102101393"/>
    <s v="ATIVIDADE NORMAL"/>
    <s v="03/04/2019"/>
    <x v="3"/>
    <x v="27"/>
    <x v="6"/>
    <x v="20"/>
    <s v="Regional Pernambuco"/>
    <s v="Natal"/>
    <s v="Tecnico de campo"/>
    <x v="5"/>
    <s v="INSTALADOR TUP"/>
    <s v="ATIVIDADE NORMAL"/>
    <s v="MRO"/>
    <s v="05753919448"/>
    <s v="04/09/2019"/>
    <s v="SIDNEY MOURA FREIRE"/>
    <s v="REINILSON IGLESIAS JUNIOR"/>
    <s v="WENDELL FRANKLIN VIEIRA MAIA"/>
    <x v="0"/>
    <x v="23"/>
    <x v="6"/>
    <s v="INSTALADOR I"/>
    <x v="301"/>
    <x v="301"/>
    <x v="24"/>
    <x v="7"/>
    <x v="3"/>
    <x v="0"/>
    <x v="1"/>
  </r>
  <r>
    <x v="302"/>
    <n v="102101220"/>
    <s v="ATIVIDADE NORMAL"/>
    <s v="03/07/2019"/>
    <x v="3"/>
    <x v="22"/>
    <x v="10"/>
    <x v="18"/>
    <s v="Regional Pernambuco"/>
    <s v="Natal"/>
    <s v="MultiSkill"/>
    <x v="4"/>
    <s v="TEC MULTIFUNCIONAL"/>
    <s v="ATIVIDADE NORMAL"/>
    <s v="RNS"/>
    <s v="05756940413"/>
    <s v="04/09/2019"/>
    <s v="JOSUE MOURA DA SILVA"/>
    <s v="REINILSON IGLESIAS JUNIOR"/>
    <s v="WENDELL FRANKLIN VIEIRA MAIA"/>
    <x v="0"/>
    <x v="22"/>
    <x v="2"/>
    <s v="TECNICO MULTIFUNCIONAL"/>
    <x v="302"/>
    <x v="302"/>
    <x v="23"/>
    <x v="7"/>
    <x v="3"/>
    <x v="0"/>
    <x v="0"/>
  </r>
  <r>
    <x v="303"/>
    <n v="109000340"/>
    <s v="ATIVIDADE NORMAL"/>
    <s v="16/09/2019"/>
    <x v="0"/>
    <x v="21"/>
    <x v="4"/>
    <x v="17"/>
    <s v="Regional Pernambuco"/>
    <s v="Interior"/>
    <s v="MultiSkill"/>
    <x v="3"/>
    <s v="TEC MULTIFUNCIONAL"/>
    <s v="ATIVIDADE NORMAL"/>
    <s v="GUS"/>
    <s v="05767422443"/>
    <s v="04/09/2019"/>
    <s v="AILTON JOSE DOS SANTOS"/>
    <s v="DECIO FABIANO LOPES FERREIRA"/>
    <s v="NIVALDO DE OLIVEIRA SOARES"/>
    <x v="0"/>
    <x v="21"/>
    <x v="2"/>
    <s v="TECNICO MULTIFUNCIONAL"/>
    <x v="303"/>
    <x v="303"/>
    <x v="22"/>
    <x v="0"/>
    <x v="0"/>
    <x v="0"/>
    <x v="0"/>
  </r>
  <r>
    <x v="304"/>
    <n v="109500177"/>
    <s v="ATIVIDADE NORMAL"/>
    <s v="10/04/2019"/>
    <x v="0"/>
    <x v="67"/>
    <x v="10"/>
    <x v="14"/>
    <s v="Regional Pernambuco"/>
    <s v="Recife"/>
    <s v="Tecnico de campo"/>
    <x v="4"/>
    <s v="TEC MULTIFUNCIONAL"/>
    <s v="ATIVIDADE NORMAL"/>
    <s v="NOR"/>
    <s v="05799405439"/>
    <s v="04/09/2019"/>
    <s v="JOSUEL FERREIRA DE BRITO"/>
    <s v="BRUNO VINICIUS DE ALBERTINS ALVES"/>
    <s v="NIVALDO DE OLIVEIRA SOARES"/>
    <x v="0"/>
    <x v="31"/>
    <x v="12"/>
    <s v="TECNICO MULTIFUNCIONAL"/>
    <x v="304"/>
    <x v="304"/>
    <x v="36"/>
    <x v="9"/>
    <x v="0"/>
    <x v="0"/>
    <x v="0"/>
  </r>
  <r>
    <x v="305"/>
    <n v="101008134"/>
    <s v="ATIVIDADE NORMAL"/>
    <s v="25/01/2019"/>
    <x v="1"/>
    <x v="36"/>
    <x v="17"/>
    <x v="4"/>
    <s v="Regional Ceará"/>
    <s v="Capital Oeste Ceará"/>
    <s v="MultiSkill"/>
    <x v="4"/>
    <s v="TEC MULTIFUNCIONAL"/>
    <s v="ATIVIDADE NORMAL"/>
    <s v="COO"/>
    <s v="03682729313"/>
    <s v="04/09/2019"/>
    <s v="BRUNO SAVIO DA SILVA"/>
    <s v="ANTONIO ROBEVANIO PINHEIRO"/>
    <s v="JONILSON FELIPE VIEIRA"/>
    <x v="0"/>
    <x v="39"/>
    <x v="2"/>
    <s v="TECNICO MULTIFUNCIONAL"/>
    <x v="305"/>
    <x v="305"/>
    <x v="5"/>
    <x v="1"/>
    <x v="1"/>
    <x v="0"/>
    <x v="0"/>
  </r>
  <r>
    <x v="306"/>
    <n v="109000499"/>
    <s v="ATIVIDADE NORMAL"/>
    <s v="22/05/2019"/>
    <x v="0"/>
    <x v="44"/>
    <x v="13"/>
    <x v="7"/>
    <s v="Regional Pernambuco"/>
    <s v="Recife"/>
    <s v="Tecnico de campo"/>
    <x v="8"/>
    <s v="OP DG"/>
    <s v="ATIVIDADE NORMAL"/>
    <s v="LES"/>
    <s v="03718006413"/>
    <s v="04/09/2019"/>
    <s v="ALTAIR LUIZ DO NASCIMENTO"/>
    <s v="DECIO FABIANO LOPES FERREIRA"/>
    <s v="NIVALDO DE OLIVEIRA SOARES"/>
    <x v="0"/>
    <x v="42"/>
    <x v="9"/>
    <s v="OPERADOR"/>
    <x v="306"/>
    <x v="306"/>
    <x v="38"/>
    <x v="0"/>
    <x v="0"/>
    <x v="0"/>
    <x v="1"/>
  </r>
  <r>
    <x v="307"/>
    <n v="109505858"/>
    <s v="ATIVIDADE NORMAL"/>
    <s v="16/09/2019"/>
    <x v="0"/>
    <x v="46"/>
    <x v="14"/>
    <x v="11"/>
    <s v="Regional Pernambuco"/>
    <s v="Interior"/>
    <s v="MultiSkill"/>
    <x v="4"/>
    <s v="TEC MULTIFUNCIONAL"/>
    <s v="ATIVIDADE NORMAL"/>
    <s v="ACV"/>
    <s v="03749483485"/>
    <s v="04/09/2019"/>
    <s v="THIAGO DE LIMA PIRES RODRIGUES"/>
    <s v="DECIO FABIANO LOPES FERREIRA"/>
    <s v="NIVALDO DE OLIVEIRA SOARES"/>
    <x v="0"/>
    <x v="11"/>
    <x v="2"/>
    <s v="TECNICO MULTIFUNCIONAL"/>
    <x v="307"/>
    <x v="307"/>
    <x v="12"/>
    <x v="0"/>
    <x v="0"/>
    <x v="0"/>
    <x v="0"/>
  </r>
  <r>
    <x v="308"/>
    <n v="105302862"/>
    <s v="ATIVIDADE NORMAL"/>
    <s v="17/07/2019"/>
    <x v="2"/>
    <x v="20"/>
    <x v="2"/>
    <x v="16"/>
    <s v="Regional Pernambuco"/>
    <s v="João Pessoa"/>
    <s v="Tecnico de campo"/>
    <x v="1"/>
    <s v="CABISTA I"/>
    <s v="ATIVIDADE NORMAL"/>
    <s v="CGE"/>
    <s v="03765234419"/>
    <s v="04/09/2019"/>
    <s v="PAULO PEREIRA DA SILVA"/>
    <s v="EDERLINDO GONCALVES SOARES"/>
    <s v="WENDELL FRANKLIN VIEIRA MAIA"/>
    <x v="0"/>
    <x v="66"/>
    <x v="3"/>
    <s v="CABISTA I"/>
    <x v="308"/>
    <x v="308"/>
    <x v="57"/>
    <x v="10"/>
    <x v="3"/>
    <x v="0"/>
    <x v="1"/>
  </r>
  <r>
    <x v="309"/>
    <n v="109500315"/>
    <s v="ATIVIDADE NORMAL"/>
    <s v="07/03/2018"/>
    <x v="0"/>
    <x v="13"/>
    <x v="6"/>
    <x v="10"/>
    <s v="Regional Pernambuco"/>
    <s v="Recife"/>
    <s v="Tecnico de campo"/>
    <x v="5"/>
    <s v="INSTALADOR TUP"/>
    <s v="ATIVIDADE NORMAL"/>
    <s v="PES"/>
    <s v="03780143402"/>
    <s v="04/09/2019"/>
    <s v="IVALDO BEZERRA NOVAIS"/>
    <s v="DECIO FABIANO LOPES FERREIRA"/>
    <s v="NIVALDO DE OLIVEIRA SOARES"/>
    <x v="0"/>
    <x v="47"/>
    <x v="6"/>
    <s v="INSTALADOR I"/>
    <x v="309"/>
    <x v="309"/>
    <x v="42"/>
    <x v="0"/>
    <x v="0"/>
    <x v="0"/>
    <x v="1"/>
  </r>
  <r>
    <x v="310"/>
    <n v="109000340"/>
    <s v="ATIVIDADE NORMAL"/>
    <s v="09/01/2019"/>
    <x v="0"/>
    <x v="0"/>
    <x v="4"/>
    <x v="0"/>
    <s v="Regional Pernambuco"/>
    <s v="Interior"/>
    <s v="MultiSkill"/>
    <x v="3"/>
    <s v="TEC MULTIFUNCIONAL"/>
    <s v="ATIVIDADE NORMAL"/>
    <s v="CRU"/>
    <s v="03831586489"/>
    <s v="04/09/2019"/>
    <s v="AILTON JOSE DOS SANTOS"/>
    <s v="DECIO FABIANO LOPES FERREIRA"/>
    <s v="NIVALDO DE OLIVEIRA SOARES"/>
    <x v="0"/>
    <x v="41"/>
    <x v="2"/>
    <s v="TECNICO MULTIFUNCIONAL"/>
    <x v="310"/>
    <x v="310"/>
    <x v="22"/>
    <x v="0"/>
    <x v="0"/>
    <x v="0"/>
    <x v="0"/>
  </r>
  <r>
    <x v="311"/>
    <n v="102101393"/>
    <s v="ATIVIDADE NORMAL"/>
    <s v="11/06/2019"/>
    <x v="3"/>
    <x v="22"/>
    <x v="6"/>
    <x v="18"/>
    <s v="Regional Pernambuco"/>
    <s v="Natal"/>
    <s v="Tecnico de campo"/>
    <x v="5"/>
    <s v="INSTALADOR TUP"/>
    <s v="ATIVIDADE NORMAL"/>
    <s v="RNS"/>
    <s v="03838128443"/>
    <s v="04/09/2019"/>
    <s v="SIDNEY MOURA FREIRE"/>
    <s v="REINILSON IGLESIAS JUNIOR"/>
    <s v="WENDELL FRANKLIN VIEIRA MAIA"/>
    <x v="0"/>
    <x v="23"/>
    <x v="6"/>
    <s v="INSTALADOR I"/>
    <x v="311"/>
    <x v="311"/>
    <x v="24"/>
    <x v="7"/>
    <x v="3"/>
    <x v="0"/>
    <x v="1"/>
  </r>
  <r>
    <x v="312"/>
    <n v="101005241"/>
    <s v="ATIVIDADE NORMAL"/>
    <s v="10/03/2019"/>
    <x v="1"/>
    <x v="11"/>
    <x v="14"/>
    <x v="9"/>
    <s v="Regional Ceará"/>
    <s v="Juazeiro"/>
    <s v="MultiSkill"/>
    <x v="4"/>
    <s v="TEC MULTIFUNCIONAL"/>
    <s v="ATIVIDADE NORMAL"/>
    <s v="IAU"/>
    <s v="03852941318"/>
    <s v="04/09/2019"/>
    <s v="CLAUDECIR GOMES MACIEL"/>
    <s v="JEFFERSON OLIVEIRA DA SILVA"/>
    <s v="JONILSON FELIPE VIEIRA"/>
    <x v="0"/>
    <x v="5"/>
    <x v="2"/>
    <s v="TECNICO MULTIFUNCIONAL"/>
    <x v="312"/>
    <x v="312"/>
    <x v="6"/>
    <x v="2"/>
    <x v="1"/>
    <x v="0"/>
    <x v="0"/>
  </r>
  <r>
    <x v="313"/>
    <n v="105303208"/>
    <s v="ATIVIDADE NORMAL"/>
    <s v="17/12/2018"/>
    <x v="2"/>
    <x v="15"/>
    <x v="10"/>
    <x v="12"/>
    <s v="Regional Pernambuco"/>
    <s v="João Pessoa"/>
    <s v="MultiSkill"/>
    <x v="4"/>
    <s v="TEC MULTIFUNCIONAL"/>
    <s v="ATIVIDADE NORMAL"/>
    <s v="JPA"/>
    <s v="03873433427"/>
    <s v="04/09/2019"/>
    <s v="FERNANDO ANTONIO PORTO DE FREITAS"/>
    <s v="WENDELL FRANKLIN VIEIRA MAIA"/>
    <s v="WENDELL FRANKLIN VIEIRA MAIA"/>
    <x v="0"/>
    <x v="72"/>
    <x v="2"/>
    <s v="TECNICO MULTIFUNCIONAL"/>
    <x v="313"/>
    <x v="313"/>
    <x v="16"/>
    <x v="6"/>
    <x v="3"/>
    <x v="0"/>
    <x v="0"/>
  </r>
  <r>
    <x v="314"/>
    <n v="101007665"/>
    <s v="ATIVIDADE NORMAL"/>
    <s v="24/07/2019"/>
    <x v="1"/>
    <x v="48"/>
    <x v="10"/>
    <x v="3"/>
    <s v="Regional Ceará"/>
    <s v="Capital Oeste Ceará"/>
    <s v="MultiSkill"/>
    <x v="4"/>
    <s v="TEC MULTIFUNCIONAL"/>
    <s v="ATIVIDADE NORMAL"/>
    <s v="CNO"/>
    <s v="03875861302"/>
    <s v="04/09/2019"/>
    <s v="CARLOS AUGUSTO ALVES DE SOUSA"/>
    <s v="ALENCAR DE SOUZA SANTOS"/>
    <s v="JONILSON FELIPE VIEIRA"/>
    <x v="0"/>
    <x v="33"/>
    <x v="2"/>
    <s v="TECNICO MULTIFUNCIONAL"/>
    <x v="314"/>
    <x v="314"/>
    <x v="45"/>
    <x v="4"/>
    <x v="1"/>
    <x v="0"/>
    <x v="0"/>
  </r>
  <r>
    <x v="315"/>
    <n v="109504012"/>
    <s v="ATIVIDADE NORMAL"/>
    <s v="10/07/2019"/>
    <x v="2"/>
    <x v="20"/>
    <x v="6"/>
    <x v="16"/>
    <s v="Regional Pernambuco"/>
    <s v="João Pessoa"/>
    <s v="Tecnico de campo"/>
    <x v="5"/>
    <s v="INSTALADOR TUP"/>
    <s v="ATIVIDADE NORMAL"/>
    <s v="CGE"/>
    <s v="03881421467"/>
    <s v="04/09/2019"/>
    <s v="FRANCISCO JOSE DIAS DA SILVA"/>
    <s v="WENDELL FRANKLIN VIEIRA MAIA"/>
    <s v="WENDELL FRANKLIN VIEIRA MAIA"/>
    <x v="0"/>
    <x v="35"/>
    <x v="6"/>
    <s v="INSTALADOR I"/>
    <x v="315"/>
    <x v="315"/>
    <x v="25"/>
    <x v="6"/>
    <x v="3"/>
    <x v="0"/>
    <x v="1"/>
  </r>
  <r>
    <x v="316"/>
    <n v="109506032"/>
    <s v="ATIVIDADE NORMAL"/>
    <s v="31/07/2019"/>
    <x v="0"/>
    <x v="49"/>
    <x v="8"/>
    <x v="13"/>
    <s v="Regional Pernambuco"/>
    <s v="Recife"/>
    <s v="Tecnico de campo"/>
    <x v="6"/>
    <s v="CABISTA I"/>
    <s v="ATIVIDADE NORMAL"/>
    <s v="OES"/>
    <s v="03892087440"/>
    <s v="04/09/2019"/>
    <s v="CARLOS REIS GONZAGA"/>
    <s v="DECIO FABIANO LOPES FERREIRA"/>
    <s v="NIVALDO DE OLIVEIRA SOARES"/>
    <x v="0"/>
    <x v="16"/>
    <x v="7"/>
    <s v="CABISTA I"/>
    <x v="316"/>
    <x v="316"/>
    <x v="17"/>
    <x v="0"/>
    <x v="0"/>
    <x v="0"/>
    <x v="1"/>
  </r>
  <r>
    <x v="317"/>
    <n v="101010209"/>
    <s v="ATIVIDADE NORMAL"/>
    <s v="28/11/2018"/>
    <x v="1"/>
    <x v="10"/>
    <x v="2"/>
    <x v="4"/>
    <s v="Regional Ceará"/>
    <s v="Capital Oeste Ceará"/>
    <s v="Tecnico de campo"/>
    <x v="1"/>
    <s v="CABISTA I"/>
    <s v="ATIVIDADE NORMAL"/>
    <s v="COO"/>
    <s v="05811313390"/>
    <s v="04/09/2019"/>
    <s v="KARLYSSON FRANCO SANTANA DE SOUSA"/>
    <s v="ALENCAR DE SOUZA SANTOS"/>
    <s v="JONILSON FELIPE VIEIRA"/>
    <x v="0"/>
    <x v="10"/>
    <x v="10"/>
    <s v="CABISTA I"/>
    <x v="317"/>
    <x v="317"/>
    <x v="11"/>
    <x v="4"/>
    <x v="1"/>
    <x v="0"/>
    <x v="1"/>
  </r>
  <r>
    <x v="318"/>
    <n v="105302862"/>
    <s v="ATIVIDADE NORMAL"/>
    <s v="02/04/2019"/>
    <x v="2"/>
    <x v="63"/>
    <x v="2"/>
    <x v="12"/>
    <s v="Regional Pernambuco"/>
    <s v="João Pessoa"/>
    <s v="Tecnico de campo"/>
    <x v="1"/>
    <s v="CABISTA I"/>
    <s v="ATIVIDADE NORMAL"/>
    <s v="JPA"/>
    <s v="05816871404"/>
    <s v="04/09/2019"/>
    <s v="PAULO PEREIRA DA SILVA"/>
    <s v="EDERLINDO GONCALVES SOARES"/>
    <s v="WENDELL FRANKLIN VIEIRA MAIA"/>
    <x v="0"/>
    <x v="25"/>
    <x v="3"/>
    <s v="CABISTA I"/>
    <x v="318"/>
    <x v="318"/>
    <x v="57"/>
    <x v="10"/>
    <x v="3"/>
    <x v="0"/>
    <x v="1"/>
  </r>
  <r>
    <x v="319"/>
    <n v="109000017"/>
    <s v="ATIVIDADE NORMAL"/>
    <s v="02/01/2019"/>
    <x v="0"/>
    <x v="68"/>
    <x v="10"/>
    <x v="10"/>
    <s v="Regional Pernambuco"/>
    <s v="Recife"/>
    <s v="MultiSkill"/>
    <x v="4"/>
    <s v="TEC MULTIFUNCIONAL"/>
    <s v="ATIVIDADE NORMAL"/>
    <s v="PES"/>
    <s v="05857361460"/>
    <s v="04/09/2019"/>
    <s v="AMAURY ASSIS DE LIMA"/>
    <s v="DECIO FABIANO LOPES FERREIRA"/>
    <s v="NIVALDO DE OLIVEIRA SOARES"/>
    <x v="0"/>
    <x v="14"/>
    <x v="2"/>
    <s v="TECNICO MULTIFUNCIONAL"/>
    <x v="319"/>
    <x v="319"/>
    <x v="15"/>
    <x v="0"/>
    <x v="0"/>
    <x v="0"/>
    <x v="0"/>
  </r>
  <r>
    <x v="320"/>
    <n v="101008003"/>
    <s v="ATIVIDADE NORMAL"/>
    <s v="25/06/2019"/>
    <x v="1"/>
    <x v="1"/>
    <x v="1"/>
    <x v="1"/>
    <s v="Regional Ceará"/>
    <s v="Capital Sul Ceará"/>
    <s v="MultiSkill"/>
    <x v="0"/>
    <s v="TEC MULTIFUNCIONAL"/>
    <s v="ATIVIDADE NORMAL"/>
    <s v="GCS - FTTH"/>
    <s v="05870996317"/>
    <s v="04/09/2019"/>
    <s v="NILO WEBER RAMOS RIBEIRO"/>
    <s v="ANTONIO ROBEVANIO PINHEIRO"/>
    <s v="JONILSON FELIPE VIEIRA"/>
    <x v="0"/>
    <x v="61"/>
    <x v="1"/>
    <s v="TECNICO MULTIFUNCIONAL"/>
    <x v="320"/>
    <x v="320"/>
    <x v="3"/>
    <x v="1"/>
    <x v="1"/>
    <x v="0"/>
    <x v="0"/>
  </r>
  <r>
    <x v="321"/>
    <n v="109505858"/>
    <s v="ATIVIDADE NORMAL"/>
    <s v="01/05/2019"/>
    <x v="0"/>
    <x v="46"/>
    <x v="2"/>
    <x v="11"/>
    <s v="Regional Pernambuco"/>
    <s v="Interior"/>
    <s v="MultiSkill"/>
    <x v="1"/>
    <s v="TEC MULTIFUNCIONAL"/>
    <s v="ATIVIDADE NORMAL"/>
    <s v="ACV"/>
    <s v="05882886406"/>
    <s v="04/09/2019"/>
    <s v="THIAGO DE LIMA PIRES RODRIGUES"/>
    <s v="DECIO FABIANO LOPES FERREIRA"/>
    <s v="NIVALDO DE OLIVEIRA SOARES"/>
    <x v="0"/>
    <x v="11"/>
    <x v="2"/>
    <s v="TECNICO MULTIFUNCIONAL"/>
    <x v="321"/>
    <x v="321"/>
    <x v="12"/>
    <x v="0"/>
    <x v="0"/>
    <x v="0"/>
    <x v="1"/>
  </r>
  <r>
    <x v="322"/>
    <n v="109000340"/>
    <s v="ATIVIDADE NORMAL"/>
    <s v="06/03/2019"/>
    <x v="0"/>
    <x v="38"/>
    <x v="14"/>
    <x v="22"/>
    <s v="Regional Pernambuco"/>
    <s v="Interior"/>
    <s v="MultiSkill"/>
    <x v="4"/>
    <s v="TEC MULTIFUNCIONAL"/>
    <s v="ATIVIDADE NORMAL"/>
    <s v="CAA"/>
    <s v="05902922429"/>
    <s v="04/09/2019"/>
    <s v="AILTON JOSE DOS SANTOS"/>
    <s v="DECIO FABIANO LOPES FERREIRA"/>
    <s v="NIVALDO DE OLIVEIRA SOARES"/>
    <x v="0"/>
    <x v="41"/>
    <x v="2"/>
    <s v="TECNICO MULTIFUNCIONAL"/>
    <x v="322"/>
    <x v="322"/>
    <x v="22"/>
    <x v="0"/>
    <x v="0"/>
    <x v="0"/>
    <x v="0"/>
  </r>
  <r>
    <x v="323"/>
    <n v="109000427"/>
    <s v="ATIVIDADE NORMAL"/>
    <s v="08/05/2018"/>
    <x v="0"/>
    <x v="0"/>
    <x v="2"/>
    <x v="0"/>
    <s v="Regional Pernambuco"/>
    <s v="Interior"/>
    <s v="Tecnico de campo"/>
    <x v="1"/>
    <s v="CABISTA I"/>
    <s v="ATIVIDADE NORMAL"/>
    <s v="CRU"/>
    <s v="03998563407"/>
    <s v="04/09/2019"/>
    <s v="HAMILTON DAVINO DA SILVA"/>
    <s v="MARCOS DE OLIVEIRA STEHLING"/>
    <s v="NIVALDO DE OLIVEIRA SOARES"/>
    <x v="0"/>
    <x v="21"/>
    <x v="3"/>
    <s v="CABISTA I"/>
    <x v="323"/>
    <x v="323"/>
    <x v="7"/>
    <x v="3"/>
    <x v="0"/>
    <x v="0"/>
    <x v="1"/>
  </r>
  <r>
    <x v="324"/>
    <n v="101003771"/>
    <s v="ATIVIDADE NORMAL"/>
    <s v="05/06/2019"/>
    <x v="1"/>
    <x v="40"/>
    <x v="6"/>
    <x v="8"/>
    <s v="Regional Ceará"/>
    <s v="Quixadá"/>
    <s v="Tecnico de campo"/>
    <x v="5"/>
    <s v="INSTALADOR TUP"/>
    <s v="ATIVIDADE NORMAL"/>
    <s v="QXA"/>
    <s v="04069424393"/>
    <s v="04/09/2019"/>
    <s v="ANA CLAUDIA DE CASTRO DA SILVA"/>
    <s v="ALENCAR DE SOUZA SANTOS"/>
    <s v="JONILSON FELIPE VIEIRA"/>
    <x v="1"/>
    <x v="13"/>
    <x v="6"/>
    <s v="INSTALADOR I"/>
    <x v="324"/>
    <x v="324"/>
    <x v="14"/>
    <x v="4"/>
    <x v="1"/>
    <x v="0"/>
    <x v="1"/>
  </r>
  <r>
    <x v="325"/>
    <n v="105000986"/>
    <s v="ATIVIDADE NORMAL"/>
    <s v="06/02/2019"/>
    <x v="2"/>
    <x v="20"/>
    <x v="12"/>
    <x v="16"/>
    <s v="Regional Pernambuco"/>
    <s v="João Pessoa"/>
    <s v="Tecnico de campo"/>
    <x v="6"/>
    <s v="CABISTA III"/>
    <s v="ATIVIDADE NORMAL"/>
    <s v="CGE"/>
    <s v="04100260423"/>
    <s v="04/09/2019"/>
    <s v="JOSILENE MACENA DE OLIVEIRA"/>
    <s v="WENDELL FRANKLIN VIEIRA MAIA"/>
    <s v="WENDELL FRANKLIN VIEIRA MAIA"/>
    <x v="0"/>
    <x v="20"/>
    <x v="7"/>
    <s v="CABISTA III"/>
    <x v="325"/>
    <x v="325"/>
    <x v="21"/>
    <x v="6"/>
    <x v="3"/>
    <x v="0"/>
    <x v="1"/>
  </r>
  <r>
    <x v="326"/>
    <n v="101003771"/>
    <s v="ATIVIDADE NORMAL"/>
    <s v="02/01/2019"/>
    <x v="1"/>
    <x v="40"/>
    <x v="20"/>
    <x v="8"/>
    <s v="Regional Ceará"/>
    <s v="Quixadá"/>
    <s v="Tecnico de campo"/>
    <x v="7"/>
    <s v="INSTALADOR"/>
    <s v="ATIVIDADE NORMAL"/>
    <s v="QXA"/>
    <s v="04107737357"/>
    <s v="04/09/2019"/>
    <s v="ANA CLAUDIA DE CASTRO DA SILVA"/>
    <s v="ALENCAR DE SOUZA SANTOS"/>
    <s v="JONILSON FELIPE VIEIRA"/>
    <x v="0"/>
    <x v="13"/>
    <x v="6"/>
    <s v="INSTALADOR I"/>
    <x v="326"/>
    <x v="326"/>
    <x v="14"/>
    <x v="4"/>
    <x v="1"/>
    <x v="0"/>
    <x v="0"/>
  </r>
  <r>
    <x v="327"/>
    <n v="109505858"/>
    <s v="ATIVIDADE NORMAL"/>
    <s v="06/02/2019"/>
    <x v="0"/>
    <x v="6"/>
    <x v="4"/>
    <x v="6"/>
    <s v="Regional Pernambuco"/>
    <s v="Interior"/>
    <s v="MultiSkill"/>
    <x v="3"/>
    <s v="TEC MULTIFUNCIONAL"/>
    <s v="ATIVIDADE NORMAL"/>
    <s v="PTA"/>
    <s v="04139086408"/>
    <s v="04/09/2019"/>
    <s v="THIAGO DE LIMA PIRES RODRIGUES"/>
    <s v="DECIO FABIANO LOPES FERREIRA"/>
    <s v="NIVALDO DE OLIVEIRA SOARES"/>
    <x v="0"/>
    <x v="11"/>
    <x v="2"/>
    <s v="TECNICO MULTIFUNCIONAL"/>
    <x v="327"/>
    <x v="327"/>
    <x v="12"/>
    <x v="0"/>
    <x v="0"/>
    <x v="0"/>
    <x v="0"/>
  </r>
  <r>
    <x v="328"/>
    <n v="101005456"/>
    <s v="ATIVIDADE NORMAL"/>
    <s v="15/05/2019"/>
    <x v="1"/>
    <x v="31"/>
    <x v="11"/>
    <x v="5"/>
    <s v="Regional Ceará"/>
    <s v="Juazeiro"/>
    <s v="Tecnico de campo"/>
    <x v="1"/>
    <s v="MOTORISTA OPERADOR GUINDAUTO"/>
    <s v="ATIVIDADE NORMAL"/>
    <s v="JNE"/>
    <s v="04182267338"/>
    <s v="04/09/2019"/>
    <s v="MARCOS ALBERTO DOS SANTOS"/>
    <s v="VANDERLEI HENZEL CHOLLET"/>
    <s v="JONILSON FELIPE VIEIRA"/>
    <x v="0"/>
    <x v="5"/>
    <x v="3"/>
    <s v="MOTORISTA"/>
    <x v="328"/>
    <x v="328"/>
    <x v="62"/>
    <x v="8"/>
    <x v="1"/>
    <x v="0"/>
    <x v="1"/>
  </r>
  <r>
    <x v="329"/>
    <n v="101003771"/>
    <s v="ATIVIDADE NORMAL"/>
    <s v="28/11/2018"/>
    <x v="1"/>
    <x v="40"/>
    <x v="6"/>
    <x v="8"/>
    <s v="Regional Ceará"/>
    <s v="Quixadá"/>
    <s v="Tecnico de campo"/>
    <x v="5"/>
    <s v="INSTALADOR"/>
    <s v="ATIVIDADE NORMAL"/>
    <s v="QXA"/>
    <s v="04196077145"/>
    <s v="04/09/2019"/>
    <s v="ANA CLAUDIA DE CASTRO DA SILVA"/>
    <s v="ALENCAR DE SOUZA SANTOS"/>
    <s v="JONILSON FELIPE VIEIRA"/>
    <x v="1"/>
    <x v="13"/>
    <x v="6"/>
    <s v="INSTALADOR I"/>
    <x v="329"/>
    <x v="329"/>
    <x v="14"/>
    <x v="4"/>
    <x v="1"/>
    <x v="0"/>
    <x v="1"/>
  </r>
  <r>
    <x v="330"/>
    <n v="109505819"/>
    <s v="FERIAS NORMAIS"/>
    <s v="02/09/2019"/>
    <x v="0"/>
    <x v="39"/>
    <x v="10"/>
    <x v="13"/>
    <s v="Regional Pernambuco"/>
    <s v="Recife"/>
    <s v="MultiSkill"/>
    <x v="4"/>
    <s v="TEC MULTIFUNCIONAL"/>
    <s v="FERIAS NORMAIS"/>
    <s v="OES"/>
    <s v="04203970431"/>
    <s v="04/09/2019"/>
    <s v="ALESSANDRO DIONISIO DE FRANCA"/>
    <s v="DECIO FABIANO LOPES FERREIRA"/>
    <s v="NIVALDO DE OLIVEIRA SOARES"/>
    <x v="1"/>
    <x v="16"/>
    <x v="2"/>
    <s v="TECNICO MULTIFUNCIONAL"/>
    <x v="330"/>
    <x v="330"/>
    <x v="37"/>
    <x v="0"/>
    <x v="0"/>
    <x v="1"/>
    <x v="0"/>
  </r>
  <r>
    <x v="331"/>
    <n v="109000926"/>
    <s v="ATIVIDADE NORMAL"/>
    <s v="31/07/2019"/>
    <x v="0"/>
    <x v="44"/>
    <x v="12"/>
    <x v="7"/>
    <s v="Regional Pernambuco"/>
    <s v="Recife"/>
    <s v="Tecnico de campo"/>
    <x v="6"/>
    <s v="CABISTA I"/>
    <s v="ATIVIDADE NORMAL"/>
    <s v="LES"/>
    <s v="04215823404"/>
    <s v="04/09/2019"/>
    <s v="ANTONIO MAGNO DE CASTRO LEAO"/>
    <s v="BRUNO VINICIUS DE ALBERTINS ALVES"/>
    <s v="NIVALDO DE OLIVEIRA SOARES"/>
    <x v="0"/>
    <x v="45"/>
    <x v="10"/>
    <s v="CABISTA I"/>
    <x v="331"/>
    <x v="331"/>
    <x v="41"/>
    <x v="9"/>
    <x v="0"/>
    <x v="0"/>
    <x v="1"/>
  </r>
  <r>
    <x v="332"/>
    <n v="109000340"/>
    <s v="FERIAS NORMAIS"/>
    <s v="26/08/2019"/>
    <x v="0"/>
    <x v="38"/>
    <x v="23"/>
    <x v="22"/>
    <s v="Regional Pernambuco"/>
    <s v="Interior"/>
    <s v="Tecnico de campo"/>
    <x v="2"/>
    <s v="TEC ADSL I"/>
    <s v="FERIAS NORMAIS"/>
    <s v="CAA"/>
    <s v="04228688411"/>
    <s v="04/09/2019"/>
    <s v="AILTON JOSE DOS SANTOS"/>
    <s v="DECIO FABIANO LOPES FERREIRA"/>
    <s v="NIVALDO DE OLIVEIRA SOARES"/>
    <x v="1"/>
    <x v="41"/>
    <x v="4"/>
    <s v="TECNICO ADSL"/>
    <x v="332"/>
    <x v="332"/>
    <x v="22"/>
    <x v="0"/>
    <x v="0"/>
    <x v="1"/>
    <x v="0"/>
  </r>
  <r>
    <x v="333"/>
    <n v="101001782"/>
    <s v="ATIVIDADE NORMAL"/>
    <s v="17/07/2019"/>
    <x v="1"/>
    <x v="40"/>
    <x v="10"/>
    <x v="8"/>
    <s v="Regional Ceará"/>
    <s v="Quixadá"/>
    <s v="MultiSkill"/>
    <x v="4"/>
    <s v="TEC MULTIFUNCIONAL"/>
    <s v="ATIVIDADE NORMAL"/>
    <s v="QXA"/>
    <s v="04268745360"/>
    <s v="04/09/2019"/>
    <s v="LYNDON JONHSON SILVA LIMA"/>
    <s v="ALENCAR DE SOUZA SANTOS"/>
    <s v="JONILSON FELIPE VIEIRA"/>
    <x v="0"/>
    <x v="9"/>
    <x v="2"/>
    <s v="TECNICO MULTIFUNCIONAL"/>
    <x v="333"/>
    <x v="333"/>
    <x v="10"/>
    <x v="4"/>
    <x v="1"/>
    <x v="0"/>
    <x v="0"/>
  </r>
  <r>
    <x v="334"/>
    <n v="108401409"/>
    <s v="ATIVIDADE NORMAL"/>
    <s v="03/07/2019"/>
    <x v="1"/>
    <x v="64"/>
    <x v="16"/>
    <x v="3"/>
    <s v="Regional Ceará"/>
    <s v="Capital Oeste Ceará"/>
    <s v="Tecnico de campo"/>
    <x v="9"/>
    <s v="TEC DADOS I"/>
    <s v="ATIVIDADE NORMAL"/>
    <s v="CNO"/>
    <s v="04274211363"/>
    <s v="04/09/2019"/>
    <s v="JOSE NILTON MENDES LIMA"/>
    <s v="VANDERLEI HENZEL CHOLLET"/>
    <s v="JONILSON FELIPE VIEIRA"/>
    <x v="1"/>
    <x v="17"/>
    <x v="11"/>
    <s v="TECNICO DADOS"/>
    <x v="334"/>
    <x v="334"/>
    <x v="32"/>
    <x v="8"/>
    <x v="1"/>
    <x v="0"/>
    <x v="0"/>
  </r>
  <r>
    <x v="335"/>
    <n v="101001782"/>
    <s v="ATIVIDADE NORMAL"/>
    <s v="24/07/2019"/>
    <x v="1"/>
    <x v="40"/>
    <x v="21"/>
    <x v="8"/>
    <s v="Regional Ceará"/>
    <s v="Quixadá"/>
    <s v="MultiSkill"/>
    <x v="3"/>
    <s v="TEC MULTIFUNCIONAL"/>
    <s v="ATIVIDADE NORMAL"/>
    <s v="QXA"/>
    <s v="01632995360"/>
    <s v="04/09/2019"/>
    <s v="LYNDON JONHSON SILVA LIMA"/>
    <s v="ALENCAR DE SOUZA SANTOS"/>
    <s v="JONILSON FELIPE VIEIRA"/>
    <x v="0"/>
    <x v="9"/>
    <x v="2"/>
    <s v="TECNICO MULTIFUNCIONAL"/>
    <x v="335"/>
    <x v="335"/>
    <x v="10"/>
    <x v="4"/>
    <x v="1"/>
    <x v="0"/>
    <x v="0"/>
  </r>
  <r>
    <x v="336"/>
    <n v="102100390"/>
    <s v="ATIVIDADE NORMAL"/>
    <s v="06/05/2019"/>
    <x v="3"/>
    <x v="45"/>
    <x v="20"/>
    <x v="21"/>
    <s v="Regional Pernambuco"/>
    <s v="Natal"/>
    <s v="Tecnico de campo"/>
    <x v="7"/>
    <s v="TEC MULTIFUNCIONAL"/>
    <s v="ATIVIDADE NORMAL"/>
    <s v="NTS"/>
    <s v="01658017439"/>
    <s v="04/09/2019"/>
    <s v="ANDRIER CARLOS SOARES FERREIRA"/>
    <s v="REINILSON IGLESIAS JUNIOR"/>
    <s v="WENDELL FRANKLIN VIEIRA MAIA"/>
    <x v="0"/>
    <x v="74"/>
    <x v="2"/>
    <s v="TECNICO MULTIFUNCIONAL"/>
    <x v="336"/>
    <x v="336"/>
    <x v="43"/>
    <x v="7"/>
    <x v="3"/>
    <x v="0"/>
    <x v="0"/>
  </r>
  <r>
    <x v="337"/>
    <n v="101005241"/>
    <s v="FERIAS NORMAIS"/>
    <s v="02/09/2019"/>
    <x v="1"/>
    <x v="11"/>
    <x v="5"/>
    <x v="9"/>
    <s v="Regional Ceará"/>
    <s v="Juazeiro"/>
    <s v="MultiSkill"/>
    <x v="4"/>
    <s v="TEC MULTIFUNCIONAL"/>
    <s v="FERIAS NORMAIS"/>
    <s v="IAU"/>
    <s v="01699140383"/>
    <s v="04/09/2019"/>
    <s v="CLAUDECIR GOMES MACIEL"/>
    <s v="JEFFERSON OLIVEIRA DA SILVA"/>
    <s v="JONILSON FELIPE VIEIRA"/>
    <x v="1"/>
    <x v="5"/>
    <x v="2"/>
    <s v="TECNICO MULTIFUNCIONAL"/>
    <x v="337"/>
    <x v="337"/>
    <x v="6"/>
    <x v="2"/>
    <x v="1"/>
    <x v="1"/>
    <x v="0"/>
  </r>
  <r>
    <x v="338"/>
    <n v="101008134"/>
    <s v="ATIVIDADE NORMAL"/>
    <s v="07/02/2019"/>
    <x v="1"/>
    <x v="47"/>
    <x v="10"/>
    <x v="1"/>
    <s v="Regional Ceará"/>
    <s v="Capital Sul Ceará"/>
    <s v="MultiSkill"/>
    <x v="4"/>
    <s v="TEC MULTIFUNCIONAL"/>
    <s v="ATIVIDADE NORMAL"/>
    <s v="GCS"/>
    <s v="01736847341"/>
    <s v="04/09/2019"/>
    <s v="BRUNO SAVIO DA SILVA"/>
    <s v="ANTONIO ROBEVANIO PINHEIRO"/>
    <s v="JONILSON FELIPE VIEIRA"/>
    <x v="0"/>
    <x v="32"/>
    <x v="2"/>
    <s v="TECNICO MULTIFUNCIONAL"/>
    <x v="338"/>
    <x v="338"/>
    <x v="5"/>
    <x v="1"/>
    <x v="1"/>
    <x v="0"/>
    <x v="0"/>
  </r>
  <r>
    <x v="339"/>
    <n v="101008003"/>
    <s v="ATIVIDADE NORMAL"/>
    <s v="24/04/2019"/>
    <x v="1"/>
    <x v="4"/>
    <x v="0"/>
    <x v="4"/>
    <s v="Regional Ceará"/>
    <s v="Capital Oeste Ceará"/>
    <s v="Tecnico de campo"/>
    <x v="0"/>
    <s v="TEC MULTIFUNCIONAL"/>
    <s v="ATIVIDADE NORMAL"/>
    <s v="COO"/>
    <s v="01757109374"/>
    <s v="04/09/2019"/>
    <s v="NILO WEBER RAMOS RIBEIRO"/>
    <s v="ANTONIO ROBEVANIO PINHEIRO"/>
    <s v="JONILSON FELIPE VIEIRA"/>
    <x v="0"/>
    <x v="75"/>
    <x v="1"/>
    <s v="TECNICO MULTIFUNCIONAL"/>
    <x v="339"/>
    <x v="339"/>
    <x v="3"/>
    <x v="1"/>
    <x v="1"/>
    <x v="0"/>
    <x v="0"/>
  </r>
  <r>
    <x v="340"/>
    <n v="101003771"/>
    <s v="ATIVIDADE NORMAL"/>
    <s v="06/03/2019"/>
    <x v="1"/>
    <x v="40"/>
    <x v="6"/>
    <x v="8"/>
    <s v="Regional Ceará"/>
    <s v="Quixadá"/>
    <s v="Tecnico de campo"/>
    <x v="5"/>
    <s v="INSTALADOR"/>
    <s v="ATIVIDADE NORMAL"/>
    <s v="QXA"/>
    <s v="01764053303"/>
    <s v="04/09/2019"/>
    <s v="ANA CLAUDIA DE CASTRO DA SILVA"/>
    <s v="ALENCAR DE SOUZA SANTOS"/>
    <s v="JONILSON FELIPE VIEIRA"/>
    <x v="0"/>
    <x v="65"/>
    <x v="6"/>
    <s v="INSTALADOR I"/>
    <x v="340"/>
    <x v="340"/>
    <x v="14"/>
    <x v="4"/>
    <x v="1"/>
    <x v="0"/>
    <x v="1"/>
  </r>
  <r>
    <x v="341"/>
    <n v="102002917"/>
    <s v="ATIVIDADE NORMAL"/>
    <s v="23/01/2019"/>
    <x v="3"/>
    <x v="23"/>
    <x v="10"/>
    <x v="18"/>
    <s v="Regional Pernambuco"/>
    <s v="Natal"/>
    <s v="MultiSkill"/>
    <x v="4"/>
    <s v="TEC MULTIFUNCIONAL"/>
    <s v="ATIVIDADE NORMAL"/>
    <s v="RNS"/>
    <s v="01814455302"/>
    <s v="04/09/2019"/>
    <s v="RICELE DA SILVA NASCIMENTO"/>
    <s v="REINILSON IGLESIAS JUNIOR"/>
    <s v="WENDELL FRANKLIN VIEIRA MAIA"/>
    <x v="0"/>
    <x v="29"/>
    <x v="2"/>
    <s v="TECNICO MULTIFUNCIONAL"/>
    <x v="341"/>
    <x v="341"/>
    <x v="51"/>
    <x v="7"/>
    <x v="3"/>
    <x v="0"/>
    <x v="0"/>
  </r>
  <r>
    <x v="342"/>
    <n v="101004033"/>
    <s v="FERIAS NORMAIS"/>
    <s v="19/08/2019"/>
    <x v="1"/>
    <x v="58"/>
    <x v="10"/>
    <x v="4"/>
    <s v="Regional Ceará"/>
    <s v="Capital Oeste Ceará"/>
    <s v="MultiSkill"/>
    <x v="4"/>
    <s v="TEC MULTIFUNCIONAL"/>
    <s v="FERIAS NORMAIS"/>
    <s v="COO"/>
    <s v="01815887303"/>
    <s v="04/09/2019"/>
    <s v="HENRIQUE OLIVEIRA DO NASCIMENTO"/>
    <s v="ALENCAR DE SOUZA SANTOS"/>
    <s v="JONILSON FELIPE VIEIRA"/>
    <x v="1"/>
    <x v="63"/>
    <x v="2"/>
    <s v="TECNICO MULTIFUNCIONAL"/>
    <x v="342"/>
    <x v="342"/>
    <x v="52"/>
    <x v="4"/>
    <x v="1"/>
    <x v="1"/>
    <x v="0"/>
  </r>
  <r>
    <x v="343"/>
    <n v="109504193"/>
    <s v="ATIVIDADE NORMAL"/>
    <s v="22/05/2019"/>
    <x v="0"/>
    <x v="67"/>
    <x v="2"/>
    <x v="14"/>
    <s v="Regional Pernambuco"/>
    <s v="Recife"/>
    <s v="Tecnico de campo"/>
    <x v="1"/>
    <s v="CABISTA I"/>
    <s v="ATIVIDADE NORMAL"/>
    <s v="NOR"/>
    <s v="01835725481"/>
    <s v="04/09/2019"/>
    <s v="PAULO JOSE DA SILVA JUNIOR"/>
    <s v="MARCOS DE OLIVEIRA STEHLING"/>
    <s v="NIVALDO DE OLIVEIRA SOARES"/>
    <x v="0"/>
    <x v="7"/>
    <x v="3"/>
    <s v="CABISTA I"/>
    <x v="343"/>
    <x v="343"/>
    <x v="30"/>
    <x v="3"/>
    <x v="0"/>
    <x v="0"/>
    <x v="1"/>
  </r>
  <r>
    <x v="344"/>
    <n v="101010210"/>
    <s v="ATIVIDADE NORMAL"/>
    <s v="25/06/2019"/>
    <x v="1"/>
    <x v="4"/>
    <x v="0"/>
    <x v="4"/>
    <s v="Regional Ceará"/>
    <s v="Capital Oeste Ceará"/>
    <s v="MultiSkill"/>
    <x v="0"/>
    <s v="TEC MULTIFUNCIONAL"/>
    <s v="ATIVIDADE NORMAL"/>
    <s v="COO"/>
    <s v="01844713385"/>
    <s v="04/09/2019"/>
    <s v="ANTONIO FABIO DOS SANTOS LIMA"/>
    <s v="ANTONIO ROBEVANIO PINHEIRO"/>
    <s v="JONILSON FELIPE VIEIRA"/>
    <x v="0"/>
    <x v="61"/>
    <x v="1"/>
    <s v="TECNICO MULTIFUNCIONAL"/>
    <x v="344"/>
    <x v="344"/>
    <x v="1"/>
    <x v="1"/>
    <x v="1"/>
    <x v="0"/>
    <x v="0"/>
  </r>
  <r>
    <x v="345"/>
    <n v="105303207"/>
    <s v="ATIVIDADE NORMAL"/>
    <s v="15/03/2019"/>
    <x v="2"/>
    <x v="34"/>
    <x v="10"/>
    <x v="12"/>
    <s v="Regional Pernambuco"/>
    <s v="João Pessoa"/>
    <s v="MultiSkill"/>
    <x v="4"/>
    <s v="TEC MULTIFUNCIONAL"/>
    <s v="ATIVIDADE NORMAL"/>
    <s v="JPA"/>
    <s v="02007906414"/>
    <s v="04/09/2019"/>
    <s v="RAFAEL FERNANDES MATIAS"/>
    <s v="WENDELL FRANKLIN VIEIRA MAIA"/>
    <s v="WENDELL FRANKLIN VIEIRA MAIA"/>
    <x v="0"/>
    <x v="49"/>
    <x v="2"/>
    <s v="TECNICO MULTIFUNCIONAL"/>
    <x v="345"/>
    <x v="345"/>
    <x v="44"/>
    <x v="6"/>
    <x v="3"/>
    <x v="0"/>
    <x v="0"/>
  </r>
  <r>
    <x v="346"/>
    <n v="101008134"/>
    <s v="ATIVIDADE NORMAL"/>
    <s v="06/03/2019"/>
    <x v="1"/>
    <x v="47"/>
    <x v="13"/>
    <x v="1"/>
    <s v="Regional Ceará"/>
    <s v="Capital Sul Ceará"/>
    <s v="Tecnico de campo"/>
    <x v="8"/>
    <s v="OP DG"/>
    <s v="ATIVIDADE NORMAL"/>
    <s v="GCS"/>
    <s v="02081426307"/>
    <s v="04/09/2019"/>
    <s v="BRUNO SAVIO DA SILVA"/>
    <s v="ANTONIO ROBEVANIO PINHEIRO"/>
    <s v="JONILSON FELIPE VIEIRA"/>
    <x v="1"/>
    <x v="53"/>
    <x v="9"/>
    <s v="OPERADOR"/>
    <x v="346"/>
    <x v="346"/>
    <x v="5"/>
    <x v="1"/>
    <x v="1"/>
    <x v="0"/>
    <x v="1"/>
  </r>
  <r>
    <x v="347"/>
    <n v="105000986"/>
    <s v="ATIVIDADE NORMAL"/>
    <s v="03/04/2019"/>
    <x v="2"/>
    <x v="20"/>
    <x v="11"/>
    <x v="16"/>
    <s v="Regional Pernambuco"/>
    <s v="João Pessoa"/>
    <s v="Tecnico de campo"/>
    <x v="1"/>
    <s v="CABISTA I"/>
    <s v="ATIVIDADE NORMAL"/>
    <s v="CGE"/>
    <s v="02106073437"/>
    <s v="04/09/2019"/>
    <s v="JOSILENE MACENA DE OLIVEIRA"/>
    <s v="WENDELL FRANKLIN VIEIRA MAIA"/>
    <s v="WENDELL FRANKLIN VIEIRA MAIA"/>
    <x v="0"/>
    <x v="20"/>
    <x v="7"/>
    <s v="CABISTA I"/>
    <x v="347"/>
    <x v="347"/>
    <x v="21"/>
    <x v="6"/>
    <x v="3"/>
    <x v="0"/>
    <x v="1"/>
  </r>
  <r>
    <x v="348"/>
    <n v="101005241"/>
    <s v="ATIVIDADE NORMAL"/>
    <s v="05/09/2018"/>
    <x v="1"/>
    <x v="31"/>
    <x v="23"/>
    <x v="5"/>
    <s v="Regional Ceará"/>
    <s v="Juazeiro"/>
    <s v="Tecnico de campo"/>
    <x v="2"/>
    <s v="TEC MULTIFUNCIONAL"/>
    <s v="ATIVIDADE NORMAL"/>
    <s v="JNE"/>
    <s v="02125470381"/>
    <s v="04/09/2019"/>
    <s v="CLAUDECIR GOMES MACIEL"/>
    <s v="JEFFERSON OLIVEIRA DA SILVA"/>
    <s v="JONILSON FELIPE VIEIRA"/>
    <x v="0"/>
    <x v="5"/>
    <x v="2"/>
    <s v="TECNICO MULTIFUNCIONAL"/>
    <x v="348"/>
    <x v="348"/>
    <x v="6"/>
    <x v="2"/>
    <x v="1"/>
    <x v="0"/>
    <x v="0"/>
  </r>
  <r>
    <x v="349"/>
    <n v="109500315"/>
    <s v="ATIVIDADE NORMAL"/>
    <s v="09/05/2019"/>
    <x v="0"/>
    <x v="68"/>
    <x v="6"/>
    <x v="10"/>
    <s v="Regional Pernambuco"/>
    <s v="Recife"/>
    <s v="Tecnico de campo"/>
    <x v="5"/>
    <s v="INSTALADOR"/>
    <s v="ATIVIDADE NORMAL"/>
    <s v="PES"/>
    <s v="02133805443"/>
    <s v="04/09/2019"/>
    <s v="IVALDO BEZERRA NOVAIS"/>
    <s v="DECIO FABIANO LOPES FERREIRA"/>
    <s v="NIVALDO DE OLIVEIRA SOARES"/>
    <x v="0"/>
    <x v="47"/>
    <x v="6"/>
    <s v="INSTALADOR I"/>
    <x v="349"/>
    <x v="349"/>
    <x v="42"/>
    <x v="0"/>
    <x v="0"/>
    <x v="0"/>
    <x v="1"/>
  </r>
  <r>
    <x v="350"/>
    <n v="101005989"/>
    <s v="ATIVIDADE NORMAL"/>
    <s v="10/06/2019"/>
    <x v="1"/>
    <x v="17"/>
    <x v="24"/>
    <x v="3"/>
    <s v="Regional Ceará"/>
    <s v="Capital Oeste Ceará"/>
    <s v="Equipe SWAT"/>
    <x v="7"/>
    <s v="CABISTA I"/>
    <s v="ATIVIDADE NORMAL"/>
    <s v="CNO"/>
    <s v="02159648370"/>
    <s v="04/09/2019"/>
    <s v="JOSENIL GOMES RODRIGUES"/>
    <s v="ALENCAR DE SOUZA SANTOS"/>
    <s v="JONILSON FELIPE VIEIRA"/>
    <x v="0"/>
    <x v="17"/>
    <x v="10"/>
    <s v="CABISTA I"/>
    <x v="350"/>
    <x v="350"/>
    <x v="18"/>
    <x v="4"/>
    <x v="1"/>
    <x v="0"/>
    <x v="0"/>
  </r>
  <r>
    <x v="351"/>
    <n v="101006811"/>
    <s v="ATIVIDADE NORMAL"/>
    <s v="05/06/2019"/>
    <x v="1"/>
    <x v="43"/>
    <x v="14"/>
    <x v="8"/>
    <s v="Regional Ceará"/>
    <s v="Quixadá"/>
    <s v="MultiSkill"/>
    <x v="4"/>
    <s v="TEC MULTIFUNCIONAL"/>
    <s v="ATIVIDADE NORMAL"/>
    <s v="QXA"/>
    <s v="02170134301"/>
    <s v="04/09/2019"/>
    <s v="CARLOS FERNANDES GUIMARAES"/>
    <s v="ALENCAR DE SOUZA SANTOS"/>
    <s v="JONILSON FELIPE VIEIRA"/>
    <x v="0"/>
    <x v="44"/>
    <x v="2"/>
    <s v="TECNICO MULTIFUNCIONAL"/>
    <x v="351"/>
    <x v="351"/>
    <x v="40"/>
    <x v="4"/>
    <x v="1"/>
    <x v="0"/>
    <x v="0"/>
  </r>
  <r>
    <x v="352"/>
    <n v="101010210"/>
    <s v="ATIVIDADE NORMAL"/>
    <s v="04/10/2018"/>
    <x v="1"/>
    <x v="1"/>
    <x v="18"/>
    <x v="1"/>
    <s v="Regional Ceará"/>
    <s v="Capital Sul Ceará"/>
    <s v="Tecnico de campo"/>
    <x v="0"/>
    <s v="TEC MULTIFUNCIONAL"/>
    <s v="ATIVIDADE NORMAL"/>
    <s v="GCS - FTTH"/>
    <s v="02173321374"/>
    <s v="04/09/2019"/>
    <s v="ANTONIO FABIO DOS SANTOS LIMA"/>
    <s v="ANTONIO ROBEVANIO PINHEIRO"/>
    <s v="JONILSON FELIPE VIEIRA"/>
    <x v="0"/>
    <x v="61"/>
    <x v="1"/>
    <s v="TECNICO MULTIFUNCIONAL"/>
    <x v="352"/>
    <x v="352"/>
    <x v="1"/>
    <x v="1"/>
    <x v="1"/>
    <x v="0"/>
    <x v="0"/>
  </r>
  <r>
    <x v="353"/>
    <n v="109000926"/>
    <s v="FERIAS NORMAIS"/>
    <s v="19/08/2019"/>
    <x v="0"/>
    <x v="44"/>
    <x v="10"/>
    <x v="7"/>
    <s v="Regional Pernambuco"/>
    <s v="Recife"/>
    <s v="MultiSkill"/>
    <x v="4"/>
    <s v="TEC MULTIFUNCIONAL"/>
    <s v="FERIAS NORMAIS"/>
    <s v="LES"/>
    <s v="02210566452"/>
    <s v="04/09/2019"/>
    <s v="ANTONIO MAGNO DE CASTRO LEAO"/>
    <s v="BRUNO VINICIUS DE ALBERTINS ALVES"/>
    <s v="NIVALDO DE OLIVEIRA SOARES"/>
    <x v="1"/>
    <x v="45"/>
    <x v="2"/>
    <s v="TECNICO MULTIFUNCIONAL"/>
    <x v="353"/>
    <x v="353"/>
    <x v="41"/>
    <x v="9"/>
    <x v="0"/>
    <x v="1"/>
    <x v="0"/>
  </r>
  <r>
    <x v="354"/>
    <n v="102100917"/>
    <s v="ATIVIDADE NORMAL"/>
    <s v="31/07/2019"/>
    <x v="3"/>
    <x v="27"/>
    <x v="2"/>
    <x v="20"/>
    <s v="Regional Pernambuco"/>
    <s v="Natal"/>
    <s v="Tecnico de campo"/>
    <x v="1"/>
    <s v="CABISTA I"/>
    <s v="ATIVIDADE NORMAL"/>
    <s v="MRO"/>
    <s v="05905058407"/>
    <s v="04/09/2019"/>
    <s v="FERNANDO FREITAS ALMEIDA DOS SANTOS"/>
    <s v="REINILSON IGLESIAS JUNIOR"/>
    <s v="WENDELL FRANKLIN VIEIRA MAIA"/>
    <x v="0"/>
    <x v="27"/>
    <x v="7"/>
    <s v="CABISTA I"/>
    <x v="354"/>
    <x v="354"/>
    <x v="27"/>
    <x v="7"/>
    <x v="3"/>
    <x v="0"/>
    <x v="1"/>
  </r>
  <r>
    <x v="355"/>
    <n v="105302862"/>
    <s v="ATIVIDADE NORMAL"/>
    <s v="03/04/2019"/>
    <x v="2"/>
    <x v="15"/>
    <x v="2"/>
    <x v="12"/>
    <s v="Regional Pernambuco"/>
    <s v="João Pessoa"/>
    <s v="Tecnico de campo"/>
    <x v="1"/>
    <s v="CABISTA I"/>
    <s v="ATIVIDADE NORMAL"/>
    <s v="JPA"/>
    <s v="05944799404"/>
    <s v="04/09/2019"/>
    <s v="PAULO PEREIRA DA SILVA"/>
    <s v="EDERLINDO GONCALVES SOARES"/>
    <s v="WENDELL FRANKLIN VIEIRA MAIA"/>
    <x v="0"/>
    <x v="66"/>
    <x v="8"/>
    <s v="CABISTA I"/>
    <x v="355"/>
    <x v="355"/>
    <x v="57"/>
    <x v="10"/>
    <x v="3"/>
    <x v="0"/>
    <x v="1"/>
  </r>
  <r>
    <x v="356"/>
    <n v="105303124"/>
    <s v="ATIVIDADE NORMAL"/>
    <s v="24/04/2019"/>
    <x v="0"/>
    <x v="30"/>
    <x v="2"/>
    <x v="13"/>
    <s v="Regional Pernambuco"/>
    <s v="Recife"/>
    <s v="Tecnico de campo"/>
    <x v="1"/>
    <s v="INSTALADOR"/>
    <s v="ATIVIDADE NORMAL"/>
    <s v="OES"/>
    <s v="05993073403"/>
    <s v="04/09/2019"/>
    <s v="GENELSON AUGUSTO ALIXANDRE"/>
    <s v="CARLOS EDUARDO DE ALBUQUERQUE MEIRA"/>
    <s v="HEBERT JONES SOUTO ARAUJO"/>
    <x v="0"/>
    <x v="31"/>
    <x v="12"/>
    <s v="INSTALADOR I"/>
    <x v="356"/>
    <x v="356"/>
    <x v="63"/>
    <x v="12"/>
    <x v="5"/>
    <x v="0"/>
    <x v="1"/>
  </r>
  <r>
    <x v="357"/>
    <n v="102101642"/>
    <s v="ATIVIDADE NORMAL"/>
    <s v="18/04/2019"/>
    <x v="3"/>
    <x v="24"/>
    <x v="10"/>
    <x v="19"/>
    <s v="Regional Pernambuco"/>
    <s v="Natal"/>
    <s v="MultiSkill"/>
    <x v="4"/>
    <s v="TEC MULTIFUNCIONAL"/>
    <s v="ATIVIDADE NORMAL"/>
    <s v="NTN"/>
    <s v="06060409431"/>
    <s v="04/09/2019"/>
    <s v="WILSON CARLOS SILVEIRA LEIROS"/>
    <s v="REINILSON IGLESIAS JUNIOR"/>
    <s v="WENDELL FRANKLIN VIEIRA MAIA"/>
    <x v="0"/>
    <x v="51"/>
    <x v="2"/>
    <s v="TECNICO MULTIFUNCIONAL"/>
    <x v="357"/>
    <x v="357"/>
    <x v="28"/>
    <x v="7"/>
    <x v="3"/>
    <x v="0"/>
    <x v="0"/>
  </r>
  <r>
    <x v="358"/>
    <n v="102101393"/>
    <s v="FERIAS NORMAIS"/>
    <s v="02/09/2019"/>
    <x v="3"/>
    <x v="23"/>
    <x v="6"/>
    <x v="18"/>
    <s v="Regional Pernambuco"/>
    <s v="Natal"/>
    <s v="Tecnico de campo"/>
    <x v="5"/>
    <s v="INSTALADOR TUP"/>
    <s v="FERIAS NORMAIS"/>
    <s v="RNS"/>
    <s v="06060458483"/>
    <s v="04/09/2019"/>
    <s v="SIDNEY MOURA FREIRE"/>
    <s v="REINILSON IGLESIAS JUNIOR"/>
    <s v="WENDELL FRANKLIN VIEIRA MAIA"/>
    <x v="1"/>
    <x v="23"/>
    <x v="6"/>
    <s v="INSTALADOR I"/>
    <x v="358"/>
    <x v="358"/>
    <x v="24"/>
    <x v="7"/>
    <x v="3"/>
    <x v="1"/>
    <x v="1"/>
  </r>
  <r>
    <x v="359"/>
    <n v="105303134"/>
    <s v="ATIVIDADE NORMAL"/>
    <s v="17/12/2018"/>
    <x v="2"/>
    <x v="42"/>
    <x v="10"/>
    <x v="12"/>
    <s v="Regional Pernambuco"/>
    <s v="João Pessoa"/>
    <s v="MultiSkill"/>
    <x v="4"/>
    <s v="TEC MULTIFUNCIONAL"/>
    <s v="ATIVIDADE NORMAL"/>
    <s v="JPA"/>
    <s v="06080950448"/>
    <s v="04/09/2019"/>
    <s v="GLAUBER JOSE GOMES LEITAO"/>
    <s v="WENDELL FRANKLIN VIEIRA MAIA"/>
    <s v="WENDELL FRANKLIN VIEIRA MAIA"/>
    <x v="0"/>
    <x v="43"/>
    <x v="2"/>
    <s v="TECNICO MULTIFUNCIONAL"/>
    <x v="359"/>
    <x v="359"/>
    <x v="39"/>
    <x v="6"/>
    <x v="3"/>
    <x v="0"/>
    <x v="0"/>
  </r>
  <r>
    <x v="360"/>
    <n v="109500315"/>
    <s v="ATIVIDADE NORMAL"/>
    <s v="03/07/2019"/>
    <x v="0"/>
    <x v="35"/>
    <x v="6"/>
    <x v="14"/>
    <s v="Regional Pernambuco"/>
    <s v="Recife"/>
    <s v="Tecnico de campo"/>
    <x v="5"/>
    <s v="INSTALADOR TUP"/>
    <s v="ATIVIDADE NORMAL"/>
    <s v="NOR"/>
    <s v="02249853452"/>
    <s v="04/09/2019"/>
    <s v="IVALDO BEZERRA NOVAIS"/>
    <s v="DECIO FABIANO LOPES FERREIRA"/>
    <s v="NIVALDO DE OLIVEIRA SOARES"/>
    <x v="0"/>
    <x v="47"/>
    <x v="6"/>
    <s v="INSTALADOR I"/>
    <x v="360"/>
    <x v="360"/>
    <x v="42"/>
    <x v="0"/>
    <x v="0"/>
    <x v="0"/>
    <x v="1"/>
  </r>
  <r>
    <x v="361"/>
    <n v="105303207"/>
    <s v="ATIVIDADE NORMAL"/>
    <s v="03/04/2019"/>
    <x v="2"/>
    <x v="63"/>
    <x v="15"/>
    <x v="12"/>
    <s v="Regional Pernambuco"/>
    <s v="João Pessoa"/>
    <s v="Tecnico de campo"/>
    <x v="9"/>
    <s v="INSTALADOR DTH"/>
    <s v="ATIVIDADE NORMAL"/>
    <s v="JPA"/>
    <s v="02256730450"/>
    <s v="04/09/2019"/>
    <s v="RAFAEL FERNANDES MATIAS"/>
    <s v="WENDELL FRANKLIN VIEIRA MAIA"/>
    <s v="WENDELL FRANKLIN VIEIRA MAIA"/>
    <x v="0"/>
    <x v="49"/>
    <x v="11"/>
    <s v="INSTALADOR DTH"/>
    <x v="361"/>
    <x v="361"/>
    <x v="44"/>
    <x v="6"/>
    <x v="3"/>
    <x v="0"/>
    <x v="0"/>
  </r>
  <r>
    <x v="362"/>
    <n v="109000340"/>
    <s v="ATIVIDADE NORMAL"/>
    <s v="22/06/2019"/>
    <x v="0"/>
    <x v="38"/>
    <x v="14"/>
    <x v="22"/>
    <s v="Regional Pernambuco"/>
    <s v="Interior"/>
    <s v="MultiSkill"/>
    <x v="4"/>
    <s v="TEC MULTIFUNCIONAL"/>
    <s v="ATIVIDADE NORMAL"/>
    <s v="CAA"/>
    <s v="02259268498"/>
    <s v="04/09/2019"/>
    <s v="AILTON JOSE DOS SANTOS"/>
    <s v="DECIO FABIANO LOPES FERREIRA"/>
    <s v="NIVALDO DE OLIVEIRA SOARES"/>
    <x v="0"/>
    <x v="41"/>
    <x v="2"/>
    <s v="TECNICO MULTIFUNCIONAL"/>
    <x v="362"/>
    <x v="362"/>
    <x v="22"/>
    <x v="0"/>
    <x v="0"/>
    <x v="0"/>
    <x v="0"/>
  </r>
  <r>
    <x v="363"/>
    <n v="101010062"/>
    <s v="ATIVIDADE NORMAL"/>
    <s v="28/11/2018"/>
    <x v="1"/>
    <x v="26"/>
    <x v="6"/>
    <x v="15"/>
    <s v="Regional Ceará"/>
    <s v="Sobral"/>
    <s v="Tecnico de campo"/>
    <x v="5"/>
    <s v="INSTALADOR"/>
    <s v="ATIVIDADE NORMAL"/>
    <s v="SOL"/>
    <s v="02261350392"/>
    <s v="04/09/2019"/>
    <s v="ANTONIO ERINEUDES CAVALCANTE FEIJAO"/>
    <s v="JEFFERSON OLIVEIRA DA SILVA"/>
    <s v="JONILSON FELIPE VIEIRA"/>
    <x v="1"/>
    <x v="26"/>
    <x v="6"/>
    <s v="INSTALADOR I"/>
    <x v="363"/>
    <x v="363"/>
    <x v="26"/>
    <x v="2"/>
    <x v="1"/>
    <x v="0"/>
    <x v="1"/>
  </r>
  <r>
    <x v="364"/>
    <n v="101006255"/>
    <s v="ATIVIDADE NORMAL"/>
    <s v="09/05/2019"/>
    <x v="1"/>
    <x v="32"/>
    <x v="12"/>
    <x v="2"/>
    <s v="Regional Ceará"/>
    <s v="Capital Sul Ceará"/>
    <s v="Tecnico de campo"/>
    <x v="6"/>
    <s v="CABISTA I"/>
    <s v="ATIVIDADE NORMAL"/>
    <s v="GCL"/>
    <s v="02309654310"/>
    <s v="04/09/2019"/>
    <s v="FRANCISCO DE ASSIS FILHO"/>
    <s v="JEFFERSON OLIVEIRA DA SILVA"/>
    <s v="JONILSON FELIPE VIEIRA"/>
    <x v="0"/>
    <x v="32"/>
    <x v="7"/>
    <s v="CABISTA I"/>
    <x v="364"/>
    <x v="364"/>
    <x v="31"/>
    <x v="2"/>
    <x v="1"/>
    <x v="0"/>
    <x v="1"/>
  </r>
  <r>
    <x v="365"/>
    <n v="109500315"/>
    <s v="ATIVIDADE NORMAL"/>
    <s v="02/01/2019"/>
    <x v="0"/>
    <x v="39"/>
    <x v="6"/>
    <x v="13"/>
    <s v="Regional Pernambuco"/>
    <s v="Recife"/>
    <s v="Tecnico de campo"/>
    <x v="5"/>
    <s v="INSTALADOR TUP"/>
    <s v="ATIVIDADE NORMAL"/>
    <s v="OES"/>
    <s v="02342418450"/>
    <s v="04/09/2019"/>
    <s v="IVALDO BEZERRA NOVAIS"/>
    <s v="DECIO FABIANO LOPES FERREIRA"/>
    <s v="NIVALDO DE OLIVEIRA SOARES"/>
    <x v="0"/>
    <x v="47"/>
    <x v="6"/>
    <s v="INSTALADOR I"/>
    <x v="365"/>
    <x v="365"/>
    <x v="42"/>
    <x v="0"/>
    <x v="0"/>
    <x v="0"/>
    <x v="1"/>
  </r>
  <r>
    <x v="366"/>
    <n v="109505149"/>
    <s v="ATIVIDADE NORMAL"/>
    <s v="24/04/2019"/>
    <x v="0"/>
    <x v="52"/>
    <x v="0"/>
    <x v="7"/>
    <s v="Regional Pernambuco"/>
    <s v="Recife"/>
    <s v="Tecnico de campo"/>
    <x v="0"/>
    <s v="TEC MULTIFUNCIONAL"/>
    <s v="ATIVIDADE NORMAL"/>
    <s v="LES"/>
    <s v="02354582447"/>
    <s v="04/09/2019"/>
    <s v="BRUNO VINICIUS DE ALBERTINS ALVES"/>
    <s v="BRUNO VINICIUS DE ALBERTINS ALVES"/>
    <s v="NIVALDO DE OLIVEIRA SOARES"/>
    <x v="0"/>
    <x v="57"/>
    <x v="1"/>
    <s v="TECNICO MULTIFUNCIONAL"/>
    <x v="366"/>
    <x v="366"/>
    <x v="53"/>
    <x v="9"/>
    <x v="0"/>
    <x v="0"/>
    <x v="0"/>
  </r>
  <r>
    <x v="367"/>
    <n v="109000017"/>
    <s v="ATIVIDADE NORMAL"/>
    <s v="01/06/2019"/>
    <x v="0"/>
    <x v="25"/>
    <x v="15"/>
    <x v="10"/>
    <s v="Regional Pernambuco"/>
    <s v="Recife"/>
    <s v="Tecnico de campo"/>
    <x v="9"/>
    <s v="INSTALADOR DTH"/>
    <s v="ATIVIDADE NORMAL"/>
    <s v="PES"/>
    <s v="06081243460"/>
    <s v="04/09/2019"/>
    <s v="AMAURY ASSIS DE LIMA"/>
    <s v="DECIO FABIANO LOPES FERREIRA"/>
    <s v="NIVALDO DE OLIVEIRA SOARES"/>
    <x v="0"/>
    <x v="24"/>
    <x v="11"/>
    <s v="INSTALADOR DTH"/>
    <x v="367"/>
    <x v="367"/>
    <x v="15"/>
    <x v="0"/>
    <x v="0"/>
    <x v="0"/>
    <x v="0"/>
  </r>
  <r>
    <x v="368"/>
    <n v="109500315"/>
    <s v="ATIVIDADE NORMAL"/>
    <s v="15/05/2019"/>
    <x v="0"/>
    <x v="53"/>
    <x v="6"/>
    <x v="23"/>
    <s v="Regional Pernambuco"/>
    <s v="Interior"/>
    <s v="Tecnico de campo"/>
    <x v="5"/>
    <s v="INSTALADOR TUP"/>
    <s v="ATIVIDADE NORMAL"/>
    <s v="CBO"/>
    <s v="06088305428"/>
    <s v="04/09/2019"/>
    <s v="IVALDO BEZERRA NOVAIS"/>
    <s v="DECIO FABIANO LOPES FERREIRA"/>
    <s v="NIVALDO DE OLIVEIRA SOARES"/>
    <x v="0"/>
    <x v="47"/>
    <x v="6"/>
    <s v="INSTALADOR I"/>
    <x v="368"/>
    <x v="368"/>
    <x v="42"/>
    <x v="0"/>
    <x v="0"/>
    <x v="0"/>
    <x v="1"/>
  </r>
  <r>
    <x v="369"/>
    <n v="109000340"/>
    <s v="ATIVIDADE NORMAL"/>
    <s v="31/10/2018"/>
    <x v="0"/>
    <x v="0"/>
    <x v="10"/>
    <x v="0"/>
    <s v="Regional Pernambuco"/>
    <s v="Interior"/>
    <s v="MultiSkill"/>
    <x v="4"/>
    <s v="TEC MULTIFUNCIONAL"/>
    <s v="ATIVIDADE NORMAL"/>
    <s v="CRU"/>
    <s v="06104736467"/>
    <s v="04/09/2019"/>
    <s v="AILTON JOSE DOS SANTOS"/>
    <s v="DECIO FABIANO LOPES FERREIRA"/>
    <s v="NIVALDO DE OLIVEIRA SOARES"/>
    <x v="0"/>
    <x v="21"/>
    <x v="2"/>
    <s v="TECNICO MULTIFUNCIONAL"/>
    <x v="369"/>
    <x v="369"/>
    <x v="22"/>
    <x v="0"/>
    <x v="0"/>
    <x v="0"/>
    <x v="0"/>
  </r>
  <r>
    <x v="370"/>
    <n v="109506174"/>
    <s v="ATIVIDADE NORMAL"/>
    <s v="13/02/2019"/>
    <x v="0"/>
    <x v="50"/>
    <x v="6"/>
    <x v="17"/>
    <s v="Regional Pernambuco"/>
    <s v="Interior"/>
    <s v="MultiSkill"/>
    <x v="5"/>
    <s v="TEC MULTIFUNCIONAL"/>
    <s v="ATIVIDADE NORMAL"/>
    <s v="GUS"/>
    <s v="06129961405"/>
    <s v="04/09/2019"/>
    <s v="ALYSSON HENRIQUE FERREIRA DE LUCENA"/>
    <s v="DECIO FABIANO LOPES FERREIRA"/>
    <s v="NIVALDO DE OLIVEIRA SOARES"/>
    <x v="0"/>
    <x v="21"/>
    <x v="2"/>
    <s v="TECNICO MULTIFUNCIONAL"/>
    <x v="370"/>
    <x v="370"/>
    <x v="55"/>
    <x v="0"/>
    <x v="0"/>
    <x v="0"/>
    <x v="1"/>
  </r>
  <r>
    <x v="371"/>
    <n v="102101634"/>
    <s v="ATIVIDADE NORMAL"/>
    <s v="02/01/2019"/>
    <x v="3"/>
    <x v="62"/>
    <x v="10"/>
    <x v="19"/>
    <s v="Regional Pernambuco"/>
    <s v="Natal"/>
    <s v="MultiSkill"/>
    <x v="4"/>
    <s v="TEC MULTIFUNCIONAL"/>
    <s v="ATIVIDADE NORMAL"/>
    <s v="NTN"/>
    <s v="06152453402"/>
    <s v="04/09/2019"/>
    <s v="FABIO BATISTA DA SILVA"/>
    <s v="REINILSON IGLESIAS JUNIOR"/>
    <s v="WENDELL FRANKLIN VIEIRA MAIA"/>
    <x v="0"/>
    <x v="30"/>
    <x v="2"/>
    <s v="TECNICO MULTIFUNCIONAL"/>
    <x v="371"/>
    <x v="371"/>
    <x v="29"/>
    <x v="7"/>
    <x v="3"/>
    <x v="0"/>
    <x v="0"/>
  </r>
  <r>
    <x v="372"/>
    <n v="105000985"/>
    <s v="ATIVIDADE NORMAL"/>
    <s v="01/08/2018"/>
    <x v="2"/>
    <x v="61"/>
    <x v="2"/>
    <x v="24"/>
    <s v="Regional Pernambuco"/>
    <s v="João Pessoa"/>
    <s v="Tecnico de campo"/>
    <x v="1"/>
    <s v="CABISTA I"/>
    <s v="ATIVIDADE NORMAL"/>
    <s v="POS"/>
    <s v="06191213433"/>
    <s v="04/09/2019"/>
    <s v="STANLEY MEDEIROS WANDERLEY"/>
    <s v="WENDELL FRANKLIN VIEIRA MAIA"/>
    <s v="WENDELL FRANKLIN VIEIRA MAIA"/>
    <x v="1"/>
    <x v="67"/>
    <x v="10"/>
    <s v="CABISTA I"/>
    <x v="372"/>
    <x v="372"/>
    <x v="58"/>
    <x v="6"/>
    <x v="3"/>
    <x v="0"/>
    <x v="1"/>
  </r>
  <r>
    <x v="373"/>
    <n v="101006255"/>
    <s v="ATIVIDADE NORMAL"/>
    <s v="13/03/2019"/>
    <x v="1"/>
    <x v="32"/>
    <x v="13"/>
    <x v="2"/>
    <s v="Regional Ceará"/>
    <s v="Capital Sul Ceará"/>
    <s v="Tecnico de campo"/>
    <x v="8"/>
    <s v="OP DG"/>
    <s v="ATIVIDADE NORMAL"/>
    <s v="GCL"/>
    <s v="06214538384"/>
    <s v="04/09/2019"/>
    <s v="FRANCISCO DE ASSIS FILHO"/>
    <s v="JEFFERSON OLIVEIRA DA SILVA"/>
    <s v="JONILSON FELIPE VIEIRA"/>
    <x v="1"/>
    <x v="32"/>
    <x v="9"/>
    <s v="OPERADOR"/>
    <x v="373"/>
    <x v="373"/>
    <x v="31"/>
    <x v="2"/>
    <x v="1"/>
    <x v="0"/>
    <x v="1"/>
  </r>
  <r>
    <x v="374"/>
    <n v="109505149"/>
    <s v="ATIVIDADE NORMAL"/>
    <s v="07/05/2019"/>
    <x v="0"/>
    <x v="52"/>
    <x v="0"/>
    <x v="7"/>
    <s v="Regional Pernambuco"/>
    <s v="Recife"/>
    <s v="Tecnico de campo"/>
    <x v="0"/>
    <s v="TEC MULTIFUNCIONAL"/>
    <s v="ATIVIDADE NORMAL"/>
    <s v="LES"/>
    <s v="06288874426"/>
    <s v="04/09/2019"/>
    <s v="BRUNO VINICIUS DE ALBERTINS ALVES"/>
    <s v="BRUNO VINICIUS DE ALBERTINS ALVES"/>
    <s v="NIVALDO DE OLIVEIRA SOARES"/>
    <x v="0"/>
    <x v="57"/>
    <x v="11"/>
    <s v="TECNICO MULTIFUNCIONAL"/>
    <x v="374"/>
    <x v="374"/>
    <x v="53"/>
    <x v="9"/>
    <x v="0"/>
    <x v="0"/>
    <x v="0"/>
  </r>
  <r>
    <x v="375"/>
    <n v="101008003"/>
    <s v="ATIVIDADE NORMAL"/>
    <s v="04/10/2018"/>
    <x v="1"/>
    <x v="3"/>
    <x v="18"/>
    <x v="3"/>
    <s v="Regional Ceará"/>
    <s v="Capital Oeste Ceará"/>
    <s v="Tecnico de campo"/>
    <x v="0"/>
    <s v="TEC MULTIFUNCIONAL"/>
    <s v="ATIVIDADE NORMAL"/>
    <s v="CNO"/>
    <s v="06298574310"/>
    <s v="04/09/2019"/>
    <s v="NILO WEBER RAMOS RIBEIRO"/>
    <s v="ANTONIO ROBEVANIO PINHEIRO"/>
    <s v="JONILSON FELIPE VIEIRA"/>
    <x v="0"/>
    <x v="54"/>
    <x v="1"/>
    <s v="TECNICO MULTIFUNCIONAL"/>
    <x v="375"/>
    <x v="375"/>
    <x v="3"/>
    <x v="1"/>
    <x v="1"/>
    <x v="0"/>
    <x v="0"/>
  </r>
  <r>
    <x v="376"/>
    <n v="102101393"/>
    <s v="ATIVIDADE NORMAL"/>
    <s v="03/04/2019"/>
    <x v="3"/>
    <x v="23"/>
    <x v="6"/>
    <x v="18"/>
    <s v="Regional Pernambuco"/>
    <s v="Natal"/>
    <s v="Tecnico de campo"/>
    <x v="5"/>
    <s v="INSTALADOR TUP"/>
    <s v="ATIVIDADE NORMAL"/>
    <s v="RNS"/>
    <s v="06319552409"/>
    <s v="04/09/2019"/>
    <s v="SIDNEY MOURA FREIRE"/>
    <s v="REINILSON IGLESIAS JUNIOR"/>
    <s v="WENDELL FRANKLIN VIEIRA MAIA"/>
    <x v="0"/>
    <x v="23"/>
    <x v="6"/>
    <s v="INSTALADOR I"/>
    <x v="376"/>
    <x v="376"/>
    <x v="24"/>
    <x v="7"/>
    <x v="3"/>
    <x v="0"/>
    <x v="1"/>
  </r>
  <r>
    <x v="377"/>
    <n v="101010210"/>
    <s v="ATIVIDADE NORMAL"/>
    <s v="19/12/2018"/>
    <x v="1"/>
    <x v="1"/>
    <x v="18"/>
    <x v="1"/>
    <s v="Regional Ceará"/>
    <s v="Capital Sul Ceará"/>
    <s v="Tecnico de campo"/>
    <x v="0"/>
    <s v="TEC MULTIFUNCIONAL"/>
    <s v="ATIVIDADE NORMAL"/>
    <s v="GCS - FTTH"/>
    <s v="06325853318"/>
    <s v="04/09/2019"/>
    <s v="ANTONIO FABIO DOS SANTOS LIMA"/>
    <s v="ANTONIO ROBEVANIO PINHEIRO"/>
    <s v="JONILSON FELIPE VIEIRA"/>
    <x v="0"/>
    <x v="61"/>
    <x v="1"/>
    <s v="TECNICO MULTIFUNCIONAL"/>
    <x v="377"/>
    <x v="377"/>
    <x v="1"/>
    <x v="1"/>
    <x v="1"/>
    <x v="0"/>
    <x v="0"/>
  </r>
  <r>
    <x v="378"/>
    <n v="101001488"/>
    <s v="ATIVIDADE NORMAL"/>
    <s v="18/10/2018"/>
    <x v="1"/>
    <x v="2"/>
    <x v="18"/>
    <x v="2"/>
    <s v="Regional Ceará"/>
    <s v="Capital Sul Ceará"/>
    <s v="Tecnico de campo"/>
    <x v="0"/>
    <s v="AUX TECNICO DE FIBRA OPTICA"/>
    <s v="ATIVIDADE NORMAL"/>
    <s v="GCL"/>
    <s v="06329385360"/>
    <s v="04/09/2019"/>
    <s v="MICHEL SOARES DE OLIVEIRA"/>
    <s v="ANTONIO ROBEVANIO PINHEIRO"/>
    <s v="JONILSON FELIPE VIEIRA"/>
    <x v="0"/>
    <x v="2"/>
    <x v="1"/>
    <s v="AUXILIAR FIBRA OPTICA"/>
    <x v="378"/>
    <x v="378"/>
    <x v="2"/>
    <x v="1"/>
    <x v="1"/>
    <x v="0"/>
    <x v="0"/>
  </r>
  <r>
    <x v="379"/>
    <n v="108401409"/>
    <s v="ATIVIDADE NORMAL"/>
    <s v="05/06/2019"/>
    <x v="1"/>
    <x v="69"/>
    <x v="15"/>
    <x v="3"/>
    <s v="Regional Ceará"/>
    <s v="Capital Oeste Ceará"/>
    <s v="MultiSkill"/>
    <x v="9"/>
    <s v="TEC MULTIFUNCIONAL"/>
    <s v="ATIVIDADE NORMAL"/>
    <s v="CNO"/>
    <s v="02362789322"/>
    <s v="04/09/2019"/>
    <s v="JOSE NILTON MENDES LIMA"/>
    <s v="VANDERLEI HENZEL CHOLLET"/>
    <s v="JONILSON FELIPE VIEIRA"/>
    <x v="0"/>
    <x v="10"/>
    <x v="11"/>
    <s v="TECNICO MULTIFUNCIONAL"/>
    <x v="379"/>
    <x v="379"/>
    <x v="32"/>
    <x v="8"/>
    <x v="1"/>
    <x v="0"/>
    <x v="0"/>
  </r>
  <r>
    <x v="380"/>
    <n v="102100917"/>
    <s v="ATIVIDADE NORMAL"/>
    <s v="05/06/2019"/>
    <x v="3"/>
    <x v="27"/>
    <x v="10"/>
    <x v="20"/>
    <s v="Regional Pernambuco"/>
    <s v="Natal"/>
    <s v="MultiSkill"/>
    <x v="4"/>
    <s v="TEC MULTIFUNCIONAL"/>
    <s v="ATIVIDADE NORMAL"/>
    <s v="MRO"/>
    <s v="02380616477"/>
    <s v="04/09/2019"/>
    <s v="FERNANDO FREITAS ALMEIDA DOS SANTOS"/>
    <s v="REINILSON IGLESIAS JUNIOR"/>
    <s v="WENDELL FRANKLIN VIEIRA MAIA"/>
    <x v="0"/>
    <x v="28"/>
    <x v="2"/>
    <s v="TECNICO MULTIFUNCIONAL"/>
    <x v="380"/>
    <x v="380"/>
    <x v="27"/>
    <x v="7"/>
    <x v="3"/>
    <x v="0"/>
    <x v="0"/>
  </r>
  <r>
    <x v="381"/>
    <n v="109501286"/>
    <s v="ATIVIDADE NORMAL"/>
    <s v="21/05/2019"/>
    <x v="0"/>
    <x v="30"/>
    <x v="10"/>
    <x v="13"/>
    <s v="Regional Pernambuco"/>
    <s v="Recife"/>
    <s v="MultiSkill"/>
    <x v="4"/>
    <s v="TEC MULTIFUNCIONAL"/>
    <s v="ATIVIDADE NORMAL"/>
    <s v="OES"/>
    <s v="02386656403"/>
    <s v="04/09/2019"/>
    <s v="JOSE HENRIQUE NEGRAO DE MEDEIROS"/>
    <s v="DECIO FABIANO LOPES FERREIRA"/>
    <s v="NIVALDO DE OLIVEIRA SOARES"/>
    <x v="0"/>
    <x v="37"/>
    <x v="2"/>
    <s v="TECNICO MULTIFUNCIONAL"/>
    <x v="381"/>
    <x v="381"/>
    <x v="34"/>
    <x v="0"/>
    <x v="0"/>
    <x v="0"/>
    <x v="0"/>
  </r>
  <r>
    <x v="382"/>
    <n v="109505858"/>
    <s v="ATIVIDADE NORMAL"/>
    <s v="06/03/2019"/>
    <x v="0"/>
    <x v="14"/>
    <x v="4"/>
    <x v="11"/>
    <s v="Regional Pernambuco"/>
    <s v="Interior"/>
    <s v="MultiSkill"/>
    <x v="3"/>
    <s v="TEC MULTIFUNCIONAL"/>
    <s v="ATIVIDADE NORMAL"/>
    <s v="ACV"/>
    <s v="02424652422"/>
    <s v="04/09/2019"/>
    <s v="THIAGO DE LIMA PIRES RODRIGUES"/>
    <s v="DECIO FABIANO LOPES FERREIRA"/>
    <s v="NIVALDO DE OLIVEIRA SOARES"/>
    <x v="0"/>
    <x v="11"/>
    <x v="2"/>
    <s v="TECNICO MULTIFUNCIONAL"/>
    <x v="382"/>
    <x v="382"/>
    <x v="12"/>
    <x v="0"/>
    <x v="0"/>
    <x v="0"/>
    <x v="0"/>
  </r>
  <r>
    <x v="383"/>
    <n v="101006255"/>
    <s v="ATIVIDADE NORMAL"/>
    <s v="04/06/2018"/>
    <x v="1"/>
    <x v="8"/>
    <x v="5"/>
    <x v="2"/>
    <s v="Regional Ceará"/>
    <s v="Capital Sul Ceará"/>
    <s v="MultiSkill"/>
    <x v="4"/>
    <s v="TEC MULTIFUNCIONAL"/>
    <s v="ATIVIDADE NORMAL"/>
    <s v="GCL"/>
    <s v="02427148385"/>
    <s v="04/09/2019"/>
    <s v="FRANCISCO DE ASSIS FILHO"/>
    <s v="JEFFERSON OLIVEIRA DA SILVA"/>
    <s v="JONILSON FELIPE VIEIRA"/>
    <x v="0"/>
    <x v="32"/>
    <x v="2"/>
    <s v="TECNICO MULTIFUNCIONAL"/>
    <x v="383"/>
    <x v="383"/>
    <x v="31"/>
    <x v="2"/>
    <x v="1"/>
    <x v="0"/>
    <x v="0"/>
  </r>
  <r>
    <x v="384"/>
    <n v="105303134"/>
    <s v="ATIVIDADE NORMAL"/>
    <s v="04/07/2018"/>
    <x v="2"/>
    <x v="42"/>
    <x v="10"/>
    <x v="12"/>
    <s v="Regional Pernambuco"/>
    <s v="João Pessoa"/>
    <s v="MultiSkill"/>
    <x v="4"/>
    <s v="TEC MULTIFUNCIONAL"/>
    <s v="ATIVIDADE NORMAL"/>
    <s v="JPA"/>
    <s v="02431830462"/>
    <s v="04/09/2019"/>
    <s v="GLAUBER JOSE GOMES LEITAO"/>
    <s v="WENDELL FRANKLIN VIEIRA MAIA"/>
    <s v="WENDELL FRANKLIN VIEIRA MAIA"/>
    <x v="0"/>
    <x v="43"/>
    <x v="2"/>
    <s v="TECNICO MULTIFUNCIONAL"/>
    <x v="384"/>
    <x v="384"/>
    <x v="39"/>
    <x v="6"/>
    <x v="3"/>
    <x v="0"/>
    <x v="0"/>
  </r>
  <r>
    <x v="385"/>
    <n v="109000926"/>
    <s v="FERIAS NORMAIS"/>
    <s v="19/08/2019"/>
    <x v="0"/>
    <x v="7"/>
    <x v="10"/>
    <x v="7"/>
    <s v="Regional Pernambuco"/>
    <s v="Recife"/>
    <s v="MultiSkill"/>
    <x v="4"/>
    <s v="TEC MULTIFUNCIONAL"/>
    <s v="FERIAS NORMAIS"/>
    <s v="LES"/>
    <s v="02484632410"/>
    <s v="04/09/2019"/>
    <s v="ANTONIO MAGNO DE CASTRO LEAO"/>
    <s v="BRUNO VINICIUS DE ALBERTINS ALVES"/>
    <s v="NIVALDO DE OLIVEIRA SOARES"/>
    <x v="1"/>
    <x v="45"/>
    <x v="2"/>
    <s v="TECNICO MULTIFUNCIONAL"/>
    <x v="385"/>
    <x v="385"/>
    <x v="41"/>
    <x v="9"/>
    <x v="0"/>
    <x v="1"/>
    <x v="0"/>
  </r>
  <r>
    <x v="386"/>
    <n v="101008003"/>
    <s v="ATIVIDADE NORMAL"/>
    <s v="19/12/2018"/>
    <x v="1"/>
    <x v="4"/>
    <x v="0"/>
    <x v="4"/>
    <s v="Regional Ceará"/>
    <s v="Capital Oeste Ceará"/>
    <s v="Tecnico de campo"/>
    <x v="0"/>
    <s v="TEC MULTIFUNCIONAL"/>
    <s v="ATIVIDADE NORMAL"/>
    <s v="COO"/>
    <s v="02511913380"/>
    <s v="04/09/2019"/>
    <s v="NILO WEBER RAMOS RIBEIRO"/>
    <s v="ANTONIO ROBEVANIO PINHEIRO"/>
    <s v="JONILSON FELIPE VIEIRA"/>
    <x v="0"/>
    <x v="54"/>
    <x v="1"/>
    <s v="TECNICO MULTIFUNCIONAL"/>
    <x v="386"/>
    <x v="386"/>
    <x v="3"/>
    <x v="1"/>
    <x v="1"/>
    <x v="0"/>
    <x v="0"/>
  </r>
  <r>
    <x v="387"/>
    <n v="105303134"/>
    <s v="ATIVIDADE NORMAL"/>
    <s v="30/09/2019"/>
    <x v="2"/>
    <x v="42"/>
    <x v="12"/>
    <x v="12"/>
    <s v="Regional Pernambuco"/>
    <s v="João Pessoa"/>
    <s v="Tecnico de campo"/>
    <x v="6"/>
    <s v="CABISTA III"/>
    <s v="ATIVIDADE NORMAL"/>
    <s v="JPA"/>
    <s v="02530995443"/>
    <s v="04/09/2019"/>
    <s v="GLAUBER JOSE GOMES LEITAO"/>
    <s v="WENDELL FRANKLIN VIEIRA MAIA"/>
    <s v="WENDELL FRANKLIN VIEIRA MAIA"/>
    <x v="0"/>
    <x v="43"/>
    <x v="10"/>
    <s v="CABISTA III"/>
    <x v="387"/>
    <x v="387"/>
    <x v="39"/>
    <x v="6"/>
    <x v="3"/>
    <x v="0"/>
    <x v="1"/>
  </r>
  <r>
    <x v="388"/>
    <n v="109500315"/>
    <s v="ATIVIDADE NORMAL"/>
    <s v="31/07/2019"/>
    <x v="0"/>
    <x v="39"/>
    <x v="6"/>
    <x v="13"/>
    <s v="Regional Pernambuco"/>
    <s v="Recife"/>
    <s v="Tecnico de campo"/>
    <x v="5"/>
    <s v="INSTALADOR TUP"/>
    <s v="ATIVIDADE NORMAL"/>
    <s v="OES"/>
    <s v="02533338494"/>
    <s v="04/09/2019"/>
    <s v="IVALDO BEZERRA NOVAIS"/>
    <s v="DECIO FABIANO LOPES FERREIRA"/>
    <s v="NIVALDO DE OLIVEIRA SOARES"/>
    <x v="0"/>
    <x v="47"/>
    <x v="6"/>
    <s v="INSTALADOR I"/>
    <x v="388"/>
    <x v="388"/>
    <x v="42"/>
    <x v="0"/>
    <x v="0"/>
    <x v="0"/>
    <x v="1"/>
  </r>
  <r>
    <x v="389"/>
    <n v="101006255"/>
    <s v="ATIVIDADE NORMAL"/>
    <s v="02/01/2019"/>
    <x v="1"/>
    <x v="32"/>
    <x v="13"/>
    <x v="2"/>
    <s v="Regional Ceará"/>
    <s v="Capital Sul Ceará"/>
    <s v="Tecnico de campo"/>
    <x v="8"/>
    <s v="OP DG"/>
    <s v="ATIVIDADE NORMAL"/>
    <s v="GCL"/>
    <s v="02543218360"/>
    <s v="04/09/2019"/>
    <s v="FRANCISCO DE ASSIS FILHO"/>
    <s v="JEFFERSON OLIVEIRA DA SILVA"/>
    <s v="JONILSON FELIPE VIEIRA"/>
    <x v="1"/>
    <x v="32"/>
    <x v="9"/>
    <s v="OPERADOR"/>
    <x v="389"/>
    <x v="389"/>
    <x v="31"/>
    <x v="2"/>
    <x v="1"/>
    <x v="0"/>
    <x v="1"/>
  </r>
  <r>
    <x v="390"/>
    <n v="109500315"/>
    <s v="ATIVIDADE NORMAL"/>
    <s v="02/01/2019"/>
    <x v="0"/>
    <x v="30"/>
    <x v="6"/>
    <x v="13"/>
    <s v="Regional Pernambuco"/>
    <s v="Recife"/>
    <s v="Tecnico de campo"/>
    <x v="5"/>
    <s v="INSTALADOR TUP"/>
    <s v="ATIVIDADE NORMAL"/>
    <s v="OES"/>
    <s v="02548609405"/>
    <s v="04/09/2019"/>
    <s v="IVALDO BEZERRA NOVAIS"/>
    <s v="DECIO FABIANO LOPES FERREIRA"/>
    <s v="NIVALDO DE OLIVEIRA SOARES"/>
    <x v="0"/>
    <x v="47"/>
    <x v="6"/>
    <s v="INSTALADOR I"/>
    <x v="390"/>
    <x v="390"/>
    <x v="42"/>
    <x v="0"/>
    <x v="0"/>
    <x v="0"/>
    <x v="1"/>
  </r>
  <r>
    <x v="391"/>
    <n v="105000986"/>
    <s v="ATIVIDADE NORMAL"/>
    <s v="04/02/2019"/>
    <x v="2"/>
    <x v="20"/>
    <x v="5"/>
    <x v="16"/>
    <s v="Regional Pernambuco"/>
    <s v="João Pessoa"/>
    <s v="MultiSkill"/>
    <x v="4"/>
    <s v="TEC MULTIFUNCIONAL"/>
    <s v="ATIVIDADE NORMAL"/>
    <s v="CGE"/>
    <s v="02562808436"/>
    <s v="04/09/2019"/>
    <s v="JOSILENE MACENA DE OLIVEIRA"/>
    <s v="WENDELL FRANKLIN VIEIRA MAIA"/>
    <s v="WENDELL FRANKLIN VIEIRA MAIA"/>
    <x v="0"/>
    <x v="20"/>
    <x v="2"/>
    <s v="TECNICO MULTIFUNCIONAL"/>
    <x v="391"/>
    <x v="391"/>
    <x v="21"/>
    <x v="6"/>
    <x v="3"/>
    <x v="0"/>
    <x v="0"/>
  </r>
  <r>
    <x v="392"/>
    <n v="105303207"/>
    <s v="ATIVIDADE NORMAL"/>
    <s v="30/06/2019"/>
    <x v="2"/>
    <x v="34"/>
    <x v="10"/>
    <x v="12"/>
    <s v="Regional Pernambuco"/>
    <s v="João Pessoa"/>
    <s v="MultiSkill"/>
    <x v="4"/>
    <s v="TEC MULTIFUNCIONAL"/>
    <s v="ATIVIDADE NORMAL"/>
    <s v="JPA"/>
    <s v="06408088406"/>
    <s v="04/09/2019"/>
    <s v="RAFAEL FERNANDES MATIAS"/>
    <s v="WENDELL FRANKLIN VIEIRA MAIA"/>
    <s v="WENDELL FRANKLIN VIEIRA MAIA"/>
    <x v="0"/>
    <x v="49"/>
    <x v="2"/>
    <s v="TECNICO MULTIFUNCIONAL"/>
    <x v="392"/>
    <x v="392"/>
    <x v="44"/>
    <x v="6"/>
    <x v="3"/>
    <x v="0"/>
    <x v="0"/>
  </r>
  <r>
    <x v="393"/>
    <n v="101008003"/>
    <s v="ATIVIDADE NORMAL"/>
    <s v="06/03/2019"/>
    <x v="1"/>
    <x v="3"/>
    <x v="18"/>
    <x v="3"/>
    <s v="Regional Ceará"/>
    <s v="Capital Oeste Ceará"/>
    <s v="Tecnico de campo"/>
    <x v="0"/>
    <s v="TEC MULTIFUNCIONAL"/>
    <s v="ATIVIDADE NORMAL"/>
    <s v="CNO"/>
    <s v="06409948301"/>
    <s v="04/09/2019"/>
    <s v="NILO WEBER RAMOS RIBEIRO"/>
    <s v="ANTONIO ROBEVANIO PINHEIRO"/>
    <s v="JONILSON FELIPE VIEIRA"/>
    <x v="0"/>
    <x v="54"/>
    <x v="1"/>
    <s v="TECNICO MULTIFUNCIONAL"/>
    <x v="393"/>
    <x v="393"/>
    <x v="3"/>
    <x v="1"/>
    <x v="1"/>
    <x v="0"/>
    <x v="0"/>
  </r>
  <r>
    <x v="394"/>
    <n v="102101393"/>
    <s v="ATIVIDADE NORMAL"/>
    <s v="05/06/2019"/>
    <x v="3"/>
    <x v="23"/>
    <x v="2"/>
    <x v="18"/>
    <s v="Regional Pernambuco"/>
    <s v="Natal"/>
    <s v="Equipe SWAT"/>
    <x v="1"/>
    <s v="CABISTA I"/>
    <s v="ATIVIDADE NORMAL"/>
    <s v="RNS"/>
    <s v="06411426414"/>
    <s v="04/09/2019"/>
    <s v="SIDNEY MOURA FREIRE"/>
    <s v="REINILSON IGLESIAS JUNIOR"/>
    <s v="WENDELL FRANKLIN VIEIRA MAIA"/>
    <x v="0"/>
    <x v="23"/>
    <x v="10"/>
    <s v="CABISTA I"/>
    <x v="394"/>
    <x v="394"/>
    <x v="24"/>
    <x v="7"/>
    <x v="3"/>
    <x v="0"/>
    <x v="1"/>
  </r>
  <r>
    <x v="395"/>
    <n v="101003771"/>
    <s v="ATIVIDADE NORMAL"/>
    <s v="05/06/2019"/>
    <x v="1"/>
    <x v="32"/>
    <x v="6"/>
    <x v="2"/>
    <s v="Regional Ceará"/>
    <s v="Capital Sul Ceará"/>
    <s v="Equipe SWAT"/>
    <x v="5"/>
    <s v="INSTALADOR TUP"/>
    <s v="ATIVIDADE NORMAL"/>
    <s v="GCL"/>
    <s v="06434729324"/>
    <s v="04/09/2019"/>
    <s v="ANA CLAUDIA DE CASTRO DA SILVA"/>
    <s v="ALENCAR DE SOUZA SANTOS"/>
    <s v="JONILSON FELIPE VIEIRA"/>
    <x v="0"/>
    <x v="13"/>
    <x v="6"/>
    <s v="INSTALADOR I"/>
    <x v="395"/>
    <x v="395"/>
    <x v="14"/>
    <x v="4"/>
    <x v="1"/>
    <x v="0"/>
    <x v="1"/>
  </r>
  <r>
    <x v="396"/>
    <n v="102002917"/>
    <s v="ATIVIDADE NORMAL"/>
    <s v="06/05/2019"/>
    <x v="3"/>
    <x v="23"/>
    <x v="10"/>
    <x v="18"/>
    <s v="Regional Pernambuco"/>
    <s v="Natal"/>
    <s v="Tecnico de campo"/>
    <x v="4"/>
    <s v="TEC MULTIFUNCIONAL"/>
    <s v="ATIVIDADE NORMAL"/>
    <s v="RNS"/>
    <s v="06442630404"/>
    <s v="04/09/2019"/>
    <s v="RICELE DA SILVA NASCIMENTO"/>
    <s v="REINILSON IGLESIAS JUNIOR"/>
    <s v="WENDELL FRANKLIN VIEIRA MAIA"/>
    <x v="0"/>
    <x v="29"/>
    <x v="2"/>
    <s v="TECNICO MULTIFUNCIONAL"/>
    <x v="396"/>
    <x v="396"/>
    <x v="51"/>
    <x v="7"/>
    <x v="3"/>
    <x v="0"/>
    <x v="0"/>
  </r>
  <r>
    <x v="397"/>
    <n v="102101634"/>
    <s v="FERIAS NORMAIS"/>
    <s v="02/09/2019"/>
    <x v="3"/>
    <x v="29"/>
    <x v="10"/>
    <x v="19"/>
    <s v="Regional Pernambuco"/>
    <s v="Natal"/>
    <s v="MultiSkill"/>
    <x v="4"/>
    <s v="TEC MULTIFUNCIONAL"/>
    <s v="FERIAS NORMAIS"/>
    <s v="NTN"/>
    <s v="06465876418"/>
    <s v="04/09/2019"/>
    <s v="FABIO BATISTA DA SILVA"/>
    <s v="REINILSON IGLESIAS JUNIOR"/>
    <s v="WENDELL FRANKLIN VIEIRA MAIA"/>
    <x v="1"/>
    <x v="30"/>
    <x v="2"/>
    <s v="TECNICO MULTIFUNCIONAL"/>
    <x v="397"/>
    <x v="397"/>
    <x v="29"/>
    <x v="7"/>
    <x v="3"/>
    <x v="1"/>
    <x v="0"/>
  </r>
  <r>
    <x v="398"/>
    <n v="105000986"/>
    <s v="ATIVIDADE NORMAL"/>
    <s v="21/01/2019"/>
    <x v="2"/>
    <x v="20"/>
    <x v="14"/>
    <x v="16"/>
    <s v="Regional Pernambuco"/>
    <s v="João Pessoa"/>
    <s v="MultiSkill"/>
    <x v="4"/>
    <s v="TEC MULTIFUNCIONAL"/>
    <s v="ATIVIDADE NORMAL"/>
    <s v="CGE"/>
    <s v="02571729470"/>
    <s v="04/09/2019"/>
    <s v="JOSILENE MACENA DE OLIVEIRA"/>
    <s v="WENDELL FRANKLIN VIEIRA MAIA"/>
    <s v="WENDELL FRANKLIN VIEIRA MAIA"/>
    <x v="0"/>
    <x v="20"/>
    <x v="2"/>
    <s v="TECNICO MULTIFUNCIONAL"/>
    <x v="398"/>
    <x v="398"/>
    <x v="21"/>
    <x v="6"/>
    <x v="3"/>
    <x v="0"/>
    <x v="0"/>
  </r>
  <r>
    <x v="399"/>
    <n v="109501286"/>
    <s v="ATIVIDADE NORMAL"/>
    <s v="04/04/2019"/>
    <x v="0"/>
    <x v="30"/>
    <x v="3"/>
    <x v="13"/>
    <s v="Regional Pernambuco"/>
    <s v="Recife"/>
    <s v="Tecnico de campo"/>
    <x v="2"/>
    <s v="TEC ADSL I"/>
    <s v="ATIVIDADE NORMAL"/>
    <s v="OES"/>
    <s v="02609136420"/>
    <s v="04/09/2019"/>
    <s v="JOSE HENRIQUE NEGRAO DE MEDEIROS"/>
    <s v="DECIO FABIANO LOPES FERREIRA"/>
    <s v="NIVALDO DE OLIVEIRA SOARES"/>
    <x v="0"/>
    <x v="37"/>
    <x v="4"/>
    <s v="TECNICO ADSL"/>
    <x v="399"/>
    <x v="399"/>
    <x v="34"/>
    <x v="0"/>
    <x v="0"/>
    <x v="0"/>
    <x v="0"/>
  </r>
  <r>
    <x v="400"/>
    <n v="109000340"/>
    <s v="ATIVIDADE NORMAL"/>
    <s v="16/09/2019"/>
    <x v="0"/>
    <x v="21"/>
    <x v="2"/>
    <x v="17"/>
    <s v="Regional Pernambuco"/>
    <s v="Interior"/>
    <s v="MultiSkill"/>
    <x v="1"/>
    <s v="TEC MULTIFUNCIONAL"/>
    <s v="ATIVIDADE NORMAL"/>
    <s v="GUS"/>
    <s v="02609197489"/>
    <s v="04/09/2019"/>
    <s v="AILTON JOSE DOS SANTOS"/>
    <s v="DECIO FABIANO LOPES FERREIRA"/>
    <s v="NIVALDO DE OLIVEIRA SOARES"/>
    <x v="0"/>
    <x v="21"/>
    <x v="2"/>
    <s v="TECNICO MULTIFUNCIONAL"/>
    <x v="400"/>
    <x v="400"/>
    <x v="22"/>
    <x v="0"/>
    <x v="0"/>
    <x v="0"/>
    <x v="1"/>
  </r>
  <r>
    <x v="401"/>
    <n v="109506174"/>
    <s v="ATIVIDADE NORMAL"/>
    <s v="07/06/2019"/>
    <x v="0"/>
    <x v="53"/>
    <x v="14"/>
    <x v="23"/>
    <s v="Regional Pernambuco"/>
    <s v="Interior"/>
    <s v="MultiSkill"/>
    <x v="4"/>
    <s v="TEC MULTIFUNCIONAL"/>
    <s v="ATIVIDADE NORMAL"/>
    <s v="CBO"/>
    <s v="02615898493"/>
    <s v="04/09/2019"/>
    <s v="ALYSSON HENRIQUE FERREIRA DE LUCENA"/>
    <s v="DECIO FABIANO LOPES FERREIRA"/>
    <s v="NIVALDO DE OLIVEIRA SOARES"/>
    <x v="0"/>
    <x v="21"/>
    <x v="2"/>
    <s v="TECNICO MULTIFUNCIONAL"/>
    <x v="401"/>
    <x v="401"/>
    <x v="55"/>
    <x v="0"/>
    <x v="0"/>
    <x v="0"/>
    <x v="0"/>
  </r>
  <r>
    <x v="402"/>
    <n v="109000943"/>
    <s v="ATIVIDADE NORMAL"/>
    <s v="21/03/2019"/>
    <x v="0"/>
    <x v="60"/>
    <x v="10"/>
    <x v="14"/>
    <s v="Regional Pernambuco"/>
    <s v="Recife"/>
    <s v="MultiSkill"/>
    <x v="4"/>
    <s v="TEC MULTIFUNCIONAL"/>
    <s v="ATIVIDADE NORMAL"/>
    <s v="NOR"/>
    <s v="02709991403"/>
    <s v="04/09/2019"/>
    <s v="MAURO BRAGA RANGEL"/>
    <s v="BRUNO VINICIUS DE ALBERTINS ALVES"/>
    <s v="NIVALDO DE OLIVEIRA SOARES"/>
    <x v="0"/>
    <x v="40"/>
    <x v="2"/>
    <s v="TECNICO MULTIFUNCIONAL"/>
    <x v="402"/>
    <x v="402"/>
    <x v="56"/>
    <x v="9"/>
    <x v="0"/>
    <x v="0"/>
    <x v="0"/>
  </r>
  <r>
    <x v="403"/>
    <n v="109506174"/>
    <s v="ATIVIDADE NORMAL"/>
    <s v="01/05/2019"/>
    <x v="0"/>
    <x v="50"/>
    <x v="15"/>
    <x v="17"/>
    <s v="Regional Pernambuco"/>
    <s v="Interior"/>
    <s v="Tecnico de campo"/>
    <x v="9"/>
    <s v="INSTALADOR DTH"/>
    <s v="ATIVIDADE NORMAL"/>
    <s v="GUS"/>
    <s v="02713959403"/>
    <s v="04/09/2019"/>
    <s v="ALYSSON HENRIQUE FERREIRA DE LUCENA"/>
    <s v="DECIO FABIANO LOPES FERREIRA"/>
    <s v="NIVALDO DE OLIVEIRA SOARES"/>
    <x v="0"/>
    <x v="21"/>
    <x v="11"/>
    <s v="INSTALADOR DTH"/>
    <x v="403"/>
    <x v="403"/>
    <x v="55"/>
    <x v="0"/>
    <x v="0"/>
    <x v="0"/>
    <x v="0"/>
  </r>
  <r>
    <x v="404"/>
    <n v="101005380"/>
    <s v="ATIVIDADE NORMAL"/>
    <s v="19/12/2018"/>
    <x v="1"/>
    <x v="19"/>
    <x v="6"/>
    <x v="15"/>
    <s v="Regional Ceará"/>
    <s v="Sobral"/>
    <s v="Tecnico de campo"/>
    <x v="5"/>
    <s v="INSTALADOR TUP"/>
    <s v="ATIVIDADE NORMAL"/>
    <s v="SOL"/>
    <s v="02735522369"/>
    <s v="04/09/2019"/>
    <s v="MARCILIO RIBEIRO DOS SANTOS"/>
    <s v="JEFFERSON OLIVEIRA DA SILVA"/>
    <s v="JONILSON FELIPE VIEIRA"/>
    <x v="1"/>
    <x v="19"/>
    <x v="6"/>
    <s v="INSTALADOR I"/>
    <x v="404"/>
    <x v="404"/>
    <x v="20"/>
    <x v="2"/>
    <x v="1"/>
    <x v="0"/>
    <x v="1"/>
  </r>
  <r>
    <x v="405"/>
    <n v="101010210"/>
    <s v="ATIVIDADE NORMAL"/>
    <s v="19/12/2018"/>
    <x v="1"/>
    <x v="4"/>
    <x v="0"/>
    <x v="4"/>
    <s v="Regional Ceará"/>
    <s v="Capital Oeste Ceará"/>
    <s v="Tecnico de campo"/>
    <x v="0"/>
    <s v="TEC MULTIFUNCIONAL"/>
    <s v="ATIVIDADE NORMAL"/>
    <s v="COO"/>
    <s v="02753092400"/>
    <s v="04/09/2019"/>
    <s v="ANTONIO FABIO DOS SANTOS LIMA"/>
    <s v="ANTONIO ROBEVANIO PINHEIRO"/>
    <s v="JONILSON FELIPE VIEIRA"/>
    <x v="0"/>
    <x v="1"/>
    <x v="1"/>
    <s v="TECNICO MULTIFUNCIONAL"/>
    <x v="405"/>
    <x v="405"/>
    <x v="1"/>
    <x v="1"/>
    <x v="1"/>
    <x v="0"/>
    <x v="0"/>
  </r>
  <r>
    <x v="406"/>
    <n v="102101220"/>
    <s v="ATIVIDADE NORMAL"/>
    <s v="31/07/2019"/>
    <x v="3"/>
    <x v="22"/>
    <x v="10"/>
    <x v="18"/>
    <s v="Regional Pernambuco"/>
    <s v="Natal"/>
    <s v="MultiSkill"/>
    <x v="4"/>
    <s v="TEC MULTIFUNCIONAL"/>
    <s v="ATIVIDADE NORMAL"/>
    <s v="RNS"/>
    <s v="02755886374"/>
    <s v="04/09/2019"/>
    <s v="JOSUE MOURA DA SILVA"/>
    <s v="REINILSON IGLESIAS JUNIOR"/>
    <s v="WENDELL FRANKLIN VIEIRA MAIA"/>
    <x v="0"/>
    <x v="76"/>
    <x v="2"/>
    <s v="TECNICO MULTIFUNCIONAL"/>
    <x v="406"/>
    <x v="406"/>
    <x v="23"/>
    <x v="7"/>
    <x v="3"/>
    <x v="0"/>
    <x v="0"/>
  </r>
  <r>
    <x v="407"/>
    <n v="109504012"/>
    <s v="ATIVIDADE NORMAL"/>
    <s v="03/04/2019"/>
    <x v="2"/>
    <x v="54"/>
    <x v="14"/>
    <x v="12"/>
    <s v="Regional Pernambuco"/>
    <s v="João Pessoa"/>
    <s v="MultiSkill"/>
    <x v="4"/>
    <s v="TEC MULTIFUNCIONAL"/>
    <s v="ATIVIDADE NORMAL"/>
    <s v="JPA"/>
    <s v="02770511424"/>
    <s v="04/09/2019"/>
    <s v="FRANCISCO JOSE DIAS DA SILVA"/>
    <s v="WENDELL FRANKLIN VIEIRA MAIA"/>
    <s v="WENDELL FRANKLIN VIEIRA MAIA"/>
    <x v="0"/>
    <x v="36"/>
    <x v="2"/>
    <s v="TECNICO MULTIFUNCIONAL"/>
    <x v="407"/>
    <x v="407"/>
    <x v="25"/>
    <x v="6"/>
    <x v="3"/>
    <x v="0"/>
    <x v="0"/>
  </r>
  <r>
    <x v="408"/>
    <n v="105303134"/>
    <s v="ATIVIDADE NORMAL"/>
    <s v="29/12/2018"/>
    <x v="2"/>
    <x v="42"/>
    <x v="2"/>
    <x v="12"/>
    <s v="Regional Pernambuco"/>
    <s v="João Pessoa"/>
    <s v="Tecnico de campo"/>
    <x v="1"/>
    <s v="CABISTA III"/>
    <s v="ATIVIDADE NORMAL"/>
    <s v="JPA"/>
    <s v="02784067424"/>
    <s v="04/09/2019"/>
    <s v="GLAUBER JOSE GOMES LEITAO"/>
    <s v="WENDELL FRANKLIN VIEIRA MAIA"/>
    <s v="WENDELL FRANKLIN VIEIRA MAIA"/>
    <x v="0"/>
    <x v="43"/>
    <x v="7"/>
    <s v="CABISTA III"/>
    <x v="408"/>
    <x v="408"/>
    <x v="39"/>
    <x v="6"/>
    <x v="3"/>
    <x v="0"/>
    <x v="1"/>
  </r>
  <r>
    <x v="409"/>
    <n v="109000340"/>
    <s v="ATIVIDADE NORMAL"/>
    <s v="08/05/2018"/>
    <x v="0"/>
    <x v="21"/>
    <x v="12"/>
    <x v="17"/>
    <s v="Regional Pernambuco"/>
    <s v="Interior"/>
    <s v="Equipe SWAT"/>
    <x v="6"/>
    <s v="CABISTA I"/>
    <s v="ATIVIDADE NORMAL"/>
    <s v="GUS"/>
    <s v="02814148400"/>
    <s v="04/09/2019"/>
    <s v="AILTON JOSE DOS SANTOS"/>
    <s v="DECIO FABIANO LOPES FERREIRA"/>
    <s v="NIVALDO DE OLIVEIRA SOARES"/>
    <x v="0"/>
    <x v="21"/>
    <x v="7"/>
    <s v="CABISTA I"/>
    <x v="409"/>
    <x v="409"/>
    <x v="22"/>
    <x v="0"/>
    <x v="0"/>
    <x v="0"/>
    <x v="1"/>
  </r>
  <r>
    <x v="410"/>
    <n v="102101634"/>
    <s v="ATIVIDADE NORMAL"/>
    <s v="06/02/2019"/>
    <x v="3"/>
    <x v="29"/>
    <x v="10"/>
    <x v="19"/>
    <s v="Regional Pernambuco"/>
    <s v="Natal"/>
    <s v="MultiSkill"/>
    <x v="4"/>
    <s v="TEC MULTIFUNCIONAL"/>
    <s v="ATIVIDADE NORMAL"/>
    <s v="NTN"/>
    <s v="06529317406"/>
    <s v="04/09/2019"/>
    <s v="FABIO BATISTA DA SILVA"/>
    <s v="REINILSON IGLESIAS JUNIOR"/>
    <s v="WENDELL FRANKLIN VIEIRA MAIA"/>
    <x v="0"/>
    <x v="30"/>
    <x v="2"/>
    <s v="TECNICO MULTIFUNCIONAL"/>
    <x v="410"/>
    <x v="410"/>
    <x v="29"/>
    <x v="7"/>
    <x v="3"/>
    <x v="0"/>
    <x v="0"/>
  </r>
  <r>
    <x v="411"/>
    <n v="101010062"/>
    <s v="ATIVIDADE NORMAL"/>
    <s v="20/02/2019"/>
    <x v="1"/>
    <x v="26"/>
    <x v="6"/>
    <x v="15"/>
    <s v="Regional Ceará"/>
    <s v="Sobral"/>
    <s v="Tecnico de campo"/>
    <x v="5"/>
    <s v="INSTALADOR"/>
    <s v="ATIVIDADE NORMAL"/>
    <s v="SOL"/>
    <s v="06621201320"/>
    <s v="04/09/2019"/>
    <s v="ANTONIO ERINEUDES CAVALCANTE FEIJAO"/>
    <s v="JEFFERSON OLIVEIRA DA SILVA"/>
    <s v="JONILSON FELIPE VIEIRA"/>
    <x v="0"/>
    <x v="26"/>
    <x v="6"/>
    <s v="INSTALADOR I"/>
    <x v="411"/>
    <x v="411"/>
    <x v="26"/>
    <x v="2"/>
    <x v="1"/>
    <x v="0"/>
    <x v="1"/>
  </r>
  <r>
    <x v="412"/>
    <n v="101004033"/>
    <s v="FERIAS NORMAIS"/>
    <s v="19/08/2019"/>
    <x v="1"/>
    <x v="58"/>
    <x v="2"/>
    <x v="4"/>
    <s v="Regional Ceará"/>
    <s v="Capital Oeste Ceará"/>
    <s v="Equipe SWAT"/>
    <x v="1"/>
    <s v="CABISTA I"/>
    <s v="FERIAS NORMAIS"/>
    <s v="COO"/>
    <s v="06670591306"/>
    <s v="04/09/2019"/>
    <s v="HENRIQUE OLIVEIRA DO NASCIMENTO"/>
    <s v="ALENCAR DE SOUZA SANTOS"/>
    <s v="JONILSON FELIPE VIEIRA"/>
    <x v="1"/>
    <x v="63"/>
    <x v="10"/>
    <s v="CABISTA I"/>
    <x v="412"/>
    <x v="412"/>
    <x v="52"/>
    <x v="4"/>
    <x v="1"/>
    <x v="1"/>
    <x v="1"/>
  </r>
  <r>
    <x v="413"/>
    <n v="102100390"/>
    <s v="ATIVIDADE NORMAL"/>
    <s v="06/05/2019"/>
    <x v="3"/>
    <x v="45"/>
    <x v="20"/>
    <x v="21"/>
    <s v="Regional Pernambuco"/>
    <s v="Natal"/>
    <s v="Tecnico de campo"/>
    <x v="7"/>
    <s v="TEC MULTIFUNCIONAL"/>
    <s v="ATIVIDADE NORMAL"/>
    <s v="NTS"/>
    <s v="06712873460"/>
    <s v="04/09/2019"/>
    <s v="ANDRIER CARLOS SOARES FERREIRA"/>
    <s v="REINILSON IGLESIAS JUNIOR"/>
    <s v="WENDELL FRANKLIN VIEIRA MAIA"/>
    <x v="0"/>
    <x v="48"/>
    <x v="2"/>
    <s v="TECNICO MULTIFUNCIONAL"/>
    <x v="413"/>
    <x v="413"/>
    <x v="43"/>
    <x v="7"/>
    <x v="3"/>
    <x v="0"/>
    <x v="0"/>
  </r>
  <r>
    <x v="414"/>
    <n v="109000926"/>
    <s v="ATIVIDADE NORMAL"/>
    <s v="25/04/2019"/>
    <x v="0"/>
    <x v="37"/>
    <x v="10"/>
    <x v="14"/>
    <s v="Regional Pernambuco"/>
    <s v="Recife"/>
    <s v="MultiSkill"/>
    <x v="4"/>
    <s v="TEC MULTIFUNCIONAL"/>
    <s v="ATIVIDADE NORMAL"/>
    <s v="NOR"/>
    <s v="06738376456"/>
    <s v="04/09/2019"/>
    <s v="ANTONIO MAGNO DE CASTRO LEAO"/>
    <s v="BRUNO VINICIUS DE ALBERTINS ALVES"/>
    <s v="NIVALDO DE OLIVEIRA SOARES"/>
    <x v="0"/>
    <x v="45"/>
    <x v="7"/>
    <s v="TECNICO MULTIFUNCIONAL"/>
    <x v="414"/>
    <x v="414"/>
    <x v="41"/>
    <x v="9"/>
    <x v="0"/>
    <x v="0"/>
    <x v="0"/>
  </r>
  <r>
    <x v="415"/>
    <n v="109505858"/>
    <s v="ATIVIDADE NORMAL"/>
    <s v="14/11/2018"/>
    <x v="0"/>
    <x v="14"/>
    <x v="4"/>
    <x v="11"/>
    <s v="Regional Pernambuco"/>
    <s v="Interior"/>
    <s v="MultiSkill"/>
    <x v="3"/>
    <s v="TEC MULTIFUNCIONAL"/>
    <s v="ATIVIDADE NORMAL"/>
    <s v="ACV"/>
    <s v="06803063402"/>
    <s v="04/09/2019"/>
    <s v="THIAGO DE LIMA PIRES RODRIGUES"/>
    <s v="DECIO FABIANO LOPES FERREIRA"/>
    <s v="NIVALDO DE OLIVEIRA SOARES"/>
    <x v="0"/>
    <x v="11"/>
    <x v="2"/>
    <s v="TECNICO MULTIFUNCIONAL"/>
    <x v="415"/>
    <x v="415"/>
    <x v="12"/>
    <x v="0"/>
    <x v="0"/>
    <x v="0"/>
    <x v="0"/>
  </r>
  <r>
    <x v="416"/>
    <n v="109000017"/>
    <s v="ATIVIDADE NORMAL"/>
    <s v="13/02/2019"/>
    <x v="0"/>
    <x v="56"/>
    <x v="10"/>
    <x v="10"/>
    <s v="Regional Pernambuco"/>
    <s v="Recife"/>
    <s v="MultiSkill"/>
    <x v="4"/>
    <s v="TEC MULTIFUNCIONAL"/>
    <s v="ATIVIDADE NORMAL"/>
    <s v="PES"/>
    <s v="02838825496"/>
    <s v="04/09/2019"/>
    <s v="AMAURY ASSIS DE LIMA"/>
    <s v="DECIO FABIANO LOPES FERREIRA"/>
    <s v="NIVALDO DE OLIVEIRA SOARES"/>
    <x v="0"/>
    <x v="70"/>
    <x v="2"/>
    <s v="TECNICO MULTIFUNCIONAL"/>
    <x v="416"/>
    <x v="416"/>
    <x v="15"/>
    <x v="0"/>
    <x v="0"/>
    <x v="0"/>
    <x v="0"/>
  </r>
  <r>
    <x v="417"/>
    <n v="101006811"/>
    <s v="ATIVIDADE NORMAL"/>
    <s v="26/11/2018"/>
    <x v="1"/>
    <x v="43"/>
    <x v="10"/>
    <x v="8"/>
    <s v="Regional Ceará"/>
    <s v="Quixadá"/>
    <s v="MultiSkill"/>
    <x v="4"/>
    <s v="TEC MULTIFUNCIONAL"/>
    <s v="ATIVIDADE NORMAL"/>
    <s v="QXA"/>
    <s v="02868820352"/>
    <s v="04/09/2019"/>
    <s v="CARLOS FERNANDES GUIMARAES"/>
    <s v="ALENCAR DE SOUZA SANTOS"/>
    <s v="JONILSON FELIPE VIEIRA"/>
    <x v="0"/>
    <x v="44"/>
    <x v="2"/>
    <s v="TECNICO MULTIFUNCIONAL"/>
    <x v="417"/>
    <x v="417"/>
    <x v="40"/>
    <x v="4"/>
    <x v="1"/>
    <x v="0"/>
    <x v="0"/>
  </r>
  <r>
    <x v="418"/>
    <n v="109505858"/>
    <s v="ATIVIDADE NORMAL"/>
    <s v="03/07/2019"/>
    <x v="0"/>
    <x v="6"/>
    <x v="12"/>
    <x v="6"/>
    <s v="Regional Pernambuco"/>
    <s v="Interior"/>
    <s v="Equipe SWAT"/>
    <x v="6"/>
    <s v="CABISTA I"/>
    <s v="ATIVIDADE NORMAL"/>
    <s v="PTA"/>
    <s v="02869396490"/>
    <s v="04/09/2019"/>
    <s v="THIAGO DE LIMA PIRES RODRIGUES"/>
    <s v="DECIO FABIANO LOPES FERREIRA"/>
    <s v="NIVALDO DE OLIVEIRA SOARES"/>
    <x v="0"/>
    <x v="11"/>
    <x v="7"/>
    <s v="CABISTA I"/>
    <x v="418"/>
    <x v="418"/>
    <x v="12"/>
    <x v="0"/>
    <x v="0"/>
    <x v="0"/>
    <x v="1"/>
  </r>
  <r>
    <x v="419"/>
    <n v="101008003"/>
    <s v="ATIVIDADE NORMAL"/>
    <s v="25/06/2019"/>
    <x v="1"/>
    <x v="4"/>
    <x v="0"/>
    <x v="4"/>
    <s v="Regional Ceará"/>
    <s v="Capital Oeste Ceará"/>
    <s v="Tecnico de campo"/>
    <x v="0"/>
    <s v="TEC MULTIFUNCIONAL"/>
    <s v="ATIVIDADE NORMAL"/>
    <s v="COO"/>
    <s v="02878573366"/>
    <s v="04/09/2019"/>
    <s v="NILO WEBER RAMOS RIBEIRO"/>
    <s v="ANTONIO ROBEVANIO PINHEIRO"/>
    <s v="JONILSON FELIPE VIEIRA"/>
    <x v="0"/>
    <x v="3"/>
    <x v="1"/>
    <s v="TECNICO MULTIFUNCIONAL"/>
    <x v="419"/>
    <x v="419"/>
    <x v="3"/>
    <x v="1"/>
    <x v="1"/>
    <x v="0"/>
    <x v="0"/>
  </r>
  <r>
    <x v="420"/>
    <n v="101010210"/>
    <s v="ATIVIDADE NORMAL"/>
    <s v="18/10/2018"/>
    <x v="1"/>
    <x v="4"/>
    <x v="0"/>
    <x v="4"/>
    <s v="Regional Ceará"/>
    <s v="Capital Oeste Ceará"/>
    <s v="Tecnico de campo"/>
    <x v="0"/>
    <s v="TEC MULTIFUNCIONAL"/>
    <s v="ATIVIDADE NORMAL"/>
    <s v="COO"/>
    <s v="02880284309"/>
    <s v="04/09/2019"/>
    <s v="ANTONIO FABIO DOS SANTOS LIMA"/>
    <s v="ANTONIO ROBEVANIO PINHEIRO"/>
    <s v="JONILSON FELIPE VIEIRA"/>
    <x v="0"/>
    <x v="61"/>
    <x v="1"/>
    <s v="TECNICO MULTIFUNCIONAL"/>
    <x v="420"/>
    <x v="420"/>
    <x v="1"/>
    <x v="1"/>
    <x v="1"/>
    <x v="0"/>
    <x v="0"/>
  </r>
  <r>
    <x v="421"/>
    <n v="109506174"/>
    <s v="ATIVIDADE NORMAL"/>
    <s v="21/05/2019"/>
    <x v="0"/>
    <x v="53"/>
    <x v="14"/>
    <x v="23"/>
    <s v="Regional Pernambuco"/>
    <s v="Interior"/>
    <s v="MultiSkill"/>
    <x v="4"/>
    <s v="TEC MULTIFUNCIONAL"/>
    <s v="ATIVIDADE NORMAL"/>
    <s v="CBO"/>
    <s v="02884701419"/>
    <s v="04/09/2019"/>
    <s v="ALYSSON HENRIQUE FERREIRA DE LUCENA"/>
    <s v="DECIO FABIANO LOPES FERREIRA"/>
    <s v="NIVALDO DE OLIVEIRA SOARES"/>
    <x v="0"/>
    <x v="21"/>
    <x v="2"/>
    <s v="TECNICO MULTIFUNCIONAL"/>
    <x v="421"/>
    <x v="421"/>
    <x v="55"/>
    <x v="0"/>
    <x v="0"/>
    <x v="0"/>
    <x v="0"/>
  </r>
  <r>
    <x v="422"/>
    <n v="109000340"/>
    <s v="ATIVIDADE NORMAL"/>
    <s v="10/04/2019"/>
    <x v="0"/>
    <x v="38"/>
    <x v="4"/>
    <x v="22"/>
    <s v="Regional Pernambuco"/>
    <s v="Interior"/>
    <s v="MultiSkill"/>
    <x v="3"/>
    <s v="TEC MULTIFUNCIONAL"/>
    <s v="ATIVIDADE NORMAL"/>
    <s v="CAA"/>
    <s v="02911161408"/>
    <s v="04/09/2019"/>
    <s v="AILTON JOSE DOS SANTOS"/>
    <s v="DECIO FABIANO LOPES FERREIRA"/>
    <s v="NIVALDO DE OLIVEIRA SOARES"/>
    <x v="0"/>
    <x v="41"/>
    <x v="2"/>
    <s v="TECNICO MULTIFUNCIONAL"/>
    <x v="422"/>
    <x v="422"/>
    <x v="22"/>
    <x v="0"/>
    <x v="0"/>
    <x v="0"/>
    <x v="0"/>
  </r>
  <r>
    <x v="423"/>
    <n v="109505819"/>
    <s v="FERIAS NORMAIS"/>
    <s v="19/08/2019"/>
    <x v="0"/>
    <x v="39"/>
    <x v="10"/>
    <x v="13"/>
    <s v="Regional Pernambuco"/>
    <s v="Recife"/>
    <s v="MultiSkill"/>
    <x v="4"/>
    <s v="TEC MULTIFUNCIONAL"/>
    <s v="FERIAS NORMAIS"/>
    <s v="OES"/>
    <s v="02911687442"/>
    <s v="04/09/2019"/>
    <s v="ALESSANDRO DIONISIO DE FRANCA"/>
    <s v="DECIO FABIANO LOPES FERREIRA"/>
    <s v="NIVALDO DE OLIVEIRA SOARES"/>
    <x v="1"/>
    <x v="16"/>
    <x v="2"/>
    <s v="TECNICO MULTIFUNCIONAL"/>
    <x v="423"/>
    <x v="423"/>
    <x v="37"/>
    <x v="0"/>
    <x v="0"/>
    <x v="1"/>
    <x v="0"/>
  </r>
  <r>
    <x v="424"/>
    <n v="102101642"/>
    <s v="ATIVIDADE NORMAL"/>
    <s v="03/04/2019"/>
    <x v="3"/>
    <x v="28"/>
    <x v="10"/>
    <x v="21"/>
    <s v="Regional Pernambuco"/>
    <s v="Natal"/>
    <s v="MultiSkill"/>
    <x v="4"/>
    <s v="TEC MULTIFUNCIONAL"/>
    <s v="ATIVIDADE NORMAL"/>
    <s v="NTS"/>
    <s v="02923350405"/>
    <s v="04/09/2019"/>
    <s v="WILSON CARLOS SILVEIRA LEIROS"/>
    <s v="REINILSON IGLESIAS JUNIOR"/>
    <s v="WENDELL FRANKLIN VIEIRA MAIA"/>
    <x v="0"/>
    <x v="51"/>
    <x v="2"/>
    <s v="TECNICO MULTIFUNCIONAL"/>
    <x v="424"/>
    <x v="424"/>
    <x v="28"/>
    <x v="7"/>
    <x v="3"/>
    <x v="0"/>
    <x v="0"/>
  </r>
  <r>
    <x v="425"/>
    <n v="105000985"/>
    <s v="FERIAS NORMAIS"/>
    <s v="02/09/2019"/>
    <x v="2"/>
    <x v="61"/>
    <x v="2"/>
    <x v="24"/>
    <s v="Regional Pernambuco"/>
    <s v="João Pessoa"/>
    <s v="Tecnico de campo"/>
    <x v="1"/>
    <s v="CABISTA III"/>
    <s v="FERIAS NORMAIS"/>
    <s v="POS"/>
    <s v="02969709481"/>
    <s v="04/09/2019"/>
    <s v="STANLEY MEDEIROS WANDERLEY"/>
    <s v="WENDELL FRANKLIN VIEIRA MAIA"/>
    <s v="WENDELL FRANKLIN VIEIRA MAIA"/>
    <x v="1"/>
    <x v="67"/>
    <x v="7"/>
    <s v="CABISTA III"/>
    <x v="425"/>
    <x v="425"/>
    <x v="58"/>
    <x v="6"/>
    <x v="3"/>
    <x v="1"/>
    <x v="1"/>
  </r>
  <r>
    <x v="426"/>
    <n v="109505858"/>
    <s v="ATIVIDADE NORMAL"/>
    <s v="06/02/2019"/>
    <x v="0"/>
    <x v="14"/>
    <x v="4"/>
    <x v="11"/>
    <s v="Regional Pernambuco"/>
    <s v="Interior"/>
    <s v="MultiSkill"/>
    <x v="3"/>
    <s v="TEC MULTIFUNCIONAL"/>
    <s v="ATIVIDADE NORMAL"/>
    <s v="ACV"/>
    <s v="02981583450"/>
    <s v="04/09/2019"/>
    <s v="THIAGO DE LIMA PIRES RODRIGUES"/>
    <s v="DECIO FABIANO LOPES FERREIRA"/>
    <s v="NIVALDO DE OLIVEIRA SOARES"/>
    <x v="0"/>
    <x v="11"/>
    <x v="2"/>
    <s v="TECNICO MULTIFUNCIONAL"/>
    <x v="426"/>
    <x v="426"/>
    <x v="12"/>
    <x v="0"/>
    <x v="0"/>
    <x v="0"/>
    <x v="0"/>
  </r>
  <r>
    <x v="427"/>
    <n v="102101634"/>
    <s v="FERIAS NORMAIS"/>
    <s v="19/08/2019"/>
    <x v="3"/>
    <x v="62"/>
    <x v="19"/>
    <x v="19"/>
    <s v="Regional Pernambuco"/>
    <s v="Natal"/>
    <s v="Tecnico de campo"/>
    <x v="8"/>
    <s v="INSTALADOR DTH"/>
    <s v="FERIAS NORMAIS"/>
    <s v="NTN"/>
    <s v="02985749425"/>
    <s v="04/09/2019"/>
    <s v="FABIO BATISTA DA SILVA"/>
    <s v="REINILSON IGLESIAS JUNIOR"/>
    <s v="WENDELL FRANKLIN VIEIRA MAIA"/>
    <x v="1"/>
    <x v="30"/>
    <x v="11"/>
    <s v="INSTALADOR DTH"/>
    <x v="427"/>
    <x v="427"/>
    <x v="29"/>
    <x v="7"/>
    <x v="3"/>
    <x v="1"/>
    <x v="1"/>
  </r>
  <r>
    <x v="428"/>
    <n v="109504369"/>
    <s v="ATIVIDADE NORMAL"/>
    <s v="17/07/2019"/>
    <x v="0"/>
    <x v="38"/>
    <x v="2"/>
    <x v="22"/>
    <s v="Regional Pernambuco"/>
    <s v="Interior"/>
    <s v="Tecnico de campo"/>
    <x v="1"/>
    <s v="CABISTA I"/>
    <s v="ATIVIDADE NORMAL"/>
    <s v="CAA"/>
    <s v="02996298489"/>
    <s v="04/09/2019"/>
    <s v="JOSE HAILTON ATAIDE"/>
    <s v="MARCOS DE OLIVEIRA STEHLING"/>
    <s v="NIVALDO DE OLIVEIRA SOARES"/>
    <x v="0"/>
    <x v="55"/>
    <x v="3"/>
    <s v="CABISTA I"/>
    <x v="428"/>
    <x v="428"/>
    <x v="46"/>
    <x v="3"/>
    <x v="0"/>
    <x v="0"/>
    <x v="1"/>
  </r>
  <r>
    <x v="429"/>
    <n v="109505049"/>
    <s v="ATIVIDADE NORMAL"/>
    <s v="31/07/2019"/>
    <x v="0"/>
    <x v="52"/>
    <x v="0"/>
    <x v="7"/>
    <s v="Regional Pernambuco"/>
    <s v="Recife"/>
    <s v="MultiSkill"/>
    <x v="0"/>
    <s v="TEC MULTIFUNCIONAL"/>
    <s v="ATIVIDADE NORMAL"/>
    <s v="LES"/>
    <s v="03006367413"/>
    <s v="04/09/2019"/>
    <s v="RAMSES DE ANDRADE MACHADO RODRIGUES LAVRA"/>
    <s v="BRUNO VINICIUS DE ALBERTINS ALVES"/>
    <s v="NIVALDO DE OLIVEIRA SOARES"/>
    <x v="0"/>
    <x v="57"/>
    <x v="1"/>
    <s v="TECNICO MULTIFUNCIONAL"/>
    <x v="429"/>
    <x v="429"/>
    <x v="48"/>
    <x v="9"/>
    <x v="0"/>
    <x v="0"/>
    <x v="0"/>
  </r>
  <r>
    <x v="430"/>
    <n v="101008003"/>
    <s v="ATIVIDADE NORMAL"/>
    <s v="05/06/2019"/>
    <x v="1"/>
    <x v="3"/>
    <x v="18"/>
    <x v="3"/>
    <s v="Regional Ceará"/>
    <s v="Capital Oeste Ceará"/>
    <s v="MultiSkill"/>
    <x v="0"/>
    <s v="TEC MULTIFUNCIONAL"/>
    <s v="ATIVIDADE NORMAL"/>
    <s v="CNO"/>
    <s v="03009969341"/>
    <s v="04/09/2019"/>
    <s v="NILO WEBER RAMOS RIBEIRO"/>
    <s v="ANTONIO ROBEVANIO PINHEIRO"/>
    <s v="JONILSON FELIPE VIEIRA"/>
    <x v="0"/>
    <x v="54"/>
    <x v="1"/>
    <s v="TECNICO MULTIFUNCIONAL"/>
    <x v="430"/>
    <x v="430"/>
    <x v="3"/>
    <x v="1"/>
    <x v="1"/>
    <x v="0"/>
    <x v="0"/>
  </r>
  <r>
    <x v="431"/>
    <n v="101003771"/>
    <s v="ATIVIDADE NORMAL"/>
    <s v="14/11/2018"/>
    <x v="1"/>
    <x v="40"/>
    <x v="6"/>
    <x v="8"/>
    <s v="Regional Ceará"/>
    <s v="Quixadá"/>
    <s v="Tecnico de campo"/>
    <x v="5"/>
    <s v="INSTALADOR TUP"/>
    <s v="ATIVIDADE NORMAL"/>
    <s v="QXA"/>
    <s v="03010613350"/>
    <s v="04/09/2019"/>
    <s v="ANA CLAUDIA DE CASTRO DA SILVA"/>
    <s v="ALENCAR DE SOUZA SANTOS"/>
    <s v="JONILSON FELIPE VIEIRA"/>
    <x v="1"/>
    <x v="13"/>
    <x v="6"/>
    <s v="INSTALADOR I"/>
    <x v="431"/>
    <x v="431"/>
    <x v="14"/>
    <x v="4"/>
    <x v="1"/>
    <x v="0"/>
    <x v="1"/>
  </r>
  <r>
    <x v="432"/>
    <n v="109505049"/>
    <s v="FERIAS NORMAIS"/>
    <s v="02/09/2019"/>
    <x v="0"/>
    <x v="51"/>
    <x v="0"/>
    <x v="14"/>
    <s v="Regional Pernambuco"/>
    <s v="Recife"/>
    <s v="MultiSkill"/>
    <x v="0"/>
    <s v="TEC MULTIFUNCIONAL"/>
    <s v="FERIAS NORMAIS"/>
    <s v="NOR"/>
    <s v="03019716411"/>
    <s v="04/09/2019"/>
    <s v="RAMSES DE ANDRADE MACHADO RODRIGUES LAVRA"/>
    <s v="BRUNO VINICIUS DE ALBERTINS ALVES"/>
    <s v="NIVALDO DE OLIVEIRA SOARES"/>
    <x v="1"/>
    <x v="57"/>
    <x v="1"/>
    <s v="TECNICO MULTIFUNCIONAL"/>
    <x v="432"/>
    <x v="432"/>
    <x v="48"/>
    <x v="9"/>
    <x v="0"/>
    <x v="1"/>
    <x v="0"/>
  </r>
  <r>
    <x v="433"/>
    <n v="109506174"/>
    <s v="ATIVIDADE NORMAL"/>
    <s v="02/01/2019"/>
    <x v="0"/>
    <x v="53"/>
    <x v="12"/>
    <x v="23"/>
    <s v="Regional Pernambuco"/>
    <s v="Interior"/>
    <s v="Tecnico de campo"/>
    <x v="6"/>
    <s v="CABISTA I"/>
    <s v="ATIVIDADE NORMAL"/>
    <s v="CBO"/>
    <s v="03024618414"/>
    <s v="04/09/2019"/>
    <s v="ALYSSON HENRIQUE FERREIRA DE LUCENA"/>
    <s v="DECIO FABIANO LOPES FERREIRA"/>
    <s v="NIVALDO DE OLIVEIRA SOARES"/>
    <x v="0"/>
    <x v="21"/>
    <x v="7"/>
    <s v="CABISTA I"/>
    <x v="433"/>
    <x v="433"/>
    <x v="55"/>
    <x v="0"/>
    <x v="0"/>
    <x v="0"/>
    <x v="1"/>
  </r>
  <r>
    <x v="434"/>
    <n v="109000017"/>
    <s v="ATIVIDADE NORMAL"/>
    <s v="30/09/2019"/>
    <x v="0"/>
    <x v="68"/>
    <x v="10"/>
    <x v="10"/>
    <s v="Regional Pernambuco"/>
    <s v="Recife"/>
    <s v="MultiSkill"/>
    <x v="4"/>
    <s v="TEC MULTIFUNCIONAL"/>
    <s v="ATIVIDADE NORMAL"/>
    <s v="PES"/>
    <s v="03026471470"/>
    <s v="04/09/2019"/>
    <s v="AMAURY ASSIS DE LIMA"/>
    <s v="DECIO FABIANO LOPES FERREIRA"/>
    <s v="NIVALDO DE OLIVEIRA SOARES"/>
    <x v="0"/>
    <x v="14"/>
    <x v="2"/>
    <s v="TECNICO MULTIFUNCIONAL"/>
    <x v="434"/>
    <x v="434"/>
    <x v="15"/>
    <x v="0"/>
    <x v="0"/>
    <x v="0"/>
    <x v="0"/>
  </r>
  <r>
    <x v="435"/>
    <n v="109000017"/>
    <s v="ATIVIDADE NORMAL"/>
    <s v="30/09/2019"/>
    <x v="0"/>
    <x v="68"/>
    <x v="25"/>
    <x v="10"/>
    <s v="Regional Pernambuco"/>
    <s v="Recife"/>
    <s v="Tecnico de campo"/>
    <x v="7"/>
    <s v="CABISTA III"/>
    <s v="ATIVIDADE NORMAL"/>
    <s v="PES"/>
    <s v="03037674482"/>
    <s v="04/09/2019"/>
    <s v="AMAURY ASSIS DE LIMA"/>
    <s v="DECIO FABIANO LOPES FERREIRA"/>
    <s v="NIVALDO DE OLIVEIRA SOARES"/>
    <x v="0"/>
    <x v="14"/>
    <x v="7"/>
    <s v="CABISTA III"/>
    <x v="435"/>
    <x v="435"/>
    <x v="15"/>
    <x v="0"/>
    <x v="0"/>
    <x v="0"/>
    <x v="0"/>
  </r>
  <r>
    <x v="436"/>
    <n v="109505858"/>
    <s v="ATIVIDADE NORMAL"/>
    <s v="07/05/2019"/>
    <x v="0"/>
    <x v="14"/>
    <x v="4"/>
    <x v="11"/>
    <s v="Regional Pernambuco"/>
    <s v="Interior"/>
    <s v="MultiSkill"/>
    <x v="3"/>
    <s v="TEC MULTIFUNCIONAL"/>
    <s v="ATIVIDADE NORMAL"/>
    <s v="ACV"/>
    <s v="03043998413"/>
    <s v="04/09/2019"/>
    <s v="THIAGO DE LIMA PIRES RODRIGUES"/>
    <s v="DECIO FABIANO LOPES FERREIRA"/>
    <s v="NIVALDO DE OLIVEIRA SOARES"/>
    <x v="0"/>
    <x v="11"/>
    <x v="2"/>
    <s v="TECNICO MULTIFUNCIONAL"/>
    <x v="436"/>
    <x v="436"/>
    <x v="12"/>
    <x v="0"/>
    <x v="0"/>
    <x v="0"/>
    <x v="0"/>
  </r>
  <r>
    <x v="437"/>
    <n v="101003771"/>
    <s v="ATIVIDADE NORMAL"/>
    <s v="23/05/2019"/>
    <x v="1"/>
    <x v="40"/>
    <x v="6"/>
    <x v="8"/>
    <s v="Regional Ceará"/>
    <s v="Quixadá"/>
    <s v="Equipe SWAT"/>
    <x v="5"/>
    <s v="INSTALADOR"/>
    <s v="ATIVIDADE NORMAL"/>
    <s v="QXA"/>
    <s v="03061056327"/>
    <s v="04/09/2019"/>
    <s v="ANA CLAUDIA DE CASTRO DA SILVA"/>
    <s v="ALENCAR DE SOUZA SANTOS"/>
    <s v="JONILSON FELIPE VIEIRA"/>
    <x v="0"/>
    <x v="13"/>
    <x v="6"/>
    <s v="INSTALADOR I"/>
    <x v="437"/>
    <x v="437"/>
    <x v="14"/>
    <x v="4"/>
    <x v="1"/>
    <x v="0"/>
    <x v="1"/>
  </r>
  <r>
    <x v="438"/>
    <n v="109504534"/>
    <s v="ATIVIDADE NORMAL"/>
    <s v="22/05/2019"/>
    <x v="0"/>
    <x v="44"/>
    <x v="2"/>
    <x v="7"/>
    <s v="Regional Pernambuco"/>
    <s v="Recife"/>
    <s v="Tecnico de campo"/>
    <x v="1"/>
    <s v="CABISTA I"/>
    <s v="ATIVIDADE NORMAL"/>
    <s v="LES"/>
    <s v="03069356435"/>
    <s v="04/09/2019"/>
    <s v="EDSON CARLOS BARBOSA JUNIOR"/>
    <s v="MARCOS DE OLIVEIRA STEHLING"/>
    <s v="NIVALDO DE OLIVEIRA SOARES"/>
    <x v="0"/>
    <x v="7"/>
    <x v="3"/>
    <s v="CABISTA I"/>
    <x v="438"/>
    <x v="438"/>
    <x v="8"/>
    <x v="3"/>
    <x v="0"/>
    <x v="0"/>
    <x v="1"/>
  </r>
  <r>
    <x v="439"/>
    <n v="109501286"/>
    <s v="FERIAS NORMAIS"/>
    <s v="02/09/2019"/>
    <x v="0"/>
    <x v="30"/>
    <x v="10"/>
    <x v="13"/>
    <s v="Regional Pernambuco"/>
    <s v="Recife"/>
    <s v="MultiSkill"/>
    <x v="4"/>
    <s v="TEC MULTIFUNCIONAL"/>
    <s v="FERIAS NORMAIS"/>
    <s v="OES"/>
    <s v="03077073420"/>
    <s v="04/09/2019"/>
    <s v="JOSE HENRIQUE NEGRAO DE MEDEIROS"/>
    <s v="DECIO FABIANO LOPES FERREIRA"/>
    <s v="NIVALDO DE OLIVEIRA SOARES"/>
    <x v="1"/>
    <x v="37"/>
    <x v="2"/>
    <s v="TECNICO MULTIFUNCIONAL"/>
    <x v="439"/>
    <x v="439"/>
    <x v="34"/>
    <x v="0"/>
    <x v="0"/>
    <x v="1"/>
    <x v="0"/>
  </r>
  <r>
    <x v="440"/>
    <n v="109505858"/>
    <s v="ATIVIDADE NORMAL"/>
    <s v="27/02/2019"/>
    <x v="0"/>
    <x v="6"/>
    <x v="4"/>
    <x v="6"/>
    <s v="Regional Pernambuco"/>
    <s v="Interior"/>
    <s v="MultiSkill"/>
    <x v="3"/>
    <s v="TEC MULTIFUNCIONAL"/>
    <s v="ATIVIDADE NORMAL"/>
    <s v="PTA"/>
    <s v="03093884497"/>
    <s v="04/09/2019"/>
    <s v="THIAGO DE LIMA PIRES RODRIGUES"/>
    <s v="DECIO FABIANO LOPES FERREIRA"/>
    <s v="NIVALDO DE OLIVEIRA SOARES"/>
    <x v="0"/>
    <x v="11"/>
    <x v="2"/>
    <s v="TECNICO MULTIFUNCIONAL"/>
    <x v="440"/>
    <x v="440"/>
    <x v="12"/>
    <x v="0"/>
    <x v="0"/>
    <x v="0"/>
    <x v="0"/>
  </r>
  <r>
    <x v="441"/>
    <n v="102101393"/>
    <s v="ATIVIDADE NORMAL"/>
    <s v="02/01/2019"/>
    <x v="3"/>
    <x v="28"/>
    <x v="2"/>
    <x v="21"/>
    <s v="Regional Pernambuco"/>
    <s v="Natal"/>
    <s v="Tecnico de campo"/>
    <x v="1"/>
    <s v="CABISTA I"/>
    <s v="ATIVIDADE NORMAL"/>
    <s v="NTS"/>
    <s v="03126440436"/>
    <s v="04/09/2019"/>
    <s v="SIDNEY MOURA FREIRE"/>
    <s v="REINILSON IGLESIAS JUNIOR"/>
    <s v="WENDELL FRANKLIN VIEIRA MAIA"/>
    <x v="0"/>
    <x v="23"/>
    <x v="7"/>
    <s v="CABISTA I"/>
    <x v="441"/>
    <x v="441"/>
    <x v="24"/>
    <x v="7"/>
    <x v="3"/>
    <x v="0"/>
    <x v="1"/>
  </r>
  <r>
    <x v="442"/>
    <n v="102100390"/>
    <s v="ATIVIDADE NORMAL"/>
    <s v="03/07/2019"/>
    <x v="3"/>
    <x v="66"/>
    <x v="12"/>
    <x v="21"/>
    <s v="Regional Pernambuco"/>
    <s v="Natal"/>
    <s v="Tecnico de campo"/>
    <x v="6"/>
    <s v="CABISTA I"/>
    <s v="ATIVIDADE NORMAL"/>
    <s v="NTS"/>
    <s v="03127201494"/>
    <s v="04/09/2019"/>
    <s v="ANDRIER CARLOS SOARES FERREIRA"/>
    <s v="REINILSON IGLESIAS JUNIOR"/>
    <s v="WENDELL FRANKLIN VIEIRA MAIA"/>
    <x v="0"/>
    <x v="48"/>
    <x v="7"/>
    <s v="CABISTA I"/>
    <x v="442"/>
    <x v="442"/>
    <x v="43"/>
    <x v="7"/>
    <x v="3"/>
    <x v="0"/>
    <x v="1"/>
  </r>
  <r>
    <x v="443"/>
    <n v="109500315"/>
    <s v="ATIVIDADE NORMAL"/>
    <s v="15/05/2019"/>
    <x v="0"/>
    <x v="25"/>
    <x v="6"/>
    <x v="10"/>
    <s v="Regional Pernambuco"/>
    <s v="Recife"/>
    <s v="Equipe SWAT"/>
    <x v="5"/>
    <s v="INSTALADOR TUP"/>
    <s v="ATIVIDADE NORMAL"/>
    <s v="PES"/>
    <s v="03138112455"/>
    <s v="04/09/2019"/>
    <s v="IVALDO BEZERRA NOVAIS"/>
    <s v="DECIO FABIANO LOPES FERREIRA"/>
    <s v="NIVALDO DE OLIVEIRA SOARES"/>
    <x v="0"/>
    <x v="47"/>
    <x v="6"/>
    <s v="INSTALADOR I"/>
    <x v="443"/>
    <x v="443"/>
    <x v="42"/>
    <x v="0"/>
    <x v="0"/>
    <x v="0"/>
    <x v="1"/>
  </r>
  <r>
    <x v="444"/>
    <n v="105000986"/>
    <s v="ATIVIDADE NORMAL"/>
    <s v="06/03/2019"/>
    <x v="2"/>
    <x v="33"/>
    <x v="5"/>
    <x v="16"/>
    <s v="Regional Pernambuco"/>
    <s v="João Pessoa"/>
    <s v="MultiSkill"/>
    <x v="4"/>
    <s v="TEC MULTIFUNCIONAL"/>
    <s v="ATIVIDADE NORMAL"/>
    <s v="CGE"/>
    <s v="03141603456"/>
    <s v="04/09/2019"/>
    <s v="JOSILENE MACENA DE OLIVEIRA"/>
    <s v="WENDELL FRANKLIN VIEIRA MAIA"/>
    <s v="WENDELL FRANKLIN VIEIRA MAIA"/>
    <x v="0"/>
    <x v="20"/>
    <x v="2"/>
    <s v="TECNICO MULTIFUNCIONAL"/>
    <x v="444"/>
    <x v="444"/>
    <x v="21"/>
    <x v="6"/>
    <x v="3"/>
    <x v="0"/>
    <x v="0"/>
  </r>
  <r>
    <x v="445"/>
    <n v="102101680"/>
    <s v="ATIVIDADE NORMAL"/>
    <s v="31/07/2019"/>
    <x v="3"/>
    <x v="22"/>
    <x v="11"/>
    <x v="18"/>
    <s v="Regional Pernambuco"/>
    <s v="Natal"/>
    <s v="Tecnico de campo"/>
    <x v="1"/>
    <s v="GESTOR DE AREA SERV CLIENTE I"/>
    <s v="ATIVIDADE NORMAL"/>
    <s v="RNS"/>
    <s v="03143606460"/>
    <s v="04/09/2019"/>
    <s v="REINILSON IGLESIAS JUNIOR"/>
    <s v="REINILSON IGLESIAS JUNIOR"/>
    <s v="WENDELL FRANKLIN VIEIRA MAIA"/>
    <x v="1"/>
    <x v="62"/>
    <x v="2"/>
    <s v="COORDENADOR OPERACIONAL"/>
    <x v="445"/>
    <x v="445"/>
    <x v="64"/>
    <x v="7"/>
    <x v="3"/>
    <x v="0"/>
    <x v="1"/>
  </r>
  <r>
    <x v="446"/>
    <n v="109505858"/>
    <s v="ATIVIDADE NORMAL"/>
    <s v="17/01/2019"/>
    <x v="0"/>
    <x v="14"/>
    <x v="14"/>
    <x v="11"/>
    <s v="Regional Pernambuco"/>
    <s v="Interior"/>
    <s v="MultiSkill"/>
    <x v="4"/>
    <s v="TEC MULTIFUNCIONAL"/>
    <s v="ATIVIDADE NORMAL"/>
    <s v="ACV"/>
    <s v="03171955490"/>
    <s v="04/09/2019"/>
    <s v="THIAGO DE LIMA PIRES RODRIGUES"/>
    <s v="DECIO FABIANO LOPES FERREIRA"/>
    <s v="NIVALDO DE OLIVEIRA SOARES"/>
    <x v="0"/>
    <x v="11"/>
    <x v="2"/>
    <s v="TECNICO MULTIFUNCIONAL"/>
    <x v="446"/>
    <x v="446"/>
    <x v="12"/>
    <x v="0"/>
    <x v="0"/>
    <x v="0"/>
    <x v="0"/>
  </r>
  <r>
    <x v="447"/>
    <n v="102101220"/>
    <s v="ATIVIDADE NORMAL"/>
    <s v="15/05/2019"/>
    <x v="3"/>
    <x v="22"/>
    <x v="4"/>
    <x v="18"/>
    <s v="Regional Pernambuco"/>
    <s v="Natal"/>
    <s v="MultiSkill"/>
    <x v="3"/>
    <s v="TEC MULTIFUNCIONAL"/>
    <s v="ATIVIDADE NORMAL"/>
    <s v="RNS"/>
    <s v="06872356421"/>
    <s v="04/09/2019"/>
    <s v="JOSUE MOURA DA SILVA"/>
    <s v="REINILSON IGLESIAS JUNIOR"/>
    <s v="WENDELL FRANKLIN VIEIRA MAIA"/>
    <x v="0"/>
    <x v="22"/>
    <x v="2"/>
    <s v="TECNICO MULTIFUNCIONAL"/>
    <x v="447"/>
    <x v="447"/>
    <x v="23"/>
    <x v="7"/>
    <x v="3"/>
    <x v="0"/>
    <x v="0"/>
  </r>
  <r>
    <x v="448"/>
    <n v="109505049"/>
    <s v="ATIVIDADE NORMAL"/>
    <s v="02/01/2019"/>
    <x v="0"/>
    <x v="51"/>
    <x v="0"/>
    <x v="14"/>
    <s v="Regional Pernambuco"/>
    <s v="Recife"/>
    <s v="Tecnico de campo"/>
    <x v="0"/>
    <s v="TEC ADSL I"/>
    <s v="ATIVIDADE NORMAL"/>
    <s v="NOR"/>
    <s v="06884162414"/>
    <s v="04/09/2019"/>
    <s v="RAMSES DE ANDRADE MACHADO RODRIGUES LAVRA"/>
    <s v="BRUNO VINICIUS DE ALBERTINS ALVES"/>
    <s v="NIVALDO DE OLIVEIRA SOARES"/>
    <x v="0"/>
    <x v="77"/>
    <x v="1"/>
    <s v="TECNICO ADSL"/>
    <x v="448"/>
    <x v="448"/>
    <x v="48"/>
    <x v="9"/>
    <x v="0"/>
    <x v="0"/>
    <x v="0"/>
  </r>
  <r>
    <x v="449"/>
    <n v="102101393"/>
    <s v="ATIVIDADE NORMAL"/>
    <s v="03/04/2019"/>
    <x v="3"/>
    <x v="22"/>
    <x v="6"/>
    <x v="18"/>
    <s v="Regional Pernambuco"/>
    <s v="Natal"/>
    <s v="Tecnico de campo"/>
    <x v="5"/>
    <s v="INSTALADOR"/>
    <s v="ATIVIDADE NORMAL"/>
    <s v="RNS"/>
    <s v="06891902479"/>
    <s v="04/09/2019"/>
    <s v="SIDNEY MOURA FREIRE"/>
    <s v="REINILSON IGLESIAS JUNIOR"/>
    <s v="WENDELL FRANKLIN VIEIRA MAIA"/>
    <x v="0"/>
    <x v="23"/>
    <x v="6"/>
    <s v="INSTALADOR I"/>
    <x v="449"/>
    <x v="449"/>
    <x v="24"/>
    <x v="7"/>
    <x v="3"/>
    <x v="0"/>
    <x v="1"/>
  </r>
  <r>
    <x v="450"/>
    <n v="109505149"/>
    <s v="ATIVIDADE NORMAL"/>
    <s v="07/05/2019"/>
    <x v="0"/>
    <x v="52"/>
    <x v="0"/>
    <x v="7"/>
    <s v="Regional Pernambuco"/>
    <s v="Recife"/>
    <s v="Tecnico de campo"/>
    <x v="0"/>
    <s v="TEC MULTIFUNCIONAL"/>
    <s v="ATIVIDADE NORMAL"/>
    <s v="LES"/>
    <s v="06921211452"/>
    <s v="04/09/2019"/>
    <s v="BRUNO VINICIUS DE ALBERTINS ALVES"/>
    <s v="BRUNO VINICIUS DE ALBERTINS ALVES"/>
    <s v="NIVALDO DE OLIVEIRA SOARES"/>
    <x v="0"/>
    <x v="57"/>
    <x v="1"/>
    <s v="TECNICO MULTIFUNCIONAL"/>
    <x v="450"/>
    <x v="450"/>
    <x v="53"/>
    <x v="9"/>
    <x v="0"/>
    <x v="0"/>
    <x v="0"/>
  </r>
  <r>
    <x v="451"/>
    <n v="109506174"/>
    <s v="ATIVIDADE NORMAL"/>
    <s v="10/10/2018"/>
    <x v="0"/>
    <x v="53"/>
    <x v="4"/>
    <x v="23"/>
    <s v="Regional Pernambuco"/>
    <s v="Interior"/>
    <s v="MultiSkill"/>
    <x v="3"/>
    <s v="TEC MULTIFUNCIONAL"/>
    <s v="ATIVIDADE NORMAL"/>
    <s v="CBO"/>
    <s v="06941350466"/>
    <s v="04/09/2019"/>
    <s v="ALYSSON HENRIQUE FERREIRA DE LUCENA"/>
    <s v="DECIO FABIANO LOPES FERREIRA"/>
    <s v="NIVALDO DE OLIVEIRA SOARES"/>
    <x v="0"/>
    <x v="21"/>
    <x v="2"/>
    <s v="TECNICO MULTIFUNCIONAL"/>
    <x v="451"/>
    <x v="451"/>
    <x v="55"/>
    <x v="0"/>
    <x v="0"/>
    <x v="0"/>
    <x v="0"/>
  </r>
  <r>
    <x v="452"/>
    <n v="101008003"/>
    <s v="ATIVIDADE NORMAL"/>
    <s v="18/10/2018"/>
    <x v="1"/>
    <x v="3"/>
    <x v="18"/>
    <x v="3"/>
    <s v="Regional Ceará"/>
    <s v="Capital Oeste Ceará"/>
    <s v="Tecnico de campo"/>
    <x v="0"/>
    <s v="TEC MULTIFUNCIONAL"/>
    <s v="ATIVIDADE NORMAL"/>
    <s v="CNO"/>
    <s v="06953511338"/>
    <s v="04/09/2019"/>
    <s v="NILO WEBER RAMOS RIBEIRO"/>
    <s v="ANTONIO ROBEVANIO PINHEIRO"/>
    <s v="JONILSON FELIPE VIEIRA"/>
    <x v="0"/>
    <x v="54"/>
    <x v="1"/>
    <s v="TECNICO MULTIFUNCIONAL"/>
    <x v="452"/>
    <x v="452"/>
    <x v="3"/>
    <x v="1"/>
    <x v="1"/>
    <x v="0"/>
    <x v="0"/>
  </r>
  <r>
    <x v="453"/>
    <n v="109501286"/>
    <s v="ATIVIDADE NORMAL"/>
    <s v="02/01/2019"/>
    <x v="0"/>
    <x v="30"/>
    <x v="2"/>
    <x v="13"/>
    <s v="Regional Pernambuco"/>
    <s v="Recife"/>
    <s v="Tecnico de campo"/>
    <x v="1"/>
    <s v="CABISTA I"/>
    <s v="ATIVIDADE NORMAL"/>
    <s v="OES"/>
    <s v="03174830486"/>
    <s v="04/09/2019"/>
    <s v="JOSE HENRIQUE NEGRAO DE MEDEIROS"/>
    <s v="DECIO FABIANO LOPES FERREIRA"/>
    <s v="NIVALDO DE OLIVEIRA SOARES"/>
    <x v="0"/>
    <x v="16"/>
    <x v="2"/>
    <s v="CABISTA I"/>
    <x v="453"/>
    <x v="453"/>
    <x v="34"/>
    <x v="0"/>
    <x v="0"/>
    <x v="0"/>
    <x v="1"/>
  </r>
  <r>
    <x v="454"/>
    <n v="101005241"/>
    <s v="ATIVIDADE NORMAL"/>
    <s v="19/12/2018"/>
    <x v="1"/>
    <x v="31"/>
    <x v="5"/>
    <x v="5"/>
    <s v="Regional Ceará"/>
    <s v="Juazeiro"/>
    <s v="MultiSkill"/>
    <x v="4"/>
    <s v="TEC MULTIFUNCIONAL"/>
    <s v="ATIVIDADE NORMAL"/>
    <s v="JNE"/>
    <s v="03182001396"/>
    <s v="04/09/2019"/>
    <s v="CLAUDECIR GOMES MACIEL"/>
    <s v="JEFFERSON OLIVEIRA DA SILVA"/>
    <s v="JONILSON FELIPE VIEIRA"/>
    <x v="0"/>
    <x v="5"/>
    <x v="2"/>
    <s v="TECNICO MULTIFUNCIONAL"/>
    <x v="454"/>
    <x v="454"/>
    <x v="6"/>
    <x v="2"/>
    <x v="1"/>
    <x v="0"/>
    <x v="0"/>
  </r>
  <r>
    <x v="455"/>
    <n v="102101642"/>
    <s v="ATIVIDADE NORMAL"/>
    <s v="10/10/2018"/>
    <x v="3"/>
    <x v="28"/>
    <x v="10"/>
    <x v="21"/>
    <s v="Regional Pernambuco"/>
    <s v="Natal"/>
    <s v="MultiSkill"/>
    <x v="4"/>
    <s v="TEC MULTIFUNCIONAL"/>
    <s v="ATIVIDADE NORMAL"/>
    <s v="NTS"/>
    <s v="03230852451"/>
    <s v="04/09/2019"/>
    <s v="WILSON CARLOS SILVEIRA LEIROS"/>
    <s v="REINILSON IGLESIAS JUNIOR"/>
    <s v="WENDELL FRANKLIN VIEIRA MAIA"/>
    <x v="0"/>
    <x v="51"/>
    <x v="2"/>
    <s v="TECNICO MULTIFUNCIONAL"/>
    <x v="455"/>
    <x v="455"/>
    <x v="28"/>
    <x v="7"/>
    <x v="3"/>
    <x v="0"/>
    <x v="0"/>
  </r>
  <r>
    <x v="456"/>
    <n v="109505858"/>
    <s v="ATIVIDADE NORMAL"/>
    <s v="02/01/2019"/>
    <x v="0"/>
    <x v="46"/>
    <x v="6"/>
    <x v="11"/>
    <s v="Regional Pernambuco"/>
    <s v="Interior"/>
    <s v="Tecnico de campo"/>
    <x v="5"/>
    <s v="TEC MULTIFUNCIONAL"/>
    <s v="ATIVIDADE NORMAL"/>
    <s v="ACV"/>
    <s v="03240128454"/>
    <s v="04/09/2019"/>
    <s v="THIAGO DE LIMA PIRES RODRIGUES"/>
    <s v="DECIO FABIANO LOPES FERREIRA"/>
    <s v="NIVALDO DE OLIVEIRA SOARES"/>
    <x v="0"/>
    <x v="11"/>
    <x v="6"/>
    <s v="TECNICO MULTIFUNCIONAL"/>
    <x v="456"/>
    <x v="456"/>
    <x v="12"/>
    <x v="0"/>
    <x v="0"/>
    <x v="0"/>
    <x v="1"/>
  </r>
  <r>
    <x v="457"/>
    <n v="105000985"/>
    <s v="ATIVIDADE NORMAL"/>
    <s v="13/03/2019"/>
    <x v="2"/>
    <x v="61"/>
    <x v="14"/>
    <x v="24"/>
    <s v="Regional Pernambuco"/>
    <s v="João Pessoa"/>
    <s v="MultiSkill"/>
    <x v="4"/>
    <s v="TEC MULTIFUNCIONAL"/>
    <s v="ATIVIDADE NORMAL"/>
    <s v="POS"/>
    <s v="03248168471"/>
    <s v="04/09/2019"/>
    <s v="STANLEY MEDEIROS WANDERLEY"/>
    <s v="WENDELL FRANKLIN VIEIRA MAIA"/>
    <s v="WENDELL FRANKLIN VIEIRA MAIA"/>
    <x v="0"/>
    <x v="67"/>
    <x v="2"/>
    <s v="TECNICO MULTIFUNCIONAL"/>
    <x v="457"/>
    <x v="457"/>
    <x v="58"/>
    <x v="6"/>
    <x v="3"/>
    <x v="0"/>
    <x v="0"/>
  </r>
  <r>
    <x v="458"/>
    <n v="101005241"/>
    <s v="FERIAS NORMAIS"/>
    <s v="02/09/2019"/>
    <x v="1"/>
    <x v="31"/>
    <x v="2"/>
    <x v="5"/>
    <s v="Regional Ceará"/>
    <s v="Juazeiro"/>
    <s v="Tecnico de campo"/>
    <x v="1"/>
    <s v="INSTALADOR"/>
    <s v="FERIAS NORMAIS"/>
    <s v="JNE"/>
    <s v="03256005381"/>
    <s v="04/09/2019"/>
    <s v="CLAUDECIR GOMES MACIEL"/>
    <s v="JEFFERSON OLIVEIRA DA SILVA"/>
    <s v="JONILSON FELIPE VIEIRA"/>
    <x v="1"/>
    <x v="5"/>
    <x v="2"/>
    <s v="INSTALADOR I"/>
    <x v="458"/>
    <x v="458"/>
    <x v="6"/>
    <x v="2"/>
    <x v="1"/>
    <x v="1"/>
    <x v="1"/>
  </r>
  <r>
    <x v="459"/>
    <n v="105303134"/>
    <s v="ATIVIDADE NORMAL"/>
    <s v="17/12/2018"/>
    <x v="2"/>
    <x v="42"/>
    <x v="2"/>
    <x v="12"/>
    <s v="Regional Pernambuco"/>
    <s v="João Pessoa"/>
    <s v="Tecnico de campo"/>
    <x v="1"/>
    <s v="CABISTA I"/>
    <s v="ATIVIDADE NORMAL"/>
    <s v="JPA"/>
    <s v="06965224460"/>
    <s v="04/09/2019"/>
    <s v="GLAUBER JOSE GOMES LEITAO"/>
    <s v="WENDELL FRANKLIN VIEIRA MAIA"/>
    <s v="WENDELL FRANKLIN VIEIRA MAIA"/>
    <x v="0"/>
    <x v="43"/>
    <x v="7"/>
    <s v="CABISTA I"/>
    <x v="459"/>
    <x v="459"/>
    <x v="39"/>
    <x v="6"/>
    <x v="3"/>
    <x v="0"/>
    <x v="1"/>
  </r>
  <r>
    <x v="460"/>
    <n v="102002917"/>
    <s v="ATIVIDADE NORMAL"/>
    <s v="07/11/2018"/>
    <x v="3"/>
    <x v="23"/>
    <x v="14"/>
    <x v="18"/>
    <s v="Regional Pernambuco"/>
    <s v="Natal"/>
    <s v="MultiSkill"/>
    <x v="4"/>
    <s v="TEC MULTIFUNCIONAL"/>
    <s v="ATIVIDADE NORMAL"/>
    <s v="RNS"/>
    <s v="07021069413"/>
    <s v="04/09/2019"/>
    <s v="RICELE DA SILVA NASCIMENTO"/>
    <s v="REINILSON IGLESIAS JUNIOR"/>
    <s v="WENDELL FRANKLIN VIEIRA MAIA"/>
    <x v="0"/>
    <x v="29"/>
    <x v="2"/>
    <s v="TECNICO MULTIFUNCIONAL"/>
    <x v="460"/>
    <x v="460"/>
    <x v="51"/>
    <x v="7"/>
    <x v="3"/>
    <x v="0"/>
    <x v="0"/>
  </r>
  <r>
    <x v="461"/>
    <n v="109504012"/>
    <s v="ATIVIDADE NORMAL"/>
    <s v="01/05/2019"/>
    <x v="2"/>
    <x v="33"/>
    <x v="6"/>
    <x v="16"/>
    <s v="Regional Pernambuco"/>
    <s v="João Pessoa"/>
    <s v="Tecnico de campo"/>
    <x v="5"/>
    <s v="INSTALADOR"/>
    <s v="ATIVIDADE NORMAL"/>
    <s v="CGE"/>
    <s v="07025704431"/>
    <s v="04/09/2019"/>
    <s v="FRANCISCO JOSE DIAS DA SILVA"/>
    <s v="WENDELL FRANKLIN VIEIRA MAIA"/>
    <s v="WENDELL FRANKLIN VIEIRA MAIA"/>
    <x v="0"/>
    <x v="35"/>
    <x v="6"/>
    <s v="INSTALADOR I"/>
    <x v="461"/>
    <x v="461"/>
    <x v="25"/>
    <x v="6"/>
    <x v="3"/>
    <x v="0"/>
    <x v="1"/>
  </r>
  <r>
    <x v="462"/>
    <n v="105000986"/>
    <s v="ATIVIDADE NORMAL"/>
    <s v="18/05/2018"/>
    <x v="2"/>
    <x v="20"/>
    <x v="12"/>
    <x v="16"/>
    <s v="Regional Pernambuco"/>
    <s v="João Pessoa"/>
    <s v="Tecnico de campo"/>
    <x v="6"/>
    <s v="CABISTA I"/>
    <s v="ATIVIDADE NORMAL"/>
    <s v="CGE"/>
    <s v="07055338409"/>
    <s v="04/09/2019"/>
    <s v="JOSILENE MACENA DE OLIVEIRA"/>
    <s v="WENDELL FRANKLIN VIEIRA MAIA"/>
    <s v="WENDELL FRANKLIN VIEIRA MAIA"/>
    <x v="0"/>
    <x v="20"/>
    <x v="7"/>
    <s v="CABISTA I"/>
    <x v="462"/>
    <x v="462"/>
    <x v="21"/>
    <x v="6"/>
    <x v="3"/>
    <x v="0"/>
    <x v="1"/>
  </r>
  <r>
    <x v="463"/>
    <n v="109000340"/>
    <s v="ATIVIDADE NORMAL"/>
    <s v="19/06/2019"/>
    <x v="0"/>
    <x v="0"/>
    <x v="6"/>
    <x v="0"/>
    <s v="Regional Pernambuco"/>
    <s v="Interior"/>
    <s v="Tecnico de campo"/>
    <x v="5"/>
    <s v="INSTALADOR TUP"/>
    <s v="ATIVIDADE NORMAL"/>
    <s v="CRU"/>
    <s v="07060227423"/>
    <s v="04/09/2019"/>
    <s v="AILTON JOSE DOS SANTOS"/>
    <s v="DECIO FABIANO LOPES FERREIRA"/>
    <s v="NIVALDO DE OLIVEIRA SOARES"/>
    <x v="0"/>
    <x v="21"/>
    <x v="6"/>
    <s v="INSTALADOR I"/>
    <x v="463"/>
    <x v="463"/>
    <x v="22"/>
    <x v="0"/>
    <x v="0"/>
    <x v="0"/>
    <x v="1"/>
  </r>
  <r>
    <x v="464"/>
    <n v="102100917"/>
    <s v="ATIVIDADE NORMAL"/>
    <s v="18/06/2019"/>
    <x v="3"/>
    <x v="27"/>
    <x v="15"/>
    <x v="20"/>
    <s v="Regional Pernambuco"/>
    <s v="Natal"/>
    <s v="Tecnico de campo"/>
    <x v="9"/>
    <s v="INSTALADOR DTH"/>
    <s v="ATIVIDADE NORMAL"/>
    <s v="MRO"/>
    <s v="07074339407"/>
    <s v="04/09/2019"/>
    <s v="FERNANDO FREITAS ALMEIDA DOS SANTOS"/>
    <s v="REINILSON IGLESIAS JUNIOR"/>
    <s v="WENDELL FRANKLIN VIEIRA MAIA"/>
    <x v="0"/>
    <x v="28"/>
    <x v="11"/>
    <s v="INSTALADOR DTH"/>
    <x v="464"/>
    <x v="464"/>
    <x v="27"/>
    <x v="7"/>
    <x v="3"/>
    <x v="0"/>
    <x v="0"/>
  </r>
  <r>
    <x v="465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07102716460"/>
    <s v="04/09/2019"/>
    <s v="RAMSES DE ANDRADE MACHADO RODRIGUES LAVRA"/>
    <s v="BRUNO VINICIUS DE ALBERTINS ALVES"/>
    <s v="NIVALDO DE OLIVEIRA SOARES"/>
    <x v="0"/>
    <x v="57"/>
    <x v="1"/>
    <s v="TECNICO MULTIFUNCIONAL"/>
    <x v="465"/>
    <x v="465"/>
    <x v="48"/>
    <x v="9"/>
    <x v="0"/>
    <x v="0"/>
    <x v="0"/>
  </r>
  <r>
    <x v="466"/>
    <n v="109506091"/>
    <s v="ATIVIDADE NORMAL"/>
    <s v="03/10/2018"/>
    <x v="0"/>
    <x v="35"/>
    <x v="15"/>
    <x v="14"/>
    <s v="Regional Pernambuco"/>
    <s v="Recife"/>
    <s v="Tecnico de campo"/>
    <x v="9"/>
    <s v="INSTALADOR DTH"/>
    <s v="ATIVIDADE NORMAL"/>
    <s v="NOR"/>
    <s v="07122606414"/>
    <s v="04/09/2019"/>
    <s v="LUIZ RICARDO LIMA DA SILVA"/>
    <s v="BRUNO VINICIUS DE ALBERTINS ALVES"/>
    <s v="NIVALDO DE OLIVEIRA SOARES"/>
    <x v="0"/>
    <x v="38"/>
    <x v="11"/>
    <s v="INSTALADOR DTH"/>
    <x v="466"/>
    <x v="466"/>
    <x v="49"/>
    <x v="9"/>
    <x v="0"/>
    <x v="0"/>
    <x v="0"/>
  </r>
  <r>
    <x v="467"/>
    <n v="105000985"/>
    <s v="ATIVIDADE NORMAL"/>
    <s v="31/07/2019"/>
    <x v="2"/>
    <x v="61"/>
    <x v="12"/>
    <x v="24"/>
    <s v="Regional Pernambuco"/>
    <s v="João Pessoa"/>
    <s v="Tecnico de campo"/>
    <x v="6"/>
    <s v="CABISTA II"/>
    <s v="ATIVIDADE NORMAL"/>
    <s v="POS"/>
    <s v="07130024410"/>
    <s v="04/09/2019"/>
    <s v="STANLEY MEDEIROS WANDERLEY"/>
    <s v="WENDELL FRANKLIN VIEIRA MAIA"/>
    <s v="WENDELL FRANKLIN VIEIRA MAIA"/>
    <x v="0"/>
    <x v="67"/>
    <x v="7"/>
    <s v="CABISTA II"/>
    <x v="467"/>
    <x v="467"/>
    <x v="58"/>
    <x v="6"/>
    <x v="3"/>
    <x v="0"/>
    <x v="1"/>
  </r>
  <r>
    <x v="468"/>
    <n v="101006255"/>
    <s v="ATIVIDADE NORMAL"/>
    <s v="16/01/2019"/>
    <x v="1"/>
    <x v="32"/>
    <x v="20"/>
    <x v="2"/>
    <s v="Regional Ceará"/>
    <s v="Capital Sul Ceará"/>
    <s v="Tecnico de campo"/>
    <x v="7"/>
    <s v="TEC MULTIFUNCIONAL"/>
    <s v="ATIVIDADE NORMAL"/>
    <s v="GCL"/>
    <s v="07148445353"/>
    <s v="04/09/2019"/>
    <s v="FRANCISCO DE ASSIS FILHO"/>
    <s v="JEFFERSON OLIVEIRA DA SILVA"/>
    <s v="JONILSON FELIPE VIEIRA"/>
    <x v="0"/>
    <x v="32"/>
    <x v="2"/>
    <s v="TECNICO MULTIFUNCIONAL"/>
    <x v="468"/>
    <x v="468"/>
    <x v="31"/>
    <x v="2"/>
    <x v="1"/>
    <x v="0"/>
    <x v="0"/>
  </r>
  <r>
    <x v="469"/>
    <n v="105303124"/>
    <s v="ATIVIDADE NORMAL"/>
    <s v="08/05/2019"/>
    <x v="0"/>
    <x v="68"/>
    <x v="10"/>
    <x v="10"/>
    <s v="Regional Pernambuco"/>
    <s v="Recife"/>
    <s v="Tecnico de campo"/>
    <x v="4"/>
    <s v="TEC MULTIFUNCIONAL"/>
    <s v="ATIVIDADE NORMAL"/>
    <s v="PES"/>
    <s v="07206985459"/>
    <s v="04/09/2019"/>
    <s v="GENELSON AUGUSTO ALIXANDRE"/>
    <s v="CARLOS EDUARDO DE ALBUQUERQUE MEIRA"/>
    <s v="HEBERT JONES SOUTO ARAUJO"/>
    <x v="0"/>
    <x v="31"/>
    <x v="12"/>
    <s v="TECNICO MULTIFUNCIONAL"/>
    <x v="469"/>
    <x v="469"/>
    <x v="63"/>
    <x v="12"/>
    <x v="5"/>
    <x v="0"/>
    <x v="0"/>
  </r>
  <r>
    <x v="470"/>
    <n v="109000926"/>
    <s v="ATIVIDADE NORMAL"/>
    <s v="09/09/2019"/>
    <x v="0"/>
    <x v="65"/>
    <x v="10"/>
    <x v="7"/>
    <s v="Regional Pernambuco"/>
    <s v="Recife"/>
    <s v="MultiSkill"/>
    <x v="4"/>
    <s v="TEC MULTIFUNCIONAL"/>
    <s v="ATIVIDADE NORMAL"/>
    <s v="LES"/>
    <s v="07207138466"/>
    <s v="04/09/2019"/>
    <s v="ANTONIO MAGNO DE CASTRO LEAO"/>
    <s v="BRUNO VINICIUS DE ALBERTINS ALVES"/>
    <s v="NIVALDO DE OLIVEIRA SOARES"/>
    <x v="0"/>
    <x v="45"/>
    <x v="2"/>
    <s v="TECNICO MULTIFUNCIONAL"/>
    <x v="470"/>
    <x v="470"/>
    <x v="41"/>
    <x v="9"/>
    <x v="0"/>
    <x v="0"/>
    <x v="0"/>
  </r>
  <r>
    <x v="471"/>
    <n v="109505858"/>
    <s v="ATIVIDADE NORMAL"/>
    <s v="23/03/2018"/>
    <x v="0"/>
    <x v="6"/>
    <x v="2"/>
    <x v="6"/>
    <s v="Regional Pernambuco"/>
    <s v="Interior"/>
    <s v="Equipe SWAT"/>
    <x v="1"/>
    <s v="CABISTA I"/>
    <s v="ATIVIDADE NORMAL"/>
    <s v="PTA"/>
    <s v="07255557422"/>
    <s v="04/09/2019"/>
    <s v="THIAGO DE LIMA PIRES RODRIGUES"/>
    <s v="DECIO FABIANO LOPES FERREIRA"/>
    <s v="NIVALDO DE OLIVEIRA SOARES"/>
    <x v="0"/>
    <x v="11"/>
    <x v="7"/>
    <s v="CABISTA I"/>
    <x v="471"/>
    <x v="471"/>
    <x v="12"/>
    <x v="0"/>
    <x v="0"/>
    <x v="0"/>
    <x v="1"/>
  </r>
  <r>
    <x v="472"/>
    <n v="102100917"/>
    <s v="FERIAS NORMAIS"/>
    <s v="02/09/2019"/>
    <x v="3"/>
    <x v="27"/>
    <x v="10"/>
    <x v="20"/>
    <s v="Regional Pernambuco"/>
    <s v="Natal"/>
    <s v="MultiSkill"/>
    <x v="4"/>
    <s v="TEC MULTIFUNCIONAL"/>
    <s v="FERIAS NORMAIS"/>
    <s v="MRO"/>
    <s v="07350661401"/>
    <s v="04/09/2019"/>
    <s v="FERNANDO FREITAS ALMEIDA DOS SANTOS"/>
    <s v="REINILSON IGLESIAS JUNIOR"/>
    <s v="WENDELL FRANKLIN VIEIRA MAIA"/>
    <x v="1"/>
    <x v="28"/>
    <x v="2"/>
    <s v="TECNICO MULTIFUNCIONAL"/>
    <x v="472"/>
    <x v="472"/>
    <x v="27"/>
    <x v="7"/>
    <x v="3"/>
    <x v="1"/>
    <x v="0"/>
  </r>
  <r>
    <x v="473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07362230451"/>
    <s v="04/09/2019"/>
    <s v="RAMSES DE ANDRADE MACHADO RODRIGUES LAVRA"/>
    <s v="BRUNO VINICIUS DE ALBERTINS ALVES"/>
    <s v="NIVALDO DE OLIVEIRA SOARES"/>
    <x v="0"/>
    <x v="57"/>
    <x v="1"/>
    <s v="TECNICO MULTIFUNCIONAL"/>
    <x v="473"/>
    <x v="473"/>
    <x v="48"/>
    <x v="9"/>
    <x v="0"/>
    <x v="0"/>
    <x v="0"/>
  </r>
  <r>
    <x v="474"/>
    <n v="109505049"/>
    <s v="ATIVIDADE NORMAL"/>
    <s v="24/04/2019"/>
    <x v="0"/>
    <x v="52"/>
    <x v="0"/>
    <x v="7"/>
    <s v="Regional Pernambuco"/>
    <s v="Recife"/>
    <s v="Tecnico de campo"/>
    <x v="0"/>
    <s v="TEC MULTIFUNCIONAL"/>
    <s v="ATIVIDADE NORMAL"/>
    <s v="LES"/>
    <s v="07365090464"/>
    <s v="04/09/2019"/>
    <s v="RAMSES DE ANDRADE MACHADO RODRIGUES LAVRA"/>
    <s v="BRUNO VINICIUS DE ALBERTINS ALVES"/>
    <s v="NIVALDO DE OLIVEIRA SOARES"/>
    <x v="0"/>
    <x v="57"/>
    <x v="1"/>
    <s v="TECNICO MULTIFUNCIONAL"/>
    <x v="474"/>
    <x v="474"/>
    <x v="48"/>
    <x v="9"/>
    <x v="0"/>
    <x v="0"/>
    <x v="0"/>
  </r>
  <r>
    <x v="475"/>
    <n v="105000985"/>
    <s v="ATIVIDADE NORMAL"/>
    <s v="01/08/2018"/>
    <x v="2"/>
    <x v="61"/>
    <x v="5"/>
    <x v="24"/>
    <s v="Regional Pernambuco"/>
    <s v="João Pessoa"/>
    <s v="MultiSkill"/>
    <x v="4"/>
    <s v="TEC MULTIFUNCIONAL"/>
    <s v="ATIVIDADE NORMAL"/>
    <s v="POS"/>
    <s v="07411608467"/>
    <s v="04/09/2019"/>
    <s v="STANLEY MEDEIROS WANDERLEY"/>
    <s v="WENDELL FRANKLIN VIEIRA MAIA"/>
    <s v="WENDELL FRANKLIN VIEIRA MAIA"/>
    <x v="0"/>
    <x v="67"/>
    <x v="2"/>
    <s v="TECNICO MULTIFUNCIONAL"/>
    <x v="475"/>
    <x v="475"/>
    <x v="58"/>
    <x v="6"/>
    <x v="3"/>
    <x v="0"/>
    <x v="0"/>
  </r>
  <r>
    <x v="476"/>
    <n v="109500177"/>
    <s v="FERIAS NORMAIS"/>
    <s v="02/09/2019"/>
    <x v="0"/>
    <x v="18"/>
    <x v="10"/>
    <x v="14"/>
    <s v="Regional Pernambuco"/>
    <s v="Recife"/>
    <s v="MultiSkill"/>
    <x v="4"/>
    <s v="TEC MULTIFUNCIONAL"/>
    <s v="FERIAS NORMAIS"/>
    <s v="NOR"/>
    <s v="07415138465"/>
    <s v="04/09/2019"/>
    <s v="JOSUEL FERREIRA DE BRITO"/>
    <s v="BRUNO VINICIUS DE ALBERTINS ALVES"/>
    <s v="NIVALDO DE OLIVEIRA SOARES"/>
    <x v="1"/>
    <x v="38"/>
    <x v="2"/>
    <s v="TECNICO MULTIFUNCIONAL"/>
    <x v="476"/>
    <x v="476"/>
    <x v="36"/>
    <x v="9"/>
    <x v="0"/>
    <x v="1"/>
    <x v="0"/>
  </r>
  <r>
    <x v="477"/>
    <n v="109500177"/>
    <s v="ATIVIDADE NORMAL"/>
    <s v="25/03/2019"/>
    <x v="0"/>
    <x v="37"/>
    <x v="10"/>
    <x v="14"/>
    <s v="Regional Pernambuco"/>
    <s v="Recife"/>
    <s v="Tecnico de campo"/>
    <x v="4"/>
    <s v="TEC MULTIFUNCIONAL"/>
    <s v="ATIVIDADE NORMAL"/>
    <s v="NOR"/>
    <s v="07435056464"/>
    <s v="04/09/2019"/>
    <s v="JOSUEL FERREIRA DE BRITO"/>
    <s v="BRUNO VINICIUS DE ALBERTINS ALVES"/>
    <s v="NIVALDO DE OLIVEIRA SOARES"/>
    <x v="0"/>
    <x v="31"/>
    <x v="12"/>
    <s v="TECNICO MULTIFUNCIONAL"/>
    <x v="477"/>
    <x v="477"/>
    <x v="36"/>
    <x v="9"/>
    <x v="0"/>
    <x v="0"/>
    <x v="0"/>
  </r>
  <r>
    <x v="478"/>
    <n v="109506032"/>
    <s v="ATIVIDADE NORMAL"/>
    <s v="02/01/2019"/>
    <x v="0"/>
    <x v="16"/>
    <x v="12"/>
    <x v="13"/>
    <s v="Regional Pernambuco"/>
    <s v="Recife"/>
    <s v="Equipe SWAT"/>
    <x v="6"/>
    <s v="CABISTA I"/>
    <s v="ATIVIDADE NORMAL"/>
    <s v="OES"/>
    <s v="03256603440"/>
    <s v="04/09/2019"/>
    <s v="CARLOS REIS GONZAGA"/>
    <s v="DECIO FABIANO LOPES FERREIRA"/>
    <s v="NIVALDO DE OLIVEIRA SOARES"/>
    <x v="0"/>
    <x v="16"/>
    <x v="10"/>
    <s v="CABISTA I"/>
    <x v="478"/>
    <x v="478"/>
    <x v="17"/>
    <x v="0"/>
    <x v="0"/>
    <x v="0"/>
    <x v="1"/>
  </r>
  <r>
    <x v="479"/>
    <n v="109504193"/>
    <s v="ATIVIDADE NORMAL"/>
    <s v="09/03/2019"/>
    <x v="0"/>
    <x v="60"/>
    <x v="2"/>
    <x v="14"/>
    <s v="Regional Pernambuco"/>
    <s v="Recife"/>
    <s v="Tecnico de campo"/>
    <x v="1"/>
    <s v="INSTALADOR TUP"/>
    <s v="ATIVIDADE NORMAL"/>
    <s v="NOR"/>
    <s v="03259313486"/>
    <s v="04/09/2019"/>
    <s v="PAULO JOSE DA SILVA JUNIOR"/>
    <s v="MARCOS DE OLIVEIRA STEHLING"/>
    <s v="NIVALDO DE OLIVEIRA SOARES"/>
    <x v="1"/>
    <x v="31"/>
    <x v="12"/>
    <s v="INSTALADOR I"/>
    <x v="479"/>
    <x v="479"/>
    <x v="30"/>
    <x v="3"/>
    <x v="0"/>
    <x v="0"/>
    <x v="1"/>
  </r>
  <r>
    <x v="480"/>
    <n v="102101393"/>
    <s v="ATIVIDADE NORMAL"/>
    <s v="02/01/2019"/>
    <x v="3"/>
    <x v="27"/>
    <x v="6"/>
    <x v="20"/>
    <s v="Regional Pernambuco"/>
    <s v="Natal"/>
    <s v="Tecnico de campo"/>
    <x v="5"/>
    <s v="INSTALADOR TUP"/>
    <s v="ATIVIDADE NORMAL"/>
    <s v="MRO"/>
    <s v="03266511441"/>
    <s v="04/09/2019"/>
    <s v="SIDNEY MOURA FREIRE"/>
    <s v="REINILSON IGLESIAS JUNIOR"/>
    <s v="WENDELL FRANKLIN VIEIRA MAIA"/>
    <x v="0"/>
    <x v="23"/>
    <x v="6"/>
    <s v="INSTALADOR I"/>
    <x v="480"/>
    <x v="480"/>
    <x v="24"/>
    <x v="7"/>
    <x v="3"/>
    <x v="0"/>
    <x v="1"/>
  </r>
  <r>
    <x v="481"/>
    <n v="109504369"/>
    <s v="ATIVIDADE NORMAL"/>
    <s v="16/01/2019"/>
    <x v="0"/>
    <x v="50"/>
    <x v="2"/>
    <x v="17"/>
    <s v="Regional Pernambuco"/>
    <s v="Interior"/>
    <s v="Tecnico de campo"/>
    <x v="1"/>
    <s v="CABISTA I"/>
    <s v="ATIVIDADE NORMAL"/>
    <s v="GUS"/>
    <s v="03267005442"/>
    <s v="04/09/2019"/>
    <s v="JOSE HAILTON ATAIDE"/>
    <s v="MARCOS DE OLIVEIRA STEHLING"/>
    <s v="NIVALDO DE OLIVEIRA SOARES"/>
    <x v="0"/>
    <x v="55"/>
    <x v="3"/>
    <s v="CABISTA I"/>
    <x v="481"/>
    <x v="481"/>
    <x v="46"/>
    <x v="3"/>
    <x v="0"/>
    <x v="0"/>
    <x v="1"/>
  </r>
  <r>
    <x v="482"/>
    <n v="105301785"/>
    <s v="ATIVIDADE NORMAL"/>
    <s v="06/03/2019"/>
    <x v="2"/>
    <x v="20"/>
    <x v="11"/>
    <x v="16"/>
    <s v="Regional Pernambuco"/>
    <s v="João Pessoa"/>
    <s v="Tecnico de campo"/>
    <x v="1"/>
    <s v="TEC REDES DSLAM"/>
    <s v="ATIVIDADE NORMAL"/>
    <s v="CGE"/>
    <s v="03270088493"/>
    <s v="04/09/2019"/>
    <s v="FERNANDO TOSCANO ALVES"/>
    <s v="ANDRE LUIS SOARES DE FARIAS"/>
    <s v="HEBERT JONES SOUTO ARAUJO"/>
    <x v="0"/>
    <x v="20"/>
    <x v="2"/>
    <s v="TECNICO REDE"/>
    <x v="482"/>
    <x v="482"/>
    <x v="65"/>
    <x v="13"/>
    <x v="5"/>
    <x v="0"/>
    <x v="1"/>
  </r>
  <r>
    <x v="483"/>
    <n v="109500177"/>
    <s v="ATIVIDADE NORMAL"/>
    <s v="20/03/2019"/>
    <x v="0"/>
    <x v="30"/>
    <x v="2"/>
    <x v="13"/>
    <s v="Regional Pernambuco"/>
    <s v="Recife"/>
    <s v="Tecnico de campo"/>
    <x v="1"/>
    <s v="TEC MULTIFUNCIONAL"/>
    <s v="ATIVIDADE NORMAL"/>
    <s v="OES"/>
    <s v="03281129412"/>
    <s v="04/09/2019"/>
    <s v="JOSUEL FERREIRA DE BRITO"/>
    <s v="BRUNO VINICIUS DE ALBERTINS ALVES"/>
    <s v="NIVALDO DE OLIVEIRA SOARES"/>
    <x v="0"/>
    <x v="31"/>
    <x v="12"/>
    <s v="TECNICO MULTIFUNCIONAL"/>
    <x v="483"/>
    <x v="483"/>
    <x v="36"/>
    <x v="9"/>
    <x v="0"/>
    <x v="0"/>
    <x v="1"/>
  </r>
  <r>
    <x v="484"/>
    <n v="109000499"/>
    <s v="ATIVIDADE NORMAL"/>
    <s v="31/07/2019"/>
    <x v="0"/>
    <x v="7"/>
    <x v="13"/>
    <x v="7"/>
    <s v="Regional Pernambuco"/>
    <s v="Recife"/>
    <s v="Tecnico de campo"/>
    <x v="8"/>
    <s v="OPERADOR GPON I"/>
    <s v="ATIVIDADE NORMAL"/>
    <s v="LES"/>
    <s v="03281138403"/>
    <s v="04/09/2019"/>
    <s v="ALTAIR LUIZ DO NASCIMENTO"/>
    <s v="DECIO FABIANO LOPES FERREIRA"/>
    <s v="NIVALDO DE OLIVEIRA SOARES"/>
    <x v="1"/>
    <x v="42"/>
    <x v="9"/>
    <s v="OPERADOR"/>
    <x v="484"/>
    <x v="484"/>
    <x v="38"/>
    <x v="0"/>
    <x v="0"/>
    <x v="0"/>
    <x v="1"/>
  </r>
  <r>
    <x v="485"/>
    <n v="102101679"/>
    <s v="ATIVIDADE NORMAL"/>
    <s v="07/04/2019"/>
    <x v="3"/>
    <x v="23"/>
    <x v="2"/>
    <x v="18"/>
    <s v="Regional Pernambuco"/>
    <s v="Natal"/>
    <s v="Tecnico de campo"/>
    <x v="1"/>
    <s v="CABISTA I"/>
    <s v="ATIVIDADE NORMAL"/>
    <s v="RNS"/>
    <s v="07464679407"/>
    <s v="04/09/2019"/>
    <s v="HENRIQUE GONCALVES CARVALHO JUNIOR"/>
    <s v="EDERLINDO GONCALVES SOARES"/>
    <s v="WENDELL FRANKLIN VIEIRA MAIA"/>
    <x v="0"/>
    <x v="78"/>
    <x v="13"/>
    <s v="CABISTA I"/>
    <x v="485"/>
    <x v="485"/>
    <x v="66"/>
    <x v="10"/>
    <x v="3"/>
    <x v="0"/>
    <x v="1"/>
  </r>
  <r>
    <x v="486"/>
    <n v="109505819"/>
    <s v="ATIVIDADE NORMAL"/>
    <s v="22/04/2019"/>
    <x v="0"/>
    <x v="39"/>
    <x v="12"/>
    <x v="13"/>
    <s v="Regional Pernambuco"/>
    <s v="Recife"/>
    <s v="Tecnico de campo"/>
    <x v="6"/>
    <s v="CABISTA II"/>
    <s v="ATIVIDADE NORMAL"/>
    <s v="OES"/>
    <s v="07512858469"/>
    <s v="04/09/2019"/>
    <s v="ALESSANDRO DIONISIO DE FRANCA"/>
    <s v="DECIO FABIANO LOPES FERREIRA"/>
    <s v="NIVALDO DE OLIVEIRA SOARES"/>
    <x v="0"/>
    <x v="16"/>
    <x v="10"/>
    <s v="CABISTA II"/>
    <x v="486"/>
    <x v="486"/>
    <x v="37"/>
    <x v="0"/>
    <x v="0"/>
    <x v="0"/>
    <x v="1"/>
  </r>
  <r>
    <x v="487"/>
    <n v="109500177"/>
    <s v="FERIAS NORMAIS"/>
    <s v="02/09/2019"/>
    <x v="0"/>
    <x v="18"/>
    <x v="10"/>
    <x v="14"/>
    <s v="Regional Pernambuco"/>
    <s v="Recife"/>
    <s v="MultiSkill"/>
    <x v="4"/>
    <s v="TEC MULTIFUNCIONAL"/>
    <s v="FERIAS NORMAIS"/>
    <s v="NOR"/>
    <s v="07537861412"/>
    <s v="04/09/2019"/>
    <s v="JOSUEL FERREIRA DE BRITO"/>
    <s v="BRUNO VINICIUS DE ALBERTINS ALVES"/>
    <s v="NIVALDO DE OLIVEIRA SOARES"/>
    <x v="1"/>
    <x v="38"/>
    <x v="2"/>
    <s v="TECNICO MULTIFUNCIONAL"/>
    <x v="487"/>
    <x v="487"/>
    <x v="36"/>
    <x v="9"/>
    <x v="0"/>
    <x v="1"/>
    <x v="0"/>
  </r>
  <r>
    <x v="488"/>
    <n v="109505858"/>
    <s v="ATIVIDADE NORMAL"/>
    <s v="10/04/2019"/>
    <x v="0"/>
    <x v="6"/>
    <x v="14"/>
    <x v="6"/>
    <s v="Regional Pernambuco"/>
    <s v="Interior"/>
    <s v="MultiSkill"/>
    <x v="4"/>
    <s v="TEC MULTIFUNCIONAL"/>
    <s v="ATIVIDADE NORMAL"/>
    <s v="PTA"/>
    <s v="07619818456"/>
    <s v="04/09/2019"/>
    <s v="THIAGO DE LIMA PIRES RODRIGUES"/>
    <s v="DECIO FABIANO LOPES FERREIRA"/>
    <s v="NIVALDO DE OLIVEIRA SOARES"/>
    <x v="0"/>
    <x v="11"/>
    <x v="2"/>
    <s v="TECNICO MULTIFUNCIONAL"/>
    <x v="488"/>
    <x v="488"/>
    <x v="12"/>
    <x v="0"/>
    <x v="0"/>
    <x v="0"/>
    <x v="0"/>
  </r>
  <r>
    <x v="489"/>
    <n v="105000986"/>
    <s v="ATIVIDADE NORMAL"/>
    <s v="23/06/2019"/>
    <x v="2"/>
    <x v="33"/>
    <x v="5"/>
    <x v="16"/>
    <s v="Regional Pernambuco"/>
    <s v="João Pessoa"/>
    <s v="MultiSkill"/>
    <x v="4"/>
    <s v="TEC MULTIFUNCIONAL"/>
    <s v="ATIVIDADE NORMAL"/>
    <s v="CGE"/>
    <s v="07622865478"/>
    <s v="04/09/2019"/>
    <s v="JOSILENE MACENA DE OLIVEIRA"/>
    <s v="WENDELL FRANKLIN VIEIRA MAIA"/>
    <s v="WENDELL FRANKLIN VIEIRA MAIA"/>
    <x v="0"/>
    <x v="20"/>
    <x v="2"/>
    <s v="TECNICO MULTIFUNCIONAL"/>
    <x v="489"/>
    <x v="489"/>
    <x v="21"/>
    <x v="6"/>
    <x v="3"/>
    <x v="0"/>
    <x v="0"/>
  </r>
  <r>
    <x v="490"/>
    <n v="105302862"/>
    <s v="ATIVIDADE NORMAL"/>
    <s v="06/02/2019"/>
    <x v="2"/>
    <x v="20"/>
    <x v="2"/>
    <x v="16"/>
    <s v="Regional Pernambuco"/>
    <s v="João Pessoa"/>
    <s v="Tecnico de campo"/>
    <x v="1"/>
    <s v="CABISTA III"/>
    <s v="ATIVIDADE NORMAL"/>
    <s v="CGE"/>
    <s v="07656975489"/>
    <s v="04/09/2019"/>
    <s v="PAULO PEREIRA DA SILVA"/>
    <s v="EDERLINDO GONCALVES SOARES"/>
    <s v="WENDELL FRANKLIN VIEIRA MAIA"/>
    <x v="0"/>
    <x v="66"/>
    <x v="3"/>
    <s v="CABISTA III"/>
    <x v="490"/>
    <x v="490"/>
    <x v="57"/>
    <x v="10"/>
    <x v="3"/>
    <x v="0"/>
    <x v="1"/>
  </r>
  <r>
    <x v="491"/>
    <n v="101010062"/>
    <s v="ATIVIDADE NORMAL"/>
    <s v="27/03/2019"/>
    <x v="1"/>
    <x v="64"/>
    <x v="15"/>
    <x v="3"/>
    <s v="Regional Ceará"/>
    <s v="Capital Oeste Ceará"/>
    <s v="MultiSkill"/>
    <x v="9"/>
    <s v="TEC MULTIFUNCIONAL"/>
    <s v="ATIVIDADE NORMAL"/>
    <s v="CNO"/>
    <s v="03338461330"/>
    <s v="04/09/2019"/>
    <s v="ANTONIO ERINEUDES CAVALCANTE FEIJAO"/>
    <s v="JEFFERSON OLIVEIRA DA SILVA"/>
    <s v="JONILSON FELIPE VIEIRA"/>
    <x v="0"/>
    <x v="26"/>
    <x v="2"/>
    <s v="TECNICO MULTIFUNCIONAL"/>
    <x v="491"/>
    <x v="491"/>
    <x v="26"/>
    <x v="2"/>
    <x v="1"/>
    <x v="0"/>
    <x v="0"/>
  </r>
  <r>
    <x v="492"/>
    <n v="109505858"/>
    <s v="ATIVIDADE NORMAL"/>
    <s v="31/07/2019"/>
    <x v="0"/>
    <x v="6"/>
    <x v="6"/>
    <x v="6"/>
    <s v="Regional Pernambuco"/>
    <s v="Interior"/>
    <s v="MultiSkill"/>
    <x v="5"/>
    <s v="TEC MULTIFUNCIONAL"/>
    <s v="ATIVIDADE NORMAL"/>
    <s v="PTA"/>
    <s v="03341971475"/>
    <s v="04/09/2019"/>
    <s v="THIAGO DE LIMA PIRES RODRIGUES"/>
    <s v="DECIO FABIANO LOPES FERREIRA"/>
    <s v="NIVALDO DE OLIVEIRA SOARES"/>
    <x v="0"/>
    <x v="11"/>
    <x v="2"/>
    <s v="TECNICO MULTIFUNCIONAL"/>
    <x v="492"/>
    <x v="492"/>
    <x v="12"/>
    <x v="0"/>
    <x v="0"/>
    <x v="0"/>
    <x v="1"/>
  </r>
  <r>
    <x v="493"/>
    <n v="102101393"/>
    <s v="ATIVIDADE NORMAL"/>
    <s v="14/05/2018"/>
    <x v="3"/>
    <x v="62"/>
    <x v="6"/>
    <x v="19"/>
    <s v="Regional Pernambuco"/>
    <s v="Natal"/>
    <s v="Tecnico de campo"/>
    <x v="5"/>
    <s v="INSTALADOR TUP"/>
    <s v="ATIVIDADE NORMAL"/>
    <s v="NTN"/>
    <s v="03372016416"/>
    <s v="04/09/2019"/>
    <s v="SIDNEY MOURA FREIRE"/>
    <s v="REINILSON IGLESIAS JUNIOR"/>
    <s v="WENDELL FRANKLIN VIEIRA MAIA"/>
    <x v="0"/>
    <x v="23"/>
    <x v="6"/>
    <s v="INSTALADOR I"/>
    <x v="493"/>
    <x v="493"/>
    <x v="24"/>
    <x v="7"/>
    <x v="3"/>
    <x v="0"/>
    <x v="1"/>
  </r>
  <r>
    <x v="494"/>
    <n v="101005380"/>
    <s v="ATIVIDADE NORMAL"/>
    <s v="31/10/2018"/>
    <x v="1"/>
    <x v="19"/>
    <x v="6"/>
    <x v="15"/>
    <s v="Regional Ceará"/>
    <s v="Sobral"/>
    <s v="Tecnico de campo"/>
    <x v="5"/>
    <s v="INSTALADOR TUP"/>
    <s v="ATIVIDADE NORMAL"/>
    <s v="SOL"/>
    <s v="05718419370"/>
    <s v="04/09/2019"/>
    <s v="MARCILIO RIBEIRO DOS SANTOS"/>
    <s v="JEFFERSON OLIVEIRA DA SILVA"/>
    <s v="JONILSON FELIPE VIEIRA"/>
    <x v="0"/>
    <x v="19"/>
    <x v="6"/>
    <s v="INSTALADOR I"/>
    <x v="494"/>
    <x v="494"/>
    <x v="20"/>
    <x v="2"/>
    <x v="1"/>
    <x v="0"/>
    <x v="1"/>
  </r>
  <r>
    <x v="495"/>
    <n v="109000017"/>
    <s v="ATIVIDADE NORMAL"/>
    <s v="24/05/2019"/>
    <x v="0"/>
    <x v="68"/>
    <x v="2"/>
    <x v="10"/>
    <s v="Regional Pernambuco"/>
    <s v="Recife"/>
    <s v="Tecnico de campo"/>
    <x v="1"/>
    <s v="CABISTA I"/>
    <s v="ATIVIDADE NORMAL"/>
    <s v="PES"/>
    <s v="05807339479"/>
    <s v="04/09/2019"/>
    <s v="AMAURY ASSIS DE LIMA"/>
    <s v="DECIO FABIANO LOPES FERREIRA"/>
    <s v="NIVALDO DE OLIVEIRA SOARES"/>
    <x v="0"/>
    <x v="70"/>
    <x v="10"/>
    <s v="CABISTA I"/>
    <x v="495"/>
    <x v="495"/>
    <x v="15"/>
    <x v="0"/>
    <x v="0"/>
    <x v="0"/>
    <x v="1"/>
  </r>
  <r>
    <x v="496"/>
    <n v="109506172"/>
    <s v="ATIVIDADE NORMAL"/>
    <s v="16/06/2019"/>
    <x v="0"/>
    <x v="59"/>
    <x v="2"/>
    <x v="13"/>
    <s v="Regional Pernambuco"/>
    <s v="Recife"/>
    <s v="Tecnico de campo"/>
    <x v="1"/>
    <s v="CABISTA I"/>
    <s v="ATIVIDADE NORMAL"/>
    <s v="OES"/>
    <s v="05812152497"/>
    <s v="04/09/2019"/>
    <s v="MARCUS VINICIUS NEVES DE BRITO"/>
    <s v="DECIO FABIANO LOPES FERREIRA"/>
    <s v="NIVALDO DE OLIVEIRA SOARES"/>
    <x v="0"/>
    <x v="64"/>
    <x v="10"/>
    <s v="CABISTA I"/>
    <x v="496"/>
    <x v="496"/>
    <x v="54"/>
    <x v="0"/>
    <x v="0"/>
    <x v="0"/>
    <x v="1"/>
  </r>
  <r>
    <x v="497"/>
    <n v="102101642"/>
    <s v="ATIVIDADE NORMAL"/>
    <s v="06/05/2019"/>
    <x v="3"/>
    <x v="28"/>
    <x v="10"/>
    <x v="21"/>
    <s v="Regional Pernambuco"/>
    <s v="Natal"/>
    <s v="Tecnico de campo"/>
    <x v="4"/>
    <s v="TEC MULTIFUNCIONAL"/>
    <s v="ATIVIDADE NORMAL"/>
    <s v="NTS"/>
    <s v="05822635490"/>
    <s v="04/09/2019"/>
    <s v="WILSON CARLOS SILVEIRA LEIROS"/>
    <s v="REINILSON IGLESIAS JUNIOR"/>
    <s v="WENDELL FRANKLIN VIEIRA MAIA"/>
    <x v="0"/>
    <x v="51"/>
    <x v="2"/>
    <s v="TECNICO MULTIFUNCIONAL"/>
    <x v="497"/>
    <x v="497"/>
    <x v="28"/>
    <x v="7"/>
    <x v="3"/>
    <x v="0"/>
    <x v="0"/>
  </r>
  <r>
    <x v="498"/>
    <n v="109506174"/>
    <s v="ATIVIDADE NORMAL"/>
    <s v="07/02/2019"/>
    <x v="0"/>
    <x v="50"/>
    <x v="14"/>
    <x v="17"/>
    <s v="Regional Pernambuco"/>
    <s v="Interior"/>
    <s v="MultiSkill"/>
    <x v="4"/>
    <s v="TEC MULTIFUNCIONAL"/>
    <s v="ATIVIDADE NORMAL"/>
    <s v="GUS"/>
    <s v="07660259423"/>
    <s v="04/09/2019"/>
    <s v="ALYSSON HENRIQUE FERREIRA DE LUCENA"/>
    <s v="DECIO FABIANO LOPES FERREIRA"/>
    <s v="NIVALDO DE OLIVEIRA SOARES"/>
    <x v="0"/>
    <x v="21"/>
    <x v="2"/>
    <s v="TECNICO MULTIFUNCIONAL"/>
    <x v="498"/>
    <x v="498"/>
    <x v="55"/>
    <x v="0"/>
    <x v="0"/>
    <x v="0"/>
    <x v="0"/>
  </r>
  <r>
    <x v="499"/>
    <n v="101001488"/>
    <s v="ATIVIDADE NORMAL"/>
    <s v="25/06/2019"/>
    <x v="1"/>
    <x v="2"/>
    <x v="1"/>
    <x v="2"/>
    <s v="Regional Ceará"/>
    <s v="Capital Sul Ceará"/>
    <s v="MultiSkill"/>
    <x v="0"/>
    <s v="TEC MULTIFUNCIONAL"/>
    <s v="ATIVIDADE NORMAL"/>
    <s v="GCL"/>
    <s v="07699090357"/>
    <s v="04/09/2019"/>
    <s v="MICHEL SOARES DE OLIVEIRA"/>
    <s v="ANTONIO ROBEVANIO PINHEIRO"/>
    <s v="JONILSON FELIPE VIEIRA"/>
    <x v="0"/>
    <x v="50"/>
    <x v="1"/>
    <s v="TECNICO MULTIFUNCIONAL"/>
    <x v="499"/>
    <x v="499"/>
    <x v="2"/>
    <x v="1"/>
    <x v="1"/>
    <x v="0"/>
    <x v="0"/>
  </r>
  <r>
    <x v="500"/>
    <n v="105303207"/>
    <s v="ATIVIDADE NORMAL"/>
    <s v="31/07/2019"/>
    <x v="2"/>
    <x v="34"/>
    <x v="15"/>
    <x v="12"/>
    <s v="Regional Pernambuco"/>
    <s v="João Pessoa"/>
    <s v="Tecnico de campo"/>
    <x v="9"/>
    <s v="INSTALADOR DTH"/>
    <s v="ATIVIDADE NORMAL"/>
    <s v="JPA"/>
    <s v="07776988464"/>
    <s v="04/09/2019"/>
    <s v="RAFAEL FERNANDES MATIAS"/>
    <s v="WENDELL FRANKLIN VIEIRA MAIA"/>
    <s v="WENDELL FRANKLIN VIEIRA MAIA"/>
    <x v="0"/>
    <x v="25"/>
    <x v="11"/>
    <s v="INSTALADOR DTH"/>
    <x v="500"/>
    <x v="500"/>
    <x v="44"/>
    <x v="6"/>
    <x v="3"/>
    <x v="0"/>
    <x v="0"/>
  </r>
  <r>
    <x v="501"/>
    <n v="109000119"/>
    <s v="ATIVIDADE NORMAL"/>
    <s v="27/06/2019"/>
    <x v="0"/>
    <x v="25"/>
    <x v="2"/>
    <x v="10"/>
    <s v="Regional Pernambuco"/>
    <s v="Recife"/>
    <s v="Tecnico de campo"/>
    <x v="1"/>
    <s v="CABISTA I"/>
    <s v="ATIVIDADE NORMAL"/>
    <s v="PES"/>
    <s v="07824429431"/>
    <s v="04/09/2019"/>
    <s v="AMARILDO GOMES DE MELO"/>
    <s v="MARCOS DE OLIVEIRA STEHLING"/>
    <s v="NIVALDO DE OLIVEIRA SOARES"/>
    <x v="0"/>
    <x v="71"/>
    <x v="3"/>
    <s v="CABISTA I"/>
    <x v="501"/>
    <x v="501"/>
    <x v="60"/>
    <x v="3"/>
    <x v="0"/>
    <x v="0"/>
    <x v="1"/>
  </r>
  <r>
    <x v="502"/>
    <n v="105303124"/>
    <s v="ATIVIDADE NORMAL"/>
    <s v="24/03/2019"/>
    <x v="0"/>
    <x v="60"/>
    <x v="10"/>
    <x v="14"/>
    <s v="Regional Pernambuco"/>
    <s v="Recife"/>
    <s v="Tecnico de campo"/>
    <x v="4"/>
    <s v="TEC MULTIFUNCIONAL"/>
    <s v="ATIVIDADE NORMAL"/>
    <s v="NOR"/>
    <s v="07895215477"/>
    <s v="04/09/2019"/>
    <s v="GENELSON AUGUSTO ALIXANDRE"/>
    <s v="CARLOS EDUARDO DE ALBUQUERQUE MEIRA"/>
    <s v="HEBERT JONES SOUTO ARAUJO"/>
    <x v="0"/>
    <x v="31"/>
    <x v="12"/>
    <s v="TECNICO MULTIFUNCIONAL"/>
    <x v="502"/>
    <x v="502"/>
    <x v="63"/>
    <x v="12"/>
    <x v="5"/>
    <x v="0"/>
    <x v="0"/>
  </r>
  <r>
    <x v="503"/>
    <n v="105303208"/>
    <s v="ATIVIDADE NORMAL"/>
    <s v="03/06/2019"/>
    <x v="2"/>
    <x v="15"/>
    <x v="5"/>
    <x v="12"/>
    <s v="Regional Pernambuco"/>
    <s v="João Pessoa"/>
    <s v="MultiSkill"/>
    <x v="4"/>
    <s v="TEC MULTIFUNCIONAL"/>
    <s v="ATIVIDADE NORMAL"/>
    <s v="JPA"/>
    <s v="07964052470"/>
    <s v="04/09/2019"/>
    <s v="FERNANDO ANTONIO PORTO DE FREITAS"/>
    <s v="WENDELL FRANKLIN VIEIRA MAIA"/>
    <s v="WENDELL FRANKLIN VIEIRA MAIA"/>
    <x v="0"/>
    <x v="72"/>
    <x v="2"/>
    <s v="TECNICO MULTIFUNCIONAL"/>
    <x v="503"/>
    <x v="503"/>
    <x v="16"/>
    <x v="6"/>
    <x v="3"/>
    <x v="0"/>
    <x v="0"/>
  </r>
  <r>
    <x v="504"/>
    <n v="109000340"/>
    <s v="ATIVIDADE NORMAL"/>
    <s v="16/01/2019"/>
    <x v="0"/>
    <x v="21"/>
    <x v="6"/>
    <x v="17"/>
    <s v="Regional Pernambuco"/>
    <s v="Interior"/>
    <s v="Equipe SWAT"/>
    <x v="5"/>
    <s v="INSTALADOR"/>
    <s v="ATIVIDADE NORMAL"/>
    <s v="GUS"/>
    <s v="05837988459"/>
    <s v="04/09/2019"/>
    <s v="AILTON JOSE DOS SANTOS"/>
    <s v="DECIO FABIANO LOPES FERREIRA"/>
    <s v="NIVALDO DE OLIVEIRA SOARES"/>
    <x v="0"/>
    <x v="21"/>
    <x v="6"/>
    <s v="INSTALADOR I"/>
    <x v="504"/>
    <x v="504"/>
    <x v="22"/>
    <x v="0"/>
    <x v="0"/>
    <x v="0"/>
    <x v="1"/>
  </r>
  <r>
    <x v="505"/>
    <n v="101010666"/>
    <s v="ATIVIDADE NORMAL"/>
    <s v="01/02/2019"/>
    <x v="1"/>
    <x v="64"/>
    <x v="2"/>
    <x v="3"/>
    <s v="Regional Ceará"/>
    <s v="Capital Oeste Ceará"/>
    <s v="Tecnico de campo"/>
    <x v="1"/>
    <s v="TEC FIBRA OPTICA I"/>
    <s v="ATIVIDADE NORMAL"/>
    <s v="CNO"/>
    <s v="05868365356"/>
    <s v="04/09/2019"/>
    <s v="JOSE MARDEM RIBEIRO NOGUEIRA"/>
    <s v="CRISTIANO ADOLFO TORRES SAMPAIO"/>
    <s v="JESSE GONCALVES PASSOS DE LIMA"/>
    <x v="0"/>
    <x v="79"/>
    <x v="5"/>
    <s v="TECNICO FIBRA OPTICA"/>
    <x v="505"/>
    <x v="505"/>
    <x v="67"/>
    <x v="5"/>
    <x v="2"/>
    <x v="0"/>
    <x v="1"/>
  </r>
  <r>
    <x v="506"/>
    <n v="101010821"/>
    <s v="ATIVIDADE NORMAL"/>
    <s v="25/06/2019"/>
    <x v="1"/>
    <x v="3"/>
    <x v="1"/>
    <x v="3"/>
    <s v="Regional Ceará"/>
    <s v="Capital Oeste Ceará"/>
    <s v="Tecnico de campo"/>
    <x v="0"/>
    <s v="TEC MULTIFUNCIONAL"/>
    <s v="ATIVIDADE NORMAL"/>
    <s v="CNO"/>
    <s v="05903174310"/>
    <s v="04/09/2019"/>
    <s v="THIAGO SILVA DE OLIVEIRA"/>
    <s v="ANTONIO ROBEVANIO PINHEIRO"/>
    <s v="JONILSON FELIPE VIEIRA"/>
    <x v="0"/>
    <x v="3"/>
    <x v="1"/>
    <s v="TECNICO MULTIFUNCIONAL"/>
    <x v="506"/>
    <x v="506"/>
    <x v="4"/>
    <x v="1"/>
    <x v="1"/>
    <x v="0"/>
    <x v="0"/>
  </r>
  <r>
    <x v="507"/>
    <n v="101008003"/>
    <s v="ATIVIDADE NORMAL"/>
    <s v="25/06/2019"/>
    <x v="1"/>
    <x v="1"/>
    <x v="1"/>
    <x v="1"/>
    <s v="Regional Ceará"/>
    <s v="Capital Sul Ceará"/>
    <s v="MultiSkill"/>
    <x v="0"/>
    <s v="TEC MULTIFUNCIONAL"/>
    <s v="ATIVIDADE NORMAL"/>
    <s v="GCS - FTTH"/>
    <s v="05904739303"/>
    <s v="04/09/2019"/>
    <s v="NILO WEBER RAMOS RIBEIRO"/>
    <s v="ANTONIO ROBEVANIO PINHEIRO"/>
    <s v="JONILSON FELIPE VIEIRA"/>
    <x v="0"/>
    <x v="61"/>
    <x v="1"/>
    <s v="TECNICO MULTIFUNCIONAL"/>
    <x v="507"/>
    <x v="507"/>
    <x v="3"/>
    <x v="1"/>
    <x v="1"/>
    <x v="0"/>
    <x v="0"/>
  </r>
  <r>
    <x v="508"/>
    <n v="109000427"/>
    <s v="ATIVIDADE NORMAL"/>
    <s v="07/07/2019"/>
    <x v="0"/>
    <x v="35"/>
    <x v="2"/>
    <x v="14"/>
    <s v="Regional Pernambuco"/>
    <s v="Recife"/>
    <s v="Tecnico de campo"/>
    <x v="1"/>
    <s v="LIDER DE OBRAS"/>
    <s v="ATIVIDADE NORMAL"/>
    <s v="NOR"/>
    <s v="05916462425"/>
    <s v="04/09/2019"/>
    <s v="HAMILTON DAVINO DA SILVA"/>
    <s v="MARCOS DE OLIVEIRA STEHLING"/>
    <s v="NIVALDO DE OLIVEIRA SOARES"/>
    <x v="0"/>
    <x v="6"/>
    <x v="3"/>
    <s v="LIDER DE OBRAS"/>
    <x v="508"/>
    <x v="508"/>
    <x v="7"/>
    <x v="3"/>
    <x v="0"/>
    <x v="0"/>
    <x v="1"/>
  </r>
  <r>
    <x v="509"/>
    <n v="105303208"/>
    <s v="ATIVIDADE NORMAL"/>
    <s v="03/04/2019"/>
    <x v="2"/>
    <x v="15"/>
    <x v="4"/>
    <x v="12"/>
    <s v="Regional Pernambuco"/>
    <s v="João Pessoa"/>
    <s v="MultiSkill"/>
    <x v="3"/>
    <s v="TEC MULTIFUNCIONAL"/>
    <s v="ATIVIDADE NORMAL"/>
    <s v="JPA"/>
    <s v="05968066474"/>
    <s v="04/09/2019"/>
    <s v="FERNANDO ANTONIO PORTO DE FREITAS"/>
    <s v="WENDELL FRANKLIN VIEIRA MAIA"/>
    <s v="WENDELL FRANKLIN VIEIRA MAIA"/>
    <x v="0"/>
    <x v="72"/>
    <x v="2"/>
    <s v="TECNICO MULTIFUNCIONAL"/>
    <x v="509"/>
    <x v="509"/>
    <x v="16"/>
    <x v="6"/>
    <x v="3"/>
    <x v="0"/>
    <x v="0"/>
  </r>
  <r>
    <x v="510"/>
    <n v="109504012"/>
    <s v="FERIAS NORMAIS"/>
    <s v="19/08/2019"/>
    <x v="2"/>
    <x v="42"/>
    <x v="6"/>
    <x v="12"/>
    <s v="Regional Pernambuco"/>
    <s v="João Pessoa"/>
    <s v="Tecnico de campo"/>
    <x v="5"/>
    <s v="INSTALADOR TUP"/>
    <s v="FERIAS NORMAIS"/>
    <s v="JPA"/>
    <s v="07968867410"/>
    <s v="04/09/2019"/>
    <s v="FRANCISCO JOSE DIAS DA SILVA"/>
    <s v="WENDELL FRANKLIN VIEIRA MAIA"/>
    <s v="WENDELL FRANKLIN VIEIRA MAIA"/>
    <x v="1"/>
    <x v="25"/>
    <x v="6"/>
    <s v="INSTALADOR I"/>
    <x v="510"/>
    <x v="510"/>
    <x v="25"/>
    <x v="6"/>
    <x v="3"/>
    <x v="1"/>
    <x v="1"/>
  </r>
  <r>
    <x v="511"/>
    <n v="109000017"/>
    <s v="ATIVIDADE NORMAL"/>
    <s v="04/06/2019"/>
    <x v="0"/>
    <x v="56"/>
    <x v="10"/>
    <x v="10"/>
    <s v="Regional Pernambuco"/>
    <s v="Recife"/>
    <s v="MultiSkill"/>
    <x v="4"/>
    <s v="TEC MULTIFUNCIONAL"/>
    <s v="ATIVIDADE NORMAL"/>
    <s v="PES"/>
    <s v="08002247442"/>
    <s v="04/09/2019"/>
    <s v="AMAURY ASSIS DE LIMA"/>
    <s v="DECIO FABIANO LOPES FERREIRA"/>
    <s v="NIVALDO DE OLIVEIRA SOARES"/>
    <x v="0"/>
    <x v="70"/>
    <x v="2"/>
    <s v="TECNICO MULTIFUNCIONAL"/>
    <x v="511"/>
    <x v="511"/>
    <x v="15"/>
    <x v="0"/>
    <x v="0"/>
    <x v="0"/>
    <x v="0"/>
  </r>
  <r>
    <x v="512"/>
    <n v="109505049"/>
    <s v="ATIVIDADE NORMAL"/>
    <s v="23/11/2018"/>
    <x v="0"/>
    <x v="51"/>
    <x v="0"/>
    <x v="14"/>
    <s v="Regional Pernambuco"/>
    <s v="Recife"/>
    <s v="MultiSkill"/>
    <x v="0"/>
    <s v="TEC MULTIFUNCIONAL"/>
    <s v="ATIVIDADE NORMAL"/>
    <s v="NOR"/>
    <s v="08106454401"/>
    <s v="04/09/2019"/>
    <s v="RAMSES DE ANDRADE MACHADO RODRIGUES LAVRA"/>
    <s v="BRUNO VINICIUS DE ALBERTINS ALVES"/>
    <s v="NIVALDO DE OLIVEIRA SOARES"/>
    <x v="0"/>
    <x v="57"/>
    <x v="1"/>
    <s v="TECNICO MULTIFUNCIONAL"/>
    <x v="512"/>
    <x v="512"/>
    <x v="48"/>
    <x v="9"/>
    <x v="0"/>
    <x v="0"/>
    <x v="0"/>
  </r>
  <r>
    <x v="513"/>
    <n v="109505049"/>
    <s v="ATIVIDADE NORMAL"/>
    <s v="23/11/2018"/>
    <x v="0"/>
    <x v="51"/>
    <x v="0"/>
    <x v="14"/>
    <s v="Regional Pernambuco"/>
    <s v="Recife"/>
    <s v="MultiSkill"/>
    <x v="0"/>
    <s v="TEC MULTIFUNCIONAL"/>
    <s v="ATIVIDADE NORMAL"/>
    <s v="NOR"/>
    <s v="08148662479"/>
    <s v="04/09/2019"/>
    <s v="RAMSES DE ANDRADE MACHADO RODRIGUES LAVRA"/>
    <s v="BRUNO VINICIUS DE ALBERTINS ALVES"/>
    <s v="NIVALDO DE OLIVEIRA SOARES"/>
    <x v="0"/>
    <x v="57"/>
    <x v="1"/>
    <s v="TECNICO MULTIFUNCIONAL"/>
    <x v="513"/>
    <x v="513"/>
    <x v="48"/>
    <x v="9"/>
    <x v="0"/>
    <x v="0"/>
    <x v="0"/>
  </r>
  <r>
    <x v="514"/>
    <n v="109501286"/>
    <s v="ATIVIDADE NORMAL"/>
    <s v="16/03/2018"/>
    <x v="0"/>
    <x v="30"/>
    <x v="3"/>
    <x v="13"/>
    <s v="Regional Pernambuco"/>
    <s v="Recife"/>
    <s v="Tecnico de campo"/>
    <x v="2"/>
    <s v="TEC MULTIFUNCIONAL"/>
    <s v="ATIVIDADE NORMAL"/>
    <s v="OES"/>
    <s v="08188864471"/>
    <s v="04/09/2019"/>
    <s v="JOSE HENRIQUE NEGRAO DE MEDEIROS"/>
    <s v="DECIO FABIANO LOPES FERREIRA"/>
    <s v="NIVALDO DE OLIVEIRA SOARES"/>
    <x v="0"/>
    <x v="37"/>
    <x v="2"/>
    <s v="TECNICO MULTIFUNCIONAL"/>
    <x v="514"/>
    <x v="514"/>
    <x v="34"/>
    <x v="0"/>
    <x v="0"/>
    <x v="0"/>
    <x v="0"/>
  </r>
  <r>
    <x v="515"/>
    <n v="102101634"/>
    <s v="ATIVIDADE NORMAL"/>
    <s v="19/11/2018"/>
    <x v="3"/>
    <x v="62"/>
    <x v="15"/>
    <x v="19"/>
    <s v="Regional Pernambuco"/>
    <s v="Natal"/>
    <s v="MultiSkill"/>
    <x v="9"/>
    <s v="TEC MULTIFUNCIONAL"/>
    <s v="ATIVIDADE NORMAL"/>
    <s v="NTN"/>
    <s v="08195264441"/>
    <s v="04/09/2019"/>
    <s v="FABIO BATISTA DA SILVA"/>
    <s v="REINILSON IGLESIAS JUNIOR"/>
    <s v="WENDELL FRANKLIN VIEIRA MAIA"/>
    <x v="0"/>
    <x v="30"/>
    <x v="2"/>
    <s v="TECNICO MULTIFUNCIONAL"/>
    <x v="515"/>
    <x v="515"/>
    <x v="29"/>
    <x v="7"/>
    <x v="3"/>
    <x v="0"/>
    <x v="0"/>
  </r>
  <r>
    <x v="516"/>
    <n v="109506091"/>
    <s v="FERIAS NORMAIS"/>
    <s v="02/09/2019"/>
    <x v="0"/>
    <x v="35"/>
    <x v="11"/>
    <x v="14"/>
    <s v="Regional Pernambuco"/>
    <s v="Recife"/>
    <s v="MultiSkill"/>
    <x v="1"/>
    <s v="TEC MULTIFUNCIONAL"/>
    <s v="FERIAS NORMAIS"/>
    <s v="NOR"/>
    <s v="06127772435"/>
    <s v="04/09/2019"/>
    <s v="LUIZ RICARDO LIMA DA SILVA"/>
    <s v="BRUNO VINICIUS DE ALBERTINS ALVES"/>
    <s v="NIVALDO DE OLIVEIRA SOARES"/>
    <x v="1"/>
    <x v="38"/>
    <x v="2"/>
    <s v="TECNICO MULTIFUNCIONAL"/>
    <x v="516"/>
    <x v="516"/>
    <x v="49"/>
    <x v="9"/>
    <x v="0"/>
    <x v="1"/>
    <x v="1"/>
  </r>
  <r>
    <x v="517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06144337466"/>
    <s v="04/09/2019"/>
    <s v="RAMSES DE ANDRADE MACHADO RODRIGUES LAVRA"/>
    <s v="BRUNO VINICIUS DE ALBERTINS ALVES"/>
    <s v="NIVALDO DE OLIVEIRA SOARES"/>
    <x v="0"/>
    <x v="57"/>
    <x v="1"/>
    <s v="TECNICO MULTIFUNCIONAL"/>
    <x v="517"/>
    <x v="517"/>
    <x v="48"/>
    <x v="9"/>
    <x v="0"/>
    <x v="0"/>
    <x v="0"/>
  </r>
  <r>
    <x v="518"/>
    <n v="102101634"/>
    <s v="ATIVIDADE NORMAL"/>
    <s v="31/07/2019"/>
    <x v="3"/>
    <x v="29"/>
    <x v="13"/>
    <x v="19"/>
    <s v="Regional Pernambuco"/>
    <s v="Natal"/>
    <s v="Tecnico de campo"/>
    <x v="8"/>
    <s v="OP DG"/>
    <s v="ATIVIDADE NORMAL"/>
    <s v="NTN"/>
    <s v="06150382478"/>
    <s v="04/09/2019"/>
    <s v="FABIO BATISTA DA SILVA"/>
    <s v="REINILSON IGLESIAS JUNIOR"/>
    <s v="WENDELL FRANKLIN VIEIRA MAIA"/>
    <x v="1"/>
    <x v="51"/>
    <x v="9"/>
    <s v="OPERADOR"/>
    <x v="518"/>
    <x v="518"/>
    <x v="29"/>
    <x v="7"/>
    <x v="3"/>
    <x v="0"/>
    <x v="1"/>
  </r>
  <r>
    <x v="519"/>
    <n v="109505049"/>
    <s v="ATIVIDADE NORMAL"/>
    <s v="19/12/2018"/>
    <x v="0"/>
    <x v="51"/>
    <x v="0"/>
    <x v="14"/>
    <s v="Regional Pernambuco"/>
    <s v="Recife"/>
    <s v="MultiSkill"/>
    <x v="0"/>
    <s v="TEC MULTIFUNCIONAL"/>
    <s v="ATIVIDADE NORMAL"/>
    <s v="NOR"/>
    <s v="06215999482"/>
    <s v="04/09/2019"/>
    <s v="RAMSES DE ANDRADE MACHADO RODRIGUES LAVRA"/>
    <s v="BRUNO VINICIUS DE ALBERTINS ALVES"/>
    <s v="NIVALDO DE OLIVEIRA SOARES"/>
    <x v="0"/>
    <x v="57"/>
    <x v="1"/>
    <s v="TECNICO MULTIFUNCIONAL"/>
    <x v="519"/>
    <x v="519"/>
    <x v="48"/>
    <x v="9"/>
    <x v="0"/>
    <x v="0"/>
    <x v="0"/>
  </r>
  <r>
    <x v="520"/>
    <n v="102101393"/>
    <s v="ATIVIDADE NORMAL"/>
    <s v="03/07/2019"/>
    <x v="3"/>
    <x v="22"/>
    <x v="6"/>
    <x v="18"/>
    <s v="Regional Pernambuco"/>
    <s v="Natal"/>
    <s v="Tecnico de campo"/>
    <x v="5"/>
    <s v="INSTALADOR TUP"/>
    <s v="ATIVIDADE NORMAL"/>
    <s v="RNS"/>
    <s v="06331156496"/>
    <s v="04/09/2019"/>
    <s v="SIDNEY MOURA FREIRE"/>
    <s v="REINILSON IGLESIAS JUNIOR"/>
    <s v="WENDELL FRANKLIN VIEIRA MAIA"/>
    <x v="0"/>
    <x v="23"/>
    <x v="6"/>
    <s v="INSTALADOR I"/>
    <x v="520"/>
    <x v="520"/>
    <x v="24"/>
    <x v="7"/>
    <x v="3"/>
    <x v="0"/>
    <x v="1"/>
  </r>
  <r>
    <x v="521"/>
    <n v="102101187"/>
    <s v="ATIVIDADE NORMAL"/>
    <s v="05/06/2019"/>
    <x v="3"/>
    <x v="66"/>
    <x v="2"/>
    <x v="21"/>
    <s v="Regional Pernambuco"/>
    <s v="Natal"/>
    <s v="Tecnico de campo"/>
    <x v="1"/>
    <s v="CABISTA I"/>
    <s v="ATIVIDADE NORMAL"/>
    <s v="NTS"/>
    <s v="06375706424"/>
    <s v="04/09/2019"/>
    <s v="ALEXANDRE ONASSIS BATISTA DE ANDRADE"/>
    <s v="EDERLINDO GONCALVES SOARES"/>
    <s v="WENDELL FRANKLIN VIEIRA MAIA"/>
    <x v="0"/>
    <x v="80"/>
    <x v="3"/>
    <s v="CABISTA I"/>
    <x v="521"/>
    <x v="521"/>
    <x v="68"/>
    <x v="10"/>
    <x v="3"/>
    <x v="0"/>
    <x v="1"/>
  </r>
  <r>
    <x v="522"/>
    <n v="101010666"/>
    <s v="ATIVIDADE NORMAL"/>
    <s v="02/01/2019"/>
    <x v="1"/>
    <x v="57"/>
    <x v="2"/>
    <x v="4"/>
    <s v="Regional Ceará"/>
    <s v="Capital Oeste Ceará"/>
    <s v="Tecnico de campo"/>
    <x v="1"/>
    <s v="AUX TECNICO DE FIBRA OPTICA"/>
    <s v="ATIVIDADE NORMAL"/>
    <s v="COO"/>
    <s v="06387203384"/>
    <s v="04/09/2019"/>
    <s v="JOSE MARDEM RIBEIRO NOGUEIRA"/>
    <s v="CRISTIANO ADOLFO TORRES SAMPAIO"/>
    <s v="JESSE GONCALVES PASSOS DE LIMA"/>
    <x v="0"/>
    <x v="81"/>
    <x v="5"/>
    <s v="AUXILIAR FIBRA OPTICA"/>
    <x v="522"/>
    <x v="522"/>
    <x v="67"/>
    <x v="5"/>
    <x v="2"/>
    <x v="0"/>
    <x v="1"/>
  </r>
  <r>
    <x v="523"/>
    <n v="102002917"/>
    <s v="FERIAS NORMAIS"/>
    <s v="02/09/2019"/>
    <x v="3"/>
    <x v="23"/>
    <x v="10"/>
    <x v="18"/>
    <s v="Regional Pernambuco"/>
    <s v="Natal"/>
    <s v="MultiSkill"/>
    <x v="4"/>
    <s v="TEC MULTIFUNCIONAL"/>
    <s v="FERIAS NORMAIS"/>
    <s v="RNS"/>
    <s v="06406131444"/>
    <s v="04/09/2019"/>
    <s v="RICELE DA SILVA NASCIMENTO"/>
    <s v="REINILSON IGLESIAS JUNIOR"/>
    <s v="WENDELL FRANKLIN VIEIRA MAIA"/>
    <x v="1"/>
    <x v="29"/>
    <x v="2"/>
    <s v="TECNICO MULTIFUNCIONAL"/>
    <x v="523"/>
    <x v="523"/>
    <x v="51"/>
    <x v="7"/>
    <x v="3"/>
    <x v="1"/>
    <x v="0"/>
  </r>
  <r>
    <x v="524"/>
    <n v="102101393"/>
    <s v="ATIVIDADE NORMAL"/>
    <s v="31/07/2019"/>
    <x v="3"/>
    <x v="24"/>
    <x v="2"/>
    <x v="19"/>
    <s v="Regional Pernambuco"/>
    <s v="Natal"/>
    <s v="Equipe SWAT"/>
    <x v="1"/>
    <s v="CABISTA II"/>
    <s v="ATIVIDADE NORMAL"/>
    <s v="NTN"/>
    <s v="06435207836"/>
    <s v="04/09/2019"/>
    <s v="SIDNEY MOURA FREIRE"/>
    <s v="REINILSON IGLESIAS JUNIOR"/>
    <s v="WENDELL FRANKLIN VIEIRA MAIA"/>
    <x v="0"/>
    <x v="27"/>
    <x v="10"/>
    <s v="CABISTA II"/>
    <x v="524"/>
    <x v="524"/>
    <x v="24"/>
    <x v="7"/>
    <x v="3"/>
    <x v="0"/>
    <x v="1"/>
  </r>
  <r>
    <x v="525"/>
    <n v="101008003"/>
    <s v="ATIVIDADE NORMAL"/>
    <s v="18/10/2018"/>
    <x v="1"/>
    <x v="4"/>
    <x v="0"/>
    <x v="4"/>
    <s v="Regional Ceará"/>
    <s v="Capital Oeste Ceará"/>
    <s v="Tecnico de campo"/>
    <x v="0"/>
    <s v="TEC MULTIFUNCIONAL"/>
    <s v="ATIVIDADE NORMAL"/>
    <s v="COO"/>
    <s v="06452376390"/>
    <s v="04/09/2019"/>
    <s v="NILO WEBER RAMOS RIBEIRO"/>
    <s v="ANTONIO ROBEVANIO PINHEIRO"/>
    <s v="JONILSON FELIPE VIEIRA"/>
    <x v="0"/>
    <x v="54"/>
    <x v="1"/>
    <s v="TECNICO MULTIFUNCIONAL"/>
    <x v="525"/>
    <x v="525"/>
    <x v="3"/>
    <x v="1"/>
    <x v="1"/>
    <x v="0"/>
    <x v="0"/>
  </r>
  <r>
    <x v="526"/>
    <n v="109504534"/>
    <s v="ATIVIDADE NORMAL"/>
    <s v="01/05/2019"/>
    <x v="0"/>
    <x v="44"/>
    <x v="2"/>
    <x v="7"/>
    <s v="Regional Pernambuco"/>
    <s v="Recife"/>
    <s v="Tecnico de campo"/>
    <x v="1"/>
    <s v="CABISTA I"/>
    <s v="ATIVIDADE NORMAL"/>
    <s v="LES"/>
    <s v="06456765439"/>
    <s v="04/09/2019"/>
    <s v="EDSON CARLOS BARBOSA JUNIOR"/>
    <s v="MARCOS DE OLIVEIRA STEHLING"/>
    <s v="NIVALDO DE OLIVEIRA SOARES"/>
    <x v="0"/>
    <x v="7"/>
    <x v="3"/>
    <s v="CABISTA I"/>
    <x v="526"/>
    <x v="526"/>
    <x v="8"/>
    <x v="3"/>
    <x v="0"/>
    <x v="0"/>
    <x v="1"/>
  </r>
  <r>
    <x v="527"/>
    <n v="102101642"/>
    <s v="ATIVIDADE NORMAL"/>
    <s v="10/10/2018"/>
    <x v="3"/>
    <x v="24"/>
    <x v="10"/>
    <x v="19"/>
    <s v="Regional Pernambuco"/>
    <s v="Natal"/>
    <s v="MultiSkill"/>
    <x v="4"/>
    <s v="TEC MULTIFUNCIONAL"/>
    <s v="ATIVIDADE NORMAL"/>
    <s v="NTN"/>
    <s v="06507502413"/>
    <s v="04/09/2019"/>
    <s v="WILSON CARLOS SILVEIRA LEIROS"/>
    <s v="REINILSON IGLESIAS JUNIOR"/>
    <s v="WENDELL FRANKLIN VIEIRA MAIA"/>
    <x v="0"/>
    <x v="51"/>
    <x v="2"/>
    <s v="TECNICO MULTIFUNCIONAL"/>
    <x v="527"/>
    <x v="527"/>
    <x v="28"/>
    <x v="7"/>
    <x v="3"/>
    <x v="0"/>
    <x v="0"/>
  </r>
  <r>
    <x v="528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06630331443"/>
    <s v="04/09/2019"/>
    <s v="RAMSES DE ANDRADE MACHADO RODRIGUES LAVRA"/>
    <s v="BRUNO VINICIUS DE ALBERTINS ALVES"/>
    <s v="NIVALDO DE OLIVEIRA SOARES"/>
    <x v="0"/>
    <x v="57"/>
    <x v="1"/>
    <s v="TECNICO MULTIFUNCIONAL"/>
    <x v="528"/>
    <x v="528"/>
    <x v="48"/>
    <x v="9"/>
    <x v="0"/>
    <x v="0"/>
    <x v="0"/>
  </r>
  <r>
    <x v="529"/>
    <n v="109505049"/>
    <s v="ATIVIDADE NORMAL"/>
    <s v="23/11/2018"/>
    <x v="0"/>
    <x v="51"/>
    <x v="0"/>
    <x v="14"/>
    <s v="Regional Pernambuco"/>
    <s v="Recife"/>
    <s v="MultiSkill"/>
    <x v="0"/>
    <s v="TEC MULTIFUNCIONAL"/>
    <s v="ATIVIDADE NORMAL"/>
    <s v="NOR"/>
    <s v="06638060465"/>
    <s v="04/09/2019"/>
    <s v="RAMSES DE ANDRADE MACHADO RODRIGUES LAVRA"/>
    <s v="BRUNO VINICIUS DE ALBERTINS ALVES"/>
    <s v="NIVALDO DE OLIVEIRA SOARES"/>
    <x v="0"/>
    <x v="57"/>
    <x v="1"/>
    <s v="TECNICO MULTIFUNCIONAL"/>
    <x v="529"/>
    <x v="529"/>
    <x v="48"/>
    <x v="9"/>
    <x v="0"/>
    <x v="0"/>
    <x v="0"/>
  </r>
  <r>
    <x v="530"/>
    <n v="109500177"/>
    <s v="ATIVIDADE NORMAL"/>
    <s v="05/06/2019"/>
    <x v="0"/>
    <x v="18"/>
    <x v="2"/>
    <x v="14"/>
    <s v="Regional Pernambuco"/>
    <s v="Recife"/>
    <s v="Tecnico de campo"/>
    <x v="1"/>
    <s v="TEC MULTIFUNCIONAL"/>
    <s v="ATIVIDADE NORMAL"/>
    <s v="NOR"/>
    <s v="06672622454"/>
    <s v="04/09/2019"/>
    <s v="JOSUEL FERREIRA DE BRITO"/>
    <s v="BRUNO VINICIUS DE ALBERTINS ALVES"/>
    <s v="NIVALDO DE OLIVEIRA SOARES"/>
    <x v="0"/>
    <x v="31"/>
    <x v="12"/>
    <s v="TECNICO MULTIFUNCIONAL"/>
    <x v="530"/>
    <x v="530"/>
    <x v="36"/>
    <x v="9"/>
    <x v="0"/>
    <x v="0"/>
    <x v="1"/>
  </r>
  <r>
    <x v="531"/>
    <n v="102101634"/>
    <s v="ATIVIDADE NORMAL"/>
    <s v="19/05/2019"/>
    <x v="3"/>
    <x v="29"/>
    <x v="10"/>
    <x v="19"/>
    <s v="Regional Pernambuco"/>
    <s v="Natal"/>
    <s v="MultiSkill"/>
    <x v="4"/>
    <s v="TEC MULTIFUNCIONAL"/>
    <s v="ATIVIDADE NORMAL"/>
    <s v="NTN"/>
    <s v="06720909452"/>
    <s v="04/09/2019"/>
    <s v="FABIO BATISTA DA SILVA"/>
    <s v="REINILSON IGLESIAS JUNIOR"/>
    <s v="WENDELL FRANKLIN VIEIRA MAIA"/>
    <x v="0"/>
    <x v="30"/>
    <x v="2"/>
    <s v="TECNICO MULTIFUNCIONAL"/>
    <x v="531"/>
    <x v="531"/>
    <x v="29"/>
    <x v="7"/>
    <x v="3"/>
    <x v="0"/>
    <x v="0"/>
  </r>
  <r>
    <x v="532"/>
    <n v="105000985"/>
    <s v="FERIAS NORMAIS"/>
    <s v="19/08/2019"/>
    <x v="2"/>
    <x v="61"/>
    <x v="15"/>
    <x v="24"/>
    <s v="Regional Pernambuco"/>
    <s v="João Pessoa"/>
    <s v="Tecnico de campo"/>
    <x v="9"/>
    <s v="INSTALADOR DTH"/>
    <s v="FERIAS NORMAIS"/>
    <s v="POS"/>
    <s v="06734757439"/>
    <s v="04/09/2019"/>
    <s v="STANLEY MEDEIROS WANDERLEY"/>
    <s v="WENDELL FRANKLIN VIEIRA MAIA"/>
    <s v="WENDELL FRANKLIN VIEIRA MAIA"/>
    <x v="1"/>
    <x v="67"/>
    <x v="11"/>
    <s v="INSTALADOR DTH"/>
    <x v="532"/>
    <x v="532"/>
    <x v="58"/>
    <x v="6"/>
    <x v="3"/>
    <x v="1"/>
    <x v="0"/>
  </r>
  <r>
    <x v="533"/>
    <n v="321454"/>
    <s v="FERIAS NORMAIS"/>
    <s v="02/09/2019"/>
    <x v="3"/>
    <x v="66"/>
    <x v="11"/>
    <x v="21"/>
    <s v="Regional Pernambuco"/>
    <s v="Natal"/>
    <s v="MultiSkill"/>
    <x v="1"/>
    <s v="AUDITOR DE CAMPO"/>
    <s v="FERIAS NORMAIS"/>
    <s v="NTS"/>
    <s v="06763984480"/>
    <s v="04/09/2019"/>
    <s v="RODRIGO ALBUQUERQUE DA SILVA"/>
    <s v="RODRIGO ALBUQUERQUE DA SILVA"/>
    <s v="RODRIGO ALBUQUERQUE DA SILVA"/>
    <x v="1"/>
    <x v="30"/>
    <x v="14"/>
    <s v="AUDITOR"/>
    <x v="533"/>
    <x v="533"/>
    <x v="59"/>
    <x v="11"/>
    <x v="4"/>
    <x v="1"/>
    <x v="1"/>
  </r>
  <r>
    <x v="534"/>
    <n v="321454"/>
    <s v="ATIVIDADE NORMAL"/>
    <s v="19/12/2018"/>
    <x v="2"/>
    <x v="42"/>
    <x v="11"/>
    <x v="12"/>
    <s v="Regional Pernambuco"/>
    <s v="João Pessoa"/>
    <s v="MultiSkill"/>
    <x v="1"/>
    <s v="AUDITOR DE CAMPO"/>
    <s v="ATIVIDADE NORMAL"/>
    <s v="JPA"/>
    <s v="06792105473"/>
    <s v="04/09/2019"/>
    <s v="RODRIGO ALBUQUERQUE DA SILVA"/>
    <s v="RODRIGO ALBUQUERQUE DA SILVA"/>
    <s v="RODRIGO ALBUQUERQUE DA SILVA"/>
    <x v="1"/>
    <x v="82"/>
    <x v="2"/>
    <s v="AUDITOR"/>
    <x v="534"/>
    <x v="534"/>
    <x v="59"/>
    <x v="11"/>
    <x v="4"/>
    <x v="0"/>
    <x v="1"/>
  </r>
  <r>
    <x v="535"/>
    <n v="109505858"/>
    <s v="ATIVIDADE NORMAL"/>
    <s v="15/05/2019"/>
    <x v="0"/>
    <x v="6"/>
    <x v="13"/>
    <x v="6"/>
    <s v="Regional Pernambuco"/>
    <s v="Interior"/>
    <s v="Tecnico de campo"/>
    <x v="8"/>
    <s v="OP DG"/>
    <s v="ATIVIDADE NORMAL"/>
    <s v="PTA"/>
    <s v="06796978455"/>
    <s v="04/09/2019"/>
    <s v="THIAGO DE LIMA PIRES RODRIGUES"/>
    <s v="DECIO FABIANO LOPES FERREIRA"/>
    <s v="NIVALDO DE OLIVEIRA SOARES"/>
    <x v="0"/>
    <x v="11"/>
    <x v="9"/>
    <s v="OPERADOR"/>
    <x v="535"/>
    <x v="535"/>
    <x v="12"/>
    <x v="0"/>
    <x v="0"/>
    <x v="0"/>
    <x v="1"/>
  </r>
  <r>
    <x v="536"/>
    <n v="102101393"/>
    <s v="ATIVIDADE NORMAL"/>
    <s v="31/07/2019"/>
    <x v="3"/>
    <x v="24"/>
    <x v="6"/>
    <x v="19"/>
    <s v="Regional Pernambuco"/>
    <s v="Natal"/>
    <s v="Equipe SWAT"/>
    <x v="5"/>
    <s v="INSTALADOR TUP"/>
    <s v="ATIVIDADE NORMAL"/>
    <s v="NTN"/>
    <s v="06803998444"/>
    <s v="04/09/2019"/>
    <s v="SIDNEY MOURA FREIRE"/>
    <s v="REINILSON IGLESIAS JUNIOR"/>
    <s v="WENDELL FRANKLIN VIEIRA MAIA"/>
    <x v="0"/>
    <x v="62"/>
    <x v="6"/>
    <s v="INSTALADOR I"/>
    <x v="536"/>
    <x v="536"/>
    <x v="24"/>
    <x v="7"/>
    <x v="3"/>
    <x v="0"/>
    <x v="1"/>
  </r>
  <r>
    <x v="537"/>
    <n v="105000985"/>
    <s v="ATIVIDADE NORMAL"/>
    <s v="13/03/2019"/>
    <x v="2"/>
    <x v="61"/>
    <x v="2"/>
    <x v="24"/>
    <s v="Regional Pernambuco"/>
    <s v="João Pessoa"/>
    <s v="Tecnico de campo"/>
    <x v="1"/>
    <s v="CABISTA I"/>
    <s v="ATIVIDADE NORMAL"/>
    <s v="POS"/>
    <s v="06818893490"/>
    <s v="04/09/2019"/>
    <s v="STANLEY MEDEIROS WANDERLEY"/>
    <s v="WENDELL FRANKLIN VIEIRA MAIA"/>
    <s v="WENDELL FRANKLIN VIEIRA MAIA"/>
    <x v="0"/>
    <x v="67"/>
    <x v="7"/>
    <s v="CABISTA I"/>
    <x v="537"/>
    <x v="537"/>
    <x v="58"/>
    <x v="6"/>
    <x v="3"/>
    <x v="0"/>
    <x v="1"/>
  </r>
  <r>
    <x v="538"/>
    <n v="109500177"/>
    <s v="ATIVIDADE NORMAL"/>
    <s v="06/02/2019"/>
    <x v="0"/>
    <x v="37"/>
    <x v="12"/>
    <x v="14"/>
    <s v="Regional Pernambuco"/>
    <s v="Recife"/>
    <s v="Tecnico de campo"/>
    <x v="6"/>
    <s v="CABISTA I"/>
    <s v="ATIVIDADE NORMAL"/>
    <s v="NOR"/>
    <s v="06851861488"/>
    <s v="04/09/2019"/>
    <s v="JOSUEL FERREIRA DE BRITO"/>
    <s v="BRUNO VINICIUS DE ALBERTINS ALVES"/>
    <s v="NIVALDO DE OLIVEIRA SOARES"/>
    <x v="0"/>
    <x v="38"/>
    <x v="10"/>
    <s v="CABISTA I"/>
    <x v="538"/>
    <x v="538"/>
    <x v="36"/>
    <x v="9"/>
    <x v="0"/>
    <x v="0"/>
    <x v="1"/>
  </r>
  <r>
    <x v="539"/>
    <n v="102100390"/>
    <s v="FERIAS NORMAIS"/>
    <s v="02/09/2019"/>
    <x v="3"/>
    <x v="66"/>
    <x v="3"/>
    <x v="21"/>
    <s v="Regional Pernambuco"/>
    <s v="Natal"/>
    <s v="MultiSkill"/>
    <x v="2"/>
    <s v="TEC MULTIFUNCIONAL"/>
    <s v="FERIAS NORMAIS"/>
    <s v="NTS"/>
    <s v="06910790480"/>
    <s v="04/09/2019"/>
    <s v="ANDRIER CARLOS SOARES FERREIRA"/>
    <s v="REINILSON IGLESIAS JUNIOR"/>
    <s v="WENDELL FRANKLIN VIEIRA MAIA"/>
    <x v="1"/>
    <x v="30"/>
    <x v="2"/>
    <s v="TECNICO MULTIFUNCIONAL"/>
    <x v="539"/>
    <x v="539"/>
    <x v="43"/>
    <x v="7"/>
    <x v="3"/>
    <x v="1"/>
    <x v="0"/>
  </r>
  <r>
    <x v="540"/>
    <n v="109000926"/>
    <s v="ATIVIDADE NORMAL"/>
    <s v="16/03/2018"/>
    <x v="0"/>
    <x v="7"/>
    <x v="10"/>
    <x v="7"/>
    <s v="Regional Pernambuco"/>
    <s v="Recife"/>
    <s v="MultiSkill"/>
    <x v="4"/>
    <s v="TEC MULTIFUNCIONAL"/>
    <s v="ATIVIDADE NORMAL"/>
    <s v="LES"/>
    <s v="06953992417"/>
    <s v="04/09/2019"/>
    <s v="ANTONIO MAGNO DE CASTRO LEAO"/>
    <s v="BRUNO VINICIUS DE ALBERTINS ALVES"/>
    <s v="NIVALDO DE OLIVEIRA SOARES"/>
    <x v="0"/>
    <x v="45"/>
    <x v="2"/>
    <s v="TECNICO MULTIFUNCIONAL"/>
    <x v="540"/>
    <x v="540"/>
    <x v="41"/>
    <x v="9"/>
    <x v="0"/>
    <x v="0"/>
    <x v="0"/>
  </r>
  <r>
    <x v="541"/>
    <n v="109505049"/>
    <s v="ATIVIDADE NORMAL"/>
    <s v="24/04/2019"/>
    <x v="0"/>
    <x v="52"/>
    <x v="0"/>
    <x v="7"/>
    <s v="Regional Pernambuco"/>
    <s v="Recife"/>
    <s v="Tecnico de campo"/>
    <x v="0"/>
    <s v="TEC MULTIFUNCIONAL"/>
    <s v="ATIVIDADE NORMAL"/>
    <s v="LES"/>
    <s v="07015088410"/>
    <s v="04/09/2019"/>
    <s v="RAMSES DE ANDRADE MACHADO RODRIGUES LAVRA"/>
    <s v="BRUNO VINICIUS DE ALBERTINS ALVES"/>
    <s v="NIVALDO DE OLIVEIRA SOARES"/>
    <x v="0"/>
    <x v="57"/>
    <x v="1"/>
    <s v="TECNICO MULTIFUNCIONAL"/>
    <x v="541"/>
    <x v="541"/>
    <x v="48"/>
    <x v="9"/>
    <x v="0"/>
    <x v="0"/>
    <x v="0"/>
  </r>
  <r>
    <x v="542"/>
    <n v="109500315"/>
    <s v="ATIVIDADE NORMAL"/>
    <s v="31/07/2019"/>
    <x v="0"/>
    <x v="60"/>
    <x v="12"/>
    <x v="14"/>
    <s v="Regional Pernambuco"/>
    <s v="Recife"/>
    <s v="Tecnico de campo"/>
    <x v="6"/>
    <s v="CABISTA I"/>
    <s v="ATIVIDADE NORMAL"/>
    <s v="NOR"/>
    <s v="07045643438"/>
    <s v="04/09/2019"/>
    <s v="IVALDO BEZERRA NOVAIS"/>
    <s v="DECIO FABIANO LOPES FERREIRA"/>
    <s v="NIVALDO DE OLIVEIRA SOARES"/>
    <x v="0"/>
    <x v="47"/>
    <x v="6"/>
    <s v="CABISTA I"/>
    <x v="542"/>
    <x v="542"/>
    <x v="42"/>
    <x v="0"/>
    <x v="0"/>
    <x v="0"/>
    <x v="1"/>
  </r>
  <r>
    <x v="543"/>
    <n v="105303208"/>
    <s v="ATIVIDADE NORMAL"/>
    <s v="17/12/2018"/>
    <x v="2"/>
    <x v="15"/>
    <x v="10"/>
    <x v="12"/>
    <s v="Regional Pernambuco"/>
    <s v="João Pessoa"/>
    <s v="MultiSkill"/>
    <x v="4"/>
    <s v="TEC MULTIFUNCIONAL"/>
    <s v="ATIVIDADE NORMAL"/>
    <s v="JPA"/>
    <s v="08215087418"/>
    <s v="04/09/2019"/>
    <s v="FERNANDO ANTONIO PORTO DE FREITAS"/>
    <s v="WENDELL FRANKLIN VIEIRA MAIA"/>
    <s v="WENDELL FRANKLIN VIEIRA MAIA"/>
    <x v="0"/>
    <x v="72"/>
    <x v="2"/>
    <s v="TECNICO MULTIFUNCIONAL"/>
    <x v="543"/>
    <x v="543"/>
    <x v="16"/>
    <x v="6"/>
    <x v="3"/>
    <x v="0"/>
    <x v="0"/>
  </r>
  <r>
    <x v="544"/>
    <n v="109000926"/>
    <s v="ATIVIDADE NORMAL"/>
    <s v="24/01/2019"/>
    <x v="0"/>
    <x v="44"/>
    <x v="10"/>
    <x v="7"/>
    <s v="Regional Pernambuco"/>
    <s v="Recife"/>
    <s v="MultiSkill"/>
    <x v="4"/>
    <s v="TEC MULTIFUNCIONAL"/>
    <s v="ATIVIDADE NORMAL"/>
    <s v="LES"/>
    <s v="08217857458"/>
    <s v="04/09/2019"/>
    <s v="ANTONIO MAGNO DE CASTRO LEAO"/>
    <s v="BRUNO VINICIUS DE ALBERTINS ALVES"/>
    <s v="NIVALDO DE OLIVEIRA SOARES"/>
    <x v="0"/>
    <x v="45"/>
    <x v="2"/>
    <s v="TECNICO MULTIFUNCIONAL"/>
    <x v="544"/>
    <x v="544"/>
    <x v="41"/>
    <x v="9"/>
    <x v="0"/>
    <x v="0"/>
    <x v="0"/>
  </r>
  <r>
    <x v="545"/>
    <n v="102101393"/>
    <s v="ATIVIDADE NORMAL"/>
    <s v="03/10/2018"/>
    <x v="3"/>
    <x v="66"/>
    <x v="2"/>
    <x v="21"/>
    <s v="Regional Pernambuco"/>
    <s v="Natal"/>
    <s v="Tecnico de campo"/>
    <x v="1"/>
    <s v="CABISTA I"/>
    <s v="ATIVIDADE NORMAL"/>
    <s v="NTS"/>
    <s v="08243473408"/>
    <s v="04/09/2019"/>
    <s v="SIDNEY MOURA FREIRE"/>
    <s v="REINILSON IGLESIAS JUNIOR"/>
    <s v="WENDELL FRANKLIN VIEIRA MAIA"/>
    <x v="0"/>
    <x v="23"/>
    <x v="10"/>
    <s v="CABISTA I"/>
    <x v="545"/>
    <x v="545"/>
    <x v="24"/>
    <x v="7"/>
    <x v="3"/>
    <x v="0"/>
    <x v="1"/>
  </r>
  <r>
    <x v="546"/>
    <n v="102101220"/>
    <s v="ATIVIDADE NORMAL"/>
    <s v="07/04/2019"/>
    <x v="3"/>
    <x v="22"/>
    <x v="10"/>
    <x v="18"/>
    <s v="Regional Pernambuco"/>
    <s v="Natal"/>
    <s v="MultiSkill"/>
    <x v="4"/>
    <s v="TEC MULTIFUNCIONAL"/>
    <s v="ATIVIDADE NORMAL"/>
    <s v="RNS"/>
    <s v="08290900457"/>
    <s v="04/09/2019"/>
    <s v="JOSUE MOURA DA SILVA"/>
    <s v="REINILSON IGLESIAS JUNIOR"/>
    <s v="WENDELL FRANKLIN VIEIRA MAIA"/>
    <x v="0"/>
    <x v="22"/>
    <x v="2"/>
    <s v="TECNICO MULTIFUNCIONAL"/>
    <x v="546"/>
    <x v="546"/>
    <x v="23"/>
    <x v="7"/>
    <x v="3"/>
    <x v="0"/>
    <x v="0"/>
  </r>
  <r>
    <x v="547"/>
    <n v="105000986"/>
    <s v="FERIAS NORMAIS"/>
    <s v="02/09/2019"/>
    <x v="2"/>
    <x v="20"/>
    <x v="15"/>
    <x v="16"/>
    <s v="Regional Pernambuco"/>
    <s v="João Pessoa"/>
    <s v="Tecnico de campo"/>
    <x v="9"/>
    <s v="INSTALADOR DTH"/>
    <s v="FERIAS NORMAIS"/>
    <s v="CGE"/>
    <s v="08318970403"/>
    <s v="04/09/2019"/>
    <s v="JOSILENE MACENA DE OLIVEIRA"/>
    <s v="WENDELL FRANKLIN VIEIRA MAIA"/>
    <s v="WENDELL FRANKLIN VIEIRA MAIA"/>
    <x v="1"/>
    <x v="20"/>
    <x v="11"/>
    <s v="INSTALADOR DTH"/>
    <x v="547"/>
    <x v="547"/>
    <x v="21"/>
    <x v="6"/>
    <x v="3"/>
    <x v="1"/>
    <x v="0"/>
  </r>
  <r>
    <x v="548"/>
    <n v="101007665"/>
    <s v="FERIAS NORMAIS"/>
    <s v="19/08/2019"/>
    <x v="1"/>
    <x v="64"/>
    <x v="10"/>
    <x v="3"/>
    <s v="Regional Ceará"/>
    <s v="Capital Oeste Ceará"/>
    <s v="MultiSkill"/>
    <x v="4"/>
    <s v="TEC MULTIFUNCIONAL"/>
    <s v="FERIAS NORMAIS"/>
    <s v="CNO"/>
    <s v="08322573464"/>
    <s v="04/09/2019"/>
    <s v="CARLOS AUGUSTO ALVES DE SOUSA"/>
    <s v="ALENCAR DE SOUZA SANTOS"/>
    <s v="JONILSON FELIPE VIEIRA"/>
    <x v="1"/>
    <x v="33"/>
    <x v="2"/>
    <s v="TECNICO MULTIFUNCIONAL"/>
    <x v="548"/>
    <x v="548"/>
    <x v="45"/>
    <x v="4"/>
    <x v="1"/>
    <x v="1"/>
    <x v="0"/>
  </r>
  <r>
    <x v="549"/>
    <n v="102100390"/>
    <s v="ATIVIDADE NORMAL"/>
    <s v="06/12/2018"/>
    <x v="3"/>
    <x v="66"/>
    <x v="10"/>
    <x v="21"/>
    <s v="Regional Pernambuco"/>
    <s v="Natal"/>
    <s v="MultiSkill"/>
    <x v="4"/>
    <s v="TEC MULTIFUNCIONAL"/>
    <s v="ATIVIDADE NORMAL"/>
    <s v="NTS"/>
    <s v="07067002443"/>
    <s v="04/09/2019"/>
    <s v="ANDRIER CARLOS SOARES FERREIRA"/>
    <s v="REINILSON IGLESIAS JUNIOR"/>
    <s v="WENDELL FRANKLIN VIEIRA MAIA"/>
    <x v="0"/>
    <x v="48"/>
    <x v="2"/>
    <s v="TECNICO MULTIFUNCIONAL"/>
    <x v="549"/>
    <x v="549"/>
    <x v="43"/>
    <x v="7"/>
    <x v="3"/>
    <x v="0"/>
    <x v="0"/>
  </r>
  <r>
    <x v="550"/>
    <n v="109000926"/>
    <s v="ATIVIDADE NORMAL"/>
    <s v="06/03/2019"/>
    <x v="0"/>
    <x v="65"/>
    <x v="10"/>
    <x v="7"/>
    <s v="Regional Pernambuco"/>
    <s v="Recife"/>
    <s v="MultiSkill"/>
    <x v="4"/>
    <s v="TEC MULTIFUNCIONAL"/>
    <s v="ATIVIDADE NORMAL"/>
    <s v="LES"/>
    <s v="07106972444"/>
    <s v="04/09/2019"/>
    <s v="ANTONIO MAGNO DE CASTRO LEAO"/>
    <s v="BRUNO VINICIUS DE ALBERTINS ALVES"/>
    <s v="NIVALDO DE OLIVEIRA SOARES"/>
    <x v="0"/>
    <x v="45"/>
    <x v="2"/>
    <s v="TECNICO MULTIFUNCIONAL"/>
    <x v="550"/>
    <x v="550"/>
    <x v="41"/>
    <x v="9"/>
    <x v="0"/>
    <x v="0"/>
    <x v="0"/>
  </r>
  <r>
    <x v="551"/>
    <n v="109506091"/>
    <s v="ATIVIDADE NORMAL"/>
    <s v="04/10/2018"/>
    <x v="0"/>
    <x v="35"/>
    <x v="11"/>
    <x v="14"/>
    <s v="Regional Pernambuco"/>
    <s v="Recife"/>
    <s v="MultiSkill"/>
    <x v="1"/>
    <s v="TEC MULTIFUNCIONAL"/>
    <s v="ATIVIDADE NORMAL"/>
    <s v="NOR"/>
    <s v="07120215400"/>
    <s v="04/09/2019"/>
    <s v="LUIZ RICARDO LIMA DA SILVA"/>
    <s v="BRUNO VINICIUS DE ALBERTINS ALVES"/>
    <s v="NIVALDO DE OLIVEIRA SOARES"/>
    <x v="0"/>
    <x v="38"/>
    <x v="2"/>
    <s v="TECNICO MULTIFUNCIONAL"/>
    <x v="551"/>
    <x v="551"/>
    <x v="49"/>
    <x v="9"/>
    <x v="0"/>
    <x v="0"/>
    <x v="1"/>
  </r>
  <r>
    <x v="552"/>
    <n v="102101220"/>
    <s v="ATIVIDADE NORMAL"/>
    <s v="12/06/2019"/>
    <x v="3"/>
    <x v="22"/>
    <x v="15"/>
    <x v="18"/>
    <s v="Regional Pernambuco"/>
    <s v="Natal"/>
    <s v="Tecnico de campo"/>
    <x v="9"/>
    <s v="INSTALADOR DTH"/>
    <s v="ATIVIDADE NORMAL"/>
    <s v="RNS"/>
    <s v="07144037412"/>
    <s v="04/09/2019"/>
    <s v="JOSUE MOURA DA SILVA"/>
    <s v="REINILSON IGLESIAS JUNIOR"/>
    <s v="WENDELL FRANKLIN VIEIRA MAIA"/>
    <x v="0"/>
    <x v="22"/>
    <x v="11"/>
    <s v="INSTALADOR DTH"/>
    <x v="552"/>
    <x v="552"/>
    <x v="23"/>
    <x v="7"/>
    <x v="3"/>
    <x v="0"/>
    <x v="0"/>
  </r>
  <r>
    <x v="553"/>
    <n v="321454"/>
    <s v="ATIVIDADE NORMAL"/>
    <s v="06/04/2019"/>
    <x v="0"/>
    <x v="51"/>
    <x v="0"/>
    <x v="14"/>
    <s v="Regional Pernambuco"/>
    <s v="Recife"/>
    <s v="Tecnico de campo"/>
    <x v="0"/>
    <s v="AUDITOR DE CAMPO"/>
    <s v="ATIVIDADE NORMAL"/>
    <s v="NOR"/>
    <s v="07232924429"/>
    <s v="04/09/2019"/>
    <s v="RODRIGO ALBUQUERQUE DA SILVA"/>
    <s v="RODRIGO ALBUQUERQUE DA SILVA"/>
    <s v="RODRIGO ALBUQUERQUE DA SILVA"/>
    <x v="1"/>
    <x v="57"/>
    <x v="14"/>
    <s v="AUDITOR"/>
    <x v="553"/>
    <x v="553"/>
    <x v="59"/>
    <x v="11"/>
    <x v="4"/>
    <x v="0"/>
    <x v="0"/>
  </r>
  <r>
    <x v="554"/>
    <n v="109000499"/>
    <s v="ATIVIDADE NORMAL"/>
    <s v="12/06/2019"/>
    <x v="0"/>
    <x v="56"/>
    <x v="13"/>
    <x v="10"/>
    <s v="Regional Pernambuco"/>
    <s v="Recife"/>
    <s v="Tecnico de campo"/>
    <x v="8"/>
    <s v="OP DG"/>
    <s v="ATIVIDADE NORMAL"/>
    <s v="PES"/>
    <s v="07236309419"/>
    <s v="04/09/2019"/>
    <s v="ALTAIR LUIZ DO NASCIMENTO"/>
    <s v="DECIO FABIANO LOPES FERREIRA"/>
    <s v="NIVALDO DE OLIVEIRA SOARES"/>
    <x v="0"/>
    <x v="42"/>
    <x v="9"/>
    <s v="OPERADOR"/>
    <x v="554"/>
    <x v="554"/>
    <x v="38"/>
    <x v="0"/>
    <x v="0"/>
    <x v="0"/>
    <x v="1"/>
  </r>
  <r>
    <x v="555"/>
    <n v="109501286"/>
    <s v="FERIAS NORMAIS"/>
    <s v="19/08/2019"/>
    <x v="0"/>
    <x v="30"/>
    <x v="2"/>
    <x v="13"/>
    <s v="Regional Pernambuco"/>
    <s v="Recife"/>
    <s v="Equipe SWAT"/>
    <x v="1"/>
    <s v="CABISTA I"/>
    <s v="FERIAS NORMAIS"/>
    <s v="OES"/>
    <s v="07263497476"/>
    <s v="04/09/2019"/>
    <s v="JOSE HENRIQUE NEGRAO DE MEDEIROS"/>
    <s v="DECIO FABIANO LOPES FERREIRA"/>
    <s v="NIVALDO DE OLIVEIRA SOARES"/>
    <x v="1"/>
    <x v="37"/>
    <x v="10"/>
    <s v="CABISTA I"/>
    <x v="555"/>
    <x v="555"/>
    <x v="34"/>
    <x v="0"/>
    <x v="0"/>
    <x v="1"/>
    <x v="1"/>
  </r>
  <r>
    <x v="556"/>
    <n v="109505819"/>
    <s v="ATIVIDADE NORMAL"/>
    <s v="01/05/2019"/>
    <x v="0"/>
    <x v="39"/>
    <x v="11"/>
    <x v="13"/>
    <s v="Regional Pernambuco"/>
    <s v="Recife"/>
    <s v="MultiSkill"/>
    <x v="1"/>
    <s v="TEC MULTIFUNCIONAL"/>
    <s v="ATIVIDADE NORMAL"/>
    <s v="OES"/>
    <s v="07293936400"/>
    <s v="04/09/2019"/>
    <s v="ALESSANDRO DIONISIO DE FRANCA"/>
    <s v="DECIO FABIANO LOPES FERREIRA"/>
    <s v="NIVALDO DE OLIVEIRA SOARES"/>
    <x v="0"/>
    <x v="16"/>
    <x v="2"/>
    <s v="TECNICO MULTIFUNCIONAL"/>
    <x v="556"/>
    <x v="556"/>
    <x v="37"/>
    <x v="0"/>
    <x v="0"/>
    <x v="0"/>
    <x v="1"/>
  </r>
  <r>
    <x v="557"/>
    <n v="102002917"/>
    <s v="ATIVIDADE NORMAL"/>
    <s v="05/06/2019"/>
    <x v="3"/>
    <x v="23"/>
    <x v="4"/>
    <x v="18"/>
    <s v="Regional Pernambuco"/>
    <s v="Natal"/>
    <s v="MultiSkill"/>
    <x v="3"/>
    <s v="TEC MULTIFUNCIONAL"/>
    <s v="ATIVIDADE NORMAL"/>
    <s v="RNS"/>
    <s v="07338697426"/>
    <s v="04/09/2019"/>
    <s v="RICELE DA SILVA NASCIMENTO"/>
    <s v="REINILSON IGLESIAS JUNIOR"/>
    <s v="WENDELL FRANKLIN VIEIRA MAIA"/>
    <x v="0"/>
    <x v="29"/>
    <x v="11"/>
    <s v="TECNICO MULTIFUNCIONAL"/>
    <x v="557"/>
    <x v="557"/>
    <x v="51"/>
    <x v="7"/>
    <x v="3"/>
    <x v="0"/>
    <x v="0"/>
  </r>
  <r>
    <x v="558"/>
    <n v="105303134"/>
    <s v="ATIVIDADE NORMAL"/>
    <s v="27/01/2019"/>
    <x v="2"/>
    <x v="42"/>
    <x v="10"/>
    <x v="12"/>
    <s v="Regional Pernambuco"/>
    <s v="João Pessoa"/>
    <s v="MultiSkill"/>
    <x v="4"/>
    <s v="TEC MULTIFUNCIONAL"/>
    <s v="ATIVIDADE NORMAL"/>
    <s v="JPA"/>
    <s v="07365469447"/>
    <s v="04/09/2019"/>
    <s v="GLAUBER JOSE GOMES LEITAO"/>
    <s v="WENDELL FRANKLIN VIEIRA MAIA"/>
    <s v="WENDELL FRANKLIN VIEIRA MAIA"/>
    <x v="0"/>
    <x v="43"/>
    <x v="2"/>
    <s v="TECNICO MULTIFUNCIONAL"/>
    <x v="558"/>
    <x v="558"/>
    <x v="39"/>
    <x v="6"/>
    <x v="3"/>
    <x v="0"/>
    <x v="0"/>
  </r>
  <r>
    <x v="559"/>
    <n v="109505149"/>
    <s v="ATIVIDADE NORMAL"/>
    <s v="07/05/2019"/>
    <x v="0"/>
    <x v="52"/>
    <x v="0"/>
    <x v="7"/>
    <s v="Regional Pernambuco"/>
    <s v="Recife"/>
    <s v="Tecnico de campo"/>
    <x v="0"/>
    <s v="TEC MULTIFUNCIONAL"/>
    <s v="ATIVIDADE NORMAL"/>
    <s v="LES"/>
    <s v="07388234497"/>
    <s v="04/09/2019"/>
    <s v="BRUNO VINICIUS DE ALBERTINS ALVES"/>
    <s v="BRUNO VINICIUS DE ALBERTINS ALVES"/>
    <s v="NIVALDO DE OLIVEIRA SOARES"/>
    <x v="0"/>
    <x v="57"/>
    <x v="1"/>
    <s v="TECNICO MULTIFUNCIONAL"/>
    <x v="559"/>
    <x v="559"/>
    <x v="53"/>
    <x v="9"/>
    <x v="0"/>
    <x v="0"/>
    <x v="0"/>
  </r>
  <r>
    <x v="560"/>
    <n v="109000340"/>
    <s v="ATIVIDADE NORMAL"/>
    <s v="31/07/2019"/>
    <x v="0"/>
    <x v="38"/>
    <x v="14"/>
    <x v="22"/>
    <s v="Regional Pernambuco"/>
    <s v="Interior"/>
    <s v="MultiSkill"/>
    <x v="4"/>
    <s v="TEC MULTIFUNCIONAL"/>
    <s v="ATIVIDADE NORMAL"/>
    <s v="CAA"/>
    <s v="07391771414"/>
    <s v="04/09/2019"/>
    <s v="AILTON JOSE DOS SANTOS"/>
    <s v="DECIO FABIANO LOPES FERREIRA"/>
    <s v="NIVALDO DE OLIVEIRA SOARES"/>
    <x v="0"/>
    <x v="41"/>
    <x v="2"/>
    <s v="TECNICO MULTIFUNCIONAL"/>
    <x v="560"/>
    <x v="560"/>
    <x v="22"/>
    <x v="0"/>
    <x v="0"/>
    <x v="0"/>
    <x v="0"/>
  </r>
  <r>
    <x v="561"/>
    <n v="109504012"/>
    <s v="ATIVIDADE NORMAL"/>
    <s v="09/09/2019"/>
    <x v="2"/>
    <x v="20"/>
    <x v="6"/>
    <x v="16"/>
    <s v="Regional Pernambuco"/>
    <s v="João Pessoa"/>
    <s v="Tecnico de campo"/>
    <x v="5"/>
    <s v="INSTALADOR TUP"/>
    <s v="ATIVIDADE NORMAL"/>
    <s v="CGE"/>
    <s v="08325284471"/>
    <s v="04/09/2019"/>
    <s v="FRANCISCO JOSE DIAS DA SILVA"/>
    <s v="WENDELL FRANKLIN VIEIRA MAIA"/>
    <s v="WENDELL FRANKLIN VIEIRA MAIA"/>
    <x v="0"/>
    <x v="35"/>
    <x v="6"/>
    <s v="INSTALADOR I"/>
    <x v="561"/>
    <x v="561"/>
    <x v="25"/>
    <x v="6"/>
    <x v="3"/>
    <x v="0"/>
    <x v="1"/>
  </r>
  <r>
    <x v="562"/>
    <n v="109000943"/>
    <s v="FERIAS NORMAIS"/>
    <s v="19/08/2019"/>
    <x v="0"/>
    <x v="60"/>
    <x v="2"/>
    <x v="14"/>
    <s v="Regional Pernambuco"/>
    <s v="Recife"/>
    <s v="MultiSkill"/>
    <x v="1"/>
    <s v="TEC MULTIFUNCIONAL"/>
    <s v="FERIAS NORMAIS"/>
    <s v="NOR"/>
    <s v="08425043468"/>
    <s v="04/09/2019"/>
    <s v="MAURO BRAGA RANGEL"/>
    <s v="BRUNO VINICIUS DE ALBERTINS ALVES"/>
    <s v="NIVALDO DE OLIVEIRA SOARES"/>
    <x v="1"/>
    <x v="38"/>
    <x v="2"/>
    <s v="TECNICO MULTIFUNCIONAL"/>
    <x v="562"/>
    <x v="562"/>
    <x v="56"/>
    <x v="9"/>
    <x v="0"/>
    <x v="1"/>
    <x v="1"/>
  </r>
  <r>
    <x v="563"/>
    <n v="109505049"/>
    <s v="ATIVIDADE NORMAL"/>
    <s v="23/11/2018"/>
    <x v="0"/>
    <x v="52"/>
    <x v="0"/>
    <x v="7"/>
    <s v="Regional Pernambuco"/>
    <s v="Recife"/>
    <s v="Tecnico de campo"/>
    <x v="0"/>
    <s v="TEC MULTIFUNCIONAL"/>
    <s v="ATIVIDADE NORMAL"/>
    <s v="LES"/>
    <s v="08485144406"/>
    <s v="04/09/2019"/>
    <s v="RAMSES DE ANDRADE MACHADO RODRIGUES LAVRA"/>
    <s v="BRUNO VINICIUS DE ALBERTINS ALVES"/>
    <s v="NIVALDO DE OLIVEIRA SOARES"/>
    <x v="0"/>
    <x v="57"/>
    <x v="1"/>
    <s v="TECNICO MULTIFUNCIONAL"/>
    <x v="563"/>
    <x v="563"/>
    <x v="48"/>
    <x v="9"/>
    <x v="0"/>
    <x v="0"/>
    <x v="0"/>
  </r>
  <r>
    <x v="564"/>
    <n v="102101393"/>
    <s v="ATIVIDADE NORMAL"/>
    <s v="26/06/2019"/>
    <x v="3"/>
    <x v="23"/>
    <x v="6"/>
    <x v="18"/>
    <s v="Regional Pernambuco"/>
    <s v="Natal"/>
    <s v="Tecnico de campo"/>
    <x v="5"/>
    <s v="INSTALADOR TUP"/>
    <s v="ATIVIDADE NORMAL"/>
    <s v="RNS"/>
    <s v="08595374473"/>
    <s v="04/09/2019"/>
    <s v="SIDNEY MOURA FREIRE"/>
    <s v="REINILSON IGLESIAS JUNIOR"/>
    <s v="WENDELL FRANKLIN VIEIRA MAIA"/>
    <x v="0"/>
    <x v="23"/>
    <x v="6"/>
    <s v="INSTALADOR I"/>
    <x v="564"/>
    <x v="564"/>
    <x v="24"/>
    <x v="7"/>
    <x v="3"/>
    <x v="0"/>
    <x v="1"/>
  </r>
  <r>
    <x v="565"/>
    <n v="102101393"/>
    <s v="ATIVIDADE NORMAL"/>
    <s v="13/03/2019"/>
    <x v="3"/>
    <x v="45"/>
    <x v="2"/>
    <x v="21"/>
    <s v="Regional Pernambuco"/>
    <s v="Natal"/>
    <s v="Tecnico de campo"/>
    <x v="1"/>
    <s v="CABISTA I"/>
    <s v="ATIVIDADE NORMAL"/>
    <s v="NTS"/>
    <s v="08607071483"/>
    <s v="04/09/2019"/>
    <s v="SIDNEY MOURA FREIRE"/>
    <s v="REINILSON IGLESIAS JUNIOR"/>
    <s v="WENDELL FRANKLIN VIEIRA MAIA"/>
    <x v="0"/>
    <x v="23"/>
    <x v="7"/>
    <s v="CABISTA I"/>
    <x v="565"/>
    <x v="565"/>
    <x v="24"/>
    <x v="7"/>
    <x v="3"/>
    <x v="0"/>
    <x v="1"/>
  </r>
  <r>
    <x v="566"/>
    <n v="109000943"/>
    <s v="ATIVIDADE NORMAL"/>
    <s v="09/01/2019"/>
    <x v="0"/>
    <x v="60"/>
    <x v="2"/>
    <x v="14"/>
    <s v="Regional Pernambuco"/>
    <s v="Recife"/>
    <s v="Tecnico de campo"/>
    <x v="1"/>
    <s v="CABISTA I"/>
    <s v="ATIVIDADE NORMAL"/>
    <s v="NOR"/>
    <s v="08610052443"/>
    <s v="04/09/2019"/>
    <s v="MAURO BRAGA RANGEL"/>
    <s v="BRUNO VINICIUS DE ALBERTINS ALVES"/>
    <s v="NIVALDO DE OLIVEIRA SOARES"/>
    <x v="0"/>
    <x v="38"/>
    <x v="10"/>
    <s v="CABISTA I"/>
    <x v="566"/>
    <x v="566"/>
    <x v="56"/>
    <x v="9"/>
    <x v="0"/>
    <x v="0"/>
    <x v="1"/>
  </r>
  <r>
    <x v="567"/>
    <n v="109506091"/>
    <s v="ATIVIDADE NORMAL"/>
    <s v="31/07/2019"/>
    <x v="0"/>
    <x v="35"/>
    <x v="10"/>
    <x v="14"/>
    <s v="Regional Pernambuco"/>
    <s v="Recife"/>
    <s v="MultiSkill"/>
    <x v="4"/>
    <s v="TEC MULTIFUNCIONAL"/>
    <s v="ATIVIDADE NORMAL"/>
    <s v="NOR"/>
    <s v="08664087466"/>
    <s v="04/09/2019"/>
    <s v="LUIZ RICARDO LIMA DA SILVA"/>
    <s v="BRUNO VINICIUS DE ALBERTINS ALVES"/>
    <s v="NIVALDO DE OLIVEIRA SOARES"/>
    <x v="0"/>
    <x v="40"/>
    <x v="2"/>
    <s v="TECNICO MULTIFUNCIONAL"/>
    <x v="567"/>
    <x v="567"/>
    <x v="49"/>
    <x v="9"/>
    <x v="0"/>
    <x v="0"/>
    <x v="0"/>
  </r>
  <r>
    <x v="568"/>
    <n v="109504534"/>
    <s v="FERIAS NORMAIS"/>
    <s v="19/08/2019"/>
    <x v="0"/>
    <x v="35"/>
    <x v="2"/>
    <x v="14"/>
    <s v="Regional Pernambuco"/>
    <s v="Recife"/>
    <s v="Tecnico de campo"/>
    <x v="1"/>
    <s v="CABISTA I"/>
    <s v="FERIAS NORMAIS"/>
    <s v="NOR"/>
    <s v="08696684478"/>
    <s v="04/09/2019"/>
    <s v="EDSON CARLOS BARBOSA JUNIOR"/>
    <s v="MARCOS DE OLIVEIRA STEHLING"/>
    <s v="NIVALDO DE OLIVEIRA SOARES"/>
    <x v="1"/>
    <x v="7"/>
    <x v="3"/>
    <s v="CABISTA I"/>
    <x v="568"/>
    <x v="568"/>
    <x v="8"/>
    <x v="3"/>
    <x v="0"/>
    <x v="1"/>
    <x v="1"/>
  </r>
  <r>
    <x v="569"/>
    <n v="109505049"/>
    <s v="ATIVIDADE NORMAL"/>
    <s v="10/04/2019"/>
    <x v="0"/>
    <x v="52"/>
    <x v="0"/>
    <x v="7"/>
    <s v="Regional Pernambuco"/>
    <s v="Recife"/>
    <s v="Tecnico de campo"/>
    <x v="0"/>
    <s v="TEC MULTIFUNCIONAL"/>
    <s v="ATIVIDADE NORMAL"/>
    <s v="LES"/>
    <s v="08700271403"/>
    <s v="04/09/2019"/>
    <s v="RAMSES DE ANDRADE MACHADO RODRIGUES LAVRA"/>
    <s v="BRUNO VINICIUS DE ALBERTINS ALVES"/>
    <s v="NIVALDO DE OLIVEIRA SOARES"/>
    <x v="0"/>
    <x v="57"/>
    <x v="1"/>
    <s v="TECNICO MULTIFUNCIONAL"/>
    <x v="569"/>
    <x v="569"/>
    <x v="48"/>
    <x v="9"/>
    <x v="0"/>
    <x v="0"/>
    <x v="0"/>
  </r>
  <r>
    <x v="570"/>
    <n v="102101642"/>
    <s v="ATIVIDADE NORMAL"/>
    <s v="20/03/2018"/>
    <x v="3"/>
    <x v="28"/>
    <x v="10"/>
    <x v="21"/>
    <s v="Regional Pernambuco"/>
    <s v="Natal"/>
    <s v="MultiSkill"/>
    <x v="4"/>
    <s v="TEC MULTIFUNCIONAL"/>
    <s v="ATIVIDADE NORMAL"/>
    <s v="NTS"/>
    <s v="08701545400"/>
    <s v="04/09/2019"/>
    <s v="WILSON CARLOS SILVEIRA LEIROS"/>
    <s v="REINILSON IGLESIAS JUNIOR"/>
    <s v="WENDELL FRANKLIN VIEIRA MAIA"/>
    <x v="0"/>
    <x v="51"/>
    <x v="2"/>
    <s v="TECNICO MULTIFUNCIONAL"/>
    <x v="570"/>
    <x v="570"/>
    <x v="28"/>
    <x v="7"/>
    <x v="3"/>
    <x v="0"/>
    <x v="0"/>
  </r>
  <r>
    <x v="571"/>
    <n v="109000943"/>
    <s v="ATIVIDADE NORMAL"/>
    <s v="27/03/2019"/>
    <x v="0"/>
    <x v="60"/>
    <x v="2"/>
    <x v="14"/>
    <s v="Regional Pernambuco"/>
    <s v="Recife"/>
    <s v="Tecnico de campo"/>
    <x v="1"/>
    <s v="CABISTA I"/>
    <s v="ATIVIDADE NORMAL"/>
    <s v="NOR"/>
    <s v="08789832442"/>
    <s v="04/09/2019"/>
    <s v="MAURO BRAGA RANGEL"/>
    <s v="BRUNO VINICIUS DE ALBERTINS ALVES"/>
    <s v="NIVALDO DE OLIVEIRA SOARES"/>
    <x v="0"/>
    <x v="38"/>
    <x v="10"/>
    <s v="CABISTA I"/>
    <x v="571"/>
    <x v="571"/>
    <x v="56"/>
    <x v="9"/>
    <x v="0"/>
    <x v="0"/>
    <x v="1"/>
  </r>
  <r>
    <x v="572"/>
    <n v="102002917"/>
    <s v="ATIVIDADE NORMAL"/>
    <s v="20/11/2018"/>
    <x v="3"/>
    <x v="23"/>
    <x v="10"/>
    <x v="18"/>
    <s v="Regional Pernambuco"/>
    <s v="Natal"/>
    <s v="MultiSkill"/>
    <x v="4"/>
    <s v="TEC MULTIFUNCIONAL"/>
    <s v="ATIVIDADE NORMAL"/>
    <s v="RNS"/>
    <s v="08859958482"/>
    <s v="04/09/2019"/>
    <s v="RICELE DA SILVA NASCIMENTO"/>
    <s v="REINILSON IGLESIAS JUNIOR"/>
    <s v="WENDELL FRANKLIN VIEIRA MAIA"/>
    <x v="0"/>
    <x v="29"/>
    <x v="2"/>
    <s v="TECNICO MULTIFUNCIONAL"/>
    <x v="572"/>
    <x v="572"/>
    <x v="51"/>
    <x v="7"/>
    <x v="3"/>
    <x v="0"/>
    <x v="0"/>
  </r>
  <r>
    <x v="573"/>
    <n v="105000986"/>
    <s v="ATIVIDADE NORMAL"/>
    <s v="03/04/2019"/>
    <x v="2"/>
    <x v="20"/>
    <x v="10"/>
    <x v="16"/>
    <s v="Regional Pernambuco"/>
    <s v="João Pessoa"/>
    <s v="MultiSkill"/>
    <x v="4"/>
    <s v="TEC MULTIFUNCIONAL"/>
    <s v="ATIVIDADE NORMAL"/>
    <s v="CGE"/>
    <s v="09015945470"/>
    <s v="04/09/2019"/>
    <s v="JOSILENE MACENA DE OLIVEIRA"/>
    <s v="WENDELL FRANKLIN VIEIRA MAIA"/>
    <s v="WENDELL FRANKLIN VIEIRA MAIA"/>
    <x v="0"/>
    <x v="20"/>
    <x v="2"/>
    <s v="TECNICO MULTIFUNCIONAL"/>
    <x v="573"/>
    <x v="573"/>
    <x v="21"/>
    <x v="6"/>
    <x v="3"/>
    <x v="0"/>
    <x v="0"/>
  </r>
  <r>
    <x v="574"/>
    <n v="109505049"/>
    <s v="ATIVIDADE NORMAL"/>
    <s v="02/01/2019"/>
    <x v="0"/>
    <x v="51"/>
    <x v="0"/>
    <x v="14"/>
    <s v="Regional Pernambuco"/>
    <s v="Recife"/>
    <s v="Tecnico de campo"/>
    <x v="0"/>
    <s v="TEC MULTIFUNCIONAL"/>
    <s v="ATIVIDADE NORMAL"/>
    <s v="NOR"/>
    <s v="07405191401"/>
    <s v="04/09/2019"/>
    <s v="RAMSES DE ANDRADE MACHADO RODRIGUES LAVRA"/>
    <s v="BRUNO VINICIUS DE ALBERTINS ALVES"/>
    <s v="NIVALDO DE OLIVEIRA SOARES"/>
    <x v="0"/>
    <x v="38"/>
    <x v="1"/>
    <s v="TECNICO MULTIFUNCIONAL"/>
    <x v="574"/>
    <x v="574"/>
    <x v="48"/>
    <x v="9"/>
    <x v="0"/>
    <x v="0"/>
    <x v="0"/>
  </r>
  <r>
    <x v="575"/>
    <n v="109506172"/>
    <s v="ATIVIDADE NORMAL"/>
    <s v="01/05/2019"/>
    <x v="0"/>
    <x v="59"/>
    <x v="10"/>
    <x v="13"/>
    <s v="Regional Pernambuco"/>
    <s v="Recife"/>
    <s v="MultiSkill"/>
    <x v="4"/>
    <s v="TEC MULTIFUNCIONAL"/>
    <s v="ATIVIDADE NORMAL"/>
    <s v="OES"/>
    <s v="07460728489"/>
    <s v="04/09/2019"/>
    <s v="MARCUS VINICIUS NEVES DE BRITO"/>
    <s v="DECIO FABIANO LOPES FERREIRA"/>
    <s v="NIVALDO DE OLIVEIRA SOARES"/>
    <x v="0"/>
    <x v="64"/>
    <x v="2"/>
    <s v="TECNICO MULTIFUNCIONAL"/>
    <x v="575"/>
    <x v="575"/>
    <x v="54"/>
    <x v="0"/>
    <x v="0"/>
    <x v="0"/>
    <x v="0"/>
  </r>
  <r>
    <x v="576"/>
    <n v="105000986"/>
    <s v="ATIVIDADE NORMAL"/>
    <s v="14/01/2019"/>
    <x v="2"/>
    <x v="20"/>
    <x v="10"/>
    <x v="16"/>
    <s v="Regional Pernambuco"/>
    <s v="João Pessoa"/>
    <s v="MultiSkill"/>
    <x v="4"/>
    <s v="TEC MULTIFUNCIONAL"/>
    <s v="ATIVIDADE NORMAL"/>
    <s v="CGE"/>
    <s v="07463127419"/>
    <s v="04/09/2019"/>
    <s v="JOSILENE MACENA DE OLIVEIRA"/>
    <s v="WENDELL FRANKLIN VIEIRA MAIA"/>
    <s v="WENDELL FRANKLIN VIEIRA MAIA"/>
    <x v="0"/>
    <x v="20"/>
    <x v="2"/>
    <s v="TECNICO MULTIFUNCIONAL"/>
    <x v="576"/>
    <x v="576"/>
    <x v="21"/>
    <x v="6"/>
    <x v="3"/>
    <x v="0"/>
    <x v="0"/>
  </r>
  <r>
    <x v="577"/>
    <n v="109000943"/>
    <s v="ATIVIDADE NORMAL"/>
    <s v="08/02/2018"/>
    <x v="0"/>
    <x v="60"/>
    <x v="15"/>
    <x v="14"/>
    <s v="Regional Pernambuco"/>
    <s v="Recife"/>
    <s v="Tecnico de campo"/>
    <x v="9"/>
    <s v="INSTALADOR DTH"/>
    <s v="ATIVIDADE NORMAL"/>
    <s v="NOR"/>
    <s v="07510729408"/>
    <s v="04/09/2019"/>
    <s v="MAURO BRAGA RANGEL"/>
    <s v="BRUNO VINICIUS DE ALBERTINS ALVES"/>
    <s v="NIVALDO DE OLIVEIRA SOARES"/>
    <x v="0"/>
    <x v="77"/>
    <x v="11"/>
    <s v="INSTALADOR DTH"/>
    <x v="577"/>
    <x v="577"/>
    <x v="56"/>
    <x v="9"/>
    <x v="0"/>
    <x v="0"/>
    <x v="0"/>
  </r>
  <r>
    <x v="578"/>
    <n v="105000985"/>
    <s v="ATIVIDADE NORMAL"/>
    <s v="29/01/2019"/>
    <x v="2"/>
    <x v="61"/>
    <x v="4"/>
    <x v="24"/>
    <s v="Regional Pernambuco"/>
    <s v="João Pessoa"/>
    <s v="MultiSkill"/>
    <x v="3"/>
    <s v="TEC MULTIFUNCIONAL"/>
    <s v="ATIVIDADE NORMAL"/>
    <s v="POS"/>
    <s v="07551004416"/>
    <s v="04/09/2019"/>
    <s v="STANLEY MEDEIROS WANDERLEY"/>
    <s v="WENDELL FRANKLIN VIEIRA MAIA"/>
    <s v="WENDELL FRANKLIN VIEIRA MAIA"/>
    <x v="0"/>
    <x v="67"/>
    <x v="2"/>
    <s v="TECNICO MULTIFUNCIONAL"/>
    <x v="578"/>
    <x v="578"/>
    <x v="58"/>
    <x v="6"/>
    <x v="3"/>
    <x v="0"/>
    <x v="0"/>
  </r>
  <r>
    <x v="579"/>
    <n v="105000986"/>
    <s v="ATIVIDADE NORMAL"/>
    <s v="02/01/2019"/>
    <x v="2"/>
    <x v="20"/>
    <x v="5"/>
    <x v="16"/>
    <s v="Regional Pernambuco"/>
    <s v="João Pessoa"/>
    <s v="MultiSkill"/>
    <x v="4"/>
    <s v="TEC MULTIFUNCIONAL"/>
    <s v="ATIVIDADE NORMAL"/>
    <s v="CGE"/>
    <s v="07608565403"/>
    <s v="04/09/2019"/>
    <s v="JOSILENE MACENA DE OLIVEIRA"/>
    <s v="WENDELL FRANKLIN VIEIRA MAIA"/>
    <s v="WENDELL FRANKLIN VIEIRA MAIA"/>
    <x v="0"/>
    <x v="20"/>
    <x v="2"/>
    <s v="TECNICO MULTIFUNCIONAL"/>
    <x v="579"/>
    <x v="579"/>
    <x v="21"/>
    <x v="6"/>
    <x v="3"/>
    <x v="0"/>
    <x v="0"/>
  </r>
  <r>
    <x v="580"/>
    <n v="109501286"/>
    <s v="ATIVIDADE NORMAL"/>
    <s v="31/07/2019"/>
    <x v="0"/>
    <x v="30"/>
    <x v="10"/>
    <x v="13"/>
    <s v="Regional Pernambuco"/>
    <s v="Recife"/>
    <s v="MultiSkill"/>
    <x v="4"/>
    <s v="TEC MULTIFUNCIONAL"/>
    <s v="ATIVIDADE NORMAL"/>
    <s v="OES"/>
    <s v="07637417441"/>
    <s v="04/09/2019"/>
    <s v="JOSE HENRIQUE NEGRAO DE MEDEIROS"/>
    <s v="DECIO FABIANO LOPES FERREIRA"/>
    <s v="NIVALDO DE OLIVEIRA SOARES"/>
    <x v="0"/>
    <x v="37"/>
    <x v="2"/>
    <s v="TECNICO MULTIFUNCIONAL"/>
    <x v="580"/>
    <x v="580"/>
    <x v="34"/>
    <x v="0"/>
    <x v="0"/>
    <x v="0"/>
    <x v="0"/>
  </r>
  <r>
    <x v="581"/>
    <n v="109000017"/>
    <s v="ATIVIDADE NORMAL"/>
    <s v="31/10/2018"/>
    <x v="0"/>
    <x v="25"/>
    <x v="12"/>
    <x v="10"/>
    <s v="Regional Pernambuco"/>
    <s v="Recife"/>
    <s v="Equipe SWAT"/>
    <x v="6"/>
    <s v="CABISTA I"/>
    <s v="ATIVIDADE NORMAL"/>
    <s v="PES"/>
    <s v="07652016401"/>
    <s v="04/09/2019"/>
    <s v="AMAURY ASSIS DE LIMA"/>
    <s v="DECIO FABIANO LOPES FERREIRA"/>
    <s v="NIVALDO DE OLIVEIRA SOARES"/>
    <x v="0"/>
    <x v="24"/>
    <x v="7"/>
    <s v="CABISTA I"/>
    <x v="581"/>
    <x v="581"/>
    <x v="15"/>
    <x v="0"/>
    <x v="0"/>
    <x v="0"/>
    <x v="1"/>
  </r>
  <r>
    <x v="582"/>
    <n v="102101393"/>
    <s v="ATIVIDADE NORMAL"/>
    <s v="03/10/2018"/>
    <x v="3"/>
    <x v="66"/>
    <x v="6"/>
    <x v="21"/>
    <s v="Regional Pernambuco"/>
    <s v="Natal"/>
    <s v="Tecnico de campo"/>
    <x v="5"/>
    <s v="INSTALADOR TUP"/>
    <s v="ATIVIDADE NORMAL"/>
    <s v="NTS"/>
    <s v="07674685462"/>
    <s v="04/09/2019"/>
    <s v="SIDNEY MOURA FREIRE"/>
    <s v="REINILSON IGLESIAS JUNIOR"/>
    <s v="WENDELL FRANKLIN VIEIRA MAIA"/>
    <x v="0"/>
    <x v="23"/>
    <x v="6"/>
    <s v="INSTALADOR I"/>
    <x v="582"/>
    <x v="582"/>
    <x v="24"/>
    <x v="7"/>
    <x v="3"/>
    <x v="0"/>
    <x v="1"/>
  </r>
  <r>
    <x v="583"/>
    <n v="105303207"/>
    <s v="ATIVIDADE NORMAL"/>
    <s v="10/03/2019"/>
    <x v="2"/>
    <x v="34"/>
    <x v="15"/>
    <x v="12"/>
    <s v="Regional Pernambuco"/>
    <s v="João Pessoa"/>
    <s v="Tecnico de campo"/>
    <x v="9"/>
    <s v="INSTALADOR DTH"/>
    <s v="ATIVIDADE NORMAL"/>
    <s v="JPA"/>
    <s v="07691268475"/>
    <s v="04/09/2019"/>
    <s v="RAFAEL FERNANDES MATIAS"/>
    <s v="WENDELL FRANKLIN VIEIRA MAIA"/>
    <s v="WENDELL FRANKLIN VIEIRA MAIA"/>
    <x v="0"/>
    <x v="49"/>
    <x v="11"/>
    <s v="INSTALADOR DTH"/>
    <x v="583"/>
    <x v="583"/>
    <x v="44"/>
    <x v="6"/>
    <x v="3"/>
    <x v="0"/>
    <x v="0"/>
  </r>
  <r>
    <x v="584"/>
    <n v="105303134"/>
    <s v="ATIVIDADE NORMAL"/>
    <s v="17/12/2018"/>
    <x v="2"/>
    <x v="42"/>
    <x v="10"/>
    <x v="12"/>
    <s v="Regional Pernambuco"/>
    <s v="João Pessoa"/>
    <s v="MultiSkill"/>
    <x v="4"/>
    <s v="TEC MULTIFUNCIONAL"/>
    <s v="ATIVIDADE NORMAL"/>
    <s v="JPA"/>
    <s v="07808354414"/>
    <s v="04/09/2019"/>
    <s v="GLAUBER JOSE GOMES LEITAO"/>
    <s v="WENDELL FRANKLIN VIEIRA MAIA"/>
    <s v="WENDELL FRANKLIN VIEIRA MAIA"/>
    <x v="0"/>
    <x v="43"/>
    <x v="2"/>
    <s v="TECNICO MULTIFUNCIONAL"/>
    <x v="584"/>
    <x v="584"/>
    <x v="39"/>
    <x v="6"/>
    <x v="3"/>
    <x v="0"/>
    <x v="0"/>
  </r>
  <r>
    <x v="585"/>
    <n v="109504223"/>
    <s v="ATIVIDADE NORMAL"/>
    <s v="18/05/2019"/>
    <x v="0"/>
    <x v="68"/>
    <x v="2"/>
    <x v="10"/>
    <s v="Regional Pernambuco"/>
    <s v="Recife"/>
    <s v="Tecnico de campo"/>
    <x v="1"/>
    <s v="CABISTA I"/>
    <s v="ATIVIDADE NORMAL"/>
    <s v="PES"/>
    <s v="07865153414"/>
    <s v="04/09/2019"/>
    <s v="ADENILTON CORREIA DA CRUZ"/>
    <s v="MARCOS DE OLIVEIRA STEHLING"/>
    <s v="NIVALDO DE OLIVEIRA SOARES"/>
    <x v="0"/>
    <x v="83"/>
    <x v="3"/>
    <s v="CABISTA I"/>
    <x v="585"/>
    <x v="585"/>
    <x v="69"/>
    <x v="3"/>
    <x v="0"/>
    <x v="0"/>
    <x v="1"/>
  </r>
  <r>
    <x v="586"/>
    <n v="101001488"/>
    <s v="ATIVIDADE NORMAL"/>
    <s v="19/12/2018"/>
    <x v="1"/>
    <x v="2"/>
    <x v="18"/>
    <x v="2"/>
    <s v="Regional Ceará"/>
    <s v="Capital Sul Ceará"/>
    <s v="Tecnico de campo"/>
    <x v="0"/>
    <s v="TEC MULTIFUNCIONAL"/>
    <s v="ATIVIDADE NORMAL"/>
    <s v="GCL"/>
    <s v="07868256346"/>
    <s v="04/09/2019"/>
    <s v="MICHEL SOARES DE OLIVEIRA"/>
    <s v="ANTONIO ROBEVANIO PINHEIRO"/>
    <s v="JONILSON FELIPE VIEIRA"/>
    <x v="0"/>
    <x v="50"/>
    <x v="1"/>
    <s v="TECNICO MULTIFUNCIONAL"/>
    <x v="586"/>
    <x v="586"/>
    <x v="2"/>
    <x v="1"/>
    <x v="1"/>
    <x v="0"/>
    <x v="0"/>
  </r>
  <r>
    <x v="587"/>
    <n v="102002917"/>
    <s v="ATIVIDADE NORMAL"/>
    <s v="02/01/2019"/>
    <x v="3"/>
    <x v="23"/>
    <x v="14"/>
    <x v="18"/>
    <s v="Regional Pernambuco"/>
    <s v="Natal"/>
    <s v="MultiSkill"/>
    <x v="4"/>
    <s v="TEC MULTIFUNCIONAL"/>
    <s v="ATIVIDADE NORMAL"/>
    <s v="RNS"/>
    <s v="09018533483"/>
    <s v="04/09/2019"/>
    <s v="RICELE DA SILVA NASCIMENTO"/>
    <s v="REINILSON IGLESIAS JUNIOR"/>
    <s v="WENDELL FRANKLIN VIEIRA MAIA"/>
    <x v="0"/>
    <x v="29"/>
    <x v="2"/>
    <s v="TECNICO MULTIFUNCIONAL"/>
    <x v="587"/>
    <x v="587"/>
    <x v="51"/>
    <x v="7"/>
    <x v="3"/>
    <x v="0"/>
    <x v="0"/>
  </r>
  <r>
    <x v="588"/>
    <n v="102101393"/>
    <s v="ATIVIDADE NORMAL"/>
    <s v="06/03/2019"/>
    <x v="3"/>
    <x v="27"/>
    <x v="6"/>
    <x v="20"/>
    <s v="Regional Pernambuco"/>
    <s v="Natal"/>
    <s v="Tecnico de campo"/>
    <x v="5"/>
    <s v="INSTALADOR TUP"/>
    <s v="ATIVIDADE NORMAL"/>
    <s v="MRO"/>
    <s v="09088839433"/>
    <s v="04/09/2019"/>
    <s v="SIDNEY MOURA FREIRE"/>
    <s v="REINILSON IGLESIAS JUNIOR"/>
    <s v="WENDELL FRANKLIN VIEIRA MAIA"/>
    <x v="0"/>
    <x v="23"/>
    <x v="6"/>
    <s v="INSTALADOR I"/>
    <x v="588"/>
    <x v="588"/>
    <x v="24"/>
    <x v="7"/>
    <x v="3"/>
    <x v="0"/>
    <x v="1"/>
  </r>
  <r>
    <x v="589"/>
    <n v="109506172"/>
    <s v="ATIVIDADE NORMAL"/>
    <s v="10/04/2019"/>
    <x v="0"/>
    <x v="59"/>
    <x v="3"/>
    <x v="13"/>
    <s v="Regional Pernambuco"/>
    <s v="Recife"/>
    <s v="Tecnico de campo"/>
    <x v="2"/>
    <s v="TEC MULTIFUNCIONAL"/>
    <s v="ATIVIDADE NORMAL"/>
    <s v="OES"/>
    <s v="09177559444"/>
    <s v="04/09/2019"/>
    <s v="MARCUS VINICIUS NEVES DE BRITO"/>
    <s v="DECIO FABIANO LOPES FERREIRA"/>
    <s v="NIVALDO DE OLIVEIRA SOARES"/>
    <x v="0"/>
    <x v="64"/>
    <x v="2"/>
    <s v="TECNICO MULTIFUNCIONAL"/>
    <x v="589"/>
    <x v="589"/>
    <x v="54"/>
    <x v="0"/>
    <x v="0"/>
    <x v="0"/>
    <x v="0"/>
  </r>
  <r>
    <x v="590"/>
    <n v="109505858"/>
    <s v="ATIVIDADE NORMAL"/>
    <s v="08/08/2018"/>
    <x v="0"/>
    <x v="14"/>
    <x v="15"/>
    <x v="11"/>
    <s v="Regional Pernambuco"/>
    <s v="Interior"/>
    <s v="Tecnico de campo"/>
    <x v="9"/>
    <s v="TEC MULTIFUNCIONAL"/>
    <s v="ATIVIDADE NORMAL"/>
    <s v="ACV"/>
    <s v="09189956478"/>
    <s v="04/09/2019"/>
    <s v="THIAGO DE LIMA PIRES RODRIGUES"/>
    <s v="DECIO FABIANO LOPES FERREIRA"/>
    <s v="NIVALDO DE OLIVEIRA SOARES"/>
    <x v="0"/>
    <x v="11"/>
    <x v="11"/>
    <s v="TECNICO MULTIFUNCIONAL"/>
    <x v="590"/>
    <x v="590"/>
    <x v="12"/>
    <x v="0"/>
    <x v="0"/>
    <x v="0"/>
    <x v="0"/>
  </r>
  <r>
    <x v="591"/>
    <n v="105000986"/>
    <s v="ATIVIDADE NORMAL"/>
    <s v="06/03/2019"/>
    <x v="2"/>
    <x v="33"/>
    <x v="5"/>
    <x v="16"/>
    <s v="Regional Pernambuco"/>
    <s v="João Pessoa"/>
    <s v="MultiSkill"/>
    <x v="4"/>
    <s v="TEC MULTIFUNCIONAL"/>
    <s v="ATIVIDADE NORMAL"/>
    <s v="CGE"/>
    <s v="09230341452"/>
    <s v="04/09/2019"/>
    <s v="JOSILENE MACENA DE OLIVEIRA"/>
    <s v="WENDELL FRANKLIN VIEIRA MAIA"/>
    <s v="WENDELL FRANKLIN VIEIRA MAIA"/>
    <x v="0"/>
    <x v="20"/>
    <x v="2"/>
    <s v="TECNICO MULTIFUNCIONAL"/>
    <x v="591"/>
    <x v="591"/>
    <x v="21"/>
    <x v="6"/>
    <x v="3"/>
    <x v="0"/>
    <x v="0"/>
  </r>
  <r>
    <x v="592"/>
    <n v="109501286"/>
    <s v="ATIVIDADE NORMAL"/>
    <s v="03/07/2019"/>
    <x v="0"/>
    <x v="30"/>
    <x v="11"/>
    <x v="13"/>
    <s v="Regional Pernambuco"/>
    <s v="Recife"/>
    <s v="MultiSkill"/>
    <x v="1"/>
    <s v="TEC MULTIFUNCIONAL"/>
    <s v="ATIVIDADE NORMAL"/>
    <s v="OES"/>
    <s v="09266085413"/>
    <s v="04/09/2019"/>
    <s v="JOSE HENRIQUE NEGRAO DE MEDEIROS"/>
    <s v="DECIO FABIANO LOPES FERREIRA"/>
    <s v="NIVALDO DE OLIVEIRA SOARES"/>
    <x v="0"/>
    <x v="40"/>
    <x v="2"/>
    <s v="TECNICO MULTIFUNCIONAL"/>
    <x v="592"/>
    <x v="592"/>
    <x v="34"/>
    <x v="0"/>
    <x v="0"/>
    <x v="0"/>
    <x v="1"/>
  </r>
  <r>
    <x v="593"/>
    <n v="102100917"/>
    <s v="ATIVIDADE NORMAL"/>
    <s v="18/05/2019"/>
    <x v="3"/>
    <x v="27"/>
    <x v="2"/>
    <x v="20"/>
    <s v="Regional Pernambuco"/>
    <s v="Natal"/>
    <s v="Tecnico de campo"/>
    <x v="1"/>
    <s v="CABISTA I"/>
    <s v="ATIVIDADE NORMAL"/>
    <s v="MRO"/>
    <s v="09274531427"/>
    <s v="04/09/2019"/>
    <s v="FERNANDO FREITAS ALMEIDA DOS SANTOS"/>
    <s v="REINILSON IGLESIAS JUNIOR"/>
    <s v="WENDELL FRANKLIN VIEIRA MAIA"/>
    <x v="0"/>
    <x v="28"/>
    <x v="7"/>
    <s v="CABISTA I"/>
    <x v="593"/>
    <x v="593"/>
    <x v="27"/>
    <x v="7"/>
    <x v="3"/>
    <x v="0"/>
    <x v="1"/>
  </r>
  <r>
    <x v="594"/>
    <n v="109505049"/>
    <s v="ATIVIDADE NORMAL"/>
    <s v="28/11/2018"/>
    <x v="0"/>
    <x v="51"/>
    <x v="0"/>
    <x v="14"/>
    <s v="Regional Pernambuco"/>
    <s v="Recife"/>
    <s v="MultiSkill"/>
    <x v="0"/>
    <s v="TEC MULTIFUNCIONAL"/>
    <s v="ATIVIDADE NORMAL"/>
    <s v="NOR"/>
    <s v="09340957440"/>
    <s v="04/09/2019"/>
    <s v="RAMSES DE ANDRADE MACHADO RODRIGUES LAVRA"/>
    <s v="BRUNO VINICIUS DE ALBERTINS ALVES"/>
    <s v="NIVALDO DE OLIVEIRA SOARES"/>
    <x v="0"/>
    <x v="57"/>
    <x v="1"/>
    <s v="TECNICO MULTIFUNCIONAL"/>
    <x v="594"/>
    <x v="594"/>
    <x v="48"/>
    <x v="9"/>
    <x v="0"/>
    <x v="0"/>
    <x v="0"/>
  </r>
  <r>
    <x v="595"/>
    <n v="109500177"/>
    <s v="AFAST DOENCA MAIS DE 15 DIAS"/>
    <s v="31/07/2019"/>
    <x v="0"/>
    <x v="18"/>
    <x v="19"/>
    <x v="14"/>
    <s v="Regional Pernambuco"/>
    <s v="Recife"/>
    <s v="Tecnico de campo"/>
    <x v="8"/>
    <s v="INSTALADOR DTH"/>
    <s v="AFAST DOENCA MAIS DE 15 DIAS"/>
    <s v="NOR"/>
    <s v="09367889410"/>
    <s v="04/09/2019"/>
    <s v="JOSUEL FERREIRA DE BRITO"/>
    <s v="BRUNO VINICIUS DE ALBERTINS ALVES"/>
    <s v="NIVALDO DE OLIVEIRA SOARES"/>
    <x v="1"/>
    <x v="38"/>
    <x v="11"/>
    <s v="INSTALADOR DTH"/>
    <x v="595"/>
    <x v="595"/>
    <x v="36"/>
    <x v="9"/>
    <x v="0"/>
    <x v="2"/>
    <x v="1"/>
  </r>
  <r>
    <x v="596"/>
    <n v="102101634"/>
    <s v="ATIVIDADE NORMAL"/>
    <s v="19/11/2018"/>
    <x v="3"/>
    <x v="29"/>
    <x v="10"/>
    <x v="19"/>
    <s v="Regional Pernambuco"/>
    <s v="Natal"/>
    <s v="MultiSkill"/>
    <x v="4"/>
    <s v="TEC MULTIFUNCIONAL"/>
    <s v="ATIVIDADE NORMAL"/>
    <s v="NTN"/>
    <s v="09422558441"/>
    <s v="04/09/2019"/>
    <s v="FABIO BATISTA DA SILVA"/>
    <s v="REINILSON IGLESIAS JUNIOR"/>
    <s v="WENDELL FRANKLIN VIEIRA MAIA"/>
    <x v="0"/>
    <x v="30"/>
    <x v="2"/>
    <s v="TECNICO MULTIFUNCIONAL"/>
    <x v="596"/>
    <x v="596"/>
    <x v="29"/>
    <x v="7"/>
    <x v="3"/>
    <x v="0"/>
    <x v="0"/>
  </r>
  <r>
    <x v="597"/>
    <n v="105303207"/>
    <s v="FERIAS NORMAIS"/>
    <s v="02/09/2019"/>
    <x v="2"/>
    <x v="34"/>
    <x v="10"/>
    <x v="12"/>
    <s v="Regional Pernambuco"/>
    <s v="João Pessoa"/>
    <s v="MultiSkill"/>
    <x v="4"/>
    <s v="TEC MULTIFUNCIONAL"/>
    <s v="FERIAS NORMAIS"/>
    <s v="JPA"/>
    <s v="09508135409"/>
    <s v="04/09/2019"/>
    <s v="RAFAEL FERNANDES MATIAS"/>
    <s v="WENDELL FRANKLIN VIEIRA MAIA"/>
    <s v="WENDELL FRANKLIN VIEIRA MAIA"/>
    <x v="1"/>
    <x v="49"/>
    <x v="10"/>
    <s v="TECNICO MULTIFUNCIONAL"/>
    <x v="597"/>
    <x v="597"/>
    <x v="44"/>
    <x v="6"/>
    <x v="3"/>
    <x v="1"/>
    <x v="0"/>
  </r>
  <r>
    <x v="598"/>
    <n v="109506032"/>
    <s v="ATIVIDADE NORMAL"/>
    <s v="28/11/2018"/>
    <x v="0"/>
    <x v="16"/>
    <x v="10"/>
    <x v="13"/>
    <s v="Regional Pernambuco"/>
    <s v="Recife"/>
    <s v="MultiSkill"/>
    <x v="4"/>
    <s v="TEC MULTIFUNCIONAL"/>
    <s v="ATIVIDADE NORMAL"/>
    <s v="OES"/>
    <s v="09508667419"/>
    <s v="04/09/2019"/>
    <s v="CARLOS REIS GONZAGA"/>
    <s v="DECIO FABIANO LOPES FERREIRA"/>
    <s v="NIVALDO DE OLIVEIRA SOARES"/>
    <x v="0"/>
    <x v="16"/>
    <x v="2"/>
    <s v="TECNICO MULTIFUNCIONAL"/>
    <x v="598"/>
    <x v="598"/>
    <x v="17"/>
    <x v="0"/>
    <x v="0"/>
    <x v="0"/>
    <x v="0"/>
  </r>
  <r>
    <x v="599"/>
    <n v="109000017"/>
    <s v="ATIVIDADE NORMAL"/>
    <s v="14/04/2019"/>
    <x v="0"/>
    <x v="56"/>
    <x v="10"/>
    <x v="10"/>
    <s v="Regional Pernambuco"/>
    <s v="Recife"/>
    <s v="MultiSkill"/>
    <x v="4"/>
    <s v="TEC MULTIFUNCIONAL"/>
    <s v="ATIVIDADE NORMAL"/>
    <s v="PES"/>
    <s v="07880844457"/>
    <s v="04/09/2019"/>
    <s v="AMAURY ASSIS DE LIMA"/>
    <s v="DECIO FABIANO LOPES FERREIRA"/>
    <s v="NIVALDO DE OLIVEIRA SOARES"/>
    <x v="0"/>
    <x v="24"/>
    <x v="2"/>
    <s v="TECNICO MULTIFUNCIONAL"/>
    <x v="599"/>
    <x v="599"/>
    <x v="15"/>
    <x v="0"/>
    <x v="0"/>
    <x v="0"/>
    <x v="0"/>
  </r>
  <r>
    <x v="600"/>
    <n v="102101393"/>
    <s v="ATIVIDADE NORMAL"/>
    <s v="31/07/2019"/>
    <x v="3"/>
    <x v="29"/>
    <x v="6"/>
    <x v="19"/>
    <s v="Regional Pernambuco"/>
    <s v="Natal"/>
    <s v="Tecnico de campo"/>
    <x v="5"/>
    <s v="INSTALADOR TUP"/>
    <s v="ATIVIDADE NORMAL"/>
    <s v="NTN"/>
    <s v="07968681405"/>
    <s v="04/09/2019"/>
    <s v="SIDNEY MOURA FREIRE"/>
    <s v="REINILSON IGLESIAS JUNIOR"/>
    <s v="WENDELL FRANKLIN VIEIRA MAIA"/>
    <x v="0"/>
    <x v="62"/>
    <x v="6"/>
    <s v="INSTALADOR I"/>
    <x v="600"/>
    <x v="600"/>
    <x v="24"/>
    <x v="7"/>
    <x v="3"/>
    <x v="0"/>
    <x v="1"/>
  </r>
  <r>
    <x v="601"/>
    <n v="109505049"/>
    <s v="ATIVIDADE NORMAL"/>
    <s v="16/03/2019"/>
    <x v="0"/>
    <x v="52"/>
    <x v="0"/>
    <x v="7"/>
    <s v="Regional Pernambuco"/>
    <s v="Recife"/>
    <s v="Tecnico de campo"/>
    <x v="0"/>
    <s v="TEC MULTIFUNCIONAL"/>
    <s v="ATIVIDADE NORMAL"/>
    <s v="LES"/>
    <s v="08032975489"/>
    <s v="04/09/2019"/>
    <s v="RAMSES DE ANDRADE MACHADO RODRIGUES LAVRA"/>
    <s v="BRUNO VINICIUS DE ALBERTINS ALVES"/>
    <s v="NIVALDO DE OLIVEIRA SOARES"/>
    <x v="0"/>
    <x v="57"/>
    <x v="1"/>
    <s v="TECNICO MULTIFUNCIONAL"/>
    <x v="601"/>
    <x v="601"/>
    <x v="48"/>
    <x v="9"/>
    <x v="0"/>
    <x v="0"/>
    <x v="0"/>
  </r>
  <r>
    <x v="602"/>
    <n v="109000017"/>
    <s v="FERIAS NORMAIS"/>
    <s v="19/08/2019"/>
    <x v="0"/>
    <x v="56"/>
    <x v="15"/>
    <x v="10"/>
    <s v="Regional Pernambuco"/>
    <s v="Recife"/>
    <s v="Tecnico de campo"/>
    <x v="9"/>
    <s v="INSTALADOR DTH"/>
    <s v="FERIAS NORMAIS"/>
    <s v="PES"/>
    <s v="08053285481"/>
    <s v="04/09/2019"/>
    <s v="AMAURY ASSIS DE LIMA"/>
    <s v="DECIO FABIANO LOPES FERREIRA"/>
    <s v="NIVALDO DE OLIVEIRA SOARES"/>
    <x v="1"/>
    <x v="24"/>
    <x v="11"/>
    <s v="INSTALADOR DTH"/>
    <x v="602"/>
    <x v="602"/>
    <x v="15"/>
    <x v="0"/>
    <x v="0"/>
    <x v="1"/>
    <x v="0"/>
  </r>
  <r>
    <x v="603"/>
    <n v="105303207"/>
    <s v="ATIVIDADE NORMAL"/>
    <s v="01/05/2019"/>
    <x v="2"/>
    <x v="63"/>
    <x v="10"/>
    <x v="12"/>
    <s v="Regional Pernambuco"/>
    <s v="João Pessoa"/>
    <s v="MultiSkill"/>
    <x v="4"/>
    <s v="TEC MULTIFUNCIONAL"/>
    <s v="ATIVIDADE NORMAL"/>
    <s v="JPA"/>
    <s v="08140124427"/>
    <s v="04/09/2019"/>
    <s v="RAFAEL FERNANDES MATIAS"/>
    <s v="WENDELL FRANKLIN VIEIRA MAIA"/>
    <s v="WENDELL FRANKLIN VIEIRA MAIA"/>
    <x v="0"/>
    <x v="49"/>
    <x v="2"/>
    <s v="TECNICO MULTIFUNCIONAL"/>
    <x v="603"/>
    <x v="603"/>
    <x v="44"/>
    <x v="6"/>
    <x v="3"/>
    <x v="0"/>
    <x v="0"/>
  </r>
  <r>
    <x v="604"/>
    <n v="109000340"/>
    <s v="ATIVIDADE NORMAL"/>
    <s v="28/11/2018"/>
    <x v="0"/>
    <x v="38"/>
    <x v="14"/>
    <x v="22"/>
    <s v="Regional Pernambuco"/>
    <s v="Interior"/>
    <s v="MultiSkill"/>
    <x v="4"/>
    <s v="TEC MULTIFUNCIONAL"/>
    <s v="ATIVIDADE NORMAL"/>
    <s v="CAA"/>
    <s v="08189627473"/>
    <s v="04/09/2019"/>
    <s v="AILTON JOSE DOS SANTOS"/>
    <s v="DECIO FABIANO LOPES FERREIRA"/>
    <s v="NIVALDO DE OLIVEIRA SOARES"/>
    <x v="0"/>
    <x v="41"/>
    <x v="2"/>
    <s v="TECNICO MULTIFUNCIONAL"/>
    <x v="604"/>
    <x v="604"/>
    <x v="22"/>
    <x v="0"/>
    <x v="0"/>
    <x v="0"/>
    <x v="0"/>
  </r>
  <r>
    <x v="605"/>
    <n v="109000017"/>
    <s v="ATIVIDADE NORMAL"/>
    <s v="21/06/2019"/>
    <x v="0"/>
    <x v="56"/>
    <x v="10"/>
    <x v="10"/>
    <s v="Regional Pernambuco"/>
    <s v="Recife"/>
    <s v="MultiSkill"/>
    <x v="4"/>
    <s v="TEC MULTIFUNCIONAL"/>
    <s v="ATIVIDADE NORMAL"/>
    <s v="PES"/>
    <s v="08212415406"/>
    <s v="04/09/2019"/>
    <s v="AMAURY ASSIS DE LIMA"/>
    <s v="DECIO FABIANO LOPES FERREIRA"/>
    <s v="NIVALDO DE OLIVEIRA SOARES"/>
    <x v="0"/>
    <x v="70"/>
    <x v="2"/>
    <s v="TECNICO MULTIFUNCIONAL"/>
    <x v="605"/>
    <x v="605"/>
    <x v="15"/>
    <x v="0"/>
    <x v="0"/>
    <x v="0"/>
    <x v="0"/>
  </r>
  <r>
    <x v="606"/>
    <n v="105303207"/>
    <s v="ATIVIDADE NORMAL"/>
    <s v="17/12/2018"/>
    <x v="2"/>
    <x v="34"/>
    <x v="10"/>
    <x v="12"/>
    <s v="Regional Pernambuco"/>
    <s v="João Pessoa"/>
    <s v="MultiSkill"/>
    <x v="4"/>
    <s v="TEC MULTIFUNCIONAL"/>
    <s v="ATIVIDADE NORMAL"/>
    <s v="JPA"/>
    <s v="08251935407"/>
    <s v="04/09/2019"/>
    <s v="RAFAEL FERNANDES MATIAS"/>
    <s v="WENDELL FRANKLIN VIEIRA MAIA"/>
    <s v="WENDELL FRANKLIN VIEIRA MAIA"/>
    <x v="0"/>
    <x v="49"/>
    <x v="2"/>
    <s v="TECNICO MULTIFUNCIONAL"/>
    <x v="606"/>
    <x v="606"/>
    <x v="44"/>
    <x v="6"/>
    <x v="3"/>
    <x v="0"/>
    <x v="0"/>
  </r>
  <r>
    <x v="607"/>
    <n v="102101393"/>
    <s v="ATIVIDADE NORMAL"/>
    <s v="06/02/2019"/>
    <x v="3"/>
    <x v="27"/>
    <x v="6"/>
    <x v="20"/>
    <s v="Regional Pernambuco"/>
    <s v="Natal"/>
    <s v="Tecnico de campo"/>
    <x v="5"/>
    <s v="INSTALADOR TUP"/>
    <s v="ATIVIDADE NORMAL"/>
    <s v="MRO"/>
    <s v="08350989408"/>
    <s v="04/09/2019"/>
    <s v="SIDNEY MOURA FREIRE"/>
    <s v="REINILSON IGLESIAS JUNIOR"/>
    <s v="WENDELL FRANKLIN VIEIRA MAIA"/>
    <x v="0"/>
    <x v="23"/>
    <x v="6"/>
    <s v="INSTALADOR I"/>
    <x v="607"/>
    <x v="607"/>
    <x v="24"/>
    <x v="7"/>
    <x v="3"/>
    <x v="0"/>
    <x v="1"/>
  </r>
  <r>
    <x v="608"/>
    <n v="109000926"/>
    <s v="ATIVIDADE NORMAL"/>
    <s v="28/11/2018"/>
    <x v="0"/>
    <x v="7"/>
    <x v="10"/>
    <x v="7"/>
    <s v="Regional Pernambuco"/>
    <s v="Recife"/>
    <s v="MultiSkill"/>
    <x v="4"/>
    <s v="TEC MULTIFUNCIONAL"/>
    <s v="ATIVIDADE NORMAL"/>
    <s v="LES"/>
    <s v="08381995426"/>
    <s v="04/09/2019"/>
    <s v="ANTONIO MAGNO DE CASTRO LEAO"/>
    <s v="BRUNO VINICIUS DE ALBERTINS ALVES"/>
    <s v="NIVALDO DE OLIVEIRA SOARES"/>
    <x v="0"/>
    <x v="45"/>
    <x v="2"/>
    <s v="TECNICO MULTIFUNCIONAL"/>
    <x v="608"/>
    <x v="608"/>
    <x v="41"/>
    <x v="9"/>
    <x v="0"/>
    <x v="0"/>
    <x v="0"/>
  </r>
  <r>
    <x v="609"/>
    <n v="101005380"/>
    <s v="ATIVIDADE NORMAL"/>
    <s v="15/02/2019"/>
    <x v="1"/>
    <x v="19"/>
    <x v="5"/>
    <x v="15"/>
    <s v="Regional Ceará"/>
    <s v="Sobral"/>
    <s v="MultiSkill"/>
    <x v="4"/>
    <s v="TEC MULTIFUNCIONAL"/>
    <s v="ATIVIDADE NORMAL"/>
    <s v="SOL"/>
    <s v="08412031725"/>
    <s v="04/09/2019"/>
    <s v="MARCILIO RIBEIRO DOS SANTOS"/>
    <s v="JEFFERSON OLIVEIRA DA SILVA"/>
    <s v="JONILSON FELIPE VIEIRA"/>
    <x v="0"/>
    <x v="65"/>
    <x v="2"/>
    <s v="TECNICO MULTIFUNCIONAL"/>
    <x v="609"/>
    <x v="609"/>
    <x v="20"/>
    <x v="2"/>
    <x v="1"/>
    <x v="0"/>
    <x v="0"/>
  </r>
  <r>
    <x v="610"/>
    <n v="109000340"/>
    <s v="ATIVIDADE NORMAL"/>
    <s v="02/06/2019"/>
    <x v="0"/>
    <x v="0"/>
    <x v="12"/>
    <x v="0"/>
    <s v="Regional Pernambuco"/>
    <s v="Interior"/>
    <s v="Equipe SWAT"/>
    <x v="6"/>
    <s v="CABISTA I"/>
    <s v="ATIVIDADE NORMAL"/>
    <s v="CRU"/>
    <s v="08442278460"/>
    <s v="04/09/2019"/>
    <s v="AILTON JOSE DOS SANTOS"/>
    <s v="DECIO FABIANO LOPES FERREIRA"/>
    <s v="NIVALDO DE OLIVEIRA SOARES"/>
    <x v="0"/>
    <x v="21"/>
    <x v="7"/>
    <s v="CABISTA I"/>
    <x v="610"/>
    <x v="610"/>
    <x v="22"/>
    <x v="0"/>
    <x v="0"/>
    <x v="0"/>
    <x v="1"/>
  </r>
  <r>
    <x v="611"/>
    <n v="102100917"/>
    <s v="FERIAS NORMAIS"/>
    <s v="02/09/2019"/>
    <x v="3"/>
    <x v="27"/>
    <x v="4"/>
    <x v="20"/>
    <s v="Regional Pernambuco"/>
    <s v="Natal"/>
    <s v="MultiSkill"/>
    <x v="3"/>
    <s v="TEC MULTIFUNCIONAL"/>
    <s v="FERIAS NORMAIS"/>
    <s v="MRO"/>
    <s v="08573813423"/>
    <s v="04/09/2019"/>
    <s v="FERNANDO FREITAS ALMEIDA DOS SANTOS"/>
    <s v="REINILSON IGLESIAS JUNIOR"/>
    <s v="WENDELL FRANKLIN VIEIRA MAIA"/>
    <x v="1"/>
    <x v="28"/>
    <x v="2"/>
    <s v="TECNICO MULTIFUNCIONAL"/>
    <x v="611"/>
    <x v="611"/>
    <x v="27"/>
    <x v="7"/>
    <x v="3"/>
    <x v="1"/>
    <x v="0"/>
  </r>
  <r>
    <x v="612"/>
    <n v="109506172"/>
    <s v="ATIVIDADE NORMAL"/>
    <s v="27/03/2019"/>
    <x v="0"/>
    <x v="30"/>
    <x v="15"/>
    <x v="13"/>
    <s v="Regional Pernambuco"/>
    <s v="Recife"/>
    <s v="Tecnico de campo"/>
    <x v="9"/>
    <s v="INSTALADOR DTH"/>
    <s v="ATIVIDADE NORMAL"/>
    <s v="OES"/>
    <s v="08652852413"/>
    <s v="04/09/2019"/>
    <s v="MARCUS VINICIUS NEVES DE BRITO"/>
    <s v="DECIO FABIANO LOPES FERREIRA"/>
    <s v="NIVALDO DE OLIVEIRA SOARES"/>
    <x v="0"/>
    <x v="37"/>
    <x v="11"/>
    <s v="INSTALADOR DTH"/>
    <x v="612"/>
    <x v="612"/>
    <x v="54"/>
    <x v="0"/>
    <x v="0"/>
    <x v="0"/>
    <x v="0"/>
  </r>
  <r>
    <x v="613"/>
    <n v="109506091"/>
    <s v="ATIVIDADE NORMAL"/>
    <s v="28/11/2018"/>
    <x v="0"/>
    <x v="35"/>
    <x v="10"/>
    <x v="14"/>
    <s v="Regional Pernambuco"/>
    <s v="Recife"/>
    <s v="MultiSkill"/>
    <x v="4"/>
    <s v="TEC MULTIFUNCIONAL"/>
    <s v="ATIVIDADE NORMAL"/>
    <s v="NOR"/>
    <s v="08694799464"/>
    <s v="04/09/2019"/>
    <s v="LUIZ RICARDO LIMA DA SILVA"/>
    <s v="BRUNO VINICIUS DE ALBERTINS ALVES"/>
    <s v="NIVALDO DE OLIVEIRA SOARES"/>
    <x v="0"/>
    <x v="38"/>
    <x v="2"/>
    <s v="TECNICO MULTIFUNCIONAL"/>
    <x v="613"/>
    <x v="613"/>
    <x v="49"/>
    <x v="9"/>
    <x v="0"/>
    <x v="0"/>
    <x v="0"/>
  </r>
  <r>
    <x v="614"/>
    <n v="109504193"/>
    <s v="ATIVIDADE NORMAL"/>
    <s v="27/03/2019"/>
    <x v="0"/>
    <x v="18"/>
    <x v="12"/>
    <x v="14"/>
    <s v="Regional Pernambuco"/>
    <s v="Recife"/>
    <s v="Tecnico de campo"/>
    <x v="6"/>
    <s v="CABISTA I"/>
    <s v="ATIVIDADE NORMAL"/>
    <s v="NOR"/>
    <s v="08702991403"/>
    <s v="04/09/2019"/>
    <s v="PAULO JOSE DA SILVA JUNIOR"/>
    <s v="MARCOS DE OLIVEIRA STEHLING"/>
    <s v="NIVALDO DE OLIVEIRA SOARES"/>
    <x v="0"/>
    <x v="38"/>
    <x v="13"/>
    <s v="CABISTA I"/>
    <x v="614"/>
    <x v="614"/>
    <x v="30"/>
    <x v="3"/>
    <x v="0"/>
    <x v="0"/>
    <x v="1"/>
  </r>
  <r>
    <x v="615"/>
    <n v="109505858"/>
    <s v="ATIVIDADE NORMAL"/>
    <s v="03/10/2018"/>
    <x v="0"/>
    <x v="14"/>
    <x v="15"/>
    <x v="11"/>
    <s v="Regional Pernambuco"/>
    <s v="Interior"/>
    <s v="MultiSkill"/>
    <x v="9"/>
    <s v="TEC MULTIFUNCIONAL"/>
    <s v="ATIVIDADE NORMAL"/>
    <s v="ACV"/>
    <s v="08710039457"/>
    <s v="04/09/2019"/>
    <s v="THIAGO DE LIMA PIRES RODRIGUES"/>
    <s v="DECIO FABIANO LOPES FERREIRA"/>
    <s v="NIVALDO DE OLIVEIRA SOARES"/>
    <x v="0"/>
    <x v="11"/>
    <x v="2"/>
    <s v="TECNICO MULTIFUNCIONAL"/>
    <x v="615"/>
    <x v="615"/>
    <x v="12"/>
    <x v="0"/>
    <x v="0"/>
    <x v="0"/>
    <x v="0"/>
  </r>
  <r>
    <x v="616"/>
    <n v="109000340"/>
    <s v="ATIVIDADE NORMAL"/>
    <s v="06/02/2019"/>
    <x v="0"/>
    <x v="21"/>
    <x v="14"/>
    <x v="17"/>
    <s v="Regional Pernambuco"/>
    <s v="Interior"/>
    <s v="MultiSkill"/>
    <x v="4"/>
    <s v="TEC MULTIFUNCIONAL"/>
    <s v="ATIVIDADE NORMAL"/>
    <s v="GUS"/>
    <s v="08819201429"/>
    <s v="04/09/2019"/>
    <s v="AILTON JOSE DOS SANTOS"/>
    <s v="DECIO FABIANO LOPES FERREIRA"/>
    <s v="NIVALDO DE OLIVEIRA SOARES"/>
    <x v="0"/>
    <x v="21"/>
    <x v="2"/>
    <s v="TECNICO MULTIFUNCIONAL"/>
    <x v="616"/>
    <x v="616"/>
    <x v="22"/>
    <x v="0"/>
    <x v="0"/>
    <x v="0"/>
    <x v="0"/>
  </r>
  <r>
    <x v="617"/>
    <n v="102002917"/>
    <s v="ATIVIDADE NORMAL"/>
    <s v="09/05/2019"/>
    <x v="3"/>
    <x v="23"/>
    <x v="14"/>
    <x v="18"/>
    <s v="Regional Pernambuco"/>
    <s v="Natal"/>
    <s v="MultiSkill"/>
    <x v="4"/>
    <s v="TEC MULTIFUNCIONAL"/>
    <s v="ATIVIDADE NORMAL"/>
    <s v="RNS"/>
    <s v="08868378477"/>
    <s v="04/09/2019"/>
    <s v="RICELE DA SILVA NASCIMENTO"/>
    <s v="REINILSON IGLESIAS JUNIOR"/>
    <s v="WENDELL FRANKLIN VIEIRA MAIA"/>
    <x v="0"/>
    <x v="29"/>
    <x v="2"/>
    <s v="TECNICO MULTIFUNCIONAL"/>
    <x v="617"/>
    <x v="617"/>
    <x v="51"/>
    <x v="7"/>
    <x v="3"/>
    <x v="0"/>
    <x v="0"/>
  </r>
  <r>
    <x v="618"/>
    <n v="109504012"/>
    <s v="ATIVIDADE NORMAL"/>
    <s v="08/05/2019"/>
    <x v="2"/>
    <x v="33"/>
    <x v="6"/>
    <x v="16"/>
    <s v="Regional Pernambuco"/>
    <s v="João Pessoa"/>
    <s v="Tecnico de campo"/>
    <x v="5"/>
    <s v="INSTALADOR TUP"/>
    <s v="ATIVIDADE NORMAL"/>
    <s v="CGE"/>
    <s v="08880610481"/>
    <s v="04/09/2019"/>
    <s v="FRANCISCO JOSE DIAS DA SILVA"/>
    <s v="WENDELL FRANKLIN VIEIRA MAIA"/>
    <s v="WENDELL FRANKLIN VIEIRA MAIA"/>
    <x v="0"/>
    <x v="35"/>
    <x v="6"/>
    <s v="INSTALADOR I"/>
    <x v="618"/>
    <x v="618"/>
    <x v="25"/>
    <x v="6"/>
    <x v="3"/>
    <x v="0"/>
    <x v="1"/>
  </r>
  <r>
    <x v="619"/>
    <n v="109504369"/>
    <s v="FERIAS NORMAIS"/>
    <s v="02/09/2019"/>
    <x v="0"/>
    <x v="38"/>
    <x v="2"/>
    <x v="22"/>
    <s v="Regional Pernambuco"/>
    <s v="Interior"/>
    <s v="Tecnico de campo"/>
    <x v="1"/>
    <s v="CABISTA I"/>
    <s v="FERIAS NORMAIS"/>
    <s v="CAA"/>
    <s v="08972784451"/>
    <s v="04/09/2019"/>
    <s v="JOSE HAILTON ATAIDE"/>
    <s v="MARCOS DE OLIVEIRA STEHLING"/>
    <s v="NIVALDO DE OLIVEIRA SOARES"/>
    <x v="1"/>
    <x v="55"/>
    <x v="3"/>
    <s v="CABISTA I"/>
    <x v="619"/>
    <x v="619"/>
    <x v="46"/>
    <x v="3"/>
    <x v="0"/>
    <x v="1"/>
    <x v="1"/>
  </r>
  <r>
    <x v="620"/>
    <n v="105000985"/>
    <s v="ATIVIDADE NORMAL"/>
    <s v="31/07/2019"/>
    <x v="2"/>
    <x v="61"/>
    <x v="13"/>
    <x v="24"/>
    <s v="Regional Pernambuco"/>
    <s v="João Pessoa"/>
    <s v="Tecnico de campo"/>
    <x v="8"/>
    <s v="OP DG"/>
    <s v="ATIVIDADE NORMAL"/>
    <s v="POS"/>
    <s v="09021312492"/>
    <s v="04/09/2019"/>
    <s v="STANLEY MEDEIROS WANDERLEY"/>
    <s v="WENDELL FRANKLIN VIEIRA MAIA"/>
    <s v="WENDELL FRANKLIN VIEIRA MAIA"/>
    <x v="1"/>
    <x v="67"/>
    <x v="9"/>
    <s v="OPERADOR"/>
    <x v="620"/>
    <x v="620"/>
    <x v="58"/>
    <x v="6"/>
    <x v="3"/>
    <x v="0"/>
    <x v="1"/>
  </r>
  <r>
    <x v="621"/>
    <n v="109506174"/>
    <s v="ATIVIDADE NORMAL"/>
    <s v="06/03/2019"/>
    <x v="0"/>
    <x v="50"/>
    <x v="6"/>
    <x v="17"/>
    <s v="Regional Pernambuco"/>
    <s v="Interior"/>
    <s v="MultiSkill"/>
    <x v="5"/>
    <s v="TEC MULTIFUNCIONAL"/>
    <s v="ATIVIDADE NORMAL"/>
    <s v="GUS"/>
    <s v="09022030458"/>
    <s v="04/09/2019"/>
    <s v="ALYSSON HENRIQUE FERREIRA DE LUCENA"/>
    <s v="DECIO FABIANO LOPES FERREIRA"/>
    <s v="NIVALDO DE OLIVEIRA SOARES"/>
    <x v="0"/>
    <x v="21"/>
    <x v="2"/>
    <s v="TECNICO MULTIFUNCIONAL"/>
    <x v="621"/>
    <x v="621"/>
    <x v="55"/>
    <x v="0"/>
    <x v="0"/>
    <x v="0"/>
    <x v="1"/>
  </r>
  <r>
    <x v="622"/>
    <n v="105000985"/>
    <s v="ATIVIDADE NORMAL"/>
    <s v="31/07/2019"/>
    <x v="2"/>
    <x v="61"/>
    <x v="6"/>
    <x v="24"/>
    <s v="Regional Pernambuco"/>
    <s v="João Pessoa"/>
    <s v="Tecnico de campo"/>
    <x v="5"/>
    <s v="INSTALADOR TUP"/>
    <s v="ATIVIDADE NORMAL"/>
    <s v="POS"/>
    <s v="09056614436"/>
    <s v="04/09/2019"/>
    <s v="STANLEY MEDEIROS WANDERLEY"/>
    <s v="WENDELL FRANKLIN VIEIRA MAIA"/>
    <s v="WENDELL FRANKLIN VIEIRA MAIA"/>
    <x v="0"/>
    <x v="67"/>
    <x v="6"/>
    <s v="INSTALADOR I"/>
    <x v="622"/>
    <x v="622"/>
    <x v="58"/>
    <x v="6"/>
    <x v="3"/>
    <x v="0"/>
    <x v="1"/>
  </r>
  <r>
    <x v="623"/>
    <n v="101005380"/>
    <s v="FERIAS NORMAIS"/>
    <s v="26/08/2019"/>
    <x v="1"/>
    <x v="19"/>
    <x v="6"/>
    <x v="15"/>
    <s v="Regional Ceará"/>
    <s v="Sobral"/>
    <s v="Tecnico de campo"/>
    <x v="5"/>
    <s v="INSTALADOR"/>
    <s v="FERIAS NORMAIS"/>
    <s v="SOL"/>
    <s v="09213367805"/>
    <s v="04/09/2019"/>
    <s v="MARCILIO RIBEIRO DOS SANTOS"/>
    <s v="JEFFERSON OLIVEIRA DA SILVA"/>
    <s v="JONILSON FELIPE VIEIRA"/>
    <x v="1"/>
    <x v="19"/>
    <x v="6"/>
    <s v="INSTALADOR I"/>
    <x v="623"/>
    <x v="623"/>
    <x v="20"/>
    <x v="2"/>
    <x v="1"/>
    <x v="1"/>
    <x v="1"/>
  </r>
  <r>
    <x v="624"/>
    <n v="109000926"/>
    <s v="ATIVIDADE NORMAL"/>
    <s v="19/12/2018"/>
    <x v="0"/>
    <x v="7"/>
    <x v="20"/>
    <x v="7"/>
    <s v="Regional Pernambuco"/>
    <s v="Recife"/>
    <s v="MultiSkill"/>
    <x v="7"/>
    <s v="TEC MULTIFUNCIONAL"/>
    <s v="ATIVIDADE NORMAL"/>
    <s v="LES"/>
    <s v="09512759411"/>
    <s v="04/09/2019"/>
    <s v="ANTONIO MAGNO DE CASTRO LEAO"/>
    <s v="BRUNO VINICIUS DE ALBERTINS ALVES"/>
    <s v="NIVALDO DE OLIVEIRA SOARES"/>
    <x v="0"/>
    <x v="45"/>
    <x v="2"/>
    <s v="TECNICO MULTIFUNCIONAL"/>
    <x v="624"/>
    <x v="624"/>
    <x v="41"/>
    <x v="9"/>
    <x v="0"/>
    <x v="0"/>
    <x v="0"/>
  </r>
  <r>
    <x v="625"/>
    <n v="109504012"/>
    <s v="ATIVIDADE NORMAL"/>
    <s v="01/02/2019"/>
    <x v="2"/>
    <x v="33"/>
    <x v="6"/>
    <x v="16"/>
    <s v="Regional Pernambuco"/>
    <s v="João Pessoa"/>
    <s v="Tecnico de campo"/>
    <x v="5"/>
    <s v="INSTALADOR"/>
    <s v="ATIVIDADE NORMAL"/>
    <s v="CGE"/>
    <s v="09515180465"/>
    <s v="04/09/2019"/>
    <s v="FRANCISCO JOSE DIAS DA SILVA"/>
    <s v="WENDELL FRANKLIN VIEIRA MAIA"/>
    <s v="WENDELL FRANKLIN VIEIRA MAIA"/>
    <x v="0"/>
    <x v="35"/>
    <x v="6"/>
    <s v="INSTALADOR I"/>
    <x v="625"/>
    <x v="625"/>
    <x v="25"/>
    <x v="6"/>
    <x v="3"/>
    <x v="0"/>
    <x v="1"/>
  </r>
  <r>
    <x v="626"/>
    <n v="109000943"/>
    <s v="ATIVIDADE NORMAL"/>
    <s v="06/02/2019"/>
    <x v="0"/>
    <x v="60"/>
    <x v="10"/>
    <x v="14"/>
    <s v="Regional Pernambuco"/>
    <s v="Recife"/>
    <s v="MultiSkill"/>
    <x v="4"/>
    <s v="TEC MULTIFUNCIONAL"/>
    <s v="ATIVIDADE NORMAL"/>
    <s v="NOR"/>
    <s v="09525397483"/>
    <s v="04/09/2019"/>
    <s v="MAURO BRAGA RANGEL"/>
    <s v="BRUNO VINICIUS DE ALBERTINS ALVES"/>
    <s v="NIVALDO DE OLIVEIRA SOARES"/>
    <x v="0"/>
    <x v="40"/>
    <x v="2"/>
    <s v="TECNICO MULTIFUNCIONAL"/>
    <x v="626"/>
    <x v="626"/>
    <x v="56"/>
    <x v="9"/>
    <x v="0"/>
    <x v="0"/>
    <x v="0"/>
  </r>
  <r>
    <x v="627"/>
    <n v="105000986"/>
    <s v="ATIVIDADE NORMAL"/>
    <s v="13/03/2019"/>
    <x v="2"/>
    <x v="20"/>
    <x v="12"/>
    <x v="16"/>
    <s v="Regional Pernambuco"/>
    <s v="João Pessoa"/>
    <s v="Tecnico de campo"/>
    <x v="6"/>
    <s v="CABISTA I"/>
    <s v="ATIVIDADE NORMAL"/>
    <s v="CGE"/>
    <s v="09600907463"/>
    <s v="04/09/2019"/>
    <s v="JOSILENE MACENA DE OLIVEIRA"/>
    <s v="WENDELL FRANKLIN VIEIRA MAIA"/>
    <s v="WENDELL FRANKLIN VIEIRA MAIA"/>
    <x v="0"/>
    <x v="20"/>
    <x v="7"/>
    <s v="CABISTA I"/>
    <x v="627"/>
    <x v="627"/>
    <x v="21"/>
    <x v="6"/>
    <x v="3"/>
    <x v="0"/>
    <x v="1"/>
  </r>
  <r>
    <x v="628"/>
    <n v="105000985"/>
    <s v="ATIVIDADE NORMAL"/>
    <s v="17/02/2019"/>
    <x v="2"/>
    <x v="61"/>
    <x v="5"/>
    <x v="24"/>
    <s v="Regional Pernambuco"/>
    <s v="João Pessoa"/>
    <s v="MultiSkill"/>
    <x v="4"/>
    <s v="TEC MULTIFUNCIONAL"/>
    <s v="ATIVIDADE NORMAL"/>
    <s v="POS"/>
    <s v="09619906438"/>
    <s v="04/09/2019"/>
    <s v="STANLEY MEDEIROS WANDERLEY"/>
    <s v="WENDELL FRANKLIN VIEIRA MAIA"/>
    <s v="WENDELL FRANKLIN VIEIRA MAIA"/>
    <x v="0"/>
    <x v="67"/>
    <x v="2"/>
    <s v="TECNICO MULTIFUNCIONAL"/>
    <x v="628"/>
    <x v="628"/>
    <x v="58"/>
    <x v="6"/>
    <x v="3"/>
    <x v="0"/>
    <x v="0"/>
  </r>
  <r>
    <x v="629"/>
    <n v="109504193"/>
    <s v="ATIVIDADE NORMAL"/>
    <s v="27/03/2019"/>
    <x v="0"/>
    <x v="35"/>
    <x v="2"/>
    <x v="14"/>
    <s v="Regional Pernambuco"/>
    <s v="Recife"/>
    <s v="Tecnico de campo"/>
    <x v="1"/>
    <s v="CABISTA I"/>
    <s v="ATIVIDADE NORMAL"/>
    <s v="NOR"/>
    <s v="09791498431"/>
    <s v="04/09/2019"/>
    <s v="PAULO JOSE DA SILVA JUNIOR"/>
    <s v="MARCOS DE OLIVEIRA STEHLING"/>
    <s v="NIVALDO DE OLIVEIRA SOARES"/>
    <x v="0"/>
    <x v="7"/>
    <x v="13"/>
    <s v="CABISTA I"/>
    <x v="629"/>
    <x v="629"/>
    <x v="30"/>
    <x v="3"/>
    <x v="0"/>
    <x v="0"/>
    <x v="1"/>
  </r>
  <r>
    <x v="630"/>
    <n v="102101220"/>
    <s v="ATIVIDADE NORMAL"/>
    <s v="06/02/2019"/>
    <x v="3"/>
    <x v="22"/>
    <x v="14"/>
    <x v="18"/>
    <s v="Regional Pernambuco"/>
    <s v="Natal"/>
    <s v="MultiSkill"/>
    <x v="4"/>
    <s v="TEC MULTIFUNCIONAL"/>
    <s v="ATIVIDADE NORMAL"/>
    <s v="RNS"/>
    <s v="09245341410"/>
    <s v="04/09/2019"/>
    <s v="JOSUE MOURA DA SILVA"/>
    <s v="REINILSON IGLESIAS JUNIOR"/>
    <s v="WENDELL FRANKLIN VIEIRA MAIA"/>
    <x v="0"/>
    <x v="22"/>
    <x v="2"/>
    <s v="TECNICO MULTIFUNCIONAL"/>
    <x v="630"/>
    <x v="630"/>
    <x v="23"/>
    <x v="7"/>
    <x v="3"/>
    <x v="0"/>
    <x v="0"/>
  </r>
  <r>
    <x v="631"/>
    <n v="109000499"/>
    <s v="ATIVIDADE NORMAL"/>
    <s v="21/02/2019"/>
    <x v="0"/>
    <x v="25"/>
    <x v="13"/>
    <x v="10"/>
    <s v="Regional Pernambuco"/>
    <s v="Recife"/>
    <s v="Tecnico de campo"/>
    <x v="8"/>
    <s v="OP DG"/>
    <s v="ATIVIDADE NORMAL"/>
    <s v="PES"/>
    <s v="09276859497"/>
    <s v="04/09/2019"/>
    <s v="ALTAIR LUIZ DO NASCIMENTO"/>
    <s v="DECIO FABIANO LOPES FERREIRA"/>
    <s v="NIVALDO DE OLIVEIRA SOARES"/>
    <x v="0"/>
    <x v="42"/>
    <x v="9"/>
    <s v="OPERADOR"/>
    <x v="631"/>
    <x v="631"/>
    <x v="38"/>
    <x v="0"/>
    <x v="0"/>
    <x v="0"/>
    <x v="1"/>
  </r>
  <r>
    <x v="632"/>
    <n v="109000499"/>
    <s v="ATIVIDADE NORMAL"/>
    <s v="15/05/2019"/>
    <x v="0"/>
    <x v="60"/>
    <x v="13"/>
    <x v="14"/>
    <s v="Regional Pernambuco"/>
    <s v="Recife"/>
    <s v="Tecnico de campo"/>
    <x v="8"/>
    <s v="OP DG"/>
    <s v="ATIVIDADE NORMAL"/>
    <s v="NOR"/>
    <s v="09276944419"/>
    <s v="04/09/2019"/>
    <s v="ALTAIR LUIZ DO NASCIMENTO"/>
    <s v="DECIO FABIANO LOPES FERREIRA"/>
    <s v="NIVALDO DE OLIVEIRA SOARES"/>
    <x v="0"/>
    <x v="42"/>
    <x v="9"/>
    <s v="OPERADOR"/>
    <x v="632"/>
    <x v="632"/>
    <x v="38"/>
    <x v="0"/>
    <x v="0"/>
    <x v="0"/>
    <x v="1"/>
  </r>
  <r>
    <x v="633"/>
    <n v="109505049"/>
    <s v="ATIVIDADE NORMAL"/>
    <s v="23/11/2018"/>
    <x v="0"/>
    <x v="52"/>
    <x v="0"/>
    <x v="7"/>
    <s v="Regional Pernambuco"/>
    <s v="Recife"/>
    <s v="MultiSkill"/>
    <x v="0"/>
    <s v="TEC MULTIFUNCIONAL"/>
    <s v="ATIVIDADE NORMAL"/>
    <s v="LES"/>
    <s v="09283115465"/>
    <s v="04/09/2019"/>
    <s v="RAMSES DE ANDRADE MACHADO RODRIGUES LAVRA"/>
    <s v="BRUNO VINICIUS DE ALBERTINS ALVES"/>
    <s v="NIVALDO DE OLIVEIRA SOARES"/>
    <x v="0"/>
    <x v="57"/>
    <x v="1"/>
    <s v="TECNICO MULTIFUNCIONAL"/>
    <x v="633"/>
    <x v="633"/>
    <x v="48"/>
    <x v="9"/>
    <x v="0"/>
    <x v="0"/>
    <x v="0"/>
  </r>
  <r>
    <x v="634"/>
    <n v="105303124"/>
    <s v="ATIVIDADE NORMAL"/>
    <s v="08/05/2018"/>
    <x v="0"/>
    <x v="7"/>
    <x v="10"/>
    <x v="7"/>
    <s v="Regional Pernambuco"/>
    <s v="Recife"/>
    <s v="MultiSkill"/>
    <x v="4"/>
    <s v="TEC MULTIFUNCIONAL"/>
    <s v="ATIVIDADE NORMAL"/>
    <s v="LES"/>
    <s v="09289442476"/>
    <s v="04/09/2019"/>
    <s v="GENELSON AUGUSTO ALIXANDRE"/>
    <s v="CARLOS EDUARDO DE ALBUQUERQUE MEIRA"/>
    <s v="HEBERT JONES SOUTO ARAUJO"/>
    <x v="0"/>
    <x v="45"/>
    <x v="2"/>
    <s v="TECNICO MULTIFUNCIONAL"/>
    <x v="634"/>
    <x v="634"/>
    <x v="63"/>
    <x v="12"/>
    <x v="5"/>
    <x v="0"/>
    <x v="0"/>
  </r>
  <r>
    <x v="635"/>
    <n v="109506174"/>
    <s v="ATIVIDADE NORMAL"/>
    <s v="19/12/2018"/>
    <x v="0"/>
    <x v="53"/>
    <x v="12"/>
    <x v="23"/>
    <s v="Regional Pernambuco"/>
    <s v="Interior"/>
    <s v="Tecnico de campo"/>
    <x v="6"/>
    <s v="CABISTA I"/>
    <s v="ATIVIDADE NORMAL"/>
    <s v="CBO"/>
    <s v="09295464400"/>
    <s v="04/09/2019"/>
    <s v="ALYSSON HENRIQUE FERREIRA DE LUCENA"/>
    <s v="DECIO FABIANO LOPES FERREIRA"/>
    <s v="NIVALDO DE OLIVEIRA SOARES"/>
    <x v="0"/>
    <x v="11"/>
    <x v="7"/>
    <s v="CABISTA I"/>
    <x v="635"/>
    <x v="635"/>
    <x v="55"/>
    <x v="0"/>
    <x v="0"/>
    <x v="0"/>
    <x v="1"/>
  </r>
  <r>
    <x v="636"/>
    <n v="109000119"/>
    <s v="ATIVIDADE NORMAL"/>
    <s v="05/06/2019"/>
    <x v="0"/>
    <x v="68"/>
    <x v="2"/>
    <x v="10"/>
    <s v="Regional Pernambuco"/>
    <s v="Recife"/>
    <s v="Tecnico de campo"/>
    <x v="1"/>
    <s v="CABISTA III"/>
    <s v="ATIVIDADE NORMAL"/>
    <s v="PES"/>
    <s v="09320103429"/>
    <s v="04/09/2019"/>
    <s v="AMARILDO GOMES DE MELO"/>
    <s v="MARCOS DE OLIVEIRA STEHLING"/>
    <s v="NIVALDO DE OLIVEIRA SOARES"/>
    <x v="0"/>
    <x v="71"/>
    <x v="3"/>
    <s v="CABISTA III"/>
    <x v="636"/>
    <x v="636"/>
    <x v="60"/>
    <x v="3"/>
    <x v="0"/>
    <x v="0"/>
    <x v="1"/>
  </r>
  <r>
    <x v="637"/>
    <n v="102100917"/>
    <s v="ATIVIDADE NORMAL"/>
    <s v="03/04/2019"/>
    <x v="3"/>
    <x v="27"/>
    <x v="10"/>
    <x v="20"/>
    <s v="Regional Pernambuco"/>
    <s v="Natal"/>
    <s v="MultiSkill"/>
    <x v="4"/>
    <s v="TEC MULTIFUNCIONAL"/>
    <s v="ATIVIDADE NORMAL"/>
    <s v="MRO"/>
    <s v="09324936450"/>
    <s v="04/09/2019"/>
    <s v="FERNANDO FREITAS ALMEIDA DOS SANTOS"/>
    <s v="REINILSON IGLESIAS JUNIOR"/>
    <s v="WENDELL FRANKLIN VIEIRA MAIA"/>
    <x v="0"/>
    <x v="28"/>
    <x v="2"/>
    <s v="TECNICO MULTIFUNCIONAL"/>
    <x v="637"/>
    <x v="637"/>
    <x v="27"/>
    <x v="7"/>
    <x v="3"/>
    <x v="0"/>
    <x v="0"/>
  </r>
  <r>
    <x v="638"/>
    <n v="102101393"/>
    <s v="ATIVIDADE NORMAL"/>
    <s v="14/06/2018"/>
    <x v="3"/>
    <x v="23"/>
    <x v="6"/>
    <x v="18"/>
    <s v="Regional Pernambuco"/>
    <s v="Natal"/>
    <s v="Tecnico de campo"/>
    <x v="5"/>
    <s v="INSTALADOR TUP"/>
    <s v="ATIVIDADE NORMAL"/>
    <s v="RNS"/>
    <s v="09338521427"/>
    <s v="04/09/2019"/>
    <s v="SIDNEY MOURA FREIRE"/>
    <s v="REINILSON IGLESIAS JUNIOR"/>
    <s v="WENDELL FRANKLIN VIEIRA MAIA"/>
    <x v="0"/>
    <x v="23"/>
    <x v="6"/>
    <s v="INSTALADOR I"/>
    <x v="638"/>
    <x v="638"/>
    <x v="24"/>
    <x v="7"/>
    <x v="3"/>
    <x v="0"/>
    <x v="1"/>
  </r>
  <r>
    <x v="639"/>
    <n v="102101642"/>
    <s v="ATIVIDADE NORMAL"/>
    <s v="06/03/2019"/>
    <x v="3"/>
    <x v="24"/>
    <x v="16"/>
    <x v="19"/>
    <s v="Regional Pernambuco"/>
    <s v="Natal"/>
    <s v="Tecnico de campo"/>
    <x v="9"/>
    <s v="INSTALADOR DTH"/>
    <s v="ATIVIDADE NORMAL"/>
    <s v="NTN"/>
    <s v="09378676405"/>
    <s v="04/09/2019"/>
    <s v="WILSON CARLOS SILVEIRA LEIROS"/>
    <s v="REINILSON IGLESIAS JUNIOR"/>
    <s v="WENDELL FRANKLIN VIEIRA MAIA"/>
    <x v="0"/>
    <x v="51"/>
    <x v="11"/>
    <s v="INSTALADOR DTH"/>
    <x v="639"/>
    <x v="639"/>
    <x v="28"/>
    <x v="7"/>
    <x v="3"/>
    <x v="0"/>
    <x v="0"/>
  </r>
  <r>
    <x v="640"/>
    <n v="102101634"/>
    <s v="AFAST DOENCA MAIS DE 15 DIAS"/>
    <s v="10/11/2015"/>
    <x v="3"/>
    <x v="62"/>
    <x v="20"/>
    <x v="19"/>
    <s v="Regional Pernambuco"/>
    <s v="Natal"/>
    <s v="Tecnico de campo"/>
    <x v="7"/>
    <s v="INSTALADOR"/>
    <s v="AFAST DOENCA MAIS DE 15 DIAS"/>
    <s v="NTN"/>
    <s v="09409088402"/>
    <s v="04/09/2019"/>
    <s v="FABIO BATISTA DA SILVA"/>
    <s v="REINILSON IGLESIAS JUNIOR"/>
    <s v="WENDELL FRANKLIN VIEIRA MAIA"/>
    <x v="1"/>
    <x v="51"/>
    <x v="2"/>
    <s v="INSTALADOR I"/>
    <x v="640"/>
    <x v="640"/>
    <x v="29"/>
    <x v="7"/>
    <x v="3"/>
    <x v="2"/>
    <x v="0"/>
  </r>
  <r>
    <x v="641"/>
    <n v="102100917"/>
    <s v="ATIVIDADE NORMAL"/>
    <s v="03/04/2019"/>
    <x v="3"/>
    <x v="27"/>
    <x v="2"/>
    <x v="20"/>
    <s v="Regional Pernambuco"/>
    <s v="Natal"/>
    <s v="Tecnico de campo"/>
    <x v="1"/>
    <s v="CABISTA I"/>
    <s v="ATIVIDADE NORMAL"/>
    <s v="MRO"/>
    <s v="09421236467"/>
    <s v="04/09/2019"/>
    <s v="FERNANDO FREITAS ALMEIDA DOS SANTOS"/>
    <s v="REINILSON IGLESIAS JUNIOR"/>
    <s v="WENDELL FRANKLIN VIEIRA MAIA"/>
    <x v="0"/>
    <x v="28"/>
    <x v="7"/>
    <s v="CABISTA I"/>
    <x v="641"/>
    <x v="641"/>
    <x v="27"/>
    <x v="7"/>
    <x v="3"/>
    <x v="0"/>
    <x v="1"/>
  </r>
  <r>
    <x v="642"/>
    <n v="102100390"/>
    <s v="ATIVIDADE NORMAL"/>
    <s v="07/06/2019"/>
    <x v="3"/>
    <x v="45"/>
    <x v="20"/>
    <x v="21"/>
    <s v="Regional Pernambuco"/>
    <s v="Natal"/>
    <s v="MultiSkill"/>
    <x v="7"/>
    <s v="TEC MULTIFUNCIONAL"/>
    <s v="ATIVIDADE NORMAL"/>
    <s v="NTS"/>
    <s v="09428540471"/>
    <s v="04/09/2019"/>
    <s v="ANDRIER CARLOS SOARES FERREIRA"/>
    <s v="REINILSON IGLESIAS JUNIOR"/>
    <s v="WENDELL FRANKLIN VIEIRA MAIA"/>
    <x v="0"/>
    <x v="48"/>
    <x v="2"/>
    <s v="TECNICO MULTIFUNCIONAL"/>
    <x v="642"/>
    <x v="642"/>
    <x v="43"/>
    <x v="7"/>
    <x v="3"/>
    <x v="0"/>
    <x v="0"/>
  </r>
  <r>
    <x v="643"/>
    <n v="102101393"/>
    <s v="ATIVIDADE NORMAL"/>
    <s v="03/04/2019"/>
    <x v="3"/>
    <x v="28"/>
    <x v="2"/>
    <x v="21"/>
    <s v="Regional Pernambuco"/>
    <s v="Natal"/>
    <s v="Tecnico de campo"/>
    <x v="1"/>
    <s v="CABISTA I"/>
    <s v="ATIVIDADE NORMAL"/>
    <s v="NTS"/>
    <s v="09806627458"/>
    <s v="04/09/2019"/>
    <s v="SIDNEY MOURA FREIRE"/>
    <s v="REINILSON IGLESIAS JUNIOR"/>
    <s v="WENDELL FRANKLIN VIEIRA MAIA"/>
    <x v="0"/>
    <x v="23"/>
    <x v="10"/>
    <s v="CABISTA I"/>
    <x v="643"/>
    <x v="643"/>
    <x v="24"/>
    <x v="7"/>
    <x v="3"/>
    <x v="0"/>
    <x v="1"/>
  </r>
  <r>
    <x v="644"/>
    <n v="109500177"/>
    <s v="ATIVIDADE NORMAL"/>
    <s v="07/06/2019"/>
    <x v="0"/>
    <x v="37"/>
    <x v="20"/>
    <x v="14"/>
    <s v="Regional Pernambuco"/>
    <s v="Recife"/>
    <s v="MultiSkill"/>
    <x v="7"/>
    <s v="TEC MULTIFUNCIONAL"/>
    <s v="ATIVIDADE NORMAL"/>
    <s v="NOR"/>
    <s v="09839105450"/>
    <s v="04/09/2019"/>
    <s v="JOSUEL FERREIRA DE BRITO"/>
    <s v="BRUNO VINICIUS DE ALBERTINS ALVES"/>
    <s v="NIVALDO DE OLIVEIRA SOARES"/>
    <x v="0"/>
    <x v="38"/>
    <x v="2"/>
    <s v="TECNICO MULTIFUNCIONAL"/>
    <x v="644"/>
    <x v="644"/>
    <x v="36"/>
    <x v="9"/>
    <x v="0"/>
    <x v="0"/>
    <x v="0"/>
  </r>
  <r>
    <x v="645"/>
    <n v="109504012"/>
    <s v="FERIAS NORMAIS"/>
    <s v="19/08/2019"/>
    <x v="2"/>
    <x v="34"/>
    <x v="14"/>
    <x v="12"/>
    <s v="Regional Pernambuco"/>
    <s v="João Pessoa"/>
    <s v="MultiSkill"/>
    <x v="4"/>
    <s v="TEC MULTIFUNCIONAL"/>
    <s v="FERIAS NORMAIS"/>
    <s v="JPA"/>
    <s v="09873055495"/>
    <s v="04/09/2019"/>
    <s v="FRANCISCO JOSE DIAS DA SILVA"/>
    <s v="WENDELL FRANKLIN VIEIRA MAIA"/>
    <s v="WENDELL FRANKLIN VIEIRA MAIA"/>
    <x v="1"/>
    <x v="35"/>
    <x v="10"/>
    <s v="TECNICO MULTIFUNCIONAL"/>
    <x v="645"/>
    <x v="645"/>
    <x v="25"/>
    <x v="6"/>
    <x v="3"/>
    <x v="1"/>
    <x v="0"/>
  </r>
  <r>
    <x v="646"/>
    <n v="109501286"/>
    <s v="ATIVIDADE NORMAL"/>
    <s v="31/07/2019"/>
    <x v="0"/>
    <x v="60"/>
    <x v="10"/>
    <x v="14"/>
    <s v="Regional Pernambuco"/>
    <s v="Recife"/>
    <s v="MultiSkill"/>
    <x v="4"/>
    <s v="TEC MULTIFUNCIONAL"/>
    <s v="ATIVIDADE NORMAL"/>
    <s v="NOR"/>
    <s v="09887528404"/>
    <s v="04/09/2019"/>
    <s v="JOSE HENRIQUE NEGRAO DE MEDEIROS"/>
    <s v="DECIO FABIANO LOPES FERREIRA"/>
    <s v="NIVALDO DE OLIVEIRA SOARES"/>
    <x v="0"/>
    <x v="40"/>
    <x v="2"/>
    <s v="TECNICO MULTIFUNCIONAL"/>
    <x v="646"/>
    <x v="646"/>
    <x v="34"/>
    <x v="0"/>
    <x v="0"/>
    <x v="0"/>
    <x v="0"/>
  </r>
  <r>
    <x v="647"/>
    <n v="109504012"/>
    <s v="ATIVIDADE NORMAL"/>
    <s v="03/04/2019"/>
    <x v="2"/>
    <x v="20"/>
    <x v="6"/>
    <x v="16"/>
    <s v="Regional Pernambuco"/>
    <s v="João Pessoa"/>
    <s v="Tecnico de campo"/>
    <x v="5"/>
    <s v="INSTALADOR"/>
    <s v="ATIVIDADE NORMAL"/>
    <s v="CGE"/>
    <s v="09913015448"/>
    <s v="04/09/2019"/>
    <s v="FRANCISCO JOSE DIAS DA SILVA"/>
    <s v="WENDELL FRANKLIN VIEIRA MAIA"/>
    <s v="WENDELL FRANKLIN VIEIRA MAIA"/>
    <x v="0"/>
    <x v="35"/>
    <x v="6"/>
    <s v="INSTALADOR I"/>
    <x v="647"/>
    <x v="647"/>
    <x v="25"/>
    <x v="6"/>
    <x v="3"/>
    <x v="0"/>
    <x v="1"/>
  </r>
  <r>
    <x v="648"/>
    <n v="109500177"/>
    <s v="ATIVIDADE NORMAL"/>
    <s v="04/02/2019"/>
    <x v="0"/>
    <x v="67"/>
    <x v="12"/>
    <x v="14"/>
    <s v="Regional Pernambuco"/>
    <s v="Recife"/>
    <s v="Equipe SWAT"/>
    <x v="6"/>
    <s v="CABISTA I"/>
    <s v="ATIVIDADE NORMAL"/>
    <s v="NOR"/>
    <s v="09928661464"/>
    <s v="04/09/2019"/>
    <s v="JOSUEL FERREIRA DE BRITO"/>
    <s v="BRUNO VINICIUS DE ALBERTINS ALVES"/>
    <s v="NIVALDO DE OLIVEIRA SOARES"/>
    <x v="0"/>
    <x v="40"/>
    <x v="10"/>
    <s v="CABISTA I"/>
    <x v="648"/>
    <x v="648"/>
    <x v="36"/>
    <x v="9"/>
    <x v="0"/>
    <x v="0"/>
    <x v="1"/>
  </r>
  <r>
    <x v="649"/>
    <n v="102002917"/>
    <s v="ATIVIDADE NORMAL"/>
    <s v="03/07/2019"/>
    <x v="3"/>
    <x v="23"/>
    <x v="2"/>
    <x v="18"/>
    <s v="Regional Pernambuco"/>
    <s v="Natal"/>
    <s v="Tecnico de campo"/>
    <x v="1"/>
    <s v="CABISTA I"/>
    <s v="ATIVIDADE NORMAL"/>
    <s v="RNS"/>
    <s v="09649001492"/>
    <s v="04/09/2019"/>
    <s v="RICELE DA SILVA NASCIMENTO"/>
    <s v="REINILSON IGLESIAS JUNIOR"/>
    <s v="WENDELL FRANKLIN VIEIRA MAIA"/>
    <x v="0"/>
    <x v="29"/>
    <x v="7"/>
    <s v="CABISTA I"/>
    <x v="649"/>
    <x v="649"/>
    <x v="51"/>
    <x v="7"/>
    <x v="3"/>
    <x v="0"/>
    <x v="1"/>
  </r>
  <r>
    <x v="650"/>
    <n v="109000340"/>
    <s v="ATIVIDADE NORMAL"/>
    <s v="02/01/2019"/>
    <x v="0"/>
    <x v="38"/>
    <x v="4"/>
    <x v="22"/>
    <s v="Regional Pernambuco"/>
    <s v="Interior"/>
    <s v="MultiSkill"/>
    <x v="3"/>
    <s v="TEC MULTIFUNCIONAL"/>
    <s v="ATIVIDADE NORMAL"/>
    <s v="CAA"/>
    <s v="09674703403"/>
    <s v="04/09/2019"/>
    <s v="AILTON JOSE DOS SANTOS"/>
    <s v="DECIO FABIANO LOPES FERREIRA"/>
    <s v="NIVALDO DE OLIVEIRA SOARES"/>
    <x v="0"/>
    <x v="41"/>
    <x v="2"/>
    <s v="TECNICO MULTIFUNCIONAL"/>
    <x v="650"/>
    <x v="650"/>
    <x v="22"/>
    <x v="0"/>
    <x v="0"/>
    <x v="0"/>
    <x v="0"/>
  </r>
  <r>
    <x v="651"/>
    <n v="109000017"/>
    <s v="ATIVIDADE NORMAL"/>
    <s v="10/04/2019"/>
    <x v="0"/>
    <x v="13"/>
    <x v="10"/>
    <x v="10"/>
    <s v="Regional Pernambuco"/>
    <s v="Recife"/>
    <s v="MultiSkill"/>
    <x v="4"/>
    <s v="TEC MULTIFUNCIONAL"/>
    <s v="ATIVIDADE NORMAL"/>
    <s v="PES"/>
    <s v="09710552465"/>
    <s v="04/09/2019"/>
    <s v="AMAURY ASSIS DE LIMA"/>
    <s v="DECIO FABIANO LOPES FERREIRA"/>
    <s v="NIVALDO DE OLIVEIRA SOARES"/>
    <x v="0"/>
    <x v="14"/>
    <x v="2"/>
    <s v="TECNICO MULTIFUNCIONAL"/>
    <x v="651"/>
    <x v="651"/>
    <x v="15"/>
    <x v="0"/>
    <x v="0"/>
    <x v="0"/>
    <x v="0"/>
  </r>
  <r>
    <x v="652"/>
    <n v="109000340"/>
    <s v="ATIVIDADE NORMAL"/>
    <s v="19/12/2018"/>
    <x v="0"/>
    <x v="38"/>
    <x v="12"/>
    <x v="22"/>
    <s v="Regional Pernambuco"/>
    <s v="Interior"/>
    <s v="Tecnico de campo"/>
    <x v="6"/>
    <s v="CABISTA I"/>
    <s v="ATIVIDADE NORMAL"/>
    <s v="CAA"/>
    <s v="09721166480"/>
    <s v="04/09/2019"/>
    <s v="AILTON JOSE DOS SANTOS"/>
    <s v="DECIO FABIANO LOPES FERREIRA"/>
    <s v="NIVALDO DE OLIVEIRA SOARES"/>
    <x v="0"/>
    <x v="84"/>
    <x v="7"/>
    <s v="CABISTA I"/>
    <x v="652"/>
    <x v="652"/>
    <x v="22"/>
    <x v="0"/>
    <x v="0"/>
    <x v="0"/>
    <x v="1"/>
  </r>
  <r>
    <x v="653"/>
    <n v="109000017"/>
    <s v="ATIVIDADE NORMAL"/>
    <s v="31/07/2019"/>
    <x v="0"/>
    <x v="13"/>
    <x v="2"/>
    <x v="10"/>
    <s v="Regional Pernambuco"/>
    <s v="Recife"/>
    <s v="Tecnico de campo"/>
    <x v="1"/>
    <s v="CABISTA III"/>
    <s v="ATIVIDADE NORMAL"/>
    <s v="PES"/>
    <s v="09846777477"/>
    <s v="04/09/2019"/>
    <s v="AMAURY ASSIS DE LIMA"/>
    <s v="DECIO FABIANO LOPES FERREIRA"/>
    <s v="NIVALDO DE OLIVEIRA SOARES"/>
    <x v="0"/>
    <x v="14"/>
    <x v="7"/>
    <s v="CABISTA III"/>
    <x v="653"/>
    <x v="653"/>
    <x v="15"/>
    <x v="0"/>
    <x v="0"/>
    <x v="0"/>
    <x v="1"/>
  </r>
  <r>
    <x v="654"/>
    <n v="109500891"/>
    <s v="ATIVIDADE NORMAL"/>
    <s v="31/07/2019"/>
    <x v="0"/>
    <x v="35"/>
    <x v="2"/>
    <x v="14"/>
    <s v="Regional Pernambuco"/>
    <s v="Recife"/>
    <s v="Tecnico de campo"/>
    <x v="1"/>
    <s v="CABISTA I"/>
    <s v="ATIVIDADE NORMAL"/>
    <s v="NOR"/>
    <s v="09854935426"/>
    <s v="04/09/2019"/>
    <s v="ANDRE LUIZ BARBOZA"/>
    <s v="CARLOS EDUARDO DE ALBUQUERQUE MEIRA"/>
    <s v="HEBERT JONES SOUTO ARAUJO"/>
    <x v="0"/>
    <x v="85"/>
    <x v="5"/>
    <s v="CABISTA I"/>
    <x v="654"/>
    <x v="654"/>
    <x v="70"/>
    <x v="12"/>
    <x v="5"/>
    <x v="0"/>
    <x v="1"/>
  </r>
  <r>
    <x v="655"/>
    <n v="109000926"/>
    <s v="ATIVIDADE NORMAL"/>
    <s v="01/05/2019"/>
    <x v="0"/>
    <x v="44"/>
    <x v="10"/>
    <x v="7"/>
    <s v="Regional Pernambuco"/>
    <s v="Recife"/>
    <s v="MultiSkill"/>
    <x v="4"/>
    <s v="TEC MULTIFUNCIONAL"/>
    <s v="ATIVIDADE NORMAL"/>
    <s v="LES"/>
    <s v="10009814442"/>
    <s v="04/09/2019"/>
    <s v="ANTONIO MAGNO DE CASTRO LEAO"/>
    <s v="BRUNO VINICIUS DE ALBERTINS ALVES"/>
    <s v="NIVALDO DE OLIVEIRA SOARES"/>
    <x v="0"/>
    <x v="45"/>
    <x v="2"/>
    <s v="TECNICO MULTIFUNCIONAL"/>
    <x v="655"/>
    <x v="655"/>
    <x v="41"/>
    <x v="9"/>
    <x v="0"/>
    <x v="0"/>
    <x v="0"/>
  </r>
  <r>
    <x v="656"/>
    <n v="109500315"/>
    <s v="ATIVIDADE NORMAL"/>
    <s v="14/08/2019"/>
    <x v="0"/>
    <x v="60"/>
    <x v="11"/>
    <x v="14"/>
    <s v="Regional Pernambuco"/>
    <s v="Recife"/>
    <s v="Tecnico de campo"/>
    <x v="1"/>
    <s v="TEC MULTIFUNCIONAL"/>
    <s v="ATIVIDADE NORMAL"/>
    <s v="NOR"/>
    <s v="10017327407"/>
    <s v="04/09/2019"/>
    <s v="IVALDO BEZERRA NOVAIS"/>
    <s v="DECIO FABIANO LOPES FERREIRA"/>
    <s v="NIVALDO DE OLIVEIRA SOARES"/>
    <x v="1"/>
    <x v="38"/>
    <x v="6"/>
    <s v="TECNICO MULTIFUNCIONAL"/>
    <x v="656"/>
    <x v="656"/>
    <x v="42"/>
    <x v="0"/>
    <x v="0"/>
    <x v="0"/>
    <x v="1"/>
  </r>
  <r>
    <x v="657"/>
    <n v="109000017"/>
    <s v="FERIAS NORMAIS"/>
    <s v="02/09/2019"/>
    <x v="0"/>
    <x v="56"/>
    <x v="10"/>
    <x v="10"/>
    <s v="Regional Pernambuco"/>
    <s v="Recife"/>
    <s v="MultiSkill"/>
    <x v="4"/>
    <s v="TEC MULTIFUNCIONAL"/>
    <s v="FERIAS NORMAIS"/>
    <s v="PES"/>
    <s v="10054547440"/>
    <s v="04/09/2019"/>
    <s v="AMAURY ASSIS DE LIMA"/>
    <s v="DECIO FABIANO LOPES FERREIRA"/>
    <s v="NIVALDO DE OLIVEIRA SOARES"/>
    <x v="1"/>
    <x v="70"/>
    <x v="2"/>
    <s v="TECNICO MULTIFUNCIONAL"/>
    <x v="657"/>
    <x v="657"/>
    <x v="15"/>
    <x v="0"/>
    <x v="0"/>
    <x v="1"/>
    <x v="0"/>
  </r>
  <r>
    <x v="658"/>
    <n v="109505049"/>
    <s v="ATIVIDADE NORMAL"/>
    <s v="10/04/2019"/>
    <x v="0"/>
    <x v="51"/>
    <x v="0"/>
    <x v="14"/>
    <s v="Regional Pernambuco"/>
    <s v="Recife"/>
    <s v="MultiSkill"/>
    <x v="0"/>
    <s v="TEC MULTIFUNCIONAL"/>
    <s v="ATIVIDADE NORMAL"/>
    <s v="NOR"/>
    <s v="10089484460"/>
    <s v="04/09/2019"/>
    <s v="RAMSES DE ANDRADE MACHADO RODRIGUES LAVRA"/>
    <s v="BRUNO VINICIUS DE ALBERTINS ALVES"/>
    <s v="NIVALDO DE OLIVEIRA SOARES"/>
    <x v="0"/>
    <x v="57"/>
    <x v="1"/>
    <s v="TECNICO MULTIFUNCIONAL"/>
    <x v="658"/>
    <x v="658"/>
    <x v="48"/>
    <x v="9"/>
    <x v="0"/>
    <x v="0"/>
    <x v="0"/>
  </r>
  <r>
    <x v="659"/>
    <n v="105303134"/>
    <s v="ATIVIDADE NORMAL"/>
    <s v="06/06/2019"/>
    <x v="2"/>
    <x v="42"/>
    <x v="10"/>
    <x v="12"/>
    <s v="Regional Pernambuco"/>
    <s v="João Pessoa"/>
    <s v="MultiSkill"/>
    <x v="4"/>
    <s v="TEC MULTIFUNCIONAL"/>
    <s v="ATIVIDADE NORMAL"/>
    <s v="JPA"/>
    <s v="10122677412"/>
    <s v="04/09/2019"/>
    <s v="GLAUBER JOSE GOMES LEITAO"/>
    <s v="WENDELL FRANKLIN VIEIRA MAIA"/>
    <s v="WENDELL FRANKLIN VIEIRA MAIA"/>
    <x v="0"/>
    <x v="43"/>
    <x v="2"/>
    <s v="TECNICO MULTIFUNCIONAL"/>
    <x v="659"/>
    <x v="659"/>
    <x v="39"/>
    <x v="6"/>
    <x v="3"/>
    <x v="0"/>
    <x v="0"/>
  </r>
  <r>
    <x v="660"/>
    <n v="109500177"/>
    <s v="FERIAS NORMAIS"/>
    <s v="02/09/2019"/>
    <x v="0"/>
    <x v="37"/>
    <x v="10"/>
    <x v="14"/>
    <s v="Regional Pernambuco"/>
    <s v="Recife"/>
    <s v="MultiSkill"/>
    <x v="4"/>
    <s v="TEC MULTIFUNCIONAL"/>
    <s v="FERIAS NORMAIS"/>
    <s v="NOR"/>
    <s v="10130096490"/>
    <s v="04/09/2019"/>
    <s v="JOSUEL FERREIRA DE BRITO"/>
    <s v="BRUNO VINICIUS DE ALBERTINS ALVES"/>
    <s v="NIVALDO DE OLIVEIRA SOARES"/>
    <x v="1"/>
    <x v="38"/>
    <x v="2"/>
    <s v="TECNICO MULTIFUNCIONAL"/>
    <x v="660"/>
    <x v="660"/>
    <x v="36"/>
    <x v="9"/>
    <x v="0"/>
    <x v="1"/>
    <x v="0"/>
  </r>
  <r>
    <x v="661"/>
    <n v="109505858"/>
    <s v="ATIVIDADE NORMAL"/>
    <s v="02/01/2019"/>
    <x v="0"/>
    <x v="46"/>
    <x v="15"/>
    <x v="11"/>
    <s v="Regional Pernambuco"/>
    <s v="Interior"/>
    <s v="MultiSkill"/>
    <x v="9"/>
    <s v="TEC MULTIFUNCIONAL"/>
    <s v="ATIVIDADE NORMAL"/>
    <s v="ACV"/>
    <s v="10191112402"/>
    <s v="04/09/2019"/>
    <s v="THIAGO DE LIMA PIRES RODRIGUES"/>
    <s v="DECIO FABIANO LOPES FERREIRA"/>
    <s v="NIVALDO DE OLIVEIRA SOARES"/>
    <x v="0"/>
    <x v="11"/>
    <x v="2"/>
    <s v="TECNICO MULTIFUNCIONAL"/>
    <x v="661"/>
    <x v="661"/>
    <x v="12"/>
    <x v="0"/>
    <x v="0"/>
    <x v="0"/>
    <x v="0"/>
  </r>
  <r>
    <x v="662"/>
    <n v="105000985"/>
    <s v="FERIAS NORMAIS"/>
    <s v="02/09/2019"/>
    <x v="2"/>
    <x v="61"/>
    <x v="6"/>
    <x v="24"/>
    <s v="Regional Pernambuco"/>
    <s v="João Pessoa"/>
    <s v="Tecnico de campo"/>
    <x v="5"/>
    <s v="INSTALADOR TUP"/>
    <s v="FERIAS NORMAIS"/>
    <s v="POS"/>
    <s v="09964674406"/>
    <s v="04/09/2019"/>
    <s v="STANLEY MEDEIROS WANDERLEY"/>
    <s v="WENDELL FRANKLIN VIEIRA MAIA"/>
    <s v="WENDELL FRANKLIN VIEIRA MAIA"/>
    <x v="1"/>
    <x v="67"/>
    <x v="6"/>
    <s v="INSTALADOR I"/>
    <x v="662"/>
    <x v="662"/>
    <x v="58"/>
    <x v="6"/>
    <x v="3"/>
    <x v="1"/>
    <x v="1"/>
  </r>
  <r>
    <x v="663"/>
    <n v="109505819"/>
    <s v="ATIVIDADE NORMAL"/>
    <s v="10/07/2019"/>
    <x v="0"/>
    <x v="39"/>
    <x v="10"/>
    <x v="13"/>
    <s v="Regional Pernambuco"/>
    <s v="Recife"/>
    <s v="MultiSkill"/>
    <x v="4"/>
    <s v="TEC MULTIFUNCIONAL"/>
    <s v="ATIVIDADE NORMAL"/>
    <s v="OES"/>
    <s v="09978737448"/>
    <s v="04/09/2019"/>
    <s v="ALESSANDRO DIONISIO DE FRANCA"/>
    <s v="DECIO FABIANO LOPES FERREIRA"/>
    <s v="NIVALDO DE OLIVEIRA SOARES"/>
    <x v="0"/>
    <x v="16"/>
    <x v="2"/>
    <s v="TECNICO MULTIFUNCIONAL"/>
    <x v="663"/>
    <x v="663"/>
    <x v="37"/>
    <x v="0"/>
    <x v="0"/>
    <x v="0"/>
    <x v="0"/>
  </r>
  <r>
    <x v="664"/>
    <n v="109500315"/>
    <s v="ATIVIDADE NORMAL"/>
    <s v="22/05/2019"/>
    <x v="0"/>
    <x v="60"/>
    <x v="6"/>
    <x v="14"/>
    <s v="Regional Pernambuco"/>
    <s v="Recife"/>
    <s v="Tecnico de campo"/>
    <x v="5"/>
    <s v="INSTALADOR TUP"/>
    <s v="ATIVIDADE NORMAL"/>
    <s v="NOR"/>
    <s v="09980251433"/>
    <s v="04/09/2019"/>
    <s v="IVALDO BEZERRA NOVAIS"/>
    <s v="DECIO FABIANO LOPES FERREIRA"/>
    <s v="NIVALDO DE OLIVEIRA SOARES"/>
    <x v="0"/>
    <x v="47"/>
    <x v="6"/>
    <s v="INSTALADOR I"/>
    <x v="664"/>
    <x v="664"/>
    <x v="42"/>
    <x v="0"/>
    <x v="0"/>
    <x v="0"/>
    <x v="1"/>
  </r>
  <r>
    <x v="665"/>
    <n v="102002917"/>
    <s v="ATIVIDADE NORMAL"/>
    <s v="31/07/2019"/>
    <x v="3"/>
    <x v="23"/>
    <x v="10"/>
    <x v="18"/>
    <s v="Regional Pernambuco"/>
    <s v="Natal"/>
    <s v="MultiSkill"/>
    <x v="4"/>
    <s v="TEC MULTIFUNCIONAL"/>
    <s v="ATIVIDADE NORMAL"/>
    <s v="RNS"/>
    <s v="10062701401"/>
    <s v="04/09/2019"/>
    <s v="RICELE DA SILVA NASCIMENTO"/>
    <s v="REINILSON IGLESIAS JUNIOR"/>
    <s v="WENDELL FRANKLIN VIEIRA MAIA"/>
    <x v="0"/>
    <x v="30"/>
    <x v="2"/>
    <s v="TECNICO MULTIFUNCIONAL"/>
    <x v="665"/>
    <x v="665"/>
    <x v="51"/>
    <x v="7"/>
    <x v="3"/>
    <x v="0"/>
    <x v="0"/>
  </r>
  <r>
    <x v="666"/>
    <n v="109000340"/>
    <s v="ATIVIDADE NORMAL"/>
    <s v="20/03/2019"/>
    <x v="0"/>
    <x v="0"/>
    <x v="0"/>
    <x v="0"/>
    <s v="Regional Pernambuco"/>
    <s v="Interior"/>
    <s v="MultiSkill"/>
    <x v="0"/>
    <s v="TEC MULTIFUNCIONAL"/>
    <s v="ATIVIDADE NORMAL"/>
    <s v="CRU"/>
    <s v="10146426479"/>
    <s v="04/09/2019"/>
    <s v="AILTON JOSE DOS SANTOS"/>
    <s v="DECIO FABIANO LOPES FERREIRA"/>
    <s v="NIVALDO DE OLIVEIRA SOARES"/>
    <x v="0"/>
    <x v="21"/>
    <x v="2"/>
    <s v="TECNICO MULTIFUNCIONAL"/>
    <x v="666"/>
    <x v="666"/>
    <x v="22"/>
    <x v="0"/>
    <x v="0"/>
    <x v="0"/>
    <x v="0"/>
  </r>
  <r>
    <x v="667"/>
    <n v="105303124"/>
    <s v="ATIVIDADE NORMAL"/>
    <s v="29/05/2019"/>
    <x v="0"/>
    <x v="25"/>
    <x v="2"/>
    <x v="10"/>
    <s v="Regional Pernambuco"/>
    <s v="Recife"/>
    <s v="Tecnico de campo"/>
    <x v="1"/>
    <s v="TEC MULTIFUNCIONAL"/>
    <s v="ATIVIDADE NORMAL"/>
    <s v="PES"/>
    <s v="10154600466"/>
    <s v="04/09/2019"/>
    <s v="GENELSON AUGUSTO ALIXANDRE"/>
    <s v="CARLOS EDUARDO DE ALBUQUERQUE MEIRA"/>
    <s v="HEBERT JONES SOUTO ARAUJO"/>
    <x v="0"/>
    <x v="31"/>
    <x v="12"/>
    <s v="TECNICO MULTIFUNCIONAL"/>
    <x v="667"/>
    <x v="667"/>
    <x v="63"/>
    <x v="12"/>
    <x v="5"/>
    <x v="0"/>
    <x v="1"/>
  </r>
  <r>
    <x v="668"/>
    <n v="105000986"/>
    <s v="FERIAS NORMAIS"/>
    <s v="19/08/2019"/>
    <x v="2"/>
    <x v="20"/>
    <x v="5"/>
    <x v="16"/>
    <s v="Regional Pernambuco"/>
    <s v="João Pessoa"/>
    <s v="MultiSkill"/>
    <x v="4"/>
    <s v="TEC MULTIFUNCIONAL"/>
    <s v="FERIAS NORMAIS"/>
    <s v="CGE"/>
    <s v="10234634405"/>
    <s v="04/09/2019"/>
    <s v="JOSILENE MACENA DE OLIVEIRA"/>
    <s v="WENDELL FRANKLIN VIEIRA MAIA"/>
    <s v="WENDELL FRANKLIN VIEIRA MAIA"/>
    <x v="1"/>
    <x v="20"/>
    <x v="2"/>
    <s v="TECNICO MULTIFUNCIONAL"/>
    <x v="668"/>
    <x v="668"/>
    <x v="21"/>
    <x v="6"/>
    <x v="3"/>
    <x v="1"/>
    <x v="0"/>
  </r>
  <r>
    <x v="669"/>
    <n v="105303207"/>
    <s v="ATIVIDADE NORMAL"/>
    <s v="10/04/2019"/>
    <x v="2"/>
    <x v="15"/>
    <x v="11"/>
    <x v="12"/>
    <s v="Regional Pernambuco"/>
    <s v="João Pessoa"/>
    <s v="Tecnico de campo"/>
    <x v="1"/>
    <s v="OP DG"/>
    <s v="ATIVIDADE NORMAL"/>
    <s v="JPA"/>
    <s v="10248804430"/>
    <s v="04/09/2019"/>
    <s v="RAFAEL FERNANDES MATIAS"/>
    <s v="WENDELL FRANKLIN VIEIRA MAIA"/>
    <s v="WENDELL FRANKLIN VIEIRA MAIA"/>
    <x v="1"/>
    <x v="25"/>
    <x v="9"/>
    <s v="OPERADOR"/>
    <x v="669"/>
    <x v="669"/>
    <x v="44"/>
    <x v="6"/>
    <x v="3"/>
    <x v="0"/>
    <x v="1"/>
  </r>
  <r>
    <x v="670"/>
    <n v="101006255"/>
    <s v="ATIVIDADE NORMAL"/>
    <s v="05/06/2019"/>
    <x v="1"/>
    <x v="32"/>
    <x v="11"/>
    <x v="2"/>
    <s v="Regional Ceará"/>
    <s v="Capital Sul Ceará"/>
    <s v="MultiSkill"/>
    <x v="1"/>
    <s v="TEC MULTIFUNCIONAL"/>
    <s v="ATIVIDADE NORMAL"/>
    <s v="GCL"/>
    <s v="10466215304"/>
    <s v="04/09/2019"/>
    <s v="FRANCISCO DE ASSIS FILHO"/>
    <s v="JEFFERSON OLIVEIRA DA SILVA"/>
    <s v="JONILSON FELIPE VIEIRA"/>
    <x v="1"/>
    <x v="32"/>
    <x v="2"/>
    <s v="TECNICO MULTIFUNCIONAL"/>
    <x v="670"/>
    <x v="670"/>
    <x v="31"/>
    <x v="2"/>
    <x v="1"/>
    <x v="0"/>
    <x v="1"/>
  </r>
  <r>
    <x v="671"/>
    <n v="109505049"/>
    <s v="ATIVIDADE NORMAL"/>
    <s v="24/04/2019"/>
    <x v="0"/>
    <x v="52"/>
    <x v="0"/>
    <x v="7"/>
    <s v="Regional Pernambuco"/>
    <s v="Recife"/>
    <s v="Tecnico de campo"/>
    <x v="0"/>
    <s v="TEC MULTIFUNCIONAL"/>
    <s v="ATIVIDADE NORMAL"/>
    <s v="LES"/>
    <s v="10516253433"/>
    <s v="04/09/2019"/>
    <s v="RAMSES DE ANDRADE MACHADO RODRIGUES LAVRA"/>
    <s v="BRUNO VINICIUS DE ALBERTINS ALVES"/>
    <s v="NIVALDO DE OLIVEIRA SOARES"/>
    <x v="0"/>
    <x v="57"/>
    <x v="1"/>
    <s v="TECNICO MULTIFUNCIONAL"/>
    <x v="671"/>
    <x v="671"/>
    <x v="48"/>
    <x v="9"/>
    <x v="0"/>
    <x v="0"/>
    <x v="0"/>
  </r>
  <r>
    <x v="672"/>
    <n v="109500177"/>
    <s v="ATIVIDADE NORMAL"/>
    <s v="31/07/2019"/>
    <x v="0"/>
    <x v="18"/>
    <x v="10"/>
    <x v="14"/>
    <s v="Regional Pernambuco"/>
    <s v="Recife"/>
    <s v="MultiSkill"/>
    <x v="4"/>
    <s v="TEC MULTIFUNCIONAL"/>
    <s v="ATIVIDADE NORMAL"/>
    <s v="NOR"/>
    <s v="10680325450"/>
    <s v="04/09/2019"/>
    <s v="JOSUEL FERREIRA DE BRITO"/>
    <s v="BRUNO VINICIUS DE ALBERTINS ALVES"/>
    <s v="NIVALDO DE OLIVEIRA SOARES"/>
    <x v="0"/>
    <x v="38"/>
    <x v="2"/>
    <s v="TECNICO MULTIFUNCIONAL"/>
    <x v="672"/>
    <x v="672"/>
    <x v="36"/>
    <x v="9"/>
    <x v="0"/>
    <x v="0"/>
    <x v="0"/>
  </r>
  <r>
    <x v="673"/>
    <n v="102100917"/>
    <s v="ATIVIDADE NORMAL"/>
    <s v="05/09/2018"/>
    <x v="3"/>
    <x v="27"/>
    <x v="10"/>
    <x v="20"/>
    <s v="Regional Pernambuco"/>
    <s v="Natal"/>
    <s v="MultiSkill"/>
    <x v="4"/>
    <s v="TEC MULTIFUNCIONAL"/>
    <s v="ATIVIDADE NORMAL"/>
    <s v="MRO"/>
    <s v="10721661432"/>
    <s v="04/09/2019"/>
    <s v="FERNANDO FREITAS ALMEIDA DOS SANTOS"/>
    <s v="REINILSON IGLESIAS JUNIOR"/>
    <s v="WENDELL FRANKLIN VIEIRA MAIA"/>
    <x v="0"/>
    <x v="28"/>
    <x v="2"/>
    <s v="TECNICO MULTIFUNCIONAL"/>
    <x v="673"/>
    <x v="673"/>
    <x v="27"/>
    <x v="7"/>
    <x v="3"/>
    <x v="0"/>
    <x v="0"/>
  </r>
  <r>
    <x v="674"/>
    <n v="109504012"/>
    <s v="ATIVIDADE NORMAL"/>
    <s v="03/04/2019"/>
    <x v="2"/>
    <x v="54"/>
    <x v="4"/>
    <x v="12"/>
    <s v="Regional Pernambuco"/>
    <s v="João Pessoa"/>
    <s v="MultiSkill"/>
    <x v="3"/>
    <s v="TEC MULTIFUNCIONAL"/>
    <s v="ATIVIDADE NORMAL"/>
    <s v="JPA"/>
    <s v="10788269437"/>
    <s v="04/09/2019"/>
    <s v="FRANCISCO JOSE DIAS DA SILVA"/>
    <s v="WENDELL FRANKLIN VIEIRA MAIA"/>
    <s v="WENDELL FRANKLIN VIEIRA MAIA"/>
    <x v="0"/>
    <x v="36"/>
    <x v="2"/>
    <s v="TECNICO MULTIFUNCIONAL"/>
    <x v="674"/>
    <x v="674"/>
    <x v="25"/>
    <x v="6"/>
    <x v="3"/>
    <x v="0"/>
    <x v="0"/>
  </r>
  <r>
    <x v="675"/>
    <n v="105303208"/>
    <s v="ATIVIDADE NORMAL"/>
    <s v="17/12/2018"/>
    <x v="2"/>
    <x v="54"/>
    <x v="12"/>
    <x v="12"/>
    <s v="Regional Pernambuco"/>
    <s v="João Pessoa"/>
    <s v="Tecnico de campo"/>
    <x v="6"/>
    <s v="CABISTA I"/>
    <s v="ATIVIDADE NORMAL"/>
    <s v="JPA"/>
    <s v="10861171403"/>
    <s v="04/09/2019"/>
    <s v="FERNANDO ANTONIO PORTO DE FREITAS"/>
    <s v="WENDELL FRANKLIN VIEIRA MAIA"/>
    <s v="WENDELL FRANKLIN VIEIRA MAIA"/>
    <x v="0"/>
    <x v="36"/>
    <x v="2"/>
    <s v="CABISTA I"/>
    <x v="675"/>
    <x v="675"/>
    <x v="16"/>
    <x v="6"/>
    <x v="3"/>
    <x v="0"/>
    <x v="1"/>
  </r>
  <r>
    <x v="676"/>
    <n v="109000926"/>
    <s v="ATIVIDADE NORMAL"/>
    <s v="28/11/2018"/>
    <x v="0"/>
    <x v="44"/>
    <x v="10"/>
    <x v="7"/>
    <s v="Regional Pernambuco"/>
    <s v="Recife"/>
    <s v="MultiSkill"/>
    <x v="4"/>
    <s v="TEC MULTIFUNCIONAL"/>
    <s v="ATIVIDADE NORMAL"/>
    <s v="LES"/>
    <s v="10940726483"/>
    <s v="04/09/2019"/>
    <s v="ANTONIO MAGNO DE CASTRO LEAO"/>
    <s v="BRUNO VINICIUS DE ALBERTINS ALVES"/>
    <s v="NIVALDO DE OLIVEIRA SOARES"/>
    <x v="0"/>
    <x v="45"/>
    <x v="2"/>
    <s v="TECNICO MULTIFUNCIONAL"/>
    <x v="676"/>
    <x v="676"/>
    <x v="41"/>
    <x v="9"/>
    <x v="0"/>
    <x v="0"/>
    <x v="0"/>
  </r>
  <r>
    <x v="677"/>
    <n v="109000499"/>
    <s v="ATIVIDADE NORMAL"/>
    <s v="27/03/2019"/>
    <x v="0"/>
    <x v="37"/>
    <x v="13"/>
    <x v="14"/>
    <s v="Regional Pernambuco"/>
    <s v="Recife"/>
    <s v="Tecnico de campo"/>
    <x v="8"/>
    <s v="OP DG"/>
    <s v="ATIVIDADE NORMAL"/>
    <s v="NOR"/>
    <s v="11183236450"/>
    <s v="04/09/2019"/>
    <s v="ALTAIR LUIZ DO NASCIMENTO"/>
    <s v="DECIO FABIANO LOPES FERREIRA"/>
    <s v="NIVALDO DE OLIVEIRA SOARES"/>
    <x v="0"/>
    <x v="42"/>
    <x v="9"/>
    <s v="OPERADOR"/>
    <x v="677"/>
    <x v="677"/>
    <x v="38"/>
    <x v="0"/>
    <x v="0"/>
    <x v="0"/>
    <x v="1"/>
  </r>
  <r>
    <x v="678"/>
    <n v="109501286"/>
    <s v="ATIVIDADE NORMAL"/>
    <s v="02/06/2019"/>
    <x v="0"/>
    <x v="30"/>
    <x v="10"/>
    <x v="13"/>
    <s v="Regional Pernambuco"/>
    <s v="Recife"/>
    <s v="MultiSkill"/>
    <x v="4"/>
    <s v="TEC MULTIFUNCIONAL"/>
    <s v="ATIVIDADE NORMAL"/>
    <s v="OES"/>
    <s v="11234715414"/>
    <s v="04/09/2019"/>
    <s v="JOSE HENRIQUE NEGRAO DE MEDEIROS"/>
    <s v="DECIO FABIANO LOPES FERREIRA"/>
    <s v="NIVALDO DE OLIVEIRA SOARES"/>
    <x v="0"/>
    <x v="37"/>
    <x v="2"/>
    <s v="TECNICO MULTIFUNCIONAL"/>
    <x v="678"/>
    <x v="678"/>
    <x v="34"/>
    <x v="0"/>
    <x v="0"/>
    <x v="0"/>
    <x v="0"/>
  </r>
  <r>
    <x v="679"/>
    <n v="105303208"/>
    <s v="ATIVIDADE NORMAL"/>
    <s v="18/05/2018"/>
    <x v="2"/>
    <x v="15"/>
    <x v="5"/>
    <x v="12"/>
    <s v="Regional Pernambuco"/>
    <s v="João Pessoa"/>
    <s v="MultiSkill"/>
    <x v="4"/>
    <s v="TEC MULTIFUNCIONAL"/>
    <s v="ATIVIDADE NORMAL"/>
    <s v="JPA"/>
    <s v="11260003450"/>
    <s v="04/09/2019"/>
    <s v="FERNANDO ANTONIO PORTO DE FREITAS"/>
    <s v="WENDELL FRANKLIN VIEIRA MAIA"/>
    <s v="WENDELL FRANKLIN VIEIRA MAIA"/>
    <x v="0"/>
    <x v="72"/>
    <x v="2"/>
    <s v="TECNICO MULTIFUNCIONAL"/>
    <x v="679"/>
    <x v="679"/>
    <x v="16"/>
    <x v="6"/>
    <x v="3"/>
    <x v="0"/>
    <x v="0"/>
  </r>
  <r>
    <x v="680"/>
    <n v="109506174"/>
    <s v="ATIVIDADE NORMAL"/>
    <s v="11/05/2019"/>
    <x v="0"/>
    <x v="53"/>
    <x v="15"/>
    <x v="23"/>
    <s v="Regional Pernambuco"/>
    <s v="Interior"/>
    <s v="MultiSkill"/>
    <x v="9"/>
    <s v="TEC MULTIFUNCIONAL"/>
    <s v="ATIVIDADE NORMAL"/>
    <s v="CBO"/>
    <s v="10211524476"/>
    <s v="04/09/2019"/>
    <s v="ALYSSON HENRIQUE FERREIRA DE LUCENA"/>
    <s v="DECIO FABIANO LOPES FERREIRA"/>
    <s v="NIVALDO DE OLIVEIRA SOARES"/>
    <x v="0"/>
    <x v="21"/>
    <x v="2"/>
    <s v="TECNICO MULTIFUNCIONAL"/>
    <x v="680"/>
    <x v="680"/>
    <x v="55"/>
    <x v="0"/>
    <x v="0"/>
    <x v="0"/>
    <x v="0"/>
  </r>
  <r>
    <x v="681"/>
    <n v="102100917"/>
    <s v="ATIVIDADE NORMAL"/>
    <s v="23/05/2019"/>
    <x v="3"/>
    <x v="27"/>
    <x v="10"/>
    <x v="20"/>
    <s v="Regional Pernambuco"/>
    <s v="Natal"/>
    <s v="MultiSkill"/>
    <x v="4"/>
    <s v="TEC MULTIFUNCIONAL"/>
    <s v="ATIVIDADE NORMAL"/>
    <s v="MRO"/>
    <s v="10280625405"/>
    <s v="04/09/2019"/>
    <s v="FERNANDO FREITAS ALMEIDA DOS SANTOS"/>
    <s v="REINILSON IGLESIAS JUNIOR"/>
    <s v="WENDELL FRANKLIN VIEIRA MAIA"/>
    <x v="0"/>
    <x v="28"/>
    <x v="2"/>
    <s v="TECNICO MULTIFUNCIONAL"/>
    <x v="681"/>
    <x v="681"/>
    <x v="27"/>
    <x v="7"/>
    <x v="3"/>
    <x v="0"/>
    <x v="0"/>
  </r>
  <r>
    <x v="682"/>
    <n v="109505858"/>
    <s v="FERIAS NORMAIS"/>
    <s v="19/08/2019"/>
    <x v="0"/>
    <x v="6"/>
    <x v="10"/>
    <x v="6"/>
    <s v="Regional Pernambuco"/>
    <s v="Interior"/>
    <s v="MultiSkill"/>
    <x v="4"/>
    <s v="TEC MULTIFUNCIONAL"/>
    <s v="FERIAS NORMAIS"/>
    <s v="PTA"/>
    <s v="10296538442"/>
    <s v="04/09/2019"/>
    <s v="THIAGO DE LIMA PIRES RODRIGUES"/>
    <s v="DECIO FABIANO LOPES FERREIRA"/>
    <s v="NIVALDO DE OLIVEIRA SOARES"/>
    <x v="1"/>
    <x v="11"/>
    <x v="2"/>
    <s v="TECNICO MULTIFUNCIONAL"/>
    <x v="682"/>
    <x v="682"/>
    <x v="12"/>
    <x v="0"/>
    <x v="0"/>
    <x v="1"/>
    <x v="0"/>
  </r>
  <r>
    <x v="683"/>
    <n v="109505049"/>
    <s v="ATIVIDADE NORMAL"/>
    <s v="08/02/2018"/>
    <x v="0"/>
    <x v="52"/>
    <x v="0"/>
    <x v="7"/>
    <s v="Regional Pernambuco"/>
    <s v="Recife"/>
    <s v="Tecnico de campo"/>
    <x v="0"/>
    <s v="INSTALADOR DTH"/>
    <s v="ATIVIDADE NORMAL"/>
    <s v="LES"/>
    <s v="10365015407"/>
    <s v="04/09/2019"/>
    <s v="RAMSES DE ANDRADE MACHADO RODRIGUES LAVRA"/>
    <s v="BRUNO VINICIUS DE ALBERTINS ALVES"/>
    <s v="NIVALDO DE OLIVEIRA SOARES"/>
    <x v="0"/>
    <x v="57"/>
    <x v="1"/>
    <s v="INSTALADOR DTH"/>
    <x v="683"/>
    <x v="683"/>
    <x v="48"/>
    <x v="9"/>
    <x v="0"/>
    <x v="0"/>
    <x v="0"/>
  </r>
  <r>
    <x v="684"/>
    <n v="109000499"/>
    <s v="ATIVIDADE NORMAL"/>
    <s v="31/07/2019"/>
    <x v="0"/>
    <x v="35"/>
    <x v="13"/>
    <x v="14"/>
    <s v="Regional Pernambuco"/>
    <s v="Recife"/>
    <s v="Tecnico de campo"/>
    <x v="8"/>
    <s v="OP DG"/>
    <s v="ATIVIDADE NORMAL"/>
    <s v="NOR"/>
    <s v="10419321462"/>
    <s v="04/09/2019"/>
    <s v="ALTAIR LUIZ DO NASCIMENTO"/>
    <s v="DECIO FABIANO LOPES FERREIRA"/>
    <s v="NIVALDO DE OLIVEIRA SOARES"/>
    <x v="0"/>
    <x v="42"/>
    <x v="9"/>
    <s v="OPERADOR"/>
    <x v="684"/>
    <x v="684"/>
    <x v="38"/>
    <x v="0"/>
    <x v="0"/>
    <x v="0"/>
    <x v="1"/>
  </r>
  <r>
    <x v="685"/>
    <n v="109000017"/>
    <s v="ATIVIDADE NORMAL"/>
    <s v="02/06/2019"/>
    <x v="0"/>
    <x v="59"/>
    <x v="2"/>
    <x v="13"/>
    <s v="Regional Pernambuco"/>
    <s v="Recife"/>
    <s v="Tecnico de campo"/>
    <x v="1"/>
    <s v="CABISTA I"/>
    <s v="ATIVIDADE NORMAL"/>
    <s v="OES"/>
    <s v="10494802448"/>
    <s v="04/09/2019"/>
    <s v="AMAURY ASSIS DE LIMA"/>
    <s v="DECIO FABIANO LOPES FERREIRA"/>
    <s v="NIVALDO DE OLIVEIRA SOARES"/>
    <x v="0"/>
    <x v="70"/>
    <x v="10"/>
    <s v="CABISTA I"/>
    <x v="685"/>
    <x v="685"/>
    <x v="15"/>
    <x v="0"/>
    <x v="0"/>
    <x v="0"/>
    <x v="1"/>
  </r>
  <r>
    <x v="686"/>
    <n v="109504193"/>
    <s v="ATIVIDADE NORMAL"/>
    <s v="10/07/2019"/>
    <x v="0"/>
    <x v="44"/>
    <x v="2"/>
    <x v="7"/>
    <s v="Regional Pernambuco"/>
    <s v="Recife"/>
    <s v="Tecnico de campo"/>
    <x v="1"/>
    <s v="INSTALADOR"/>
    <s v="ATIVIDADE NORMAL"/>
    <s v="LES"/>
    <s v="11264718446"/>
    <s v="04/09/2019"/>
    <s v="PAULO JOSE DA SILVA JUNIOR"/>
    <s v="MARCOS DE OLIVEIRA STEHLING"/>
    <s v="NIVALDO DE OLIVEIRA SOARES"/>
    <x v="0"/>
    <x v="34"/>
    <x v="13"/>
    <s v="INSTALADOR I"/>
    <x v="686"/>
    <x v="686"/>
    <x v="30"/>
    <x v="3"/>
    <x v="0"/>
    <x v="0"/>
    <x v="1"/>
  </r>
  <r>
    <x v="687"/>
    <n v="109505858"/>
    <s v="ATIVIDADE NORMAL"/>
    <s v="29/10/2018"/>
    <x v="0"/>
    <x v="46"/>
    <x v="10"/>
    <x v="11"/>
    <s v="Regional Pernambuco"/>
    <s v="Interior"/>
    <s v="MultiSkill"/>
    <x v="4"/>
    <s v="TEC MULTIFUNCIONAL"/>
    <s v="ATIVIDADE NORMAL"/>
    <s v="ACV"/>
    <s v="11291178473"/>
    <s v="04/09/2019"/>
    <s v="THIAGO DE LIMA PIRES RODRIGUES"/>
    <s v="DECIO FABIANO LOPES FERREIRA"/>
    <s v="NIVALDO DE OLIVEIRA SOARES"/>
    <x v="0"/>
    <x v="11"/>
    <x v="2"/>
    <s v="TECNICO MULTIFUNCIONAL"/>
    <x v="687"/>
    <x v="687"/>
    <x v="12"/>
    <x v="0"/>
    <x v="0"/>
    <x v="0"/>
    <x v="0"/>
  </r>
  <r>
    <x v="688"/>
    <n v="109000340"/>
    <s v="ATIVIDADE NORMAL"/>
    <s v="21/08/2018"/>
    <x v="0"/>
    <x v="38"/>
    <x v="12"/>
    <x v="22"/>
    <s v="Regional Pernambuco"/>
    <s v="Interior"/>
    <s v="Equipe SWAT"/>
    <x v="6"/>
    <s v="CABISTA I"/>
    <s v="ATIVIDADE NORMAL"/>
    <s v="CAA"/>
    <s v="11442912405"/>
    <s v="04/09/2019"/>
    <s v="AILTON JOSE DOS SANTOS"/>
    <s v="DECIO FABIANO LOPES FERREIRA"/>
    <s v="NIVALDO DE OLIVEIRA SOARES"/>
    <x v="0"/>
    <x v="21"/>
    <x v="7"/>
    <s v="CABISTA I"/>
    <x v="688"/>
    <x v="688"/>
    <x v="22"/>
    <x v="0"/>
    <x v="0"/>
    <x v="0"/>
    <x v="1"/>
  </r>
  <r>
    <x v="689"/>
    <n v="109506172"/>
    <s v="ATIVIDADE NORMAL"/>
    <s v="10/04/2019"/>
    <x v="0"/>
    <x v="59"/>
    <x v="10"/>
    <x v="13"/>
    <s v="Regional Pernambuco"/>
    <s v="Recife"/>
    <s v="MultiSkill"/>
    <x v="4"/>
    <s v="TEC MULTIFUNCIONAL"/>
    <s v="ATIVIDADE NORMAL"/>
    <s v="OES"/>
    <s v="11754389368"/>
    <s v="04/09/2019"/>
    <s v="MARCUS VINICIUS NEVES DE BRITO"/>
    <s v="DECIO FABIANO LOPES FERREIRA"/>
    <s v="NIVALDO DE OLIVEIRA SOARES"/>
    <x v="0"/>
    <x v="64"/>
    <x v="2"/>
    <s v="TECNICO MULTIFUNCIONAL"/>
    <x v="689"/>
    <x v="689"/>
    <x v="54"/>
    <x v="0"/>
    <x v="0"/>
    <x v="0"/>
    <x v="0"/>
  </r>
  <r>
    <x v="690"/>
    <n v="109000943"/>
    <s v="ATIVIDADE NORMAL"/>
    <s v="04/10/2018"/>
    <x v="0"/>
    <x v="60"/>
    <x v="10"/>
    <x v="14"/>
    <s v="Regional Pernambuco"/>
    <s v="Recife"/>
    <s v="MultiSkill"/>
    <x v="4"/>
    <s v="TEC MULTIFUNCIONAL"/>
    <s v="ATIVIDADE NORMAL"/>
    <s v="NOR"/>
    <s v="11770034498"/>
    <s v="04/09/2019"/>
    <s v="MAURO BRAGA RANGEL"/>
    <s v="BRUNO VINICIUS DE ALBERTINS ALVES"/>
    <s v="NIVALDO DE OLIVEIRA SOARES"/>
    <x v="0"/>
    <x v="77"/>
    <x v="2"/>
    <s v="TECNICO MULTIFUNCIONAL"/>
    <x v="690"/>
    <x v="690"/>
    <x v="56"/>
    <x v="9"/>
    <x v="0"/>
    <x v="0"/>
    <x v="0"/>
  </r>
  <r>
    <x v="691"/>
    <n v="102101393"/>
    <s v="ATIVIDADE NORMAL"/>
    <s v="10/04/2019"/>
    <x v="3"/>
    <x v="62"/>
    <x v="8"/>
    <x v="19"/>
    <s v="Regional Pernambuco"/>
    <s v="Natal"/>
    <s v="Equipe SWAT"/>
    <x v="6"/>
    <s v="CABISTA I"/>
    <s v="ATIVIDADE NORMAL"/>
    <s v="NTN"/>
    <s v="12499861410"/>
    <s v="04/09/2019"/>
    <s v="SIDNEY MOURA FREIRE"/>
    <s v="REINILSON IGLESIAS JUNIOR"/>
    <s v="WENDELL FRANKLIN VIEIRA MAIA"/>
    <x v="0"/>
    <x v="23"/>
    <x v="7"/>
    <s v="CABISTA I"/>
    <x v="691"/>
    <x v="691"/>
    <x v="24"/>
    <x v="7"/>
    <x v="3"/>
    <x v="0"/>
    <x v="1"/>
  </r>
  <r>
    <x v="692"/>
    <n v="109000427"/>
    <s v="ATIVIDADE NORMAL"/>
    <s v="08/05/2018"/>
    <x v="0"/>
    <x v="0"/>
    <x v="2"/>
    <x v="0"/>
    <s v="Regional Pernambuco"/>
    <s v="Interior"/>
    <s v="Tecnico de campo"/>
    <x v="1"/>
    <s v="CABISTA I"/>
    <s v="ATIVIDADE NORMAL"/>
    <s v="CRU"/>
    <s v="12545053422"/>
    <s v="04/09/2019"/>
    <s v="HAMILTON DAVINO DA SILVA"/>
    <s v="MARCOS DE OLIVEIRA STEHLING"/>
    <s v="NIVALDO DE OLIVEIRA SOARES"/>
    <x v="0"/>
    <x v="21"/>
    <x v="3"/>
    <s v="CABISTA I"/>
    <x v="692"/>
    <x v="692"/>
    <x v="7"/>
    <x v="3"/>
    <x v="0"/>
    <x v="0"/>
    <x v="1"/>
  </r>
  <r>
    <x v="693"/>
    <n v="102101642"/>
    <s v="ATIVIDADE NORMAL"/>
    <s v="20/03/2018"/>
    <x v="3"/>
    <x v="24"/>
    <x v="10"/>
    <x v="19"/>
    <s v="Regional Pernambuco"/>
    <s v="Natal"/>
    <s v="MultiSkill"/>
    <x v="4"/>
    <s v="TEC MULTIFUNCIONAL"/>
    <s v="ATIVIDADE NORMAL"/>
    <s v="NTN"/>
    <s v="12736860802"/>
    <s v="04/09/2019"/>
    <s v="WILSON CARLOS SILVEIRA LEIROS"/>
    <s v="REINILSON IGLESIAS JUNIOR"/>
    <s v="WENDELL FRANKLIN VIEIRA MAIA"/>
    <x v="0"/>
    <x v="51"/>
    <x v="2"/>
    <s v="TECNICO MULTIFUNCIONAL"/>
    <x v="693"/>
    <x v="693"/>
    <x v="28"/>
    <x v="7"/>
    <x v="3"/>
    <x v="0"/>
    <x v="0"/>
  </r>
  <r>
    <x v="694"/>
    <n v="109501286"/>
    <s v="ATIVIDADE NORMAL"/>
    <s v="30/09/2019"/>
    <x v="0"/>
    <x v="30"/>
    <x v="20"/>
    <x v="13"/>
    <s v="Regional Pernambuco"/>
    <s v="Recife"/>
    <s v="Tecnico de campo"/>
    <x v="7"/>
    <s v="INSTALADOR"/>
    <s v="ATIVIDADE NORMAL"/>
    <s v="OES"/>
    <s v="12913278434"/>
    <s v="04/09/2019"/>
    <s v="JOSE HENRIQUE NEGRAO DE MEDEIROS"/>
    <s v="DECIO FABIANO LOPES FERREIRA"/>
    <s v="NIVALDO DE OLIVEIRA SOARES"/>
    <x v="0"/>
    <x v="37"/>
    <x v="2"/>
    <s v="INSTALADOR I"/>
    <x v="694"/>
    <x v="694"/>
    <x v="34"/>
    <x v="0"/>
    <x v="0"/>
    <x v="0"/>
    <x v="0"/>
  </r>
  <r>
    <x v="695"/>
    <n v="109000427"/>
    <s v="ATIVIDADE NORMAL"/>
    <s v="08/05/2018"/>
    <x v="0"/>
    <x v="0"/>
    <x v="2"/>
    <x v="0"/>
    <s v="Regional Pernambuco"/>
    <s v="Interior"/>
    <s v="Tecnico de campo"/>
    <x v="1"/>
    <s v="CABISTA I"/>
    <s v="ATIVIDADE NORMAL"/>
    <s v="CRU"/>
    <s v="13245784406"/>
    <s v="04/09/2019"/>
    <s v="HAMILTON DAVINO DA SILVA"/>
    <s v="MARCOS DE OLIVEIRA STEHLING"/>
    <s v="NIVALDO DE OLIVEIRA SOARES"/>
    <x v="0"/>
    <x v="21"/>
    <x v="3"/>
    <s v="CABISTA I"/>
    <x v="695"/>
    <x v="695"/>
    <x v="7"/>
    <x v="3"/>
    <x v="0"/>
    <x v="0"/>
    <x v="1"/>
  </r>
  <r>
    <x v="696"/>
    <n v="109505049"/>
    <s v="ATIVIDADE NORMAL"/>
    <s v="06/02/2019"/>
    <x v="0"/>
    <x v="51"/>
    <x v="0"/>
    <x v="14"/>
    <s v="Regional Pernambuco"/>
    <s v="Recife"/>
    <s v="MultiSkill"/>
    <x v="0"/>
    <s v="TEC MULTIFUNCIONAL"/>
    <s v="ATIVIDADE NORMAL"/>
    <s v="NOR"/>
    <s v="14364491705"/>
    <s v="04/09/2019"/>
    <s v="RAMSES DE ANDRADE MACHADO RODRIGUES LAVRA"/>
    <s v="BRUNO VINICIUS DE ALBERTINS ALVES"/>
    <s v="NIVALDO DE OLIVEIRA SOARES"/>
    <x v="0"/>
    <x v="37"/>
    <x v="1"/>
    <s v="TECNICO MULTIFUNCIONAL"/>
    <x v="696"/>
    <x v="696"/>
    <x v="48"/>
    <x v="9"/>
    <x v="0"/>
    <x v="0"/>
    <x v="0"/>
  </r>
  <r>
    <x v="697"/>
    <n v="109505858"/>
    <s v="ATIVIDADE NORMAL"/>
    <s v="22/05/2019"/>
    <x v="0"/>
    <x v="6"/>
    <x v="11"/>
    <x v="6"/>
    <s v="Regional Pernambuco"/>
    <s v="Interior"/>
    <s v="Tecnico de campo"/>
    <x v="1"/>
    <s v="INSTALADOR"/>
    <s v="ATIVIDADE NORMAL"/>
    <s v="PTA"/>
    <s v="14531640497"/>
    <s v="04/09/2019"/>
    <s v="THIAGO DE LIMA PIRES RODRIGUES"/>
    <s v="DECIO FABIANO LOPES FERREIRA"/>
    <s v="NIVALDO DE OLIVEIRA SOARES"/>
    <x v="0"/>
    <x v="11"/>
    <x v="6"/>
    <s v="INSTALADOR I"/>
    <x v="697"/>
    <x v="697"/>
    <x v="12"/>
    <x v="0"/>
    <x v="0"/>
    <x v="0"/>
    <x v="1"/>
  </r>
  <r>
    <x v="698"/>
    <n v="109000943"/>
    <s v="ATIVIDADE NORMAL"/>
    <s v="31/07/2019"/>
    <x v="0"/>
    <x v="13"/>
    <x v="2"/>
    <x v="10"/>
    <s v="Regional Pernambuco"/>
    <s v="Recife"/>
    <s v="Tecnico de campo"/>
    <x v="1"/>
    <s v="INSTALADOR"/>
    <s v="ATIVIDADE NORMAL"/>
    <s v="PES"/>
    <s v="16667883415"/>
    <s v="04/09/2019"/>
    <s v="MAURO BRAGA RANGEL"/>
    <s v="BRUNO VINICIUS DE ALBERTINS ALVES"/>
    <s v="NIVALDO DE OLIVEIRA SOARES"/>
    <x v="1"/>
    <x v="70"/>
    <x v="2"/>
    <s v="INSTALADOR I"/>
    <x v="698"/>
    <x v="698"/>
    <x v="56"/>
    <x v="9"/>
    <x v="0"/>
    <x v="0"/>
    <x v="1"/>
  </r>
  <r>
    <x v="699"/>
    <n v="109500038"/>
    <s v="ATIVIDADE NORMAL"/>
    <s v="20/01/2019"/>
    <x v="0"/>
    <x v="21"/>
    <x v="2"/>
    <x v="17"/>
    <s v="Regional Pernambuco"/>
    <s v="Interior"/>
    <s v="Tecnico de campo"/>
    <x v="1"/>
    <s v="CABISTA II"/>
    <s v="ATIVIDADE NORMAL"/>
    <s v="GUS"/>
    <s v="17135672453"/>
    <s v="04/09/2019"/>
    <s v="PATRICIO MARTINS DE SOUSA"/>
    <s v="MARCOS DE OLIVEIRA STEHLING"/>
    <s v="NIVALDO DE OLIVEIRA SOARES"/>
    <x v="0"/>
    <x v="6"/>
    <x v="3"/>
    <s v="CABISTA II"/>
    <x v="699"/>
    <x v="699"/>
    <x v="19"/>
    <x v="3"/>
    <x v="0"/>
    <x v="0"/>
    <x v="1"/>
  </r>
  <r>
    <x v="700"/>
    <n v="101006255"/>
    <s v="ATIVIDADE NORMAL"/>
    <s v="03/07/2019"/>
    <x v="1"/>
    <x v="32"/>
    <x v="12"/>
    <x v="2"/>
    <s v="Regional Ceará"/>
    <s v="Capital Sul Ceará"/>
    <s v="Tecnico de campo"/>
    <x v="6"/>
    <s v="CABISTA II"/>
    <s v="ATIVIDADE NORMAL"/>
    <s v="GCL"/>
    <s v="19076363315"/>
    <s v="04/09/2019"/>
    <s v="FRANCISCO DE ASSIS FILHO"/>
    <s v="JEFFERSON OLIVEIRA DA SILVA"/>
    <s v="JONILSON FELIPE VIEIRA"/>
    <x v="0"/>
    <x v="32"/>
    <x v="7"/>
    <s v="CABISTA II"/>
    <x v="700"/>
    <x v="700"/>
    <x v="31"/>
    <x v="2"/>
    <x v="1"/>
    <x v="0"/>
    <x v="1"/>
  </r>
  <r>
    <x v="701"/>
    <n v="109000926"/>
    <s v="ATIVIDADE NORMAL"/>
    <s v="03/07/2019"/>
    <x v="0"/>
    <x v="65"/>
    <x v="11"/>
    <x v="7"/>
    <s v="Regional Pernambuco"/>
    <s v="Recife"/>
    <s v="MultiSkill"/>
    <x v="1"/>
    <s v="TEC MULTIFUNCIONAL"/>
    <s v="ATIVIDADE NORMAL"/>
    <s v="LES"/>
    <s v="19335873420"/>
    <s v="04/09/2019"/>
    <s v="ANTONIO MAGNO DE CASTRO LEAO"/>
    <s v="BRUNO VINICIUS DE ALBERTINS ALVES"/>
    <s v="NIVALDO DE OLIVEIRA SOARES"/>
    <x v="0"/>
    <x v="45"/>
    <x v="2"/>
    <s v="TECNICO MULTIFUNCIONAL"/>
    <x v="701"/>
    <x v="701"/>
    <x v="41"/>
    <x v="9"/>
    <x v="0"/>
    <x v="0"/>
    <x v="1"/>
  </r>
  <r>
    <x v="702"/>
    <n v="101008134"/>
    <s v="ATIVIDADE NORMAL"/>
    <s v="01/04/2019"/>
    <x v="1"/>
    <x v="70"/>
    <x v="10"/>
    <x v="1"/>
    <s v="Regional Ceará"/>
    <s v="Capital Sul Ceará"/>
    <s v="MultiSkill"/>
    <x v="4"/>
    <s v="TEC MULTIFUNCIONAL"/>
    <s v="ATIVIDADE NORMAL"/>
    <s v="GCS"/>
    <s v="21420858300"/>
    <s v="04/09/2019"/>
    <s v="BRUNO SAVIO DA SILVA"/>
    <s v="ANTONIO ROBEVANIO PINHEIRO"/>
    <s v="JONILSON FELIPE VIEIRA"/>
    <x v="0"/>
    <x v="53"/>
    <x v="2"/>
    <s v="TECNICO MULTIFUNCIONAL"/>
    <x v="702"/>
    <x v="702"/>
    <x v="5"/>
    <x v="1"/>
    <x v="1"/>
    <x v="0"/>
    <x v="0"/>
  </r>
  <r>
    <x v="703"/>
    <n v="109501286"/>
    <s v="ATIVIDADE NORMAL"/>
    <s v="10/04/2019"/>
    <x v="0"/>
    <x v="30"/>
    <x v="11"/>
    <x v="13"/>
    <s v="Regional Pernambuco"/>
    <s v="Recife"/>
    <s v="Tecnico de campo"/>
    <x v="1"/>
    <s v="INSTALADOR DTH"/>
    <s v="ATIVIDADE NORMAL"/>
    <s v="OES"/>
    <s v="21749765870"/>
    <s v="04/09/2019"/>
    <s v="JOSE HENRIQUE NEGRAO DE MEDEIROS"/>
    <s v="DECIO FABIANO LOPES FERREIRA"/>
    <s v="NIVALDO DE OLIVEIRA SOARES"/>
    <x v="0"/>
    <x v="37"/>
    <x v="11"/>
    <s v="INSTALADOR DTH"/>
    <x v="703"/>
    <x v="703"/>
    <x v="34"/>
    <x v="0"/>
    <x v="0"/>
    <x v="0"/>
    <x v="1"/>
  </r>
  <r>
    <x v="704"/>
    <n v="101001782"/>
    <s v="ATIVIDADE NORMAL"/>
    <s v="11/12/2017"/>
    <x v="1"/>
    <x v="40"/>
    <x v="8"/>
    <x v="8"/>
    <s v="Regional Ceará"/>
    <s v="Quixadá"/>
    <s v="Tecnico de campo"/>
    <x v="6"/>
    <s v="CABISTA III"/>
    <s v="ATIVIDADE NORMAL"/>
    <s v="QXA"/>
    <s v="21883634857"/>
    <s v="04/09/2019"/>
    <s v="LYNDON JONHSON SILVA LIMA"/>
    <s v="ALENCAR DE SOUZA SANTOS"/>
    <s v="JONILSON FELIPE VIEIRA"/>
    <x v="0"/>
    <x v="9"/>
    <x v="2"/>
    <s v="CABISTA III"/>
    <x v="704"/>
    <x v="704"/>
    <x v="10"/>
    <x v="4"/>
    <x v="1"/>
    <x v="0"/>
    <x v="1"/>
  </r>
  <r>
    <x v="705"/>
    <n v="101006255"/>
    <s v="ATIVIDADE NORMAL"/>
    <s v="03/10/2018"/>
    <x v="1"/>
    <x v="32"/>
    <x v="10"/>
    <x v="2"/>
    <s v="Regional Ceará"/>
    <s v="Capital Sul Ceará"/>
    <s v="MultiSkill"/>
    <x v="4"/>
    <s v="TEC MULTIFUNCIONAL"/>
    <s v="ATIVIDADE NORMAL"/>
    <s v="GCL"/>
    <s v="22041672315"/>
    <s v="04/09/2019"/>
    <s v="FRANCISCO DE ASSIS FILHO"/>
    <s v="JEFFERSON OLIVEIRA DA SILVA"/>
    <s v="JONILSON FELIPE VIEIRA"/>
    <x v="0"/>
    <x v="32"/>
    <x v="2"/>
    <s v="TECNICO MULTIFUNCIONAL"/>
    <x v="705"/>
    <x v="705"/>
    <x v="31"/>
    <x v="2"/>
    <x v="1"/>
    <x v="0"/>
    <x v="0"/>
  </r>
  <r>
    <x v="706"/>
    <n v="101005380"/>
    <s v="ATIVIDADE NORMAL"/>
    <s v="02/01/2019"/>
    <x v="1"/>
    <x v="26"/>
    <x v="13"/>
    <x v="15"/>
    <s v="Regional Ceará"/>
    <s v="Sobral"/>
    <s v="Tecnico de campo"/>
    <x v="8"/>
    <s v="CONTROLADOR DG"/>
    <s v="ATIVIDADE NORMAL"/>
    <s v="SOL"/>
    <s v="23037172304"/>
    <s v="04/09/2019"/>
    <s v="MARCILIO RIBEIRO DOS SANTOS"/>
    <s v="JEFFERSON OLIVEIRA DA SILVA"/>
    <s v="JONILSON FELIPE VIEIRA"/>
    <x v="1"/>
    <x v="26"/>
    <x v="9"/>
    <s v="CONTROLADOR"/>
    <x v="706"/>
    <x v="706"/>
    <x v="20"/>
    <x v="2"/>
    <x v="1"/>
    <x v="0"/>
    <x v="1"/>
  </r>
  <r>
    <x v="707"/>
    <n v="101006811"/>
    <s v="ATIVIDADE NORMAL"/>
    <s v="02/01/2019"/>
    <x v="1"/>
    <x v="43"/>
    <x v="14"/>
    <x v="8"/>
    <s v="Regional Ceará"/>
    <s v="Quixadá"/>
    <s v="MultiSkill"/>
    <x v="4"/>
    <s v="TEC MULTIFUNCIONAL"/>
    <s v="ATIVIDADE NORMAL"/>
    <s v="QXA"/>
    <s v="24777188353"/>
    <s v="04/09/2019"/>
    <s v="CARLOS FERNANDES GUIMARAES"/>
    <s v="ALENCAR DE SOUZA SANTOS"/>
    <s v="JONILSON FELIPE VIEIRA"/>
    <x v="0"/>
    <x v="44"/>
    <x v="2"/>
    <s v="TECNICO MULTIFUNCIONAL"/>
    <x v="707"/>
    <x v="707"/>
    <x v="40"/>
    <x v="4"/>
    <x v="1"/>
    <x v="0"/>
    <x v="0"/>
  </r>
  <r>
    <x v="708"/>
    <n v="109000926"/>
    <s v="ATIVIDADE NORMAL"/>
    <s v="02/01/2019"/>
    <x v="0"/>
    <x v="71"/>
    <x v="10"/>
    <x v="7"/>
    <s v="Regional Pernambuco"/>
    <s v="Recife"/>
    <s v="MultiSkill"/>
    <x v="4"/>
    <s v="TEC MULTIFUNCIONAL"/>
    <s v="ATIVIDADE NORMAL"/>
    <s v="LES"/>
    <s v="25311720840"/>
    <s v="04/09/2019"/>
    <s v="ANTONIO MAGNO DE CASTRO LEAO"/>
    <s v="BRUNO VINICIUS DE ALBERTINS ALVES"/>
    <s v="NIVALDO DE OLIVEIRA SOARES"/>
    <x v="0"/>
    <x v="45"/>
    <x v="2"/>
    <s v="TECNICO MULTIFUNCIONAL"/>
    <x v="708"/>
    <x v="708"/>
    <x v="41"/>
    <x v="9"/>
    <x v="0"/>
    <x v="0"/>
    <x v="0"/>
  </r>
  <r>
    <x v="709"/>
    <n v="101005241"/>
    <s v="ATIVIDADE NORMAL"/>
    <s v="15/05/2019"/>
    <x v="1"/>
    <x v="31"/>
    <x v="6"/>
    <x v="5"/>
    <s v="Regional Ceará"/>
    <s v="Juazeiro"/>
    <s v="Tecnico de campo"/>
    <x v="5"/>
    <s v="INSTALADOR"/>
    <s v="ATIVIDADE NORMAL"/>
    <s v="JNE"/>
    <s v="26263203315"/>
    <s v="04/09/2019"/>
    <s v="CLAUDECIR GOMES MACIEL"/>
    <s v="JEFFERSON OLIVEIRA DA SILVA"/>
    <s v="JONILSON FELIPE VIEIRA"/>
    <x v="1"/>
    <x v="5"/>
    <x v="6"/>
    <s v="INSTALADOR I"/>
    <x v="709"/>
    <x v="709"/>
    <x v="6"/>
    <x v="2"/>
    <x v="1"/>
    <x v="0"/>
    <x v="1"/>
  </r>
  <r>
    <x v="710"/>
    <n v="101005380"/>
    <s v="ATIVIDADE NORMAL"/>
    <s v="28/11/2018"/>
    <x v="1"/>
    <x v="19"/>
    <x v="10"/>
    <x v="15"/>
    <s v="Regional Ceará"/>
    <s v="Sobral"/>
    <s v="MultiSkill"/>
    <x v="4"/>
    <s v="TEC MULTIFUNCIONAL"/>
    <s v="ATIVIDADE NORMAL"/>
    <s v="SOL"/>
    <s v="26286203320"/>
    <s v="04/09/2019"/>
    <s v="MARCILIO RIBEIRO DOS SANTOS"/>
    <s v="JEFFERSON OLIVEIRA DA SILVA"/>
    <s v="JONILSON FELIPE VIEIRA"/>
    <x v="0"/>
    <x v="65"/>
    <x v="2"/>
    <s v="TECNICO MULTIFUNCIONAL"/>
    <x v="710"/>
    <x v="710"/>
    <x v="20"/>
    <x v="2"/>
    <x v="1"/>
    <x v="0"/>
    <x v="0"/>
  </r>
  <r>
    <x v="711"/>
    <n v="101008134"/>
    <s v="ATIVIDADE NORMAL"/>
    <s v="26/11/2018"/>
    <x v="1"/>
    <x v="12"/>
    <x v="14"/>
    <x v="1"/>
    <s v="Regional Ceará"/>
    <s v="Capital Sul Ceará"/>
    <s v="MultiSkill"/>
    <x v="4"/>
    <s v="TEC MULTIFUNCIONAL"/>
    <s v="ATIVIDADE NORMAL"/>
    <s v="GCS"/>
    <s v="26406128320"/>
    <s v="04/09/2019"/>
    <s v="BRUNO SAVIO DA SILVA"/>
    <s v="ANTONIO ROBEVANIO PINHEIRO"/>
    <s v="JONILSON FELIPE VIEIRA"/>
    <x v="0"/>
    <x v="53"/>
    <x v="2"/>
    <s v="TECNICO MULTIFUNCIONAL"/>
    <x v="711"/>
    <x v="711"/>
    <x v="5"/>
    <x v="1"/>
    <x v="1"/>
    <x v="0"/>
    <x v="0"/>
  </r>
  <r>
    <x v="712"/>
    <n v="109500177"/>
    <s v="ATIVIDADE NORMAL"/>
    <s v="15/06/2019"/>
    <x v="0"/>
    <x v="7"/>
    <x v="2"/>
    <x v="7"/>
    <s v="Regional Pernambuco"/>
    <s v="Recife"/>
    <s v="Tecnico de campo"/>
    <x v="1"/>
    <s v="CABISTA I"/>
    <s v="ATIVIDADE NORMAL"/>
    <s v="LES"/>
    <s v="10578839482"/>
    <s v="04/09/2019"/>
    <s v="JOSUEL FERREIRA DE BRITO"/>
    <s v="BRUNO VINICIUS DE ALBERTINS ALVES"/>
    <s v="NIVALDO DE OLIVEIRA SOARES"/>
    <x v="0"/>
    <x v="40"/>
    <x v="7"/>
    <s v="CABISTA I"/>
    <x v="712"/>
    <x v="712"/>
    <x v="36"/>
    <x v="9"/>
    <x v="0"/>
    <x v="0"/>
    <x v="1"/>
  </r>
  <r>
    <x v="713"/>
    <n v="109000017"/>
    <s v="ATIVIDADE NORMAL"/>
    <s v="24/05/2019"/>
    <x v="0"/>
    <x v="13"/>
    <x v="10"/>
    <x v="10"/>
    <s v="Regional Pernambuco"/>
    <s v="Recife"/>
    <s v="MultiSkill"/>
    <x v="4"/>
    <s v="TEC MULTIFUNCIONAL"/>
    <s v="ATIVIDADE NORMAL"/>
    <s v="PES"/>
    <s v="10591578450"/>
    <s v="04/09/2019"/>
    <s v="AMAURY ASSIS DE LIMA"/>
    <s v="DECIO FABIANO LOPES FERREIRA"/>
    <s v="NIVALDO DE OLIVEIRA SOARES"/>
    <x v="0"/>
    <x v="14"/>
    <x v="2"/>
    <s v="TECNICO MULTIFUNCIONAL"/>
    <x v="713"/>
    <x v="713"/>
    <x v="15"/>
    <x v="0"/>
    <x v="0"/>
    <x v="0"/>
    <x v="0"/>
  </r>
  <r>
    <x v="714"/>
    <n v="109000427"/>
    <s v="ATIVIDADE NORMAL"/>
    <s v="12/06/2019"/>
    <x v="0"/>
    <x v="0"/>
    <x v="2"/>
    <x v="0"/>
    <s v="Regional Pernambuco"/>
    <s v="Interior"/>
    <s v="Tecnico de campo"/>
    <x v="1"/>
    <s v="CABISTA I"/>
    <s v="ATIVIDADE NORMAL"/>
    <s v="CRU"/>
    <s v="10621697435"/>
    <s v="04/09/2019"/>
    <s v="HAMILTON DAVINO DA SILVA"/>
    <s v="MARCOS DE OLIVEIRA STEHLING"/>
    <s v="NIVALDO DE OLIVEIRA SOARES"/>
    <x v="0"/>
    <x v="6"/>
    <x v="3"/>
    <s v="CABISTA I"/>
    <x v="714"/>
    <x v="714"/>
    <x v="7"/>
    <x v="3"/>
    <x v="0"/>
    <x v="0"/>
    <x v="1"/>
  </r>
  <r>
    <x v="715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10672717409"/>
    <s v="04/09/2019"/>
    <s v="RAMSES DE ANDRADE MACHADO RODRIGUES LAVRA"/>
    <s v="BRUNO VINICIUS DE ALBERTINS ALVES"/>
    <s v="NIVALDO DE OLIVEIRA SOARES"/>
    <x v="0"/>
    <x v="57"/>
    <x v="1"/>
    <s v="TECNICO MULTIFUNCIONAL"/>
    <x v="715"/>
    <x v="715"/>
    <x v="48"/>
    <x v="9"/>
    <x v="0"/>
    <x v="0"/>
    <x v="0"/>
  </r>
  <r>
    <x v="716"/>
    <n v="109000427"/>
    <s v="ATIVIDADE NORMAL"/>
    <s v="26/08/2019"/>
    <x v="0"/>
    <x v="0"/>
    <x v="2"/>
    <x v="0"/>
    <s v="Regional Pernambuco"/>
    <s v="Interior"/>
    <s v="Tecnico de campo"/>
    <x v="1"/>
    <s v="OFICIAL DE REDE"/>
    <s v="ATIVIDADE NORMAL"/>
    <s v="CRU"/>
    <s v="10690281420"/>
    <s v="04/09/2019"/>
    <s v="HAMILTON DAVINO DA SILVA"/>
    <s v="MARCOS DE OLIVEIRA STEHLING"/>
    <s v="NIVALDO DE OLIVEIRA SOARES"/>
    <x v="1"/>
    <x v="6"/>
    <x v="3"/>
    <s v="OFICIAL DE REDE"/>
    <x v="716"/>
    <x v="716"/>
    <x v="7"/>
    <x v="3"/>
    <x v="0"/>
    <x v="0"/>
    <x v="1"/>
  </r>
  <r>
    <x v="717"/>
    <n v="109000017"/>
    <s v="ATIVIDADE NORMAL"/>
    <s v="28/03/2019"/>
    <x v="0"/>
    <x v="68"/>
    <x v="12"/>
    <x v="10"/>
    <s v="Regional Pernambuco"/>
    <s v="Recife"/>
    <s v="Equipe SWAT"/>
    <x v="6"/>
    <s v="CABISTA I"/>
    <s v="ATIVIDADE NORMAL"/>
    <s v="PES"/>
    <s v="10748740481"/>
    <s v="04/09/2019"/>
    <s v="AMAURY ASSIS DE LIMA"/>
    <s v="DECIO FABIANO LOPES FERREIRA"/>
    <s v="NIVALDO DE OLIVEIRA SOARES"/>
    <x v="0"/>
    <x v="14"/>
    <x v="10"/>
    <s v="CABISTA I"/>
    <x v="717"/>
    <x v="717"/>
    <x v="15"/>
    <x v="0"/>
    <x v="0"/>
    <x v="0"/>
    <x v="1"/>
  </r>
  <r>
    <x v="718"/>
    <n v="102100917"/>
    <s v="ATIVIDADE NORMAL"/>
    <s v="03/04/2019"/>
    <x v="3"/>
    <x v="27"/>
    <x v="10"/>
    <x v="20"/>
    <s v="Regional Pernambuco"/>
    <s v="Natal"/>
    <s v="MultiSkill"/>
    <x v="4"/>
    <s v="TEC MULTIFUNCIONAL"/>
    <s v="ATIVIDADE NORMAL"/>
    <s v="MRO"/>
    <s v="10760053499"/>
    <s v="04/09/2019"/>
    <s v="FERNANDO FREITAS ALMEIDA DOS SANTOS"/>
    <s v="REINILSON IGLESIAS JUNIOR"/>
    <s v="WENDELL FRANKLIN VIEIRA MAIA"/>
    <x v="0"/>
    <x v="28"/>
    <x v="2"/>
    <s v="TECNICO MULTIFUNCIONAL"/>
    <x v="718"/>
    <x v="718"/>
    <x v="27"/>
    <x v="7"/>
    <x v="3"/>
    <x v="0"/>
    <x v="0"/>
  </r>
  <r>
    <x v="719"/>
    <n v="105303134"/>
    <s v="ATIVIDADE NORMAL"/>
    <s v="27/02/2019"/>
    <x v="2"/>
    <x v="42"/>
    <x v="2"/>
    <x v="12"/>
    <s v="Regional Pernambuco"/>
    <s v="João Pessoa"/>
    <s v="Equipe SWAT"/>
    <x v="1"/>
    <s v="CABISTA I"/>
    <s v="ATIVIDADE NORMAL"/>
    <s v="JPA"/>
    <s v="26577769818"/>
    <s v="04/09/2019"/>
    <s v="GLAUBER JOSE GOMES LEITAO"/>
    <s v="WENDELL FRANKLIN VIEIRA MAIA"/>
    <s v="WENDELL FRANKLIN VIEIRA MAIA"/>
    <x v="0"/>
    <x v="43"/>
    <x v="7"/>
    <s v="CABISTA I"/>
    <x v="719"/>
    <x v="719"/>
    <x v="39"/>
    <x v="6"/>
    <x v="3"/>
    <x v="0"/>
    <x v="1"/>
  </r>
  <r>
    <x v="720"/>
    <n v="101005989"/>
    <s v="ATIVIDADE NORMAL"/>
    <s v="06/02/2019"/>
    <x v="1"/>
    <x v="17"/>
    <x v="17"/>
    <x v="3"/>
    <s v="Regional Ceará"/>
    <s v="Capital Oeste Ceará"/>
    <s v="MultiSkill"/>
    <x v="4"/>
    <s v="TEC MULTIFUNCIONAL"/>
    <s v="ATIVIDADE NORMAL"/>
    <s v="CNO"/>
    <s v="27018244862"/>
    <s v="04/09/2019"/>
    <s v="JOSENIL GOMES RODRIGUES"/>
    <s v="ALENCAR DE SOUZA SANTOS"/>
    <s v="JONILSON FELIPE VIEIRA"/>
    <x v="0"/>
    <x v="17"/>
    <x v="2"/>
    <s v="TECNICO MULTIFUNCIONAL"/>
    <x v="720"/>
    <x v="720"/>
    <x v="18"/>
    <x v="4"/>
    <x v="1"/>
    <x v="0"/>
    <x v="0"/>
  </r>
  <r>
    <x v="721"/>
    <n v="101007963"/>
    <s v="ATIVIDADE NORMAL"/>
    <s v="31/07/2019"/>
    <x v="1"/>
    <x v="41"/>
    <x v="10"/>
    <x v="4"/>
    <s v="Regional Ceará"/>
    <s v="Capital Oeste Ceará"/>
    <s v="MultiSkill"/>
    <x v="4"/>
    <s v="TEC MULTIFUNCIONAL"/>
    <s v="ATIVIDADE NORMAL"/>
    <s v="COO"/>
    <s v="28332539315"/>
    <s v="04/09/2019"/>
    <s v="JOSEVAN DE SOUSA SILVA"/>
    <s v="ALENCAR DE SOUZA SANTOS"/>
    <s v="JONILSON FELIPE VIEIRA"/>
    <x v="0"/>
    <x v="39"/>
    <x v="2"/>
    <s v="TECNICO MULTIFUNCIONAL"/>
    <x v="721"/>
    <x v="721"/>
    <x v="35"/>
    <x v="4"/>
    <x v="1"/>
    <x v="0"/>
    <x v="0"/>
  </r>
  <r>
    <x v="722"/>
    <n v="105303207"/>
    <s v="ATIVIDADE NORMAL"/>
    <s v="24/01/2019"/>
    <x v="2"/>
    <x v="63"/>
    <x v="5"/>
    <x v="12"/>
    <s v="Regional Pernambuco"/>
    <s v="João Pessoa"/>
    <s v="MultiSkill"/>
    <x v="4"/>
    <s v="TEC MULTIFUNCIONAL"/>
    <s v="ATIVIDADE NORMAL"/>
    <s v="JPA"/>
    <s v="28784592885"/>
    <s v="04/09/2019"/>
    <s v="RAFAEL FERNANDES MATIAS"/>
    <s v="WENDELL FRANKLIN VIEIRA MAIA"/>
    <s v="WENDELL FRANKLIN VIEIRA MAIA"/>
    <x v="0"/>
    <x v="49"/>
    <x v="2"/>
    <s v="TECNICO MULTIFUNCIONAL"/>
    <x v="722"/>
    <x v="722"/>
    <x v="44"/>
    <x v="6"/>
    <x v="3"/>
    <x v="0"/>
    <x v="0"/>
  </r>
  <r>
    <x v="723"/>
    <n v="101001782"/>
    <s v="ATIVIDADE NORMAL"/>
    <s v="06/02/2019"/>
    <x v="1"/>
    <x v="40"/>
    <x v="4"/>
    <x v="8"/>
    <s v="Regional Ceará"/>
    <s v="Quixadá"/>
    <s v="MultiSkill"/>
    <x v="3"/>
    <s v="TEC MULTIFUNCIONAL"/>
    <s v="ATIVIDADE NORMAL"/>
    <s v="QXA"/>
    <s v="30298911353"/>
    <s v="04/09/2019"/>
    <s v="LYNDON JONHSON SILVA LIMA"/>
    <s v="ALENCAR DE SOUZA SANTOS"/>
    <s v="JONILSON FELIPE VIEIRA"/>
    <x v="0"/>
    <x v="9"/>
    <x v="2"/>
    <s v="TECNICO MULTIFUNCIONAL"/>
    <x v="723"/>
    <x v="723"/>
    <x v="10"/>
    <x v="4"/>
    <x v="1"/>
    <x v="0"/>
    <x v="0"/>
  </r>
  <r>
    <x v="724"/>
    <n v="109000427"/>
    <s v="ATIVIDADE NORMAL"/>
    <s v="16/01/2019"/>
    <x v="0"/>
    <x v="21"/>
    <x v="12"/>
    <x v="17"/>
    <s v="Regional Pernambuco"/>
    <s v="Interior"/>
    <s v="Tecnico de campo"/>
    <x v="6"/>
    <s v="CABISTA I"/>
    <s v="ATIVIDADE NORMAL"/>
    <s v="GUS"/>
    <s v="30339162449"/>
    <s v="04/09/2019"/>
    <s v="HAMILTON DAVINO DA SILVA"/>
    <s v="MARCOS DE OLIVEIRA STEHLING"/>
    <s v="NIVALDO DE OLIVEIRA SOARES"/>
    <x v="0"/>
    <x v="6"/>
    <x v="3"/>
    <s v="CABISTA I"/>
    <x v="724"/>
    <x v="724"/>
    <x v="7"/>
    <x v="3"/>
    <x v="0"/>
    <x v="0"/>
    <x v="1"/>
  </r>
  <r>
    <x v="725"/>
    <n v="109000943"/>
    <s v="ATIVIDADE NORMAL"/>
    <s v="18/10/2018"/>
    <x v="0"/>
    <x v="60"/>
    <x v="10"/>
    <x v="14"/>
    <s v="Regional Pernambuco"/>
    <s v="Recife"/>
    <s v="MultiSkill"/>
    <x v="4"/>
    <s v="TEC MULTIFUNCIONAL"/>
    <s v="ATIVIDADE NORMAL"/>
    <s v="NOR"/>
    <s v="10779056450"/>
    <s v="04/09/2019"/>
    <s v="MAURO BRAGA RANGEL"/>
    <s v="BRUNO VINICIUS DE ALBERTINS ALVES"/>
    <s v="NIVALDO DE OLIVEIRA SOARES"/>
    <x v="0"/>
    <x v="38"/>
    <x v="1"/>
    <s v="TECNICO MULTIFUNCIONAL"/>
    <x v="725"/>
    <x v="725"/>
    <x v="56"/>
    <x v="9"/>
    <x v="0"/>
    <x v="0"/>
    <x v="0"/>
  </r>
  <r>
    <x v="726"/>
    <n v="109000943"/>
    <s v="ATIVIDADE NORMAL"/>
    <s v="30/09/2019"/>
    <x v="0"/>
    <x v="60"/>
    <x v="12"/>
    <x v="14"/>
    <s v="Regional Pernambuco"/>
    <s v="Recife"/>
    <s v="Equipe SWAT"/>
    <x v="6"/>
    <s v="CABISTA I"/>
    <s v="ATIVIDADE NORMAL"/>
    <s v="NOR"/>
    <s v="10817284427"/>
    <s v="04/09/2019"/>
    <s v="MAURO BRAGA RANGEL"/>
    <s v="BRUNO VINICIUS DE ALBERTINS ALVES"/>
    <s v="NIVALDO DE OLIVEIRA SOARES"/>
    <x v="0"/>
    <x v="40"/>
    <x v="7"/>
    <s v="CABISTA I"/>
    <x v="726"/>
    <x v="726"/>
    <x v="56"/>
    <x v="9"/>
    <x v="0"/>
    <x v="0"/>
    <x v="1"/>
  </r>
  <r>
    <x v="727"/>
    <n v="109000943"/>
    <s v="FERIAS NORMAIS"/>
    <s v="02/09/2019"/>
    <x v="0"/>
    <x v="60"/>
    <x v="10"/>
    <x v="14"/>
    <s v="Regional Pernambuco"/>
    <s v="Recife"/>
    <s v="MultiSkill"/>
    <x v="4"/>
    <s v="TEC MULTIFUNCIONAL"/>
    <s v="FERIAS NORMAIS"/>
    <s v="NOR"/>
    <s v="10943936497"/>
    <s v="04/09/2019"/>
    <s v="MAURO BRAGA RANGEL"/>
    <s v="BRUNO VINICIUS DE ALBERTINS ALVES"/>
    <s v="NIVALDO DE OLIVEIRA SOARES"/>
    <x v="1"/>
    <x v="40"/>
    <x v="2"/>
    <s v="TECNICO MULTIFUNCIONAL"/>
    <x v="727"/>
    <x v="727"/>
    <x v="56"/>
    <x v="9"/>
    <x v="0"/>
    <x v="1"/>
    <x v="0"/>
  </r>
  <r>
    <x v="728"/>
    <n v="109506174"/>
    <s v="ATIVIDADE NORMAL"/>
    <s v="01/04/2019"/>
    <x v="0"/>
    <x v="53"/>
    <x v="12"/>
    <x v="23"/>
    <s v="Regional Pernambuco"/>
    <s v="Interior"/>
    <s v="Equipe SWAT"/>
    <x v="6"/>
    <s v="CABISTA I"/>
    <s v="ATIVIDADE NORMAL"/>
    <s v="CBO"/>
    <s v="11003905455"/>
    <s v="04/09/2019"/>
    <s v="ALYSSON HENRIQUE FERREIRA DE LUCENA"/>
    <s v="DECIO FABIANO LOPES FERREIRA"/>
    <s v="NIVALDO DE OLIVEIRA SOARES"/>
    <x v="0"/>
    <x v="21"/>
    <x v="7"/>
    <s v="CABISTA I"/>
    <x v="728"/>
    <x v="728"/>
    <x v="55"/>
    <x v="0"/>
    <x v="0"/>
    <x v="0"/>
    <x v="1"/>
  </r>
  <r>
    <x v="729"/>
    <n v="109000017"/>
    <s v="ATIVIDADE NORMAL"/>
    <s v="06/02/2019"/>
    <x v="0"/>
    <x v="56"/>
    <x v="12"/>
    <x v="10"/>
    <s v="Regional Pernambuco"/>
    <s v="Recife"/>
    <s v="Equipe SWAT"/>
    <x v="6"/>
    <s v="CABISTA I"/>
    <s v="ATIVIDADE NORMAL"/>
    <s v="PES"/>
    <s v="11150620420"/>
    <s v="04/09/2019"/>
    <s v="AMAURY ASSIS DE LIMA"/>
    <s v="DECIO FABIANO LOPES FERREIRA"/>
    <s v="NIVALDO DE OLIVEIRA SOARES"/>
    <x v="0"/>
    <x v="70"/>
    <x v="10"/>
    <s v="CABISTA I"/>
    <x v="729"/>
    <x v="729"/>
    <x v="15"/>
    <x v="0"/>
    <x v="0"/>
    <x v="0"/>
    <x v="1"/>
  </r>
  <r>
    <x v="730"/>
    <n v="109000340"/>
    <s v="ATIVIDADE NORMAL"/>
    <s v="08/05/2018"/>
    <x v="0"/>
    <x v="0"/>
    <x v="2"/>
    <x v="0"/>
    <s v="Regional Pernambuco"/>
    <s v="Interior"/>
    <s v="Equipe SWAT"/>
    <x v="1"/>
    <s v="CABISTA I"/>
    <s v="ATIVIDADE NORMAL"/>
    <s v="CRU"/>
    <s v="11257258427"/>
    <s v="04/09/2019"/>
    <s v="AILTON JOSE DOS SANTOS"/>
    <s v="DECIO FABIANO LOPES FERREIRA"/>
    <s v="NIVALDO DE OLIVEIRA SOARES"/>
    <x v="0"/>
    <x v="21"/>
    <x v="10"/>
    <s v="CABISTA I"/>
    <x v="730"/>
    <x v="730"/>
    <x v="22"/>
    <x v="0"/>
    <x v="0"/>
    <x v="0"/>
    <x v="1"/>
  </r>
  <r>
    <x v="731"/>
    <n v="109505858"/>
    <s v="ATIVIDADE NORMAL"/>
    <s v="06/03/2019"/>
    <x v="0"/>
    <x v="46"/>
    <x v="6"/>
    <x v="11"/>
    <s v="Regional Pernambuco"/>
    <s v="Interior"/>
    <s v="Tecnico de campo"/>
    <x v="5"/>
    <s v="TEC MULTIFUNCIONAL"/>
    <s v="ATIVIDADE NORMAL"/>
    <s v="ACV"/>
    <s v="11448322413"/>
    <s v="04/09/2019"/>
    <s v="THIAGO DE LIMA PIRES RODRIGUES"/>
    <s v="DECIO FABIANO LOPES FERREIRA"/>
    <s v="NIVALDO DE OLIVEIRA SOARES"/>
    <x v="0"/>
    <x v="11"/>
    <x v="6"/>
    <s v="TECNICO MULTIFUNCIONAL"/>
    <x v="731"/>
    <x v="731"/>
    <x v="12"/>
    <x v="0"/>
    <x v="0"/>
    <x v="0"/>
    <x v="1"/>
  </r>
  <r>
    <x v="732"/>
    <n v="101005241"/>
    <s v="ATIVIDADE NORMAL"/>
    <s v="14/11/2018"/>
    <x v="1"/>
    <x v="5"/>
    <x v="0"/>
    <x v="5"/>
    <s v="Regional Ceará"/>
    <s v="Juazeiro"/>
    <s v="MultiSkill"/>
    <x v="0"/>
    <s v="TEC MULTIFUNCIONAL"/>
    <s v="ATIVIDADE NORMAL"/>
    <s v="JNE"/>
    <s v="30792843304"/>
    <s v="04/09/2019"/>
    <s v="CLAUDECIR GOMES MACIEL"/>
    <s v="JEFFERSON OLIVEIRA DA SILVA"/>
    <s v="JONILSON FELIPE VIEIRA"/>
    <x v="0"/>
    <x v="5"/>
    <x v="2"/>
    <s v="TECNICO MULTIFUNCIONAL"/>
    <x v="732"/>
    <x v="732"/>
    <x v="6"/>
    <x v="2"/>
    <x v="1"/>
    <x v="0"/>
    <x v="0"/>
  </r>
  <r>
    <x v="733"/>
    <n v="109000340"/>
    <s v="ATIVIDADE NORMAL"/>
    <s v="02/01/2019"/>
    <x v="0"/>
    <x v="38"/>
    <x v="14"/>
    <x v="22"/>
    <s v="Regional Pernambuco"/>
    <s v="Interior"/>
    <s v="MultiSkill"/>
    <x v="4"/>
    <s v="TEC MULTIFUNCIONAL"/>
    <s v="ATIVIDADE NORMAL"/>
    <s v="CAA"/>
    <s v="30817145400"/>
    <s v="04/09/2019"/>
    <s v="AILTON JOSE DOS SANTOS"/>
    <s v="DECIO FABIANO LOPES FERREIRA"/>
    <s v="NIVALDO DE OLIVEIRA SOARES"/>
    <x v="0"/>
    <x v="41"/>
    <x v="2"/>
    <s v="TECNICO MULTIFUNCIONAL"/>
    <x v="733"/>
    <x v="733"/>
    <x v="22"/>
    <x v="0"/>
    <x v="0"/>
    <x v="0"/>
    <x v="0"/>
  </r>
  <r>
    <x v="734"/>
    <n v="101008134"/>
    <s v="ATIVIDADE NORMAL"/>
    <s v="03/04/2019"/>
    <x v="1"/>
    <x v="47"/>
    <x v="12"/>
    <x v="1"/>
    <s v="Regional Ceará"/>
    <s v="Capital Sul Ceará"/>
    <s v="Tecnico de campo"/>
    <x v="6"/>
    <s v="CABISTA II"/>
    <s v="ATIVIDADE NORMAL"/>
    <s v="GCS"/>
    <s v="31025668391"/>
    <s v="04/09/2019"/>
    <s v="BRUNO SAVIO DA SILVA"/>
    <s v="ANTONIO ROBEVANIO PINHEIRO"/>
    <s v="JONILSON FELIPE VIEIRA"/>
    <x v="0"/>
    <x v="53"/>
    <x v="7"/>
    <s v="CABISTA II"/>
    <x v="734"/>
    <x v="734"/>
    <x v="5"/>
    <x v="1"/>
    <x v="1"/>
    <x v="0"/>
    <x v="1"/>
  </r>
  <r>
    <x v="735"/>
    <n v="101001488"/>
    <s v="ATIVIDADE NORMAL"/>
    <s v="17/07/2019"/>
    <x v="1"/>
    <x v="2"/>
    <x v="18"/>
    <x v="2"/>
    <s v="Regional Ceará"/>
    <s v="Capital Sul Ceará"/>
    <s v="MultiSkill"/>
    <x v="0"/>
    <s v="TEC MULTIFUNCIONAL"/>
    <s v="ATIVIDADE NORMAL"/>
    <s v="GCL"/>
    <s v="31483011372"/>
    <s v="04/09/2019"/>
    <s v="MICHEL SOARES DE OLIVEIRA"/>
    <s v="ANTONIO ROBEVANIO PINHEIRO"/>
    <s v="JONILSON FELIPE VIEIRA"/>
    <x v="0"/>
    <x v="33"/>
    <x v="1"/>
    <s v="TECNICO MULTIFUNCIONAL"/>
    <x v="735"/>
    <x v="735"/>
    <x v="2"/>
    <x v="1"/>
    <x v="1"/>
    <x v="0"/>
    <x v="0"/>
  </r>
  <r>
    <x v="736"/>
    <n v="109506032"/>
    <s v="ATIVIDADE NORMAL"/>
    <s v="10/07/2019"/>
    <x v="0"/>
    <x v="49"/>
    <x v="10"/>
    <x v="13"/>
    <s v="Regional Pernambuco"/>
    <s v="Recife"/>
    <s v="MultiSkill"/>
    <x v="4"/>
    <s v="TEC MULTIFUNCIONAL"/>
    <s v="ATIVIDADE NORMAL"/>
    <s v="OES"/>
    <s v="31993609806"/>
    <s v="04/09/2019"/>
    <s v="CARLOS REIS GONZAGA"/>
    <s v="DECIO FABIANO LOPES FERREIRA"/>
    <s v="NIVALDO DE OLIVEIRA SOARES"/>
    <x v="0"/>
    <x v="16"/>
    <x v="2"/>
    <s v="TECNICO MULTIFUNCIONAL"/>
    <x v="736"/>
    <x v="736"/>
    <x v="17"/>
    <x v="0"/>
    <x v="0"/>
    <x v="0"/>
    <x v="0"/>
  </r>
  <r>
    <x v="737"/>
    <n v="109000017"/>
    <s v="ATIVIDADE NORMAL"/>
    <s v="05/06/2019"/>
    <x v="0"/>
    <x v="13"/>
    <x v="10"/>
    <x v="10"/>
    <s v="Regional Pernambuco"/>
    <s v="Recife"/>
    <s v="MultiSkill"/>
    <x v="4"/>
    <s v="TEC MULTIFUNCIONAL"/>
    <s v="ATIVIDADE NORMAL"/>
    <s v="PES"/>
    <s v="32150431491"/>
    <s v="04/09/2019"/>
    <s v="AMAURY ASSIS DE LIMA"/>
    <s v="DECIO FABIANO LOPES FERREIRA"/>
    <s v="NIVALDO DE OLIVEIRA SOARES"/>
    <x v="0"/>
    <x v="14"/>
    <x v="2"/>
    <s v="TECNICO MULTIFUNCIONAL"/>
    <x v="737"/>
    <x v="737"/>
    <x v="15"/>
    <x v="0"/>
    <x v="0"/>
    <x v="0"/>
    <x v="0"/>
  </r>
  <r>
    <x v="738"/>
    <n v="109504369"/>
    <s v="ATIVIDADE NORMAL"/>
    <s v="06/02/2019"/>
    <x v="0"/>
    <x v="53"/>
    <x v="2"/>
    <x v="23"/>
    <s v="Regional Pernambuco"/>
    <s v="Interior"/>
    <s v="Tecnico de campo"/>
    <x v="1"/>
    <s v="CABISTA I"/>
    <s v="ATIVIDADE NORMAL"/>
    <s v="CBO"/>
    <s v="33254176472"/>
    <s v="04/09/2019"/>
    <s v="JOSE HAILTON ATAIDE"/>
    <s v="MARCOS DE OLIVEIRA STEHLING"/>
    <s v="NIVALDO DE OLIVEIRA SOARES"/>
    <x v="0"/>
    <x v="55"/>
    <x v="3"/>
    <s v="CABISTA I"/>
    <x v="738"/>
    <x v="738"/>
    <x v="46"/>
    <x v="3"/>
    <x v="0"/>
    <x v="0"/>
    <x v="1"/>
  </r>
  <r>
    <x v="739"/>
    <n v="109000340"/>
    <s v="ATIVIDADE NORMAL"/>
    <s v="20/02/2019"/>
    <x v="0"/>
    <x v="0"/>
    <x v="6"/>
    <x v="0"/>
    <s v="Regional Pernambuco"/>
    <s v="Interior"/>
    <s v="Tecnico de campo"/>
    <x v="5"/>
    <s v="INSTALADOR"/>
    <s v="ATIVIDADE NORMAL"/>
    <s v="CRU"/>
    <s v="35586877449"/>
    <s v="04/09/2019"/>
    <s v="AILTON JOSE DOS SANTOS"/>
    <s v="DECIO FABIANO LOPES FERREIRA"/>
    <s v="NIVALDO DE OLIVEIRA SOARES"/>
    <x v="0"/>
    <x v="21"/>
    <x v="2"/>
    <s v="INSTALADOR I"/>
    <x v="739"/>
    <x v="739"/>
    <x v="22"/>
    <x v="0"/>
    <x v="0"/>
    <x v="0"/>
    <x v="1"/>
  </r>
  <r>
    <x v="740"/>
    <n v="102101634"/>
    <s v="AFAST ACID TRAB MAIS 15 DIAS"/>
    <s v="04/06/2019"/>
    <x v="3"/>
    <x v="28"/>
    <x v="3"/>
    <x v="21"/>
    <s v="Regional Pernambuco"/>
    <s v="Natal"/>
    <s v="Tecnico de campo"/>
    <x v="2"/>
    <s v="TEC MULTIFUNCIONAL"/>
    <s v="AFAST ACID TRAB MAIS 15 DIAS"/>
    <s v="NTS"/>
    <s v="35819464400"/>
    <s v="04/09/2019"/>
    <s v="FABIO BATISTA DA SILVA"/>
    <s v="REINILSON IGLESIAS JUNIOR"/>
    <s v="WENDELL FRANKLIN VIEIRA MAIA"/>
    <x v="1"/>
    <x v="51"/>
    <x v="2"/>
    <s v="TECNICO MULTIFUNCIONAL"/>
    <x v="740"/>
    <x v="740"/>
    <x v="29"/>
    <x v="7"/>
    <x v="3"/>
    <x v="2"/>
    <x v="0"/>
  </r>
  <r>
    <x v="741"/>
    <n v="101008134"/>
    <s v="FERIAS NORMAIS"/>
    <s v="19/08/2019"/>
    <x v="1"/>
    <x v="47"/>
    <x v="10"/>
    <x v="1"/>
    <s v="Regional Ceará"/>
    <s v="Capital Sul Ceará"/>
    <s v="MultiSkill"/>
    <x v="4"/>
    <s v="TEC MULTIFUNCIONAL"/>
    <s v="FERIAS NORMAIS"/>
    <s v="GCS"/>
    <s v="36989312300"/>
    <s v="04/09/2019"/>
    <s v="BRUNO SAVIO DA SILVA"/>
    <s v="ANTONIO ROBEVANIO PINHEIRO"/>
    <s v="JONILSON FELIPE VIEIRA"/>
    <x v="1"/>
    <x v="53"/>
    <x v="2"/>
    <s v="TECNICO MULTIFUNCIONAL"/>
    <x v="741"/>
    <x v="741"/>
    <x v="5"/>
    <x v="1"/>
    <x v="1"/>
    <x v="1"/>
    <x v="0"/>
  </r>
  <r>
    <x v="742"/>
    <n v="109505149"/>
    <s v="ATIVIDADE NORMAL"/>
    <s v="07/05/2019"/>
    <x v="0"/>
    <x v="52"/>
    <x v="0"/>
    <x v="7"/>
    <s v="Regional Pernambuco"/>
    <s v="Recife"/>
    <s v="Tecnico de campo"/>
    <x v="0"/>
    <s v="TEC MULTIFUNCIONAL"/>
    <s v="ATIVIDADE NORMAL"/>
    <s v="LES"/>
    <s v="37231871453"/>
    <s v="04/09/2019"/>
    <s v="BRUNO VINICIUS DE ALBERTINS ALVES"/>
    <s v="BRUNO VINICIUS DE ALBERTINS ALVES"/>
    <s v="NIVALDO DE OLIVEIRA SOARES"/>
    <x v="0"/>
    <x v="57"/>
    <x v="2"/>
    <s v="TECNICO MULTIFUNCIONAL"/>
    <x v="742"/>
    <x v="742"/>
    <x v="53"/>
    <x v="9"/>
    <x v="0"/>
    <x v="0"/>
    <x v="0"/>
  </r>
  <r>
    <x v="194"/>
    <n v="101006255"/>
    <s v="ATIVIDADE NORMAL"/>
    <s v="23/06/2019"/>
    <x v="1"/>
    <x v="32"/>
    <x v="10"/>
    <x v="2"/>
    <s v="Regional Ceará"/>
    <s v="Capital Sul Ceará"/>
    <s v="MultiSkill"/>
    <x v="4"/>
    <s v="TEC MULTIFUNCIONAL"/>
    <s v="ATIVIDADE NORMAL"/>
    <s v="GCL"/>
    <s v="38579316391"/>
    <s v="04/09/2019"/>
    <s v="FRANCISCO DE ASSIS FILHO"/>
    <s v="JEFFERSON OLIVEIRA DA SILVA"/>
    <s v="JONILSON FELIPE VIEIRA"/>
    <x v="0"/>
    <x v="32"/>
    <x v="2"/>
    <s v="TECNICO MULTIFUNCIONAL"/>
    <x v="743"/>
    <x v="743"/>
    <x v="31"/>
    <x v="2"/>
    <x v="1"/>
    <x v="0"/>
    <x v="0"/>
  </r>
  <r>
    <x v="743"/>
    <n v="109000926"/>
    <s v="ATIVIDADE NORMAL"/>
    <s v="13/03/2019"/>
    <x v="0"/>
    <x v="7"/>
    <x v="12"/>
    <x v="7"/>
    <s v="Regional Pernambuco"/>
    <s v="Recife"/>
    <s v="Tecnico de campo"/>
    <x v="6"/>
    <s v="CABISTA I"/>
    <s v="ATIVIDADE NORMAL"/>
    <s v="LES"/>
    <s v="38838354472"/>
    <s v="04/09/2019"/>
    <s v="ANTONIO MAGNO DE CASTRO LEAO"/>
    <s v="BRUNO VINICIUS DE ALBERTINS ALVES"/>
    <s v="NIVALDO DE OLIVEIRA SOARES"/>
    <x v="0"/>
    <x v="45"/>
    <x v="10"/>
    <s v="CABISTA I"/>
    <x v="744"/>
    <x v="744"/>
    <x v="41"/>
    <x v="9"/>
    <x v="0"/>
    <x v="0"/>
    <x v="1"/>
  </r>
  <r>
    <x v="744"/>
    <n v="101010210"/>
    <s v="ATIVIDADE NORMAL"/>
    <s v="25/06/2019"/>
    <x v="1"/>
    <x v="3"/>
    <x v="0"/>
    <x v="3"/>
    <s v="Regional Ceará"/>
    <s v="Capital Oeste Ceará"/>
    <s v="MultiSkill"/>
    <x v="0"/>
    <s v="TEC MULTIFUNCIONAL"/>
    <s v="ATIVIDADE NORMAL"/>
    <s v="CNO"/>
    <s v="39227644873"/>
    <s v="04/09/2019"/>
    <s v="ANTONIO FABIO DOS SANTOS LIMA"/>
    <s v="ANTONIO ROBEVANIO PINHEIRO"/>
    <s v="JONILSON FELIPE VIEIRA"/>
    <x v="0"/>
    <x v="61"/>
    <x v="1"/>
    <s v="TECNICO MULTIFUNCIONAL"/>
    <x v="745"/>
    <x v="745"/>
    <x v="1"/>
    <x v="1"/>
    <x v="1"/>
    <x v="0"/>
    <x v="0"/>
  </r>
  <r>
    <x v="745"/>
    <n v="102100917"/>
    <s v="ATIVIDADE NORMAL"/>
    <s v="03/04/2019"/>
    <x v="3"/>
    <x v="27"/>
    <x v="20"/>
    <x v="20"/>
    <s v="Regional Pernambuco"/>
    <s v="Natal"/>
    <s v="MultiSkill"/>
    <x v="7"/>
    <s v="TEC MULTIFUNCIONAL"/>
    <s v="ATIVIDADE NORMAL"/>
    <s v="MRO"/>
    <s v="39302598420"/>
    <s v="04/09/2019"/>
    <s v="FERNANDO FREITAS ALMEIDA DOS SANTOS"/>
    <s v="REINILSON IGLESIAS JUNIOR"/>
    <s v="WENDELL FRANKLIN VIEIRA MAIA"/>
    <x v="0"/>
    <x v="28"/>
    <x v="2"/>
    <s v="TECNICO MULTIFUNCIONAL"/>
    <x v="746"/>
    <x v="746"/>
    <x v="27"/>
    <x v="7"/>
    <x v="3"/>
    <x v="0"/>
    <x v="0"/>
  </r>
  <r>
    <x v="746"/>
    <n v="109500315"/>
    <s v="ATIVIDADE NORMAL"/>
    <s v="31/07/2019"/>
    <x v="0"/>
    <x v="56"/>
    <x v="6"/>
    <x v="10"/>
    <s v="Regional Pernambuco"/>
    <s v="Recife"/>
    <s v="Tecnico de campo"/>
    <x v="5"/>
    <s v="INSTALADOR TUP"/>
    <s v="ATIVIDADE NORMAL"/>
    <s v="PES"/>
    <s v="41547225491"/>
    <s v="04/09/2019"/>
    <s v="IVALDO BEZERRA NOVAIS"/>
    <s v="DECIO FABIANO LOPES FERREIRA"/>
    <s v="NIVALDO DE OLIVEIRA SOARES"/>
    <x v="0"/>
    <x v="47"/>
    <x v="6"/>
    <s v="INSTALADOR I"/>
    <x v="747"/>
    <x v="747"/>
    <x v="42"/>
    <x v="0"/>
    <x v="0"/>
    <x v="0"/>
    <x v="1"/>
  </r>
  <r>
    <x v="747"/>
    <n v="101003771"/>
    <s v="ATIVIDADE NORMAL"/>
    <s v="06/02/2019"/>
    <x v="1"/>
    <x v="43"/>
    <x v="6"/>
    <x v="8"/>
    <s v="Regional Ceará"/>
    <s v="Quixadá"/>
    <s v="Equipe SWAT"/>
    <x v="5"/>
    <s v="INSTALADOR"/>
    <s v="ATIVIDADE NORMAL"/>
    <s v="QXA"/>
    <s v="41594592349"/>
    <s v="04/09/2019"/>
    <s v="ANA CLAUDIA DE CASTRO DA SILVA"/>
    <s v="ALENCAR DE SOUZA SANTOS"/>
    <s v="JONILSON FELIPE VIEIRA"/>
    <x v="0"/>
    <x v="13"/>
    <x v="6"/>
    <s v="INSTALADOR I"/>
    <x v="748"/>
    <x v="748"/>
    <x v="14"/>
    <x v="4"/>
    <x v="1"/>
    <x v="0"/>
    <x v="1"/>
  </r>
  <r>
    <x v="748"/>
    <n v="101010210"/>
    <s v="ATIVIDADE NORMAL"/>
    <s v="19/12/2018"/>
    <x v="1"/>
    <x v="1"/>
    <x v="18"/>
    <x v="1"/>
    <s v="Regional Ceará"/>
    <s v="Capital Sul Ceará"/>
    <s v="Tecnico de campo"/>
    <x v="0"/>
    <s v="TEC MULTIFUNCIONAL"/>
    <s v="ATIVIDADE NORMAL"/>
    <s v="GCS - FTTH"/>
    <s v="42005426334"/>
    <s v="04/09/2019"/>
    <s v="ANTONIO FABIO DOS SANTOS LIMA"/>
    <s v="ANTONIO ROBEVANIO PINHEIRO"/>
    <s v="JONILSON FELIPE VIEIRA"/>
    <x v="0"/>
    <x v="61"/>
    <x v="1"/>
    <s v="TECNICO MULTIFUNCIONAL"/>
    <x v="749"/>
    <x v="749"/>
    <x v="1"/>
    <x v="1"/>
    <x v="1"/>
    <x v="0"/>
    <x v="0"/>
  </r>
  <r>
    <x v="749"/>
    <n v="109000943"/>
    <s v="ATIVIDADE NORMAL"/>
    <s v="31/07/2019"/>
    <x v="0"/>
    <x v="60"/>
    <x v="10"/>
    <x v="14"/>
    <s v="Regional Pernambuco"/>
    <s v="Recife"/>
    <s v="MultiSkill"/>
    <x v="4"/>
    <s v="TEC MULTIFUNCIONAL"/>
    <s v="ATIVIDADE NORMAL"/>
    <s v="NOR"/>
    <s v="42103070410"/>
    <s v="04/09/2019"/>
    <s v="MAURO BRAGA RANGEL"/>
    <s v="BRUNO VINICIUS DE ALBERTINS ALVES"/>
    <s v="NIVALDO DE OLIVEIRA SOARES"/>
    <x v="0"/>
    <x v="40"/>
    <x v="2"/>
    <s v="TECNICO MULTIFUNCIONAL"/>
    <x v="750"/>
    <x v="750"/>
    <x v="56"/>
    <x v="9"/>
    <x v="0"/>
    <x v="0"/>
    <x v="0"/>
  </r>
  <r>
    <x v="750"/>
    <n v="109504369"/>
    <s v="ATIVIDADE NORMAL"/>
    <s v="02/01/2019"/>
    <x v="0"/>
    <x v="53"/>
    <x v="2"/>
    <x v="23"/>
    <s v="Regional Pernambuco"/>
    <s v="Interior"/>
    <s v="Tecnico de campo"/>
    <x v="1"/>
    <s v="CABISTA II"/>
    <s v="ATIVIDADE NORMAL"/>
    <s v="CBO"/>
    <s v="42674700491"/>
    <s v="04/09/2019"/>
    <s v="JOSE HAILTON ATAIDE"/>
    <s v="MARCOS DE OLIVEIRA STEHLING"/>
    <s v="NIVALDO DE OLIVEIRA SOARES"/>
    <x v="0"/>
    <x v="6"/>
    <x v="3"/>
    <s v="CABISTA II"/>
    <x v="751"/>
    <x v="751"/>
    <x v="46"/>
    <x v="3"/>
    <x v="0"/>
    <x v="0"/>
    <x v="1"/>
  </r>
  <r>
    <x v="751"/>
    <n v="101010209"/>
    <s v="ATIVIDADE NORMAL"/>
    <s v="31/07/2019"/>
    <x v="1"/>
    <x v="10"/>
    <x v="8"/>
    <x v="4"/>
    <s v="Regional Ceará"/>
    <s v="Capital Oeste Ceará"/>
    <s v="Tecnico de campo"/>
    <x v="6"/>
    <s v="CABISTA II"/>
    <s v="ATIVIDADE NORMAL"/>
    <s v="COO"/>
    <s v="42682843387"/>
    <s v="04/09/2019"/>
    <s v="KARLYSSON FRANCO SANTANA DE SOUSA"/>
    <s v="ALENCAR DE SOUZA SANTOS"/>
    <s v="JONILSON FELIPE VIEIRA"/>
    <x v="0"/>
    <x v="10"/>
    <x v="7"/>
    <s v="CABISTA II"/>
    <x v="752"/>
    <x v="752"/>
    <x v="11"/>
    <x v="4"/>
    <x v="1"/>
    <x v="0"/>
    <x v="1"/>
  </r>
  <r>
    <x v="752"/>
    <n v="102101634"/>
    <s v="ATIVIDADE NORMAL"/>
    <s v="01/11/2018"/>
    <x v="3"/>
    <x v="62"/>
    <x v="3"/>
    <x v="19"/>
    <s v="Regional Pernambuco"/>
    <s v="Natal"/>
    <s v="Tecnico de campo"/>
    <x v="2"/>
    <s v="TEC ADSL I"/>
    <s v="ATIVIDADE NORMAL"/>
    <s v="NTN"/>
    <s v="43050808420"/>
    <s v="04/09/2019"/>
    <s v="FABIO BATISTA DA SILVA"/>
    <s v="REINILSON IGLESIAS JUNIOR"/>
    <s v="WENDELL FRANKLIN VIEIRA MAIA"/>
    <x v="0"/>
    <x v="30"/>
    <x v="4"/>
    <s v="TECNICO ADSL"/>
    <x v="753"/>
    <x v="753"/>
    <x v="29"/>
    <x v="7"/>
    <x v="3"/>
    <x v="0"/>
    <x v="0"/>
  </r>
  <r>
    <x v="753"/>
    <n v="101007963"/>
    <s v="ATIVIDADE NORMAL"/>
    <s v="31/07/2019"/>
    <x v="1"/>
    <x v="36"/>
    <x v="17"/>
    <x v="4"/>
    <s v="Regional Ceará"/>
    <s v="Capital Oeste Ceará"/>
    <s v="MultiSkill"/>
    <x v="4"/>
    <s v="TEC MULTIFUNCIONAL"/>
    <s v="ATIVIDADE NORMAL"/>
    <s v="COO"/>
    <s v="43383114368"/>
    <s v="04/09/2019"/>
    <s v="JOSEVAN DE SOUSA SILVA"/>
    <s v="ALENCAR DE SOUZA SANTOS"/>
    <s v="JONILSON FELIPE VIEIRA"/>
    <x v="0"/>
    <x v="39"/>
    <x v="2"/>
    <s v="TECNICO MULTIFUNCIONAL"/>
    <x v="754"/>
    <x v="754"/>
    <x v="35"/>
    <x v="4"/>
    <x v="1"/>
    <x v="0"/>
    <x v="0"/>
  </r>
  <r>
    <x v="754"/>
    <n v="109505858"/>
    <s v="FERIAS NORMAIS"/>
    <s v="26/08/2019"/>
    <x v="0"/>
    <x v="14"/>
    <x v="6"/>
    <x v="11"/>
    <s v="Regional Pernambuco"/>
    <s v="Interior"/>
    <s v="Tecnico de campo"/>
    <x v="5"/>
    <s v="INSTALADOR"/>
    <s v="FERIAS NORMAIS"/>
    <s v="ACV"/>
    <s v="43727190787"/>
    <s v="04/09/2019"/>
    <s v="THIAGO DE LIMA PIRES RODRIGUES"/>
    <s v="DECIO FABIANO LOPES FERREIRA"/>
    <s v="NIVALDO DE OLIVEIRA SOARES"/>
    <x v="1"/>
    <x v="11"/>
    <x v="6"/>
    <s v="INSTALADOR I"/>
    <x v="755"/>
    <x v="755"/>
    <x v="12"/>
    <x v="0"/>
    <x v="0"/>
    <x v="1"/>
    <x v="1"/>
  </r>
  <r>
    <x v="755"/>
    <n v="109000427"/>
    <s v="ATIVIDADE NORMAL"/>
    <s v="08/05/2019"/>
    <x v="0"/>
    <x v="21"/>
    <x v="2"/>
    <x v="17"/>
    <s v="Regional Pernambuco"/>
    <s v="Interior"/>
    <s v="Tecnico de campo"/>
    <x v="1"/>
    <s v="CABISTA I"/>
    <s v="ATIVIDADE NORMAL"/>
    <s v="GUS"/>
    <s v="44032200459"/>
    <s v="04/09/2019"/>
    <s v="HAMILTON DAVINO DA SILVA"/>
    <s v="MARCOS DE OLIVEIRA STEHLING"/>
    <s v="NIVALDO DE OLIVEIRA SOARES"/>
    <x v="0"/>
    <x v="6"/>
    <x v="3"/>
    <s v="CABISTA I"/>
    <x v="756"/>
    <x v="756"/>
    <x v="7"/>
    <x v="3"/>
    <x v="0"/>
    <x v="0"/>
    <x v="1"/>
  </r>
  <r>
    <x v="756"/>
    <n v="102002917"/>
    <s v="ATIVIDADE NORMAL"/>
    <s v="31/07/2019"/>
    <x v="3"/>
    <x v="23"/>
    <x v="12"/>
    <x v="18"/>
    <s v="Regional Pernambuco"/>
    <s v="Natal"/>
    <s v="Tecnico de campo"/>
    <x v="6"/>
    <s v="CABISTA II"/>
    <s v="ATIVIDADE NORMAL"/>
    <s v="RNS"/>
    <s v="44428553404"/>
    <s v="04/09/2019"/>
    <s v="RICELE DA SILVA NASCIMENTO"/>
    <s v="REINILSON IGLESIAS JUNIOR"/>
    <s v="WENDELL FRANKLIN VIEIRA MAIA"/>
    <x v="0"/>
    <x v="27"/>
    <x v="7"/>
    <s v="CABISTA II"/>
    <x v="757"/>
    <x v="757"/>
    <x v="51"/>
    <x v="7"/>
    <x v="3"/>
    <x v="0"/>
    <x v="1"/>
  </r>
  <r>
    <x v="757"/>
    <n v="109500038"/>
    <s v="ATIVIDADE NORMAL"/>
    <s v="26/06/2019"/>
    <x v="0"/>
    <x v="18"/>
    <x v="2"/>
    <x v="14"/>
    <s v="Regional Pernambuco"/>
    <s v="Recife"/>
    <s v="Tecnico de campo"/>
    <x v="1"/>
    <s v="INSTALADOR"/>
    <s v="ATIVIDADE NORMAL"/>
    <s v="NOR"/>
    <s v="04551116424"/>
    <s v="04/09/2019"/>
    <s v="PATRICIO MARTINS DE SOUSA"/>
    <s v="MARCOS DE OLIVEIRA STEHLING"/>
    <s v="NIVALDO DE OLIVEIRA SOARES"/>
    <x v="0"/>
    <x v="18"/>
    <x v="3"/>
    <s v="INSTALADOR I"/>
    <x v="758"/>
    <x v="758"/>
    <x v="19"/>
    <x v="3"/>
    <x v="0"/>
    <x v="0"/>
    <x v="1"/>
  </r>
  <r>
    <x v="758"/>
    <n v="109000340"/>
    <s v="ATIVIDADE NORMAL"/>
    <s v="06/02/2019"/>
    <x v="0"/>
    <x v="38"/>
    <x v="12"/>
    <x v="22"/>
    <s v="Regional Pernambuco"/>
    <s v="Interior"/>
    <s v="Tecnico de campo"/>
    <x v="6"/>
    <s v="CABISTA I"/>
    <s v="ATIVIDADE NORMAL"/>
    <s v="CAA"/>
    <s v="04568342490"/>
    <s v="04/09/2019"/>
    <s v="AILTON JOSE DOS SANTOS"/>
    <s v="DECIO FABIANO LOPES FERREIRA"/>
    <s v="NIVALDO DE OLIVEIRA SOARES"/>
    <x v="0"/>
    <x v="21"/>
    <x v="7"/>
    <s v="CABISTA I"/>
    <x v="759"/>
    <x v="759"/>
    <x v="22"/>
    <x v="0"/>
    <x v="0"/>
    <x v="0"/>
    <x v="1"/>
  </r>
  <r>
    <x v="759"/>
    <n v="109506174"/>
    <s v="ATIVIDADE NORMAL"/>
    <s v="19/12/2018"/>
    <x v="0"/>
    <x v="50"/>
    <x v="4"/>
    <x v="17"/>
    <s v="Regional Pernambuco"/>
    <s v="Interior"/>
    <s v="MultiSkill"/>
    <x v="3"/>
    <s v="TEC MULTIFUNCIONAL"/>
    <s v="ATIVIDADE NORMAL"/>
    <s v="GUS"/>
    <s v="04599647470"/>
    <s v="04/09/2019"/>
    <s v="ALYSSON HENRIQUE FERREIRA DE LUCENA"/>
    <s v="DECIO FABIANO LOPES FERREIRA"/>
    <s v="NIVALDO DE OLIVEIRA SOARES"/>
    <x v="0"/>
    <x v="21"/>
    <x v="2"/>
    <s v="TECNICO MULTIFUNCIONAL"/>
    <x v="760"/>
    <x v="760"/>
    <x v="55"/>
    <x v="0"/>
    <x v="0"/>
    <x v="0"/>
    <x v="0"/>
  </r>
  <r>
    <x v="760"/>
    <n v="105302862"/>
    <s v="AFAST DOENCA MAIS DE 15 DIAS"/>
    <s v="28/03/2019"/>
    <x v="2"/>
    <x v="20"/>
    <x v="2"/>
    <x v="16"/>
    <s v="Regional Pernambuco"/>
    <s v="João Pessoa"/>
    <s v="Tecnico de campo"/>
    <x v="1"/>
    <s v="CABISTA II"/>
    <s v="AFAST DOENCA MAIS DE 15 DIAS"/>
    <s v="CGE"/>
    <s v="04618288477"/>
    <s v="04/09/2019"/>
    <s v="PAULO PEREIRA DA SILVA"/>
    <s v="EDERLINDO GONCALVES SOARES"/>
    <s v="WENDELL FRANKLIN VIEIRA MAIA"/>
    <x v="1"/>
    <x v="66"/>
    <x v="3"/>
    <s v="CABISTA II"/>
    <x v="761"/>
    <x v="761"/>
    <x v="57"/>
    <x v="10"/>
    <x v="3"/>
    <x v="2"/>
    <x v="1"/>
  </r>
  <r>
    <x v="761"/>
    <n v="101004033"/>
    <s v="ATIVIDADE NORMAL"/>
    <s v="03/07/2019"/>
    <x v="1"/>
    <x v="58"/>
    <x v="13"/>
    <x v="4"/>
    <s v="Regional Ceará"/>
    <s v="Capital Oeste Ceará"/>
    <s v="Tecnico de campo"/>
    <x v="8"/>
    <s v="OP DG"/>
    <s v="ATIVIDADE NORMAL"/>
    <s v="COO"/>
    <s v="04624354311"/>
    <s v="04/09/2019"/>
    <s v="HENRIQUE OLIVEIRA DO NASCIMENTO"/>
    <s v="ALENCAR DE SOUZA SANTOS"/>
    <s v="JONILSON FELIPE VIEIRA"/>
    <x v="1"/>
    <x v="63"/>
    <x v="9"/>
    <s v="OPERADOR"/>
    <x v="762"/>
    <x v="762"/>
    <x v="52"/>
    <x v="4"/>
    <x v="1"/>
    <x v="0"/>
    <x v="1"/>
  </r>
  <r>
    <x v="762"/>
    <n v="109000340"/>
    <s v="ATIVIDADE NORMAL"/>
    <s v="06/02/2019"/>
    <x v="0"/>
    <x v="38"/>
    <x v="14"/>
    <x v="22"/>
    <s v="Regional Pernambuco"/>
    <s v="Interior"/>
    <s v="MultiSkill"/>
    <x v="4"/>
    <s v="TEC MULTIFUNCIONAL"/>
    <s v="ATIVIDADE NORMAL"/>
    <s v="CAA"/>
    <s v="04635127400"/>
    <s v="04/09/2019"/>
    <s v="AILTON JOSE DOS SANTOS"/>
    <s v="DECIO FABIANO LOPES FERREIRA"/>
    <s v="NIVALDO DE OLIVEIRA SOARES"/>
    <x v="0"/>
    <x v="41"/>
    <x v="2"/>
    <s v="TECNICO MULTIFUNCIONAL"/>
    <x v="763"/>
    <x v="763"/>
    <x v="22"/>
    <x v="0"/>
    <x v="0"/>
    <x v="0"/>
    <x v="0"/>
  </r>
  <r>
    <x v="763"/>
    <n v="109000926"/>
    <s v="ATIVIDADE NORMAL"/>
    <s v="05/06/2019"/>
    <x v="0"/>
    <x v="7"/>
    <x v="10"/>
    <x v="7"/>
    <s v="Regional Pernambuco"/>
    <s v="Recife"/>
    <s v="MultiSkill"/>
    <x v="4"/>
    <s v="TEC MULTIFUNCIONAL"/>
    <s v="ATIVIDADE NORMAL"/>
    <s v="LES"/>
    <s v="04642177418"/>
    <s v="04/09/2019"/>
    <s v="ANTONIO MAGNO DE CASTRO LEAO"/>
    <s v="BRUNO VINICIUS DE ALBERTINS ALVES"/>
    <s v="NIVALDO DE OLIVEIRA SOARES"/>
    <x v="0"/>
    <x v="45"/>
    <x v="2"/>
    <s v="TECNICO MULTIFUNCIONAL"/>
    <x v="764"/>
    <x v="764"/>
    <x v="41"/>
    <x v="9"/>
    <x v="0"/>
    <x v="0"/>
    <x v="0"/>
  </r>
  <r>
    <x v="764"/>
    <n v="102101220"/>
    <s v="ATIVIDADE NORMAL"/>
    <s v="14/05/2019"/>
    <x v="3"/>
    <x v="22"/>
    <x v="4"/>
    <x v="18"/>
    <s v="Regional Pernambuco"/>
    <s v="Natal"/>
    <s v="MultiSkill"/>
    <x v="3"/>
    <s v="TEC MULTIFUNCIONAL"/>
    <s v="ATIVIDADE NORMAL"/>
    <s v="RNS"/>
    <s v="04660059464"/>
    <s v="04/09/2019"/>
    <s v="JOSUE MOURA DA SILVA"/>
    <s v="REINILSON IGLESIAS JUNIOR"/>
    <s v="WENDELL FRANKLIN VIEIRA MAIA"/>
    <x v="0"/>
    <x v="22"/>
    <x v="11"/>
    <s v="TECNICO MULTIFUNCIONAL"/>
    <x v="765"/>
    <x v="765"/>
    <x v="23"/>
    <x v="7"/>
    <x v="3"/>
    <x v="0"/>
    <x v="0"/>
  </r>
  <r>
    <x v="765"/>
    <n v="109506248"/>
    <s v="ATIVIDADE NORMAL"/>
    <s v="14/11/2018"/>
    <x v="0"/>
    <x v="35"/>
    <x v="2"/>
    <x v="14"/>
    <s v="Regional Pernambuco"/>
    <s v="Recife"/>
    <s v="Tecnico de campo"/>
    <x v="1"/>
    <s v="CABISTA I"/>
    <s v="ATIVIDADE NORMAL"/>
    <s v="NOR"/>
    <s v="04707300480"/>
    <s v="04/09/2019"/>
    <s v="LUIZ GUSTAVO DE OLIVEIRA DINIZ"/>
    <s v="MARCOS DE OLIVEIRA STEHLING"/>
    <s v="NIVALDO DE OLIVEIRA SOARES"/>
    <x v="1"/>
    <x v="34"/>
    <x v="13"/>
    <s v="CABISTA I"/>
    <x v="766"/>
    <x v="766"/>
    <x v="71"/>
    <x v="3"/>
    <x v="0"/>
    <x v="0"/>
    <x v="1"/>
  </r>
  <r>
    <x v="766"/>
    <n v="109000943"/>
    <s v="ATIVIDADE NORMAL"/>
    <s v="23/09/2019"/>
    <x v="0"/>
    <x v="60"/>
    <x v="2"/>
    <x v="14"/>
    <s v="Regional Pernambuco"/>
    <s v="Recife"/>
    <s v="Equipe SWAT"/>
    <x v="1"/>
    <s v="CABISTA I"/>
    <s v="ATIVIDADE NORMAL"/>
    <s v="NOR"/>
    <s v="04722822476"/>
    <s v="04/09/2019"/>
    <s v="MAURO BRAGA RANGEL"/>
    <s v="BRUNO VINICIUS DE ALBERTINS ALVES"/>
    <s v="NIVALDO DE OLIVEIRA SOARES"/>
    <x v="0"/>
    <x v="40"/>
    <x v="7"/>
    <s v="CABISTA I"/>
    <x v="767"/>
    <x v="767"/>
    <x v="56"/>
    <x v="9"/>
    <x v="0"/>
    <x v="0"/>
    <x v="1"/>
  </r>
  <r>
    <x v="767"/>
    <n v="105301785"/>
    <s v="ATIVIDADE NORMAL"/>
    <s v="01/08/2018"/>
    <x v="2"/>
    <x v="42"/>
    <x v="11"/>
    <x v="12"/>
    <s v="Regional Pernambuco"/>
    <s v="João Pessoa"/>
    <s v="Tecnico de campo"/>
    <x v="1"/>
    <s v="TEC REDES DSLAM"/>
    <s v="ATIVIDADE NORMAL"/>
    <s v="JPA"/>
    <s v="04741545482"/>
    <s v="04/09/2019"/>
    <s v="FERNANDO TOSCANO ALVES"/>
    <s v="ANDRE LUIS SOARES DE FARIAS"/>
    <s v="HEBERT JONES SOUTO ARAUJO"/>
    <x v="0"/>
    <x v="43"/>
    <x v="4"/>
    <s v="TECNICO REDE"/>
    <x v="768"/>
    <x v="768"/>
    <x v="65"/>
    <x v="13"/>
    <x v="5"/>
    <x v="0"/>
    <x v="1"/>
  </r>
  <r>
    <x v="768"/>
    <n v="109505858"/>
    <s v="ATIVIDADE NORMAL"/>
    <s v="01/05/2019"/>
    <x v="0"/>
    <x v="6"/>
    <x v="14"/>
    <x v="6"/>
    <s v="Regional Pernambuco"/>
    <s v="Interior"/>
    <s v="MultiSkill"/>
    <x v="4"/>
    <s v="TEC MULTIFUNCIONAL"/>
    <s v="ATIVIDADE NORMAL"/>
    <s v="PTA"/>
    <s v="04795785325"/>
    <s v="04/09/2019"/>
    <s v="THIAGO DE LIMA PIRES RODRIGUES"/>
    <s v="DECIO FABIANO LOPES FERREIRA"/>
    <s v="NIVALDO DE OLIVEIRA SOARES"/>
    <x v="0"/>
    <x v="11"/>
    <x v="2"/>
    <s v="TECNICO MULTIFUNCIONAL"/>
    <x v="769"/>
    <x v="769"/>
    <x v="12"/>
    <x v="0"/>
    <x v="0"/>
    <x v="0"/>
    <x v="0"/>
  </r>
  <r>
    <x v="769"/>
    <n v="109000017"/>
    <s v="ATIVIDADE NORMAL"/>
    <s v="31/07/2019"/>
    <x v="0"/>
    <x v="56"/>
    <x v="12"/>
    <x v="10"/>
    <s v="Regional Pernambuco"/>
    <s v="Recife"/>
    <s v="Equipe SWAT"/>
    <x v="6"/>
    <s v="CABISTA I"/>
    <s v="ATIVIDADE NORMAL"/>
    <s v="PES"/>
    <s v="45230307404"/>
    <s v="04/09/2019"/>
    <s v="AMAURY ASSIS DE LIMA"/>
    <s v="DECIO FABIANO LOPES FERREIRA"/>
    <s v="NIVALDO DE OLIVEIRA SOARES"/>
    <x v="0"/>
    <x v="70"/>
    <x v="7"/>
    <s v="CABISTA I"/>
    <x v="770"/>
    <x v="770"/>
    <x v="15"/>
    <x v="0"/>
    <x v="0"/>
    <x v="0"/>
    <x v="1"/>
  </r>
  <r>
    <x v="770"/>
    <n v="109000499"/>
    <s v="ATIVIDADE NORMAL"/>
    <s v="19/04/2019"/>
    <x v="0"/>
    <x v="25"/>
    <x v="11"/>
    <x v="10"/>
    <s v="Regional Pernambuco"/>
    <s v="Recife"/>
    <s v="Tecnico de campo"/>
    <x v="1"/>
    <s v="INSTALADOR"/>
    <s v="ATIVIDADE NORMAL"/>
    <s v="PES"/>
    <s v="45232571400"/>
    <s v="04/09/2019"/>
    <s v="ALTAIR LUIZ DO NASCIMENTO"/>
    <s v="DECIO FABIANO LOPES FERREIRA"/>
    <s v="NIVALDO DE OLIVEIRA SOARES"/>
    <x v="0"/>
    <x v="42"/>
    <x v="2"/>
    <s v="INSTALADOR I"/>
    <x v="771"/>
    <x v="771"/>
    <x v="38"/>
    <x v="0"/>
    <x v="0"/>
    <x v="0"/>
    <x v="1"/>
  </r>
  <r>
    <x v="771"/>
    <n v="101005376"/>
    <s v="ATIVIDADE NORMAL"/>
    <s v="10/07/2019"/>
    <x v="1"/>
    <x v="55"/>
    <x v="11"/>
    <x v="1"/>
    <s v="Regional Ceará"/>
    <s v="Capital Sul Ceará"/>
    <s v="MultiSkill"/>
    <x v="1"/>
    <s v="TEC MULTIFUNCIONAL"/>
    <s v="ATIVIDADE NORMAL"/>
    <s v="GCS"/>
    <s v="45670153391"/>
    <s v="04/09/2019"/>
    <s v="JOSE VENILSON DA SILVA"/>
    <s v="VANDERLEI HENZEL CHOLLET"/>
    <s v="JONILSON FELIPE VIEIRA"/>
    <x v="0"/>
    <x v="56"/>
    <x v="2"/>
    <s v="TECNICO MULTIFUNCIONAL"/>
    <x v="772"/>
    <x v="772"/>
    <x v="72"/>
    <x v="8"/>
    <x v="1"/>
    <x v="0"/>
    <x v="1"/>
  </r>
  <r>
    <x v="772"/>
    <n v="101006811"/>
    <s v="ATIVIDADE NORMAL"/>
    <s v="03/07/2019"/>
    <x v="1"/>
    <x v="43"/>
    <x v="14"/>
    <x v="8"/>
    <s v="Regional Ceará"/>
    <s v="Quixadá"/>
    <s v="MultiSkill"/>
    <x v="4"/>
    <s v="TEC MULTIFUNCIONAL"/>
    <s v="ATIVIDADE NORMAL"/>
    <s v="QXA"/>
    <s v="46205616300"/>
    <s v="04/09/2019"/>
    <s v="CARLOS FERNANDES GUIMARAES"/>
    <s v="ALENCAR DE SOUZA SANTOS"/>
    <s v="JONILSON FELIPE VIEIRA"/>
    <x v="0"/>
    <x v="44"/>
    <x v="2"/>
    <s v="TECNICO MULTIFUNCIONAL"/>
    <x v="773"/>
    <x v="773"/>
    <x v="40"/>
    <x v="4"/>
    <x v="1"/>
    <x v="0"/>
    <x v="0"/>
  </r>
  <r>
    <x v="773"/>
    <n v="109000017"/>
    <s v="ATIVIDADE NORMAL"/>
    <s v="27/03/2019"/>
    <x v="0"/>
    <x v="13"/>
    <x v="2"/>
    <x v="10"/>
    <s v="Regional Pernambuco"/>
    <s v="Recife"/>
    <s v="Equipe SWAT"/>
    <x v="1"/>
    <s v="CABISTA III"/>
    <s v="ATIVIDADE NORMAL"/>
    <s v="PES"/>
    <s v="46478000400"/>
    <s v="04/09/2019"/>
    <s v="AMAURY ASSIS DE LIMA"/>
    <s v="DECIO FABIANO LOPES FERREIRA"/>
    <s v="NIVALDO DE OLIVEIRA SOARES"/>
    <x v="0"/>
    <x v="14"/>
    <x v="10"/>
    <s v="CABISTA III"/>
    <x v="774"/>
    <x v="774"/>
    <x v="15"/>
    <x v="0"/>
    <x v="0"/>
    <x v="0"/>
    <x v="1"/>
  </r>
  <r>
    <x v="774"/>
    <n v="101005989"/>
    <s v="ATIVIDADE NORMAL"/>
    <s v="23/01/2019"/>
    <x v="1"/>
    <x v="69"/>
    <x v="2"/>
    <x v="3"/>
    <s v="Regional Ceará"/>
    <s v="Capital Oeste Ceará"/>
    <s v="MultiSkill"/>
    <x v="1"/>
    <s v="TEC MULTIFUNCIONAL"/>
    <s v="ATIVIDADE NORMAL"/>
    <s v="CNO"/>
    <s v="46546871300"/>
    <s v="04/09/2019"/>
    <s v="JOSENIL GOMES RODRIGUES"/>
    <s v="ALENCAR DE SOUZA SANTOS"/>
    <s v="JONILSON FELIPE VIEIRA"/>
    <x v="0"/>
    <x v="86"/>
    <x v="2"/>
    <s v="TECNICO MULTIFUNCIONAL"/>
    <x v="775"/>
    <x v="775"/>
    <x v="18"/>
    <x v="4"/>
    <x v="1"/>
    <x v="0"/>
    <x v="1"/>
  </r>
  <r>
    <x v="775"/>
    <n v="109505858"/>
    <s v="FERIAS NORMAIS"/>
    <s v="26/08/2019"/>
    <x v="0"/>
    <x v="6"/>
    <x v="6"/>
    <x v="6"/>
    <s v="Regional Pernambuco"/>
    <s v="Interior"/>
    <s v="Tecnico de campo"/>
    <x v="5"/>
    <s v="INSTALADOR"/>
    <s v="FERIAS NORMAIS"/>
    <s v="PTA"/>
    <s v="47144416472"/>
    <s v="04/09/2019"/>
    <s v="THIAGO DE LIMA PIRES RODRIGUES"/>
    <s v="DECIO FABIANO LOPES FERREIRA"/>
    <s v="NIVALDO DE OLIVEIRA SOARES"/>
    <x v="1"/>
    <x v="11"/>
    <x v="6"/>
    <s v="INSTALADOR I"/>
    <x v="776"/>
    <x v="776"/>
    <x v="12"/>
    <x v="0"/>
    <x v="0"/>
    <x v="1"/>
    <x v="1"/>
  </r>
  <r>
    <x v="776"/>
    <n v="101010062"/>
    <s v="FERIAS NORMAIS"/>
    <s v="19/08/2019"/>
    <x v="1"/>
    <x v="26"/>
    <x v="5"/>
    <x v="15"/>
    <s v="Regional Ceará"/>
    <s v="Sobral"/>
    <s v="MultiSkill"/>
    <x v="4"/>
    <s v="TEC MULTIFUNCIONAL"/>
    <s v="FERIAS NORMAIS"/>
    <s v="SOL"/>
    <s v="04863455305"/>
    <s v="04/09/2019"/>
    <s v="ANTONIO ERINEUDES CAVALCANTE FEIJAO"/>
    <s v="JEFFERSON OLIVEIRA DA SILVA"/>
    <s v="JONILSON FELIPE VIEIRA"/>
    <x v="1"/>
    <x v="26"/>
    <x v="2"/>
    <s v="TECNICO MULTIFUNCIONAL"/>
    <x v="777"/>
    <x v="777"/>
    <x v="26"/>
    <x v="2"/>
    <x v="1"/>
    <x v="1"/>
    <x v="0"/>
  </r>
  <r>
    <x v="777"/>
    <n v="102101393"/>
    <s v="ATIVIDADE NORMAL"/>
    <s v="25/04/2019"/>
    <x v="3"/>
    <x v="66"/>
    <x v="6"/>
    <x v="21"/>
    <s v="Regional Pernambuco"/>
    <s v="Natal"/>
    <s v="Tecnico de campo"/>
    <x v="5"/>
    <s v="INSTALADOR"/>
    <s v="ATIVIDADE NORMAL"/>
    <s v="NTS"/>
    <s v="04878463465"/>
    <s v="04/09/2019"/>
    <s v="SIDNEY MOURA FREIRE"/>
    <s v="REINILSON IGLESIAS JUNIOR"/>
    <s v="WENDELL FRANKLIN VIEIRA MAIA"/>
    <x v="0"/>
    <x v="23"/>
    <x v="6"/>
    <s v="INSTALADOR I"/>
    <x v="778"/>
    <x v="778"/>
    <x v="24"/>
    <x v="7"/>
    <x v="3"/>
    <x v="0"/>
    <x v="1"/>
  </r>
  <r>
    <x v="778"/>
    <n v="109505287"/>
    <s v="ATIVIDADE NORMAL"/>
    <s v="31/07/2019"/>
    <x v="0"/>
    <x v="60"/>
    <x v="11"/>
    <x v="14"/>
    <s v="Regional Pernambuco"/>
    <s v="Recife"/>
    <s v="MultiSkill"/>
    <x v="1"/>
    <s v="TEC FIBRA OPTICA I"/>
    <s v="ATIVIDADE NORMAL"/>
    <s v="NOR"/>
    <s v="04908765448"/>
    <s v="04/09/2019"/>
    <s v="RODRIGO CARDOZO GUIMARAES DA SILVA"/>
    <s v="CARLOS EDUARDO DE ALBUQUERQUE MEIRA"/>
    <s v="HEBERT JONES SOUTO ARAUJO"/>
    <x v="1"/>
    <x v="40"/>
    <x v="5"/>
    <s v="TECNICO FIBRA OPTICA"/>
    <x v="779"/>
    <x v="779"/>
    <x v="73"/>
    <x v="12"/>
    <x v="5"/>
    <x v="0"/>
    <x v="1"/>
  </r>
  <r>
    <x v="779"/>
    <n v="109000017"/>
    <s v="FERIAS NORMAIS"/>
    <s v="02/09/2019"/>
    <x v="0"/>
    <x v="56"/>
    <x v="2"/>
    <x v="10"/>
    <s v="Regional Pernambuco"/>
    <s v="Recife"/>
    <s v="Equipe SWAT"/>
    <x v="1"/>
    <s v="CABISTA I"/>
    <s v="FERIAS NORMAIS"/>
    <s v="PES"/>
    <s v="04924438405"/>
    <s v="04/09/2019"/>
    <s v="AMAURY ASSIS DE LIMA"/>
    <s v="DECIO FABIANO LOPES FERREIRA"/>
    <s v="NIVALDO DE OLIVEIRA SOARES"/>
    <x v="1"/>
    <x v="70"/>
    <x v="7"/>
    <s v="CABISTA I"/>
    <x v="780"/>
    <x v="780"/>
    <x v="15"/>
    <x v="0"/>
    <x v="0"/>
    <x v="1"/>
    <x v="1"/>
  </r>
  <r>
    <x v="780"/>
    <n v="109505719"/>
    <s v="ATIVIDADE NORMAL"/>
    <s v="06/03/2019"/>
    <x v="0"/>
    <x v="56"/>
    <x v="11"/>
    <x v="10"/>
    <s v="Regional Pernambuco"/>
    <s v="Recife"/>
    <s v="Tecnico de campo"/>
    <x v="1"/>
    <s v="TEC DADOS I"/>
    <s v="ATIVIDADE NORMAL"/>
    <s v="PES"/>
    <s v="04945649464"/>
    <s v="04/09/2019"/>
    <s v="DIEGO MARTINS DE VASCONCELOS"/>
    <s v="CRISTIANO FERREIRA DE SOUZA CASTRO"/>
    <s v="HEBERT JONES SOUTO ARAUJO"/>
    <x v="0"/>
    <x v="87"/>
    <x v="15"/>
    <s v="TECNICO DADOS"/>
    <x v="781"/>
    <x v="781"/>
    <x v="74"/>
    <x v="14"/>
    <x v="5"/>
    <x v="0"/>
    <x v="1"/>
  </r>
  <r>
    <x v="781"/>
    <n v="101004033"/>
    <s v="ATIVIDADE NORMAL"/>
    <s v="05/06/2019"/>
    <x v="1"/>
    <x v="58"/>
    <x v="13"/>
    <x v="4"/>
    <s v="Regional Ceará"/>
    <s v="Capital Oeste Ceará"/>
    <s v="Tecnico de campo"/>
    <x v="8"/>
    <s v="OP DG"/>
    <s v="ATIVIDADE NORMAL"/>
    <s v="COO"/>
    <s v="04961721310"/>
    <s v="04/09/2019"/>
    <s v="HENRIQUE OLIVEIRA DO NASCIMENTO"/>
    <s v="ALENCAR DE SOUZA SANTOS"/>
    <s v="JONILSON FELIPE VIEIRA"/>
    <x v="1"/>
    <x v="63"/>
    <x v="9"/>
    <s v="OPERADOR"/>
    <x v="782"/>
    <x v="782"/>
    <x v="52"/>
    <x v="4"/>
    <x v="1"/>
    <x v="0"/>
    <x v="1"/>
  </r>
  <r>
    <x v="782"/>
    <n v="102101393"/>
    <s v="ATIVIDADE NORMAL"/>
    <s v="03/07/2019"/>
    <x v="3"/>
    <x v="23"/>
    <x v="6"/>
    <x v="18"/>
    <s v="Regional Pernambuco"/>
    <s v="Natal"/>
    <s v="Tecnico de campo"/>
    <x v="5"/>
    <s v="INSTALADOR TUP"/>
    <s v="ATIVIDADE NORMAL"/>
    <s v="RNS"/>
    <s v="04963169401"/>
    <s v="04/09/2019"/>
    <s v="SIDNEY MOURA FREIRE"/>
    <s v="REINILSON IGLESIAS JUNIOR"/>
    <s v="WENDELL FRANKLIN VIEIRA MAIA"/>
    <x v="0"/>
    <x v="23"/>
    <x v="6"/>
    <s v="INSTALADOR I"/>
    <x v="783"/>
    <x v="783"/>
    <x v="24"/>
    <x v="7"/>
    <x v="3"/>
    <x v="0"/>
    <x v="1"/>
  </r>
  <r>
    <x v="783"/>
    <n v="109505858"/>
    <s v="ATIVIDADE NORMAL"/>
    <s v="06/02/2019"/>
    <x v="0"/>
    <x v="46"/>
    <x v="14"/>
    <x v="11"/>
    <s v="Regional Pernambuco"/>
    <s v="Interior"/>
    <s v="MultiSkill"/>
    <x v="4"/>
    <s v="TEC MULTIFUNCIONAL"/>
    <s v="ATIVIDADE NORMAL"/>
    <s v="ACV"/>
    <s v="47641215491"/>
    <s v="04/09/2019"/>
    <s v="THIAGO DE LIMA PIRES RODRIGUES"/>
    <s v="DECIO FABIANO LOPES FERREIRA"/>
    <s v="NIVALDO DE OLIVEIRA SOARES"/>
    <x v="0"/>
    <x v="11"/>
    <x v="2"/>
    <s v="TECNICO MULTIFUNCIONAL"/>
    <x v="784"/>
    <x v="784"/>
    <x v="12"/>
    <x v="0"/>
    <x v="0"/>
    <x v="0"/>
    <x v="0"/>
  </r>
  <r>
    <x v="784"/>
    <n v="101008003"/>
    <s v="ATIVIDADE NORMAL"/>
    <s v="24/04/2019"/>
    <x v="1"/>
    <x v="4"/>
    <x v="0"/>
    <x v="4"/>
    <s v="Regional Ceará"/>
    <s v="Capital Oeste Ceará"/>
    <s v="Tecnico de campo"/>
    <x v="0"/>
    <s v="TEC MULTIFUNCIONAL"/>
    <s v="ATIVIDADE NORMAL"/>
    <s v="COO"/>
    <s v="47778563304"/>
    <s v="04/09/2019"/>
    <s v="NILO WEBER RAMOS RIBEIRO"/>
    <s v="ANTONIO ROBEVANIO PINHEIRO"/>
    <s v="JONILSON FELIPE VIEIRA"/>
    <x v="0"/>
    <x v="54"/>
    <x v="1"/>
    <s v="TECNICO MULTIFUNCIONAL"/>
    <x v="785"/>
    <x v="785"/>
    <x v="3"/>
    <x v="1"/>
    <x v="1"/>
    <x v="0"/>
    <x v="0"/>
  </r>
  <r>
    <x v="785"/>
    <n v="109000119"/>
    <s v="ATIVIDADE NORMAL"/>
    <s v="03/07/2019"/>
    <x v="0"/>
    <x v="25"/>
    <x v="2"/>
    <x v="10"/>
    <s v="Regional Pernambuco"/>
    <s v="Recife"/>
    <s v="Tecnico de campo"/>
    <x v="1"/>
    <s v="CABISTA I"/>
    <s v="ATIVIDADE NORMAL"/>
    <s v="PES"/>
    <s v="48013986420"/>
    <s v="04/09/2019"/>
    <s v="AMARILDO GOMES DE MELO"/>
    <s v="MARCOS DE OLIVEIRA STEHLING"/>
    <s v="NIVALDO DE OLIVEIRA SOARES"/>
    <x v="0"/>
    <x v="71"/>
    <x v="3"/>
    <s v="CABISTA I"/>
    <x v="786"/>
    <x v="786"/>
    <x v="60"/>
    <x v="3"/>
    <x v="0"/>
    <x v="0"/>
    <x v="1"/>
  </r>
  <r>
    <x v="786"/>
    <n v="102101634"/>
    <s v="AFAST DOENCA MAIS DE 15 DIAS"/>
    <s v="15/03/2016"/>
    <x v="3"/>
    <x v="29"/>
    <x v="20"/>
    <x v="19"/>
    <s v="Regional Pernambuco"/>
    <s v="Natal"/>
    <s v="Tecnico de campo"/>
    <x v="7"/>
    <s v="INSTALADOR"/>
    <s v="AFAST DOENCA MAIS DE 15 DIAS"/>
    <s v="NTN"/>
    <s v="48137952420"/>
    <s v="04/09/2019"/>
    <s v="FABIO BATISTA DA SILVA"/>
    <s v="REINILSON IGLESIAS JUNIOR"/>
    <s v="WENDELL FRANKLIN VIEIRA MAIA"/>
    <x v="1"/>
    <x v="51"/>
    <x v="2"/>
    <s v="INSTALADOR I"/>
    <x v="787"/>
    <x v="787"/>
    <x v="29"/>
    <x v="7"/>
    <x v="3"/>
    <x v="2"/>
    <x v="0"/>
  </r>
  <r>
    <x v="787"/>
    <n v="102100390"/>
    <s v="AFAST DOENCA MAIS DE 15 DIAS"/>
    <s v="14/11/2014"/>
    <x v="3"/>
    <x v="28"/>
    <x v="20"/>
    <x v="21"/>
    <s v="Regional Pernambuco"/>
    <s v="Natal"/>
    <s v="Tecnico de campo"/>
    <x v="7"/>
    <s v="INSTALADOR"/>
    <s v="AFAST DOENCA MAIS DE 15 DIAS"/>
    <s v="NTS"/>
    <s v="48159638434"/>
    <s v="04/09/2019"/>
    <s v="ANDRIER CARLOS SOARES FERREIRA"/>
    <s v="REINILSON IGLESIAS JUNIOR"/>
    <s v="WENDELL FRANKLIN VIEIRA MAIA"/>
    <x v="1"/>
    <x v="30"/>
    <x v="2"/>
    <s v="INSTALADOR I"/>
    <x v="788"/>
    <x v="788"/>
    <x v="43"/>
    <x v="7"/>
    <x v="3"/>
    <x v="2"/>
    <x v="0"/>
  </r>
  <r>
    <x v="788"/>
    <n v="101008003"/>
    <s v="ATIVIDADE NORMAL"/>
    <s v="23/08/2018"/>
    <x v="1"/>
    <x v="3"/>
    <x v="18"/>
    <x v="3"/>
    <s v="Regional Ceará"/>
    <s v="Capital Oeste Ceará"/>
    <s v="Tecnico de campo"/>
    <x v="0"/>
    <s v="TEC MULTIFUNCIONAL"/>
    <s v="ATIVIDADE NORMAL"/>
    <s v="CNO"/>
    <s v="48442135391"/>
    <s v="04/09/2019"/>
    <s v="NILO WEBER RAMOS RIBEIRO"/>
    <s v="ANTONIO ROBEVANIO PINHEIRO"/>
    <s v="JONILSON FELIPE VIEIRA"/>
    <x v="0"/>
    <x v="54"/>
    <x v="1"/>
    <s v="TECNICO MULTIFUNCIONAL"/>
    <x v="789"/>
    <x v="789"/>
    <x v="3"/>
    <x v="1"/>
    <x v="1"/>
    <x v="0"/>
    <x v="0"/>
  </r>
  <r>
    <x v="789"/>
    <n v="109000017"/>
    <s v="ATIVIDADE NORMAL"/>
    <s v="11/02/2019"/>
    <x v="0"/>
    <x v="68"/>
    <x v="2"/>
    <x v="10"/>
    <s v="Regional Pernambuco"/>
    <s v="Recife"/>
    <s v="Tecnico de campo"/>
    <x v="1"/>
    <s v="CABISTA I"/>
    <s v="ATIVIDADE NORMAL"/>
    <s v="PES"/>
    <s v="49195220453"/>
    <s v="04/09/2019"/>
    <s v="AMAURY ASSIS DE LIMA"/>
    <s v="DECIO FABIANO LOPES FERREIRA"/>
    <s v="NIVALDO DE OLIVEIRA SOARES"/>
    <x v="0"/>
    <x v="14"/>
    <x v="2"/>
    <s v="CABISTA I"/>
    <x v="790"/>
    <x v="790"/>
    <x v="15"/>
    <x v="0"/>
    <x v="0"/>
    <x v="0"/>
    <x v="1"/>
  </r>
  <r>
    <x v="790"/>
    <n v="109000340"/>
    <s v="AFAST DOENCA MAIS DE 15 DIAS"/>
    <s v="22/07/2019"/>
    <x v="0"/>
    <x v="38"/>
    <x v="14"/>
    <x v="22"/>
    <s v="Regional Pernambuco"/>
    <s v="Interior"/>
    <s v="MultiSkill"/>
    <x v="4"/>
    <s v="TEC MULTIFUNCIONAL"/>
    <s v="AFAST DOENCA MAIS DE 15 DIAS"/>
    <s v="CAA"/>
    <s v="49371916400"/>
    <s v="04/09/2019"/>
    <s v="AILTON JOSE DOS SANTOS"/>
    <s v="DECIO FABIANO LOPES FERREIRA"/>
    <s v="NIVALDO DE OLIVEIRA SOARES"/>
    <x v="1"/>
    <x v="41"/>
    <x v="2"/>
    <s v="TECNICO MULTIFUNCIONAL"/>
    <x v="791"/>
    <x v="791"/>
    <x v="22"/>
    <x v="0"/>
    <x v="0"/>
    <x v="2"/>
    <x v="0"/>
  </r>
  <r>
    <x v="791"/>
    <n v="109501286"/>
    <s v="ATIVIDADE NORMAL"/>
    <s v="31/07/2019"/>
    <x v="0"/>
    <x v="30"/>
    <x v="3"/>
    <x v="13"/>
    <s v="Regional Pernambuco"/>
    <s v="Recife"/>
    <s v="Tecnico de campo"/>
    <x v="2"/>
    <s v="TEC MULTIFUNCIONAL"/>
    <s v="ATIVIDADE NORMAL"/>
    <s v="OES"/>
    <s v="49795040430"/>
    <s v="04/09/2019"/>
    <s v="JOSE HENRIQUE NEGRAO DE MEDEIROS"/>
    <s v="DECIO FABIANO LOPES FERREIRA"/>
    <s v="NIVALDO DE OLIVEIRA SOARES"/>
    <x v="0"/>
    <x v="37"/>
    <x v="2"/>
    <s v="TECNICO MULTIFUNCIONAL"/>
    <x v="792"/>
    <x v="792"/>
    <x v="34"/>
    <x v="0"/>
    <x v="0"/>
    <x v="0"/>
    <x v="0"/>
  </r>
  <r>
    <x v="792"/>
    <n v="101004033"/>
    <s v="ATIVIDADE NORMAL"/>
    <s v="02/01/2019"/>
    <x v="1"/>
    <x v="58"/>
    <x v="10"/>
    <x v="4"/>
    <s v="Regional Ceará"/>
    <s v="Capital Oeste Ceará"/>
    <s v="MultiSkill"/>
    <x v="4"/>
    <s v="TEC MULTIFUNCIONAL"/>
    <s v="ATIVIDADE NORMAL"/>
    <s v="COO"/>
    <s v="50010360387"/>
    <s v="04/09/2019"/>
    <s v="HENRIQUE OLIVEIRA DO NASCIMENTO"/>
    <s v="ALENCAR DE SOUZA SANTOS"/>
    <s v="JONILSON FELIPE VIEIRA"/>
    <x v="0"/>
    <x v="63"/>
    <x v="2"/>
    <s v="TECNICO MULTIFUNCIONAL"/>
    <x v="793"/>
    <x v="793"/>
    <x v="52"/>
    <x v="4"/>
    <x v="1"/>
    <x v="0"/>
    <x v="0"/>
  </r>
  <r>
    <x v="793"/>
    <n v="101005989"/>
    <s v="ATIVIDADE NORMAL"/>
    <s v="24/07/2019"/>
    <x v="1"/>
    <x v="69"/>
    <x v="8"/>
    <x v="3"/>
    <s v="Regional Ceará"/>
    <s v="Capital Oeste Ceará"/>
    <s v="Tecnico de campo"/>
    <x v="6"/>
    <s v="CABISTA II"/>
    <s v="ATIVIDADE NORMAL"/>
    <s v="CNO"/>
    <s v="50081713304"/>
    <s v="04/09/2019"/>
    <s v="JOSENIL GOMES RODRIGUES"/>
    <s v="ALENCAR DE SOUZA SANTOS"/>
    <s v="JONILSON FELIPE VIEIRA"/>
    <x v="0"/>
    <x v="17"/>
    <x v="7"/>
    <s v="CABISTA II"/>
    <x v="794"/>
    <x v="794"/>
    <x v="18"/>
    <x v="4"/>
    <x v="1"/>
    <x v="0"/>
    <x v="1"/>
  </r>
  <r>
    <x v="794"/>
    <n v="101005376"/>
    <s v="FERIAS NORMAIS"/>
    <s v="19/08/2019"/>
    <x v="1"/>
    <x v="69"/>
    <x v="2"/>
    <x v="3"/>
    <s v="Regional Ceará"/>
    <s v="Capital Oeste Ceará"/>
    <s v="Tecnico de campo"/>
    <x v="1"/>
    <s v="CABISTA III"/>
    <s v="FERIAS NORMAIS"/>
    <s v="CNO"/>
    <s v="50614479304"/>
    <s v="04/09/2019"/>
    <s v="JOSE VENILSON DA SILVA"/>
    <s v="VANDERLEI HENZEL CHOLLET"/>
    <s v="JONILSON FELIPE VIEIRA"/>
    <x v="1"/>
    <x v="88"/>
    <x v="13"/>
    <s v="CABISTA III"/>
    <x v="795"/>
    <x v="795"/>
    <x v="72"/>
    <x v="8"/>
    <x v="1"/>
    <x v="1"/>
    <x v="1"/>
  </r>
  <r>
    <x v="795"/>
    <n v="109504193"/>
    <s v="ATIVIDADE NORMAL"/>
    <s v="26/06/2019"/>
    <x v="0"/>
    <x v="68"/>
    <x v="2"/>
    <x v="10"/>
    <s v="Regional Pernambuco"/>
    <s v="Recife"/>
    <s v="Tecnico de campo"/>
    <x v="1"/>
    <s v="CABISTA I"/>
    <s v="ATIVIDADE NORMAL"/>
    <s v="PES"/>
    <s v="51390450449"/>
    <s v="04/09/2019"/>
    <s v="PAULO JOSE DA SILVA JUNIOR"/>
    <s v="MARCOS DE OLIVEIRA STEHLING"/>
    <s v="NIVALDO DE OLIVEIRA SOARES"/>
    <x v="0"/>
    <x v="34"/>
    <x v="13"/>
    <s v="CABISTA I"/>
    <x v="796"/>
    <x v="796"/>
    <x v="30"/>
    <x v="3"/>
    <x v="0"/>
    <x v="0"/>
    <x v="1"/>
  </r>
  <r>
    <x v="796"/>
    <n v="109500315"/>
    <s v="ATIVIDADE NORMAL"/>
    <s v="19/12/2018"/>
    <x v="0"/>
    <x v="60"/>
    <x v="6"/>
    <x v="14"/>
    <s v="Regional Pernambuco"/>
    <s v="Recife"/>
    <s v="Tecnico de campo"/>
    <x v="5"/>
    <s v="TEC MULTIFUNCIONAL"/>
    <s v="ATIVIDADE NORMAL"/>
    <s v="NOR"/>
    <s v="51446812472"/>
    <s v="04/09/2019"/>
    <s v="IVALDO BEZERRA NOVAIS"/>
    <s v="DECIO FABIANO LOPES FERREIRA"/>
    <s v="NIVALDO DE OLIVEIRA SOARES"/>
    <x v="0"/>
    <x v="47"/>
    <x v="6"/>
    <s v="TECNICO MULTIFUNCIONAL"/>
    <x v="797"/>
    <x v="797"/>
    <x v="42"/>
    <x v="0"/>
    <x v="0"/>
    <x v="0"/>
    <x v="1"/>
  </r>
  <r>
    <x v="797"/>
    <n v="105303134"/>
    <s v="ATIVIDADE NORMAL"/>
    <s v="12/05/2019"/>
    <x v="2"/>
    <x v="42"/>
    <x v="5"/>
    <x v="12"/>
    <s v="Regional Pernambuco"/>
    <s v="João Pessoa"/>
    <s v="MultiSkill"/>
    <x v="4"/>
    <s v="TEC MULTIFUNCIONAL"/>
    <s v="ATIVIDADE NORMAL"/>
    <s v="JPA"/>
    <s v="51521520453"/>
    <s v="04/09/2019"/>
    <s v="GLAUBER JOSE GOMES LEITAO"/>
    <s v="WENDELL FRANKLIN VIEIRA MAIA"/>
    <s v="WENDELL FRANKLIN VIEIRA MAIA"/>
    <x v="0"/>
    <x v="43"/>
    <x v="2"/>
    <s v="TECNICO MULTIFUNCIONAL"/>
    <x v="798"/>
    <x v="798"/>
    <x v="39"/>
    <x v="6"/>
    <x v="3"/>
    <x v="0"/>
    <x v="0"/>
  </r>
  <r>
    <x v="798"/>
    <n v="109506172"/>
    <s v="ATIVIDADE NORMAL"/>
    <s v="14/04/2019"/>
    <x v="0"/>
    <x v="59"/>
    <x v="10"/>
    <x v="13"/>
    <s v="Regional Pernambuco"/>
    <s v="Recife"/>
    <s v="MultiSkill"/>
    <x v="4"/>
    <s v="TEC MULTIFUNCIONAL"/>
    <s v="ATIVIDADE NORMAL"/>
    <s v="OES"/>
    <s v="51778122434"/>
    <s v="04/09/2019"/>
    <s v="MARCUS VINICIUS NEVES DE BRITO"/>
    <s v="DECIO FABIANO LOPES FERREIRA"/>
    <s v="NIVALDO DE OLIVEIRA SOARES"/>
    <x v="0"/>
    <x v="14"/>
    <x v="2"/>
    <s v="TECNICO MULTIFUNCIONAL"/>
    <x v="799"/>
    <x v="799"/>
    <x v="54"/>
    <x v="0"/>
    <x v="0"/>
    <x v="0"/>
    <x v="0"/>
  </r>
  <r>
    <x v="799"/>
    <n v="105303208"/>
    <s v="FERIAS NORMAIS"/>
    <s v="19/08/2019"/>
    <x v="2"/>
    <x v="15"/>
    <x v="12"/>
    <x v="12"/>
    <s v="Regional Pernambuco"/>
    <s v="João Pessoa"/>
    <s v="Equipe SWAT"/>
    <x v="6"/>
    <s v="CABISTA III"/>
    <s v="FERIAS NORMAIS"/>
    <s v="JPA"/>
    <s v="51916363415"/>
    <s v="04/09/2019"/>
    <s v="FERNANDO ANTONIO PORTO DE FREITAS"/>
    <s v="WENDELL FRANKLIN VIEIRA MAIA"/>
    <s v="WENDELL FRANKLIN VIEIRA MAIA"/>
    <x v="1"/>
    <x v="35"/>
    <x v="7"/>
    <s v="CABISTA III"/>
    <x v="800"/>
    <x v="800"/>
    <x v="16"/>
    <x v="6"/>
    <x v="3"/>
    <x v="1"/>
    <x v="1"/>
  </r>
  <r>
    <x v="800"/>
    <n v="109504012"/>
    <s v="ATIVIDADE NORMAL"/>
    <s v="01/02/2019"/>
    <x v="2"/>
    <x v="54"/>
    <x v="12"/>
    <x v="12"/>
    <s v="Regional Pernambuco"/>
    <s v="João Pessoa"/>
    <s v="Equipe SWAT"/>
    <x v="6"/>
    <s v="CABISTA III"/>
    <s v="ATIVIDADE NORMAL"/>
    <s v="JPA"/>
    <s v="52066690597"/>
    <s v="04/09/2019"/>
    <s v="FRANCISCO JOSE DIAS DA SILVA"/>
    <s v="WENDELL FRANKLIN VIEIRA MAIA"/>
    <s v="WENDELL FRANKLIN VIEIRA MAIA"/>
    <x v="0"/>
    <x v="36"/>
    <x v="10"/>
    <s v="CABISTA III"/>
    <x v="801"/>
    <x v="801"/>
    <x v="25"/>
    <x v="6"/>
    <x v="3"/>
    <x v="0"/>
    <x v="1"/>
  </r>
  <r>
    <x v="801"/>
    <n v="101003771"/>
    <s v="ATIVIDADE NORMAL"/>
    <s v="03/04/2019"/>
    <x v="1"/>
    <x v="58"/>
    <x v="6"/>
    <x v="4"/>
    <s v="Regional Ceará"/>
    <s v="Capital Oeste Ceará"/>
    <s v="Tecnico de campo"/>
    <x v="5"/>
    <s v="INSTALADOR"/>
    <s v="ATIVIDADE NORMAL"/>
    <s v="COO"/>
    <s v="04974252380"/>
    <s v="04/09/2019"/>
    <s v="ANA CLAUDIA DE CASTRO DA SILVA"/>
    <s v="ALENCAR DE SOUZA SANTOS"/>
    <s v="JONILSON FELIPE VIEIRA"/>
    <x v="0"/>
    <x v="13"/>
    <x v="6"/>
    <s v="INSTALADOR I"/>
    <x v="802"/>
    <x v="802"/>
    <x v="14"/>
    <x v="4"/>
    <x v="1"/>
    <x v="0"/>
    <x v="1"/>
  </r>
  <r>
    <x v="802"/>
    <n v="102101634"/>
    <s v="FERIAS NOR AD 13 SALARIO"/>
    <s v="19/08/2019"/>
    <x v="3"/>
    <x v="62"/>
    <x v="8"/>
    <x v="19"/>
    <s v="Regional Pernambuco"/>
    <s v="Natal"/>
    <s v="Equipe SWAT"/>
    <x v="6"/>
    <s v="CABISTA I"/>
    <s v="FERIAS NOR AD 13 SALARIO"/>
    <s v="NTN"/>
    <s v="04993363486"/>
    <s v="04/09/2019"/>
    <s v="FABIO BATISTA DA SILVA"/>
    <s v="REINILSON IGLESIAS JUNIOR"/>
    <s v="WENDELL FRANKLIN VIEIRA MAIA"/>
    <x v="1"/>
    <x v="23"/>
    <x v="10"/>
    <s v="CABISTA I"/>
    <x v="803"/>
    <x v="803"/>
    <x v="29"/>
    <x v="7"/>
    <x v="3"/>
    <x v="1"/>
    <x v="1"/>
  </r>
  <r>
    <x v="803"/>
    <n v="101005380"/>
    <s v="ATIVIDADE NORMAL"/>
    <s v="31/07/2019"/>
    <x v="1"/>
    <x v="19"/>
    <x v="8"/>
    <x v="15"/>
    <s v="Regional Ceará"/>
    <s v="Sobral"/>
    <s v="Tecnico de campo"/>
    <x v="6"/>
    <s v="CABISTA II"/>
    <s v="ATIVIDADE NORMAL"/>
    <s v="SOL"/>
    <s v="05018630361"/>
    <s v="04/09/2019"/>
    <s v="MARCILIO RIBEIRO DOS SANTOS"/>
    <s v="JEFFERSON OLIVEIRA DA SILVA"/>
    <s v="JONILSON FELIPE VIEIRA"/>
    <x v="0"/>
    <x v="19"/>
    <x v="7"/>
    <s v="CABISTA II"/>
    <x v="804"/>
    <x v="804"/>
    <x v="20"/>
    <x v="2"/>
    <x v="1"/>
    <x v="0"/>
    <x v="1"/>
  </r>
  <r>
    <x v="804"/>
    <n v="108401409"/>
    <s v="ATIVIDADE NORMAL"/>
    <s v="04/04/2019"/>
    <x v="1"/>
    <x v="8"/>
    <x v="19"/>
    <x v="2"/>
    <s v="Regional Ceará"/>
    <s v="Capital Sul Ceará"/>
    <s v="Tecnico de campo"/>
    <x v="8"/>
    <s v="INSTALADOR DTH"/>
    <s v="ATIVIDADE NORMAL"/>
    <s v="GCL"/>
    <s v="05021274309"/>
    <s v="04/09/2019"/>
    <s v="JOSE NILTON MENDES LIMA"/>
    <s v="VANDERLEI HENZEL CHOLLET"/>
    <s v="JONILSON FELIPE VIEIRA"/>
    <x v="0"/>
    <x v="8"/>
    <x v="11"/>
    <s v="INSTALADOR DTH"/>
    <x v="805"/>
    <x v="805"/>
    <x v="32"/>
    <x v="8"/>
    <x v="1"/>
    <x v="0"/>
    <x v="1"/>
  </r>
  <r>
    <x v="805"/>
    <n v="102100390"/>
    <s v="ATIVIDADE NORMAL"/>
    <s v="26/03/2019"/>
    <x v="3"/>
    <x v="45"/>
    <x v="10"/>
    <x v="21"/>
    <s v="Regional Pernambuco"/>
    <s v="Natal"/>
    <s v="MultiSkill"/>
    <x v="4"/>
    <s v="TEC MULTIFUNCIONAL"/>
    <s v="ATIVIDADE NORMAL"/>
    <s v="NTS"/>
    <s v="05023385477"/>
    <s v="04/09/2019"/>
    <s v="ANDRIER CARLOS SOARES FERREIRA"/>
    <s v="REINILSON IGLESIAS JUNIOR"/>
    <s v="WENDELL FRANKLIN VIEIRA MAIA"/>
    <x v="0"/>
    <x v="48"/>
    <x v="2"/>
    <s v="TECNICO MULTIFUNCIONAL"/>
    <x v="806"/>
    <x v="806"/>
    <x v="43"/>
    <x v="7"/>
    <x v="3"/>
    <x v="0"/>
    <x v="0"/>
  </r>
  <r>
    <x v="806"/>
    <n v="105303207"/>
    <s v="ATIVIDADE NORMAL"/>
    <s v="09/01/2019"/>
    <x v="2"/>
    <x v="34"/>
    <x v="2"/>
    <x v="12"/>
    <s v="Regional Pernambuco"/>
    <s v="João Pessoa"/>
    <s v="Equipe SWAT"/>
    <x v="1"/>
    <s v="CABISTA I"/>
    <s v="ATIVIDADE NORMAL"/>
    <s v="JPA"/>
    <s v="05040178450"/>
    <s v="04/09/2019"/>
    <s v="RAFAEL FERNANDES MATIAS"/>
    <s v="WENDELL FRANKLIN VIEIRA MAIA"/>
    <s v="WENDELL FRANKLIN VIEIRA MAIA"/>
    <x v="0"/>
    <x v="49"/>
    <x v="7"/>
    <s v="CABISTA I"/>
    <x v="807"/>
    <x v="807"/>
    <x v="44"/>
    <x v="6"/>
    <x v="3"/>
    <x v="0"/>
    <x v="1"/>
  </r>
  <r>
    <x v="807"/>
    <n v="109504012"/>
    <s v="ATIVIDADE NORMAL"/>
    <s v="24/04/2019"/>
    <x v="2"/>
    <x v="42"/>
    <x v="6"/>
    <x v="12"/>
    <s v="Regional Pernambuco"/>
    <s v="João Pessoa"/>
    <s v="Tecnico de campo"/>
    <x v="5"/>
    <s v="TEC MULTIFUNCIONAL"/>
    <s v="ATIVIDADE NORMAL"/>
    <s v="JPA"/>
    <s v="05082538454"/>
    <s v="04/09/2019"/>
    <s v="FRANCISCO JOSE DIAS DA SILVA"/>
    <s v="WENDELL FRANKLIN VIEIRA MAIA"/>
    <s v="WENDELL FRANKLIN VIEIRA MAIA"/>
    <x v="0"/>
    <x v="59"/>
    <x v="2"/>
    <s v="TECNICO MULTIFUNCIONAL"/>
    <x v="808"/>
    <x v="808"/>
    <x v="25"/>
    <x v="6"/>
    <x v="3"/>
    <x v="0"/>
    <x v="1"/>
  </r>
  <r>
    <x v="808"/>
    <n v="109000340"/>
    <s v="FERIAS NORMAIS"/>
    <s v="26/08/2019"/>
    <x v="0"/>
    <x v="38"/>
    <x v="20"/>
    <x v="22"/>
    <s v="Regional Pernambuco"/>
    <s v="Interior"/>
    <s v="Tecnico de campo"/>
    <x v="7"/>
    <s v="TEC MULTIFUNCIONAL"/>
    <s v="FERIAS NORMAIS"/>
    <s v="CAA"/>
    <s v="52604578468"/>
    <s v="04/09/2019"/>
    <s v="AILTON JOSE DOS SANTOS"/>
    <s v="DECIO FABIANO LOPES FERREIRA"/>
    <s v="NIVALDO DE OLIVEIRA SOARES"/>
    <x v="1"/>
    <x v="41"/>
    <x v="6"/>
    <s v="TECNICO MULTIFUNCIONAL"/>
    <x v="809"/>
    <x v="809"/>
    <x v="22"/>
    <x v="0"/>
    <x v="0"/>
    <x v="1"/>
    <x v="0"/>
  </r>
  <r>
    <x v="809"/>
    <n v="101007665"/>
    <s v="ATIVIDADE NORMAL"/>
    <s v="03/07/2019"/>
    <x v="1"/>
    <x v="48"/>
    <x v="11"/>
    <x v="3"/>
    <s v="Regional Ceará"/>
    <s v="Capital Oeste Ceará"/>
    <s v="MultiSkill"/>
    <x v="1"/>
    <s v="TEC MULTIFUNCIONAL"/>
    <s v="ATIVIDADE NORMAL"/>
    <s v="CNO"/>
    <s v="52631842391"/>
    <s v="04/09/2019"/>
    <s v="CARLOS AUGUSTO ALVES DE SOUSA"/>
    <s v="ALENCAR DE SOUZA SANTOS"/>
    <s v="JONILSON FELIPE VIEIRA"/>
    <x v="0"/>
    <x v="33"/>
    <x v="2"/>
    <s v="TECNICO MULTIFUNCIONAL"/>
    <x v="810"/>
    <x v="810"/>
    <x v="45"/>
    <x v="4"/>
    <x v="1"/>
    <x v="0"/>
    <x v="1"/>
  </r>
  <r>
    <x v="810"/>
    <n v="109000926"/>
    <s v="ATIVIDADE NORMAL"/>
    <s v="01/05/2019"/>
    <x v="0"/>
    <x v="35"/>
    <x v="2"/>
    <x v="14"/>
    <s v="Regional Pernambuco"/>
    <s v="Recife"/>
    <s v="Tecnico de campo"/>
    <x v="1"/>
    <s v="CABISTA III"/>
    <s v="ATIVIDADE NORMAL"/>
    <s v="NOR"/>
    <s v="54179858487"/>
    <s v="04/09/2019"/>
    <s v="ANTONIO MAGNO DE CASTRO LEAO"/>
    <s v="BRUNO VINICIUS DE ALBERTINS ALVES"/>
    <s v="NIVALDO DE OLIVEIRA SOARES"/>
    <x v="0"/>
    <x v="45"/>
    <x v="7"/>
    <s v="CABISTA III"/>
    <x v="811"/>
    <x v="811"/>
    <x v="41"/>
    <x v="9"/>
    <x v="0"/>
    <x v="0"/>
    <x v="1"/>
  </r>
  <r>
    <x v="811"/>
    <n v="109000943"/>
    <s v="FERIAS NORMAIS"/>
    <s v="19/08/2019"/>
    <x v="0"/>
    <x v="60"/>
    <x v="3"/>
    <x v="14"/>
    <s v="Regional Pernambuco"/>
    <s v="Recife"/>
    <s v="Tecnico de campo"/>
    <x v="2"/>
    <s v="TEC MULTIFUNCIONAL"/>
    <s v="FERIAS NORMAIS"/>
    <s v="NOR"/>
    <s v="54578159434"/>
    <s v="04/09/2019"/>
    <s v="MAURO BRAGA RANGEL"/>
    <s v="BRUNO VINICIUS DE ALBERTINS ALVES"/>
    <s v="NIVALDO DE OLIVEIRA SOARES"/>
    <x v="1"/>
    <x v="40"/>
    <x v="2"/>
    <s v="TECNICO MULTIFUNCIONAL"/>
    <x v="812"/>
    <x v="812"/>
    <x v="56"/>
    <x v="9"/>
    <x v="0"/>
    <x v="1"/>
    <x v="0"/>
  </r>
  <r>
    <x v="812"/>
    <n v="101010209"/>
    <s v="ATIVIDADE NORMAL"/>
    <s v="09/09/2019"/>
    <x v="1"/>
    <x v="10"/>
    <x v="10"/>
    <x v="4"/>
    <s v="Regional Ceará"/>
    <s v="Capital Oeste Ceará"/>
    <s v="MultiSkill"/>
    <x v="4"/>
    <s v="TEC MULTIFUNCIONAL"/>
    <s v="ATIVIDADE NORMAL"/>
    <s v="COO"/>
    <s v="54820588320"/>
    <s v="04/09/2019"/>
    <s v="KARLYSSON FRANCO SANTANA DE SOUSA"/>
    <s v="ALENCAR DE SOUZA SANTOS"/>
    <s v="JONILSON FELIPE VIEIRA"/>
    <x v="0"/>
    <x v="10"/>
    <x v="2"/>
    <s v="TECNICO MULTIFUNCIONAL"/>
    <x v="813"/>
    <x v="813"/>
    <x v="11"/>
    <x v="4"/>
    <x v="1"/>
    <x v="0"/>
    <x v="0"/>
  </r>
  <r>
    <x v="813"/>
    <n v="101007963"/>
    <s v="ATIVIDADE NORMAL"/>
    <s v="06/03/2019"/>
    <x v="1"/>
    <x v="41"/>
    <x v="10"/>
    <x v="4"/>
    <s v="Regional Ceará"/>
    <s v="Capital Oeste Ceará"/>
    <s v="MultiSkill"/>
    <x v="4"/>
    <s v="TEC MULTIFUNCIONAL"/>
    <s v="ATIVIDADE NORMAL"/>
    <s v="COO"/>
    <s v="54897114349"/>
    <s v="04/09/2019"/>
    <s v="JOSEVAN DE SOUSA SILVA"/>
    <s v="ALENCAR DE SOUZA SANTOS"/>
    <s v="JONILSON FELIPE VIEIRA"/>
    <x v="0"/>
    <x v="39"/>
    <x v="2"/>
    <s v="TECNICO MULTIFUNCIONAL"/>
    <x v="814"/>
    <x v="814"/>
    <x v="35"/>
    <x v="4"/>
    <x v="1"/>
    <x v="0"/>
    <x v="0"/>
  </r>
  <r>
    <x v="814"/>
    <n v="101005380"/>
    <s v="ATIVIDADE NORMAL"/>
    <s v="30/09/2019"/>
    <x v="1"/>
    <x v="19"/>
    <x v="8"/>
    <x v="15"/>
    <s v="Regional Ceará"/>
    <s v="Sobral"/>
    <s v="Tecnico de campo"/>
    <x v="6"/>
    <s v="CABISTA III"/>
    <s v="ATIVIDADE NORMAL"/>
    <s v="SOL"/>
    <s v="54957184372"/>
    <s v="04/09/2019"/>
    <s v="MARCILIO RIBEIRO DOS SANTOS"/>
    <s v="JEFFERSON OLIVEIRA DA SILVA"/>
    <s v="JONILSON FELIPE VIEIRA"/>
    <x v="0"/>
    <x v="19"/>
    <x v="7"/>
    <s v="CABISTA III"/>
    <x v="815"/>
    <x v="815"/>
    <x v="20"/>
    <x v="2"/>
    <x v="1"/>
    <x v="0"/>
    <x v="1"/>
  </r>
  <r>
    <x v="815"/>
    <n v="101005380"/>
    <s v="ATIVIDADE NORMAL"/>
    <s v="30/05/2019"/>
    <x v="1"/>
    <x v="19"/>
    <x v="5"/>
    <x v="15"/>
    <s v="Regional Ceará"/>
    <s v="Sobral"/>
    <s v="MultiSkill"/>
    <x v="4"/>
    <s v="TEC MULTIFUNCIONAL"/>
    <s v="ATIVIDADE NORMAL"/>
    <s v="SOL"/>
    <s v="55347010134"/>
    <s v="04/09/2019"/>
    <s v="MARCILIO RIBEIRO DOS SANTOS"/>
    <s v="JEFFERSON OLIVEIRA DA SILVA"/>
    <s v="JONILSON FELIPE VIEIRA"/>
    <x v="0"/>
    <x v="19"/>
    <x v="2"/>
    <s v="TECNICO MULTIFUNCIONAL"/>
    <x v="816"/>
    <x v="816"/>
    <x v="20"/>
    <x v="2"/>
    <x v="1"/>
    <x v="0"/>
    <x v="0"/>
  </r>
  <r>
    <x v="816"/>
    <n v="109504369"/>
    <s v="FERIAS NORMAIS"/>
    <s v="19/08/2019"/>
    <x v="0"/>
    <x v="53"/>
    <x v="2"/>
    <x v="23"/>
    <s v="Regional Pernambuco"/>
    <s v="Interior"/>
    <s v="Tecnico de campo"/>
    <x v="1"/>
    <s v="CABISTA II"/>
    <s v="FERIAS NORMAIS"/>
    <s v="CBO"/>
    <s v="55793568468"/>
    <s v="04/09/2019"/>
    <s v="JOSE HAILTON ATAIDE"/>
    <s v="MARCOS DE OLIVEIRA STEHLING"/>
    <s v="NIVALDO DE OLIVEIRA SOARES"/>
    <x v="1"/>
    <x v="55"/>
    <x v="3"/>
    <s v="CABISTA II"/>
    <x v="817"/>
    <x v="817"/>
    <x v="46"/>
    <x v="3"/>
    <x v="0"/>
    <x v="1"/>
    <x v="1"/>
  </r>
  <r>
    <x v="817"/>
    <n v="101001670"/>
    <s v="FERIAS NORMAIS"/>
    <s v="19/08/2019"/>
    <x v="1"/>
    <x v="8"/>
    <x v="10"/>
    <x v="2"/>
    <s v="Regional Ceará"/>
    <s v="Capital Sul Ceará"/>
    <s v="MultiSkill"/>
    <x v="4"/>
    <s v="TEC MULTIFUNCIONAL"/>
    <s v="FERIAS NORMAIS"/>
    <s v="GCL"/>
    <s v="56741731334"/>
    <s v="04/09/2019"/>
    <s v="FRANCISCO MARCOS TEIXEIRA DOS SANTOS"/>
    <s v="JEFFERSON OLIVEIRA DA SILVA"/>
    <s v="JONILSON FELIPE VIEIRA"/>
    <x v="1"/>
    <x v="8"/>
    <x v="2"/>
    <s v="TECNICO MULTIFUNCIONAL"/>
    <x v="818"/>
    <x v="818"/>
    <x v="9"/>
    <x v="2"/>
    <x v="1"/>
    <x v="1"/>
    <x v="0"/>
  </r>
  <r>
    <x v="818"/>
    <n v="101008003"/>
    <s v="ATIVIDADE NORMAL"/>
    <s v="04/10/2018"/>
    <x v="1"/>
    <x v="4"/>
    <x v="0"/>
    <x v="4"/>
    <s v="Regional Ceará"/>
    <s v="Capital Oeste Ceará"/>
    <s v="Tecnico de campo"/>
    <x v="0"/>
    <s v="AUX TECNICO DE FIBRA OPTICA"/>
    <s v="ATIVIDADE NORMAL"/>
    <s v="COO"/>
    <s v="56755538353"/>
    <s v="04/09/2019"/>
    <s v="NILO WEBER RAMOS RIBEIRO"/>
    <s v="ANTONIO ROBEVANIO PINHEIRO"/>
    <s v="JONILSON FELIPE VIEIRA"/>
    <x v="0"/>
    <x v="54"/>
    <x v="1"/>
    <s v="AUXILIAR FIBRA OPTICA"/>
    <x v="819"/>
    <x v="819"/>
    <x v="3"/>
    <x v="1"/>
    <x v="1"/>
    <x v="0"/>
    <x v="0"/>
  </r>
  <r>
    <x v="819"/>
    <n v="101005989"/>
    <s v="ATIVIDADE NORMAL"/>
    <s v="31/07/2019"/>
    <x v="1"/>
    <x v="17"/>
    <x v="13"/>
    <x v="3"/>
    <s v="Regional Ceará"/>
    <s v="Capital Oeste Ceará"/>
    <s v="Tecnico de campo"/>
    <x v="8"/>
    <s v="OP DG"/>
    <s v="ATIVIDADE NORMAL"/>
    <s v="CNO"/>
    <s v="56771169391"/>
    <s v="04/09/2019"/>
    <s v="JOSENIL GOMES RODRIGUES"/>
    <s v="ALENCAR DE SOUZA SANTOS"/>
    <s v="JONILSON FELIPE VIEIRA"/>
    <x v="1"/>
    <x v="17"/>
    <x v="9"/>
    <s v="OPERADOR"/>
    <x v="820"/>
    <x v="820"/>
    <x v="18"/>
    <x v="4"/>
    <x v="1"/>
    <x v="0"/>
    <x v="1"/>
  </r>
  <r>
    <x v="820"/>
    <n v="109000427"/>
    <s v="ATIVIDADE NORMAL"/>
    <s v="17/04/2019"/>
    <x v="0"/>
    <x v="0"/>
    <x v="2"/>
    <x v="0"/>
    <s v="Regional Pernambuco"/>
    <s v="Interior"/>
    <s v="Tecnico de campo"/>
    <x v="1"/>
    <s v="CABISTA I"/>
    <s v="ATIVIDADE NORMAL"/>
    <s v="CRU"/>
    <s v="57072540482"/>
    <s v="04/09/2019"/>
    <s v="HAMILTON DAVINO DA SILVA"/>
    <s v="MARCOS DE OLIVEIRA STEHLING"/>
    <s v="NIVALDO DE OLIVEIRA SOARES"/>
    <x v="0"/>
    <x v="6"/>
    <x v="3"/>
    <s v="CABISTA I"/>
    <x v="821"/>
    <x v="821"/>
    <x v="7"/>
    <x v="3"/>
    <x v="0"/>
    <x v="0"/>
    <x v="1"/>
  </r>
  <r>
    <x v="821"/>
    <n v="109504369"/>
    <s v="FERIAS NORMAIS"/>
    <s v="02/09/2019"/>
    <x v="0"/>
    <x v="53"/>
    <x v="2"/>
    <x v="23"/>
    <s v="Regional Pernambuco"/>
    <s v="Interior"/>
    <s v="Tecnico de campo"/>
    <x v="1"/>
    <s v="CABISTA I"/>
    <s v="FERIAS NORMAIS"/>
    <s v="CBO"/>
    <s v="58030590482"/>
    <s v="04/09/2019"/>
    <s v="JOSE HAILTON ATAIDE"/>
    <s v="MARCOS DE OLIVEIRA STEHLING"/>
    <s v="NIVALDO DE OLIVEIRA SOARES"/>
    <x v="1"/>
    <x v="55"/>
    <x v="3"/>
    <s v="CABISTA I"/>
    <x v="822"/>
    <x v="822"/>
    <x v="46"/>
    <x v="3"/>
    <x v="0"/>
    <x v="1"/>
    <x v="1"/>
  </r>
  <r>
    <x v="822"/>
    <n v="109504193"/>
    <s v="ATIVIDADE NORMAL"/>
    <s v="31/07/2019"/>
    <x v="0"/>
    <x v="56"/>
    <x v="2"/>
    <x v="10"/>
    <s v="Regional Pernambuco"/>
    <s v="Recife"/>
    <s v="Tecnico de campo"/>
    <x v="1"/>
    <s v="CABISTA III"/>
    <s v="ATIVIDADE NORMAL"/>
    <s v="PES"/>
    <s v="58329757404"/>
    <s v="04/09/2019"/>
    <s v="PAULO JOSE DA SILVA JUNIOR"/>
    <s v="MARCOS DE OLIVEIRA STEHLING"/>
    <s v="NIVALDO DE OLIVEIRA SOARES"/>
    <x v="0"/>
    <x v="34"/>
    <x v="13"/>
    <s v="CABISTA III"/>
    <x v="823"/>
    <x v="823"/>
    <x v="30"/>
    <x v="3"/>
    <x v="0"/>
    <x v="0"/>
    <x v="1"/>
  </r>
  <r>
    <x v="823"/>
    <n v="109000017"/>
    <s v="FERIAS NORMAIS"/>
    <s v="19/08/2019"/>
    <x v="0"/>
    <x v="25"/>
    <x v="10"/>
    <x v="10"/>
    <s v="Regional Pernambuco"/>
    <s v="Recife"/>
    <s v="MultiSkill"/>
    <x v="4"/>
    <s v="TEC MULTIFUNCIONAL"/>
    <s v="FERIAS NORMAIS"/>
    <s v="PES"/>
    <s v="58342443434"/>
    <s v="04/09/2019"/>
    <s v="AMAURY ASSIS DE LIMA"/>
    <s v="DECIO FABIANO LOPES FERREIRA"/>
    <s v="NIVALDO DE OLIVEIRA SOARES"/>
    <x v="1"/>
    <x v="24"/>
    <x v="2"/>
    <s v="TECNICO MULTIFUNCIONAL"/>
    <x v="824"/>
    <x v="824"/>
    <x v="15"/>
    <x v="0"/>
    <x v="0"/>
    <x v="1"/>
    <x v="0"/>
  </r>
  <r>
    <x v="824"/>
    <n v="101005241"/>
    <s v="ATIVIDADE NORMAL"/>
    <s v="31/10/2018"/>
    <x v="1"/>
    <x v="31"/>
    <x v="5"/>
    <x v="5"/>
    <s v="Regional Ceará"/>
    <s v="Juazeiro"/>
    <s v="MultiSkill"/>
    <x v="4"/>
    <s v="TEC MULTIFUNCIONAL"/>
    <s v="ATIVIDADE NORMAL"/>
    <s v="JNE"/>
    <s v="58421343491"/>
    <s v="04/09/2019"/>
    <s v="CLAUDECIR GOMES MACIEL"/>
    <s v="JEFFERSON OLIVEIRA DA SILVA"/>
    <s v="JONILSON FELIPE VIEIRA"/>
    <x v="0"/>
    <x v="5"/>
    <x v="6"/>
    <s v="TECNICO MULTIFUNCIONAL"/>
    <x v="825"/>
    <x v="825"/>
    <x v="6"/>
    <x v="2"/>
    <x v="1"/>
    <x v="0"/>
    <x v="0"/>
  </r>
  <r>
    <x v="825"/>
    <n v="109500177"/>
    <s v="ATIVIDADE NORMAL"/>
    <s v="01/02/2019"/>
    <x v="0"/>
    <x v="18"/>
    <x v="15"/>
    <x v="14"/>
    <s v="Regional Pernambuco"/>
    <s v="Recife"/>
    <s v="Tecnico de campo"/>
    <x v="9"/>
    <s v="INSTALADOR DTH"/>
    <s v="ATIVIDADE NORMAL"/>
    <s v="NOR"/>
    <s v="58646760472"/>
    <s v="04/09/2019"/>
    <s v="JOSUEL FERREIRA DE BRITO"/>
    <s v="BRUNO VINICIUS DE ALBERTINS ALVES"/>
    <s v="NIVALDO DE OLIVEIRA SOARES"/>
    <x v="0"/>
    <x v="89"/>
    <x v="11"/>
    <s v="INSTALADOR DTH"/>
    <x v="826"/>
    <x v="826"/>
    <x v="36"/>
    <x v="9"/>
    <x v="0"/>
    <x v="0"/>
    <x v="0"/>
  </r>
  <r>
    <x v="826"/>
    <n v="109506174"/>
    <s v="ATIVIDADE NORMAL"/>
    <s v="07/06/2019"/>
    <x v="0"/>
    <x v="53"/>
    <x v="14"/>
    <x v="23"/>
    <s v="Regional Pernambuco"/>
    <s v="Interior"/>
    <s v="MultiSkill"/>
    <x v="4"/>
    <s v="TEC MULTIFUNCIONAL"/>
    <s v="ATIVIDADE NORMAL"/>
    <s v="CBO"/>
    <s v="58983082453"/>
    <s v="04/09/2019"/>
    <s v="ALYSSON HENRIQUE FERREIRA DE LUCENA"/>
    <s v="DECIO FABIANO LOPES FERREIRA"/>
    <s v="NIVALDO DE OLIVEIRA SOARES"/>
    <x v="0"/>
    <x v="21"/>
    <x v="2"/>
    <s v="TECNICO MULTIFUNCIONAL"/>
    <x v="827"/>
    <x v="827"/>
    <x v="55"/>
    <x v="0"/>
    <x v="0"/>
    <x v="0"/>
    <x v="0"/>
  </r>
  <r>
    <x v="827"/>
    <n v="102100917"/>
    <s v="ATIVIDADE NORMAL"/>
    <s v="06/02/2019"/>
    <x v="3"/>
    <x v="27"/>
    <x v="10"/>
    <x v="20"/>
    <s v="Regional Pernambuco"/>
    <s v="Natal"/>
    <s v="MultiSkill"/>
    <x v="4"/>
    <s v="TEC MULTIFUNCIONAL"/>
    <s v="ATIVIDADE NORMAL"/>
    <s v="MRO"/>
    <s v="05092699400"/>
    <s v="04/09/2019"/>
    <s v="FERNANDO FREITAS ALMEIDA DOS SANTOS"/>
    <s v="REINILSON IGLESIAS JUNIOR"/>
    <s v="WENDELL FRANKLIN VIEIRA MAIA"/>
    <x v="0"/>
    <x v="28"/>
    <x v="2"/>
    <s v="TECNICO MULTIFUNCIONAL"/>
    <x v="828"/>
    <x v="828"/>
    <x v="27"/>
    <x v="7"/>
    <x v="3"/>
    <x v="0"/>
    <x v="0"/>
  </r>
  <r>
    <x v="828"/>
    <n v="109000119"/>
    <s v="ATIVIDADE NORMAL"/>
    <s v="27/03/2019"/>
    <x v="0"/>
    <x v="35"/>
    <x v="2"/>
    <x v="14"/>
    <s v="Regional Pernambuco"/>
    <s v="Recife"/>
    <s v="Tecnico de campo"/>
    <x v="1"/>
    <s v="CABISTA I"/>
    <s v="ATIVIDADE NORMAL"/>
    <s v="NOR"/>
    <s v="05093061441"/>
    <s v="04/09/2019"/>
    <s v="AMARILDO GOMES DE MELO"/>
    <s v="MARCOS DE OLIVEIRA STEHLING"/>
    <s v="NIVALDO DE OLIVEIRA SOARES"/>
    <x v="0"/>
    <x v="71"/>
    <x v="3"/>
    <s v="CABISTA I"/>
    <x v="829"/>
    <x v="829"/>
    <x v="60"/>
    <x v="3"/>
    <x v="0"/>
    <x v="0"/>
    <x v="1"/>
  </r>
  <r>
    <x v="829"/>
    <n v="102101393"/>
    <s v="ATIVIDADE NORMAL"/>
    <s v="02/01/2019"/>
    <x v="3"/>
    <x v="27"/>
    <x v="6"/>
    <x v="20"/>
    <s v="Regional Pernambuco"/>
    <s v="Natal"/>
    <s v="Tecnico de campo"/>
    <x v="5"/>
    <s v="INSTALADOR TUP"/>
    <s v="ATIVIDADE NORMAL"/>
    <s v="MRO"/>
    <s v="05108348410"/>
    <s v="04/09/2019"/>
    <s v="SIDNEY MOURA FREIRE"/>
    <s v="REINILSON IGLESIAS JUNIOR"/>
    <s v="WENDELL FRANKLIN VIEIRA MAIA"/>
    <x v="0"/>
    <x v="23"/>
    <x v="6"/>
    <s v="INSTALADOR I"/>
    <x v="830"/>
    <x v="830"/>
    <x v="24"/>
    <x v="7"/>
    <x v="3"/>
    <x v="0"/>
    <x v="1"/>
  </r>
  <r>
    <x v="830"/>
    <n v="101006811"/>
    <s v="ATIVIDADE NORMAL"/>
    <s v="05/06/2019"/>
    <x v="1"/>
    <x v="43"/>
    <x v="14"/>
    <x v="8"/>
    <s v="Regional Ceará"/>
    <s v="Quixadá"/>
    <s v="MultiSkill"/>
    <x v="4"/>
    <s v="TEC MULTIFUNCIONAL"/>
    <s v="ATIVIDADE NORMAL"/>
    <s v="QXA"/>
    <s v="05139913364"/>
    <s v="04/09/2019"/>
    <s v="CARLOS FERNANDES GUIMARAES"/>
    <s v="ALENCAR DE SOUZA SANTOS"/>
    <s v="JONILSON FELIPE VIEIRA"/>
    <x v="0"/>
    <x v="44"/>
    <x v="2"/>
    <s v="TECNICO MULTIFUNCIONAL"/>
    <x v="831"/>
    <x v="831"/>
    <x v="40"/>
    <x v="4"/>
    <x v="1"/>
    <x v="0"/>
    <x v="0"/>
  </r>
  <r>
    <x v="831"/>
    <n v="102101634"/>
    <s v="ATIVIDADE NORMAL"/>
    <s v="28/11/2018"/>
    <x v="3"/>
    <x v="62"/>
    <x v="10"/>
    <x v="19"/>
    <s v="Regional Pernambuco"/>
    <s v="Natal"/>
    <s v="MultiSkill"/>
    <x v="4"/>
    <s v="TEC MULTIFUNCIONAL"/>
    <s v="ATIVIDADE NORMAL"/>
    <s v="NTN"/>
    <s v="05176633418"/>
    <s v="04/09/2019"/>
    <s v="FABIO BATISTA DA SILVA"/>
    <s v="REINILSON IGLESIAS JUNIOR"/>
    <s v="WENDELL FRANKLIN VIEIRA MAIA"/>
    <x v="0"/>
    <x v="30"/>
    <x v="2"/>
    <s v="TECNICO MULTIFUNCIONAL"/>
    <x v="832"/>
    <x v="832"/>
    <x v="29"/>
    <x v="7"/>
    <x v="3"/>
    <x v="0"/>
    <x v="0"/>
  </r>
  <r>
    <x v="832"/>
    <n v="102100390"/>
    <s v="ATIVIDADE NORMAL"/>
    <s v="03/04/2019"/>
    <x v="3"/>
    <x v="45"/>
    <x v="4"/>
    <x v="21"/>
    <s v="Regional Pernambuco"/>
    <s v="Natal"/>
    <s v="MultiSkill"/>
    <x v="3"/>
    <s v="TEC MULTIFUNCIONAL"/>
    <s v="ATIVIDADE NORMAL"/>
    <s v="NTS"/>
    <s v="05179045436"/>
    <s v="04/09/2019"/>
    <s v="ANDRIER CARLOS SOARES FERREIRA"/>
    <s v="REINILSON IGLESIAS JUNIOR"/>
    <s v="WENDELL FRANKLIN VIEIRA MAIA"/>
    <x v="0"/>
    <x v="48"/>
    <x v="11"/>
    <s v="TECNICO MULTIFUNCIONAL"/>
    <x v="833"/>
    <x v="833"/>
    <x v="43"/>
    <x v="7"/>
    <x v="3"/>
    <x v="0"/>
    <x v="0"/>
  </r>
  <r>
    <x v="833"/>
    <n v="109000017"/>
    <s v="ATIVIDADE NORMAL"/>
    <s v="30/09/2019"/>
    <x v="0"/>
    <x v="13"/>
    <x v="10"/>
    <x v="10"/>
    <s v="Regional Pernambuco"/>
    <s v="Recife"/>
    <s v="MultiSkill"/>
    <x v="4"/>
    <s v="TEC MULTIFUNCIONAL"/>
    <s v="ATIVIDADE NORMAL"/>
    <s v="PES"/>
    <s v="59352221400"/>
    <s v="04/09/2019"/>
    <s v="AMAURY ASSIS DE LIMA"/>
    <s v="DECIO FABIANO LOPES FERREIRA"/>
    <s v="NIVALDO DE OLIVEIRA SOARES"/>
    <x v="0"/>
    <x v="14"/>
    <x v="2"/>
    <s v="TECNICO MULTIFUNCIONAL"/>
    <x v="834"/>
    <x v="834"/>
    <x v="15"/>
    <x v="0"/>
    <x v="0"/>
    <x v="0"/>
    <x v="0"/>
  </r>
  <r>
    <x v="834"/>
    <n v="101001782"/>
    <s v="ATIVIDADE NORMAL"/>
    <s v="06/02/2019"/>
    <x v="1"/>
    <x v="40"/>
    <x v="4"/>
    <x v="8"/>
    <s v="Regional Ceará"/>
    <s v="Quixadá"/>
    <s v="MultiSkill"/>
    <x v="3"/>
    <s v="TEC MULTIFUNCIONAL"/>
    <s v="ATIVIDADE NORMAL"/>
    <s v="QXA"/>
    <s v="60022149333"/>
    <s v="04/09/2019"/>
    <s v="LYNDON JONHSON SILVA LIMA"/>
    <s v="ALENCAR DE SOUZA SANTOS"/>
    <s v="JONILSON FELIPE VIEIRA"/>
    <x v="0"/>
    <x v="9"/>
    <x v="2"/>
    <s v="TECNICO MULTIFUNCIONAL"/>
    <x v="835"/>
    <x v="835"/>
    <x v="10"/>
    <x v="4"/>
    <x v="1"/>
    <x v="0"/>
    <x v="0"/>
  </r>
  <r>
    <x v="835"/>
    <n v="101007963"/>
    <s v="FERIAS NORMAIS"/>
    <s v="02/09/2019"/>
    <x v="1"/>
    <x v="41"/>
    <x v="10"/>
    <x v="4"/>
    <s v="Regional Ceará"/>
    <s v="Capital Oeste Ceará"/>
    <s v="MultiSkill"/>
    <x v="4"/>
    <s v="TEC MULTIFUNCIONAL"/>
    <s v="FERIAS NORMAIS"/>
    <s v="COO"/>
    <s v="60403974380"/>
    <s v="04/09/2019"/>
    <s v="JOSEVAN DE SOUSA SILVA"/>
    <s v="ALENCAR DE SOUZA SANTOS"/>
    <s v="JONILSON FELIPE VIEIRA"/>
    <x v="1"/>
    <x v="39"/>
    <x v="2"/>
    <s v="TECNICO MULTIFUNCIONAL"/>
    <x v="836"/>
    <x v="836"/>
    <x v="35"/>
    <x v="4"/>
    <x v="1"/>
    <x v="1"/>
    <x v="0"/>
  </r>
  <r>
    <x v="836"/>
    <n v="101001488"/>
    <s v="ATIVIDADE NORMAL"/>
    <s v="24/04/2019"/>
    <x v="1"/>
    <x v="2"/>
    <x v="18"/>
    <x v="2"/>
    <s v="Regional Ceará"/>
    <s v="Capital Sul Ceará"/>
    <s v="Tecnico de campo"/>
    <x v="0"/>
    <s v="TEC MULTIFUNCIONAL"/>
    <s v="ATIVIDADE NORMAL"/>
    <s v="GCL"/>
    <s v="60573737312"/>
    <s v="04/09/2019"/>
    <s v="MICHEL SOARES DE OLIVEIRA"/>
    <s v="ANTONIO ROBEVANIO PINHEIRO"/>
    <s v="JONILSON FELIPE VIEIRA"/>
    <x v="0"/>
    <x v="46"/>
    <x v="1"/>
    <s v="TECNICO MULTIFUNCIONAL"/>
    <x v="837"/>
    <x v="837"/>
    <x v="2"/>
    <x v="1"/>
    <x v="1"/>
    <x v="0"/>
    <x v="0"/>
  </r>
  <r>
    <x v="837"/>
    <n v="101010210"/>
    <s v="ATIVIDADE NORMAL"/>
    <s v="19/12/2018"/>
    <x v="1"/>
    <x v="2"/>
    <x v="18"/>
    <x v="2"/>
    <s v="Regional Ceará"/>
    <s v="Capital Sul Ceará"/>
    <s v="Tecnico de campo"/>
    <x v="0"/>
    <s v="TEC MULTIFUNCIONAL"/>
    <s v="ATIVIDADE NORMAL"/>
    <s v="GCL"/>
    <s v="60595184359"/>
    <s v="04/09/2019"/>
    <s v="ANTONIO FABIO DOS SANTOS LIMA"/>
    <s v="ANTONIO ROBEVANIO PINHEIRO"/>
    <s v="JONILSON FELIPE VIEIRA"/>
    <x v="0"/>
    <x v="50"/>
    <x v="1"/>
    <s v="TECNICO MULTIFUNCIONAL"/>
    <x v="838"/>
    <x v="838"/>
    <x v="1"/>
    <x v="1"/>
    <x v="1"/>
    <x v="0"/>
    <x v="0"/>
  </r>
  <r>
    <x v="838"/>
    <n v="101005376"/>
    <s v="ATIVIDADE NORMAL"/>
    <s v="03/07/2019"/>
    <x v="1"/>
    <x v="12"/>
    <x v="2"/>
    <x v="1"/>
    <s v="Regional Ceará"/>
    <s v="Capital Sul Ceará"/>
    <s v="Tecnico de campo"/>
    <x v="1"/>
    <s v="INSTALADOR"/>
    <s v="ATIVIDADE NORMAL"/>
    <s v="GCS"/>
    <s v="60605448191"/>
    <s v="04/09/2019"/>
    <s v="JOSE VENILSON DA SILVA"/>
    <s v="VANDERLEI HENZEL CHOLLET"/>
    <s v="JONILSON FELIPE VIEIRA"/>
    <x v="0"/>
    <x v="88"/>
    <x v="13"/>
    <s v="INSTALADOR I"/>
    <x v="839"/>
    <x v="839"/>
    <x v="72"/>
    <x v="8"/>
    <x v="1"/>
    <x v="0"/>
    <x v="1"/>
  </r>
  <r>
    <x v="839"/>
    <n v="101007963"/>
    <s v="ATIVIDADE NORMAL"/>
    <s v="19/06/2019"/>
    <x v="1"/>
    <x v="41"/>
    <x v="13"/>
    <x v="4"/>
    <s v="Regional Ceará"/>
    <s v="Capital Oeste Ceará"/>
    <s v="Tecnico de campo"/>
    <x v="8"/>
    <s v="OP DG"/>
    <s v="ATIVIDADE NORMAL"/>
    <s v="COO"/>
    <s v="60730202364"/>
    <s v="04/09/2019"/>
    <s v="JOSEVAN DE SOUSA SILVA"/>
    <s v="ALENCAR DE SOUZA SANTOS"/>
    <s v="JONILSON FELIPE VIEIRA"/>
    <x v="1"/>
    <x v="39"/>
    <x v="9"/>
    <s v="OPERADOR"/>
    <x v="840"/>
    <x v="840"/>
    <x v="35"/>
    <x v="4"/>
    <x v="1"/>
    <x v="0"/>
    <x v="1"/>
  </r>
  <r>
    <x v="840"/>
    <n v="101008003"/>
    <s v="ATIVIDADE NORMAL"/>
    <s v="24/04/2019"/>
    <x v="1"/>
    <x v="4"/>
    <x v="0"/>
    <x v="4"/>
    <s v="Regional Ceará"/>
    <s v="Capital Oeste Ceará"/>
    <s v="Tecnico de campo"/>
    <x v="0"/>
    <s v="TEC MULTIFUNCIONAL"/>
    <s v="ATIVIDADE NORMAL"/>
    <s v="COO"/>
    <s v="60766631389"/>
    <s v="04/09/2019"/>
    <s v="NILO WEBER RAMOS RIBEIRO"/>
    <s v="ANTONIO ROBEVANIO PINHEIRO"/>
    <s v="JONILSON FELIPE VIEIRA"/>
    <x v="0"/>
    <x v="75"/>
    <x v="1"/>
    <s v="TECNICO MULTIFUNCIONAL"/>
    <x v="841"/>
    <x v="841"/>
    <x v="3"/>
    <x v="1"/>
    <x v="1"/>
    <x v="0"/>
    <x v="0"/>
  </r>
  <r>
    <x v="841"/>
    <n v="101005989"/>
    <s v="FERIAS NORMAIS"/>
    <s v="19/08/2019"/>
    <x v="1"/>
    <x v="69"/>
    <x v="10"/>
    <x v="3"/>
    <s v="Regional Ceará"/>
    <s v="Capital Oeste Ceará"/>
    <s v="MultiSkill"/>
    <x v="4"/>
    <s v="TEC MULTIFUNCIONAL"/>
    <s v="FERIAS NORMAIS"/>
    <s v="CNO"/>
    <s v="60875135234"/>
    <s v="04/09/2019"/>
    <s v="JOSENIL GOMES RODRIGUES"/>
    <s v="ALENCAR DE SOUZA SANTOS"/>
    <s v="JONILSON FELIPE VIEIRA"/>
    <x v="1"/>
    <x v="17"/>
    <x v="2"/>
    <s v="TECNICO MULTIFUNCIONAL"/>
    <x v="842"/>
    <x v="842"/>
    <x v="18"/>
    <x v="4"/>
    <x v="1"/>
    <x v="1"/>
    <x v="0"/>
  </r>
  <r>
    <x v="842"/>
    <n v="101001488"/>
    <s v="ATIVIDADE NORMAL"/>
    <s v="25/06/2019"/>
    <x v="1"/>
    <x v="2"/>
    <x v="1"/>
    <x v="2"/>
    <s v="Regional Ceará"/>
    <s v="Capital Sul Ceará"/>
    <s v="MultiSkill"/>
    <x v="0"/>
    <s v="TEC MULTIFUNCIONAL"/>
    <s v="ATIVIDADE NORMAL"/>
    <s v="GCL"/>
    <s v="61457183315"/>
    <s v="04/09/2019"/>
    <s v="MICHEL SOARES DE OLIVEIRA"/>
    <s v="ANTONIO ROBEVANIO PINHEIRO"/>
    <s v="JONILSON FELIPE VIEIRA"/>
    <x v="0"/>
    <x v="50"/>
    <x v="1"/>
    <s v="TECNICO MULTIFUNCIONAL"/>
    <x v="843"/>
    <x v="843"/>
    <x v="2"/>
    <x v="1"/>
    <x v="1"/>
    <x v="0"/>
    <x v="0"/>
  </r>
  <r>
    <x v="843"/>
    <n v="101006811"/>
    <s v="ATIVIDADE NORMAL"/>
    <s v="31/07/2019"/>
    <x v="1"/>
    <x v="43"/>
    <x v="12"/>
    <x v="8"/>
    <s v="Regional Ceará"/>
    <s v="Quixadá"/>
    <s v="Equipe SWAT"/>
    <x v="6"/>
    <s v="CABISTA I"/>
    <s v="ATIVIDADE NORMAL"/>
    <s v="QXA"/>
    <s v="61500585300"/>
    <s v="04/09/2019"/>
    <s v="CARLOS FERNANDES GUIMARAES"/>
    <s v="ALENCAR DE SOUZA SANTOS"/>
    <s v="JONILSON FELIPE VIEIRA"/>
    <x v="0"/>
    <x v="9"/>
    <x v="10"/>
    <s v="CABISTA I"/>
    <x v="844"/>
    <x v="844"/>
    <x v="40"/>
    <x v="4"/>
    <x v="1"/>
    <x v="0"/>
    <x v="1"/>
  </r>
  <r>
    <x v="844"/>
    <n v="101005527"/>
    <s v="ATIVIDADE NORMAL"/>
    <s v="20/05/2019"/>
    <x v="1"/>
    <x v="64"/>
    <x v="2"/>
    <x v="3"/>
    <s v="Regional Ceará"/>
    <s v="Capital Oeste Ceará"/>
    <s v="Tecnico de campo"/>
    <x v="1"/>
    <s v="CABISTA I"/>
    <s v="ATIVIDADE NORMAL"/>
    <s v="CNO"/>
    <s v="61755761520"/>
    <s v="04/09/2019"/>
    <s v="DANIEL MARTINS CARDOSO PONTE"/>
    <s v="CRISTIANO FERREIRA DE SOUZA CASTRO"/>
    <s v="HEBERT JONES SOUTO ARAUJO"/>
    <x v="0"/>
    <x v="79"/>
    <x v="16"/>
    <s v="CABISTA I"/>
    <x v="845"/>
    <x v="845"/>
    <x v="75"/>
    <x v="14"/>
    <x v="5"/>
    <x v="0"/>
    <x v="1"/>
  </r>
  <r>
    <x v="845"/>
    <n v="101005989"/>
    <s v="ATIVIDADE NORMAL"/>
    <s v="26/11/2018"/>
    <x v="1"/>
    <x v="17"/>
    <x v="17"/>
    <x v="3"/>
    <s v="Regional Ceará"/>
    <s v="Capital Oeste Ceará"/>
    <s v="MultiSkill"/>
    <x v="4"/>
    <s v="TEC MULTIFUNCIONAL"/>
    <s v="ATIVIDADE NORMAL"/>
    <s v="CNO"/>
    <s v="62488953334"/>
    <s v="04/09/2019"/>
    <s v="JOSENIL GOMES RODRIGUES"/>
    <s v="ALENCAR DE SOUZA SANTOS"/>
    <s v="JONILSON FELIPE VIEIRA"/>
    <x v="0"/>
    <x v="17"/>
    <x v="2"/>
    <s v="TECNICO MULTIFUNCIONAL"/>
    <x v="846"/>
    <x v="846"/>
    <x v="18"/>
    <x v="4"/>
    <x v="1"/>
    <x v="0"/>
    <x v="0"/>
  </r>
  <r>
    <x v="846"/>
    <n v="101005527"/>
    <s v="ATIVIDADE NORMAL"/>
    <s v="06/02/2019"/>
    <x v="1"/>
    <x v="11"/>
    <x v="2"/>
    <x v="9"/>
    <s v="Regional Ceará"/>
    <s v="Juazeiro"/>
    <s v="Tecnico de campo"/>
    <x v="1"/>
    <s v="CABISTA I"/>
    <s v="ATIVIDADE NORMAL"/>
    <s v="IAU"/>
    <s v="62587447372"/>
    <s v="04/09/2019"/>
    <s v="DANIEL MARTINS CARDOSO PONTE"/>
    <s v="CRISTIANO FERREIRA DE SOUZA CASTRO"/>
    <s v="HEBERT JONES SOUTO ARAUJO"/>
    <x v="0"/>
    <x v="79"/>
    <x v="16"/>
    <s v="CABISTA I"/>
    <x v="847"/>
    <x v="847"/>
    <x v="75"/>
    <x v="14"/>
    <x v="5"/>
    <x v="0"/>
    <x v="1"/>
  </r>
  <r>
    <x v="847"/>
    <n v="101010209"/>
    <s v="ATIVIDADE NORMAL"/>
    <s v="31/07/2019"/>
    <x v="1"/>
    <x v="10"/>
    <x v="10"/>
    <x v="4"/>
    <s v="Regional Ceará"/>
    <s v="Capital Oeste Ceará"/>
    <s v="MultiSkill"/>
    <x v="4"/>
    <s v="TEC MULTIFUNCIONAL"/>
    <s v="ATIVIDADE NORMAL"/>
    <s v="COO"/>
    <s v="62611623368"/>
    <s v="04/09/2019"/>
    <s v="KARLYSSON FRANCO SANTANA DE SOUSA"/>
    <s v="ALENCAR DE SOUZA SANTOS"/>
    <s v="JONILSON FELIPE VIEIRA"/>
    <x v="0"/>
    <x v="10"/>
    <x v="2"/>
    <s v="TECNICO MULTIFUNCIONAL"/>
    <x v="848"/>
    <x v="848"/>
    <x v="11"/>
    <x v="4"/>
    <x v="1"/>
    <x v="0"/>
    <x v="0"/>
  </r>
  <r>
    <x v="848"/>
    <n v="102100390"/>
    <s v="AFAST DOENCA MAIS DE 15 DIAS"/>
    <s v="25/05/2014"/>
    <x v="3"/>
    <x v="24"/>
    <x v="20"/>
    <x v="19"/>
    <s v="Regional Pernambuco"/>
    <s v="Natal"/>
    <s v="Tecnico de campo"/>
    <x v="7"/>
    <s v="INSTALADOR"/>
    <s v="AFAST DOENCA MAIS DE 15 DIAS"/>
    <s v="NTN"/>
    <s v="62654845400"/>
    <s v="04/09/2019"/>
    <s v="ANDRIER CARLOS SOARES FERREIRA"/>
    <s v="REINILSON IGLESIAS JUNIOR"/>
    <s v="WENDELL FRANKLIN VIEIRA MAIA"/>
    <x v="1"/>
    <x v="30"/>
    <x v="2"/>
    <s v="INSTALADOR I"/>
    <x v="849"/>
    <x v="849"/>
    <x v="43"/>
    <x v="7"/>
    <x v="3"/>
    <x v="2"/>
    <x v="0"/>
  </r>
  <r>
    <x v="849"/>
    <n v="101010210"/>
    <s v="ATIVIDADE NORMAL"/>
    <s v="19/12/2018"/>
    <x v="1"/>
    <x v="1"/>
    <x v="18"/>
    <x v="1"/>
    <s v="Regional Ceará"/>
    <s v="Capital Sul Ceará"/>
    <s v="Tecnico de campo"/>
    <x v="0"/>
    <s v="TEC MULTIFUNCIONAL"/>
    <s v="ATIVIDADE NORMAL"/>
    <s v="GCS - FTTH"/>
    <s v="62673645349"/>
    <s v="04/09/2019"/>
    <s v="ANTONIO FABIO DOS SANTOS LIMA"/>
    <s v="ANTONIO ROBEVANIO PINHEIRO"/>
    <s v="JONILSON FELIPE VIEIRA"/>
    <x v="0"/>
    <x v="61"/>
    <x v="1"/>
    <s v="TECNICO MULTIFUNCIONAL"/>
    <x v="850"/>
    <x v="850"/>
    <x v="1"/>
    <x v="1"/>
    <x v="1"/>
    <x v="0"/>
    <x v="0"/>
  </r>
  <r>
    <x v="850"/>
    <n v="101010209"/>
    <s v="ATIVIDADE NORMAL"/>
    <s v="22/05/2019"/>
    <x v="1"/>
    <x v="10"/>
    <x v="10"/>
    <x v="4"/>
    <s v="Regional Ceará"/>
    <s v="Capital Oeste Ceará"/>
    <s v="MultiSkill"/>
    <x v="4"/>
    <s v="TEC MULTIFUNCIONAL"/>
    <s v="ATIVIDADE NORMAL"/>
    <s v="COO"/>
    <s v="62797450310"/>
    <s v="04/09/2019"/>
    <s v="KARLYSSON FRANCO SANTANA DE SOUSA"/>
    <s v="ALENCAR DE SOUZA SANTOS"/>
    <s v="JONILSON FELIPE VIEIRA"/>
    <x v="0"/>
    <x v="63"/>
    <x v="2"/>
    <s v="TECNICO MULTIFUNCIONAL"/>
    <x v="851"/>
    <x v="851"/>
    <x v="11"/>
    <x v="4"/>
    <x v="1"/>
    <x v="0"/>
    <x v="0"/>
  </r>
  <r>
    <x v="851"/>
    <n v="101005456"/>
    <s v="ATIVIDADE NORMAL"/>
    <s v="06/02/2019"/>
    <x v="1"/>
    <x v="57"/>
    <x v="2"/>
    <x v="4"/>
    <s v="Regional Ceará"/>
    <s v="Capital Oeste Ceará"/>
    <s v="Tecnico de campo"/>
    <x v="1"/>
    <s v="INSTALADOR"/>
    <s v="ATIVIDADE NORMAL"/>
    <s v="COO"/>
    <s v="62868268315"/>
    <s v="04/09/2019"/>
    <s v="MARCOS ALBERTO DOS SANTOS"/>
    <s v="VANDERLEI HENZEL CHOLLET"/>
    <s v="JONILSON FELIPE VIEIRA"/>
    <x v="0"/>
    <x v="8"/>
    <x v="3"/>
    <s v="INSTALADOR I"/>
    <x v="852"/>
    <x v="852"/>
    <x v="62"/>
    <x v="8"/>
    <x v="1"/>
    <x v="0"/>
    <x v="1"/>
  </r>
  <r>
    <x v="852"/>
    <n v="108401409"/>
    <s v="ATIVIDADE NORMAL"/>
    <s v="24/07/2019"/>
    <x v="1"/>
    <x v="58"/>
    <x v="15"/>
    <x v="4"/>
    <s v="Regional Ceará"/>
    <s v="Capital Oeste Ceará"/>
    <s v="Tecnico de campo"/>
    <x v="9"/>
    <s v="INSTALADOR DTH"/>
    <s v="ATIVIDADE NORMAL"/>
    <s v="COO"/>
    <s v="62908359391"/>
    <s v="04/09/2019"/>
    <s v="JOSE NILTON MENDES LIMA"/>
    <s v="VANDERLEI HENZEL CHOLLET"/>
    <s v="JONILSON FELIPE VIEIRA"/>
    <x v="0"/>
    <x v="63"/>
    <x v="11"/>
    <s v="INSTALADOR DTH"/>
    <x v="853"/>
    <x v="853"/>
    <x v="32"/>
    <x v="8"/>
    <x v="1"/>
    <x v="0"/>
    <x v="0"/>
  </r>
  <r>
    <x v="853"/>
    <n v="101005376"/>
    <s v="ATIVIDADE NORMAL"/>
    <s v="03/10/2018"/>
    <x v="1"/>
    <x v="47"/>
    <x v="2"/>
    <x v="1"/>
    <s v="Regional Ceará"/>
    <s v="Capital Sul Ceará"/>
    <s v="Tecnico de campo"/>
    <x v="1"/>
    <s v="TEC MULTIFUNCIONAL"/>
    <s v="ATIVIDADE NORMAL"/>
    <s v="GCS"/>
    <s v="62922262391"/>
    <s v="04/09/2019"/>
    <s v="JOSE VENILSON DA SILVA"/>
    <s v="VANDERLEI HENZEL CHOLLET"/>
    <s v="JONILSON FELIPE VIEIRA"/>
    <x v="1"/>
    <x v="88"/>
    <x v="13"/>
    <s v="TECNICO MULTIFUNCIONAL"/>
    <x v="854"/>
    <x v="854"/>
    <x v="72"/>
    <x v="8"/>
    <x v="1"/>
    <x v="0"/>
    <x v="1"/>
  </r>
  <r>
    <x v="854"/>
    <n v="101007963"/>
    <s v="ATIVIDADE NORMAL"/>
    <s v="31/07/2019"/>
    <x v="1"/>
    <x v="41"/>
    <x v="13"/>
    <x v="4"/>
    <s v="Regional Ceará"/>
    <s v="Capital Oeste Ceará"/>
    <s v="Tecnico de campo"/>
    <x v="8"/>
    <s v="OP DG"/>
    <s v="ATIVIDADE NORMAL"/>
    <s v="COO"/>
    <s v="63300516315"/>
    <s v="04/09/2019"/>
    <s v="JOSEVAN DE SOUSA SILVA"/>
    <s v="ALENCAR DE SOUZA SANTOS"/>
    <s v="JONILSON FELIPE VIEIRA"/>
    <x v="1"/>
    <x v="39"/>
    <x v="9"/>
    <s v="OPERADOR"/>
    <x v="855"/>
    <x v="855"/>
    <x v="35"/>
    <x v="4"/>
    <x v="1"/>
    <x v="0"/>
    <x v="1"/>
  </r>
  <r>
    <x v="855"/>
    <n v="101005989"/>
    <s v="ATIVIDADE NORMAL"/>
    <s v="02/06/2019"/>
    <x v="1"/>
    <x v="17"/>
    <x v="17"/>
    <x v="3"/>
    <s v="Regional Ceará"/>
    <s v="Capital Oeste Ceará"/>
    <s v="MultiSkill"/>
    <x v="4"/>
    <s v="TEC MULTIFUNCIONAL"/>
    <s v="ATIVIDADE NORMAL"/>
    <s v="CNO"/>
    <s v="63362902391"/>
    <s v="04/09/2019"/>
    <s v="JOSENIL GOMES RODRIGUES"/>
    <s v="ALENCAR DE SOUZA SANTOS"/>
    <s v="JONILSON FELIPE VIEIRA"/>
    <x v="0"/>
    <x v="17"/>
    <x v="2"/>
    <s v="TECNICO MULTIFUNCIONAL"/>
    <x v="856"/>
    <x v="856"/>
    <x v="18"/>
    <x v="4"/>
    <x v="1"/>
    <x v="0"/>
    <x v="0"/>
  </r>
  <r>
    <x v="856"/>
    <n v="101008003"/>
    <s v="ATIVIDADE NORMAL"/>
    <s v="31/10/2018"/>
    <x v="1"/>
    <x v="3"/>
    <x v="18"/>
    <x v="3"/>
    <s v="Regional Ceará"/>
    <s v="Capital Oeste Ceará"/>
    <s v="MultiSkill"/>
    <x v="0"/>
    <s v="TEC MULTIFUNCIONAL"/>
    <s v="ATIVIDADE NORMAL"/>
    <s v="CNO"/>
    <s v="63408945349"/>
    <s v="04/09/2019"/>
    <s v="NILO WEBER RAMOS RIBEIRO"/>
    <s v="ANTONIO ROBEVANIO PINHEIRO"/>
    <s v="JONILSON FELIPE VIEIRA"/>
    <x v="0"/>
    <x v="54"/>
    <x v="1"/>
    <s v="TECNICO MULTIFUNCIONAL"/>
    <x v="857"/>
    <x v="857"/>
    <x v="3"/>
    <x v="1"/>
    <x v="1"/>
    <x v="0"/>
    <x v="0"/>
  </r>
  <r>
    <x v="857"/>
    <n v="101001670"/>
    <s v="ATIVIDADE NORMAL"/>
    <s v="31/07/2019"/>
    <x v="1"/>
    <x v="8"/>
    <x v="10"/>
    <x v="2"/>
    <s v="Regional Ceará"/>
    <s v="Capital Sul Ceará"/>
    <s v="MultiSkill"/>
    <x v="4"/>
    <s v="TEC MULTIFUNCIONAL"/>
    <s v="ATIVIDADE NORMAL"/>
    <s v="GCL"/>
    <s v="63763303391"/>
    <s v="04/09/2019"/>
    <s v="FRANCISCO MARCOS TEIXEIRA DOS SANTOS"/>
    <s v="JEFFERSON OLIVEIRA DA SILVA"/>
    <s v="JONILSON FELIPE VIEIRA"/>
    <x v="0"/>
    <x v="32"/>
    <x v="2"/>
    <s v="TECNICO MULTIFUNCIONAL"/>
    <x v="858"/>
    <x v="858"/>
    <x v="9"/>
    <x v="2"/>
    <x v="1"/>
    <x v="0"/>
    <x v="0"/>
  </r>
  <r>
    <x v="858"/>
    <n v="102101220"/>
    <s v="ATIVIDADE NORMAL"/>
    <s v="03/04/2019"/>
    <x v="3"/>
    <x v="22"/>
    <x v="2"/>
    <x v="18"/>
    <s v="Regional Pernambuco"/>
    <s v="Natal"/>
    <s v="Tecnico de campo"/>
    <x v="1"/>
    <s v="INSTALADOR"/>
    <s v="ATIVIDADE NORMAL"/>
    <s v="RNS"/>
    <s v="63820153420"/>
    <s v="04/09/2019"/>
    <s v="JOSUE MOURA DA SILVA"/>
    <s v="REINILSON IGLESIAS JUNIOR"/>
    <s v="WENDELL FRANKLIN VIEIRA MAIA"/>
    <x v="0"/>
    <x v="22"/>
    <x v="7"/>
    <s v="INSTALADOR I"/>
    <x v="859"/>
    <x v="859"/>
    <x v="23"/>
    <x v="7"/>
    <x v="3"/>
    <x v="0"/>
    <x v="1"/>
  </r>
  <r>
    <x v="859"/>
    <n v="101001670"/>
    <s v="ATIVIDADE NORMAL"/>
    <s v="22/02/2019"/>
    <x v="1"/>
    <x v="8"/>
    <x v="8"/>
    <x v="2"/>
    <s v="Regional Ceará"/>
    <s v="Capital Sul Ceará"/>
    <s v="Tecnico de campo"/>
    <x v="6"/>
    <s v="CABISTA III"/>
    <s v="ATIVIDADE NORMAL"/>
    <s v="GCL"/>
    <s v="63892987300"/>
    <s v="04/09/2019"/>
    <s v="FRANCISCO MARCOS TEIXEIRA DOS SANTOS"/>
    <s v="JEFFERSON OLIVEIRA DA SILVA"/>
    <s v="JONILSON FELIPE VIEIRA"/>
    <x v="0"/>
    <x v="8"/>
    <x v="7"/>
    <s v="CABISTA III"/>
    <x v="860"/>
    <x v="860"/>
    <x v="9"/>
    <x v="2"/>
    <x v="1"/>
    <x v="0"/>
    <x v="1"/>
  </r>
  <r>
    <x v="860"/>
    <n v="101006811"/>
    <s v="FERIAS NORMAIS"/>
    <s v="19/08/2019"/>
    <x v="1"/>
    <x v="43"/>
    <x v="14"/>
    <x v="8"/>
    <s v="Regional Ceará"/>
    <s v="Quixadá"/>
    <s v="MultiSkill"/>
    <x v="4"/>
    <s v="TEC MULTIFUNCIONAL"/>
    <s v="FERIAS NORMAIS"/>
    <s v="QXA"/>
    <s v="64127940344"/>
    <s v="04/09/2019"/>
    <s v="CARLOS FERNANDES GUIMARAES"/>
    <s v="ALENCAR DE SOUZA SANTOS"/>
    <s v="JONILSON FELIPE VIEIRA"/>
    <x v="1"/>
    <x v="44"/>
    <x v="2"/>
    <s v="TECNICO MULTIFUNCIONAL"/>
    <x v="861"/>
    <x v="861"/>
    <x v="40"/>
    <x v="4"/>
    <x v="1"/>
    <x v="1"/>
    <x v="0"/>
  </r>
  <r>
    <x v="861"/>
    <n v="109000340"/>
    <s v="ATIVIDADE NORMAL"/>
    <s v="06/03/2019"/>
    <x v="0"/>
    <x v="38"/>
    <x v="14"/>
    <x v="22"/>
    <s v="Regional Pernambuco"/>
    <s v="Interior"/>
    <s v="MultiSkill"/>
    <x v="4"/>
    <s v="TEC MULTIFUNCIONAL"/>
    <s v="ATIVIDADE NORMAL"/>
    <s v="CAA"/>
    <s v="64310264468"/>
    <s v="04/09/2019"/>
    <s v="AILTON JOSE DOS SANTOS"/>
    <s v="DECIO FABIANO LOPES FERREIRA"/>
    <s v="NIVALDO DE OLIVEIRA SOARES"/>
    <x v="0"/>
    <x v="41"/>
    <x v="2"/>
    <s v="TECNICO MULTIFUNCIONAL"/>
    <x v="862"/>
    <x v="862"/>
    <x v="22"/>
    <x v="0"/>
    <x v="0"/>
    <x v="0"/>
    <x v="0"/>
  </r>
  <r>
    <x v="862"/>
    <n v="101005989"/>
    <s v="FERIAS NORMAIS"/>
    <s v="02/09/2019"/>
    <x v="1"/>
    <x v="17"/>
    <x v="17"/>
    <x v="3"/>
    <s v="Regional Ceará"/>
    <s v="Capital Oeste Ceará"/>
    <s v="MultiSkill"/>
    <x v="4"/>
    <s v="TEC MULTIFUNCIONAL"/>
    <s v="FERIAS NORMAIS"/>
    <s v="CNO"/>
    <s v="64421767387"/>
    <s v="04/09/2019"/>
    <s v="JOSENIL GOMES RODRIGUES"/>
    <s v="ALENCAR DE SOUZA SANTOS"/>
    <s v="JONILSON FELIPE VIEIRA"/>
    <x v="1"/>
    <x v="17"/>
    <x v="2"/>
    <s v="TECNICO MULTIFUNCIONAL"/>
    <x v="863"/>
    <x v="863"/>
    <x v="18"/>
    <x v="4"/>
    <x v="1"/>
    <x v="1"/>
    <x v="0"/>
  </r>
  <r>
    <x v="863"/>
    <n v="101008134"/>
    <s v="ATIVIDADE NORMAL"/>
    <s v="27/12/2018"/>
    <x v="1"/>
    <x v="47"/>
    <x v="10"/>
    <x v="1"/>
    <s v="Regional Ceará"/>
    <s v="Capital Sul Ceará"/>
    <s v="MultiSkill"/>
    <x v="4"/>
    <s v="TEC MULTIFUNCIONAL"/>
    <s v="ATIVIDADE NORMAL"/>
    <s v="GCS"/>
    <s v="64476553320"/>
    <s v="04/09/2019"/>
    <s v="BRUNO SAVIO DA SILVA"/>
    <s v="ANTONIO ROBEVANIO PINHEIRO"/>
    <s v="JONILSON FELIPE VIEIRA"/>
    <x v="0"/>
    <x v="8"/>
    <x v="2"/>
    <s v="TECNICO MULTIFUNCIONAL"/>
    <x v="864"/>
    <x v="864"/>
    <x v="5"/>
    <x v="1"/>
    <x v="1"/>
    <x v="0"/>
    <x v="0"/>
  </r>
  <r>
    <x v="864"/>
    <n v="101004033"/>
    <s v="ATIVIDADE NORMAL"/>
    <s v="31/07/2019"/>
    <x v="1"/>
    <x v="57"/>
    <x v="10"/>
    <x v="4"/>
    <s v="Regional Ceará"/>
    <s v="Capital Oeste Ceará"/>
    <s v="MultiSkill"/>
    <x v="4"/>
    <s v="TEC MULTIFUNCIONAL"/>
    <s v="ATIVIDADE NORMAL"/>
    <s v="COO"/>
    <s v="65007883387"/>
    <s v="04/09/2019"/>
    <s v="HENRIQUE OLIVEIRA DO NASCIMENTO"/>
    <s v="ALENCAR DE SOUZA SANTOS"/>
    <s v="JONILSON FELIPE VIEIRA"/>
    <x v="0"/>
    <x v="63"/>
    <x v="2"/>
    <s v="TECNICO MULTIFUNCIONAL"/>
    <x v="865"/>
    <x v="865"/>
    <x v="52"/>
    <x v="4"/>
    <x v="1"/>
    <x v="0"/>
    <x v="0"/>
  </r>
  <r>
    <x v="865"/>
    <n v="108401409"/>
    <s v="FERIAS NORMAIS"/>
    <s v="02/09/2019"/>
    <x v="1"/>
    <x v="10"/>
    <x v="15"/>
    <x v="4"/>
    <s v="Regional Ceará"/>
    <s v="Capital Oeste Ceará"/>
    <s v="Tecnico de campo"/>
    <x v="9"/>
    <s v="INSTALADOR DTH"/>
    <s v="FERIAS NORMAIS"/>
    <s v="COO"/>
    <s v="65798180344"/>
    <s v="04/09/2019"/>
    <s v="JOSE NILTON MENDES LIMA"/>
    <s v="VANDERLEI HENZEL CHOLLET"/>
    <s v="JONILSON FELIPE VIEIRA"/>
    <x v="1"/>
    <x v="56"/>
    <x v="11"/>
    <s v="INSTALADOR DTH"/>
    <x v="866"/>
    <x v="866"/>
    <x v="32"/>
    <x v="8"/>
    <x v="1"/>
    <x v="1"/>
    <x v="0"/>
  </r>
  <r>
    <x v="866"/>
    <n v="101001670"/>
    <s v="ATIVIDADE NORMAL"/>
    <s v="13/02/2019"/>
    <x v="1"/>
    <x v="8"/>
    <x v="2"/>
    <x v="2"/>
    <s v="Regional Ceará"/>
    <s v="Capital Sul Ceará"/>
    <s v="Equipe SWAT"/>
    <x v="1"/>
    <s v="CABISTA I"/>
    <s v="ATIVIDADE NORMAL"/>
    <s v="GCL"/>
    <s v="65800850291"/>
    <s v="04/09/2019"/>
    <s v="FRANCISCO MARCOS TEIXEIRA DOS SANTOS"/>
    <s v="JEFFERSON OLIVEIRA DA SILVA"/>
    <s v="JONILSON FELIPE VIEIRA"/>
    <x v="0"/>
    <x v="8"/>
    <x v="7"/>
    <s v="CABISTA I"/>
    <x v="867"/>
    <x v="867"/>
    <x v="9"/>
    <x v="2"/>
    <x v="1"/>
    <x v="0"/>
    <x v="1"/>
  </r>
  <r>
    <x v="867"/>
    <n v="101001488"/>
    <s v="ATIVIDADE NORMAL"/>
    <s v="03/04/2019"/>
    <x v="1"/>
    <x v="1"/>
    <x v="18"/>
    <x v="1"/>
    <s v="Regional Ceará"/>
    <s v="Capital Sul Ceará"/>
    <s v="Tecnico de campo"/>
    <x v="0"/>
    <s v="TEC MULTIFUNCIONAL"/>
    <s v="ATIVIDADE NORMAL"/>
    <s v="GCS - FTTH"/>
    <s v="66105609353"/>
    <s v="04/09/2019"/>
    <s v="MICHEL SOARES DE OLIVEIRA"/>
    <s v="ANTONIO ROBEVANIO PINHEIRO"/>
    <s v="JONILSON FELIPE VIEIRA"/>
    <x v="0"/>
    <x v="61"/>
    <x v="1"/>
    <s v="TECNICO MULTIFUNCIONAL"/>
    <x v="868"/>
    <x v="868"/>
    <x v="2"/>
    <x v="1"/>
    <x v="1"/>
    <x v="0"/>
    <x v="0"/>
  </r>
  <r>
    <x v="868"/>
    <n v="105303134"/>
    <s v="FERIAS NOR AD 13 SALARIO"/>
    <s v="02/09/2019"/>
    <x v="2"/>
    <x v="42"/>
    <x v="5"/>
    <x v="12"/>
    <s v="Regional Pernambuco"/>
    <s v="João Pessoa"/>
    <s v="MultiSkill"/>
    <x v="4"/>
    <s v="TEC MULTIFUNCIONAL"/>
    <s v="FERIAS NOR AD 13 SALARIO"/>
    <s v="JPA"/>
    <s v="66147654420"/>
    <s v="04/09/2019"/>
    <s v="GLAUBER JOSE GOMES LEITAO"/>
    <s v="WENDELL FRANKLIN VIEIRA MAIA"/>
    <s v="WENDELL FRANKLIN VIEIRA MAIA"/>
    <x v="1"/>
    <x v="43"/>
    <x v="2"/>
    <s v="TECNICO MULTIFUNCIONAL"/>
    <x v="869"/>
    <x v="869"/>
    <x v="39"/>
    <x v="6"/>
    <x v="3"/>
    <x v="1"/>
    <x v="0"/>
  </r>
  <r>
    <x v="869"/>
    <n v="101005989"/>
    <s v="ATIVIDADE NORMAL"/>
    <s v="31/07/2019"/>
    <x v="1"/>
    <x v="69"/>
    <x v="10"/>
    <x v="3"/>
    <s v="Regional Ceará"/>
    <s v="Capital Oeste Ceará"/>
    <s v="MultiSkill"/>
    <x v="4"/>
    <s v="TEC MULTIFUNCIONAL"/>
    <s v="ATIVIDADE NORMAL"/>
    <s v="CNO"/>
    <s v="66501075300"/>
    <s v="04/09/2019"/>
    <s v="JOSENIL GOMES RODRIGUES"/>
    <s v="ALENCAR DE SOUZA SANTOS"/>
    <s v="JONILSON FELIPE VIEIRA"/>
    <x v="0"/>
    <x v="17"/>
    <x v="2"/>
    <s v="TECNICO MULTIFUNCIONAL"/>
    <x v="870"/>
    <x v="870"/>
    <x v="18"/>
    <x v="4"/>
    <x v="1"/>
    <x v="0"/>
    <x v="0"/>
  </r>
  <r>
    <x v="870"/>
    <n v="101010210"/>
    <s v="FERIAS NORMAIS"/>
    <s v="02/09/2019"/>
    <x v="1"/>
    <x v="1"/>
    <x v="18"/>
    <x v="1"/>
    <s v="Regional Ceará"/>
    <s v="Capital Sul Ceará"/>
    <s v="Tecnico de campo"/>
    <x v="0"/>
    <s v="TEC MULTIFUNCIONAL"/>
    <s v="FERIAS NORMAIS"/>
    <s v="GCS - FTTH"/>
    <s v="66616808300"/>
    <s v="04/09/2019"/>
    <s v="ANTONIO FABIO DOS SANTOS LIMA"/>
    <s v="ANTONIO ROBEVANIO PINHEIRO"/>
    <s v="JONILSON FELIPE VIEIRA"/>
    <x v="1"/>
    <x v="53"/>
    <x v="1"/>
    <s v="TECNICO MULTIFUNCIONAL"/>
    <x v="871"/>
    <x v="871"/>
    <x v="1"/>
    <x v="1"/>
    <x v="1"/>
    <x v="1"/>
    <x v="0"/>
  </r>
  <r>
    <x v="871"/>
    <n v="109500177"/>
    <s v="ATIVIDADE NORMAL"/>
    <s v="10/04/2019"/>
    <x v="0"/>
    <x v="37"/>
    <x v="12"/>
    <x v="14"/>
    <s v="Regional Pernambuco"/>
    <s v="Recife"/>
    <s v="Tecnico de campo"/>
    <x v="6"/>
    <s v="CABISTA I"/>
    <s v="ATIVIDADE NORMAL"/>
    <s v="NOR"/>
    <s v="04294237481"/>
    <s v="04/09/2019"/>
    <s v="JOSUEL FERREIRA DE BRITO"/>
    <s v="BRUNO VINICIUS DE ALBERTINS ALVES"/>
    <s v="NIVALDO DE OLIVEIRA SOARES"/>
    <x v="0"/>
    <x v="38"/>
    <x v="2"/>
    <s v="CABISTA I"/>
    <x v="872"/>
    <x v="872"/>
    <x v="36"/>
    <x v="9"/>
    <x v="0"/>
    <x v="0"/>
    <x v="1"/>
  </r>
  <r>
    <x v="872"/>
    <n v="109505858"/>
    <s v="ATIVIDADE NORMAL"/>
    <s v="02/06/2019"/>
    <x v="0"/>
    <x v="46"/>
    <x v="23"/>
    <x v="11"/>
    <s v="Regional Pernambuco"/>
    <s v="Interior"/>
    <s v="MultiSkill"/>
    <x v="2"/>
    <s v="TEC MULTIFUNCIONAL"/>
    <s v="ATIVIDADE NORMAL"/>
    <s v="ACV"/>
    <s v="04306103439"/>
    <s v="04/09/2019"/>
    <s v="THIAGO DE LIMA PIRES RODRIGUES"/>
    <s v="DECIO FABIANO LOPES FERREIRA"/>
    <s v="NIVALDO DE OLIVEIRA SOARES"/>
    <x v="0"/>
    <x v="11"/>
    <x v="2"/>
    <s v="TECNICO MULTIFUNCIONAL"/>
    <x v="873"/>
    <x v="873"/>
    <x v="12"/>
    <x v="0"/>
    <x v="0"/>
    <x v="0"/>
    <x v="0"/>
  </r>
  <r>
    <x v="873"/>
    <n v="101004033"/>
    <s v="ATIVIDADE NORMAL"/>
    <s v="04/10/2018"/>
    <x v="1"/>
    <x v="58"/>
    <x v="5"/>
    <x v="4"/>
    <s v="Regional Ceará"/>
    <s v="Capital Oeste Ceará"/>
    <s v="MultiSkill"/>
    <x v="4"/>
    <s v="TEC MULTIFUNCIONAL"/>
    <s v="ATIVIDADE NORMAL"/>
    <s v="COO"/>
    <s v="04309512305"/>
    <s v="04/09/2019"/>
    <s v="HENRIQUE OLIVEIRA DO NASCIMENTO"/>
    <s v="ALENCAR DE SOUZA SANTOS"/>
    <s v="JONILSON FELIPE VIEIRA"/>
    <x v="0"/>
    <x v="63"/>
    <x v="2"/>
    <s v="TECNICO MULTIFUNCIONAL"/>
    <x v="874"/>
    <x v="874"/>
    <x v="52"/>
    <x v="4"/>
    <x v="1"/>
    <x v="0"/>
    <x v="0"/>
  </r>
  <r>
    <x v="874"/>
    <n v="109504012"/>
    <s v="ATIVIDADE NORMAL"/>
    <s v="06/03/2019"/>
    <x v="2"/>
    <x v="20"/>
    <x v="6"/>
    <x v="16"/>
    <s v="Regional Pernambuco"/>
    <s v="João Pessoa"/>
    <s v="Tecnico de campo"/>
    <x v="5"/>
    <s v="INSTALADOR TUP"/>
    <s v="ATIVIDADE NORMAL"/>
    <s v="CGE"/>
    <s v="04327747424"/>
    <s v="04/09/2019"/>
    <s v="FRANCISCO JOSE DIAS DA SILVA"/>
    <s v="WENDELL FRANKLIN VIEIRA MAIA"/>
    <s v="WENDELL FRANKLIN VIEIRA MAIA"/>
    <x v="0"/>
    <x v="35"/>
    <x v="6"/>
    <s v="INSTALADOR I"/>
    <x v="875"/>
    <x v="875"/>
    <x v="25"/>
    <x v="6"/>
    <x v="3"/>
    <x v="0"/>
    <x v="1"/>
  </r>
  <r>
    <x v="875"/>
    <n v="109501286"/>
    <s v="ATIVIDADE NORMAL"/>
    <s v="31/07/2019"/>
    <x v="0"/>
    <x v="30"/>
    <x v="12"/>
    <x v="13"/>
    <s v="Regional Pernambuco"/>
    <s v="Recife"/>
    <s v="Tecnico de campo"/>
    <x v="6"/>
    <s v="CABISTA I"/>
    <s v="ATIVIDADE NORMAL"/>
    <s v="OES"/>
    <s v="04389847490"/>
    <s v="04/09/2019"/>
    <s v="JOSE HENRIQUE NEGRAO DE MEDEIROS"/>
    <s v="DECIO FABIANO LOPES FERREIRA"/>
    <s v="NIVALDO DE OLIVEIRA SOARES"/>
    <x v="1"/>
    <x v="37"/>
    <x v="7"/>
    <s v="CABISTA I"/>
    <x v="876"/>
    <x v="876"/>
    <x v="34"/>
    <x v="0"/>
    <x v="0"/>
    <x v="0"/>
    <x v="1"/>
  </r>
  <r>
    <x v="876"/>
    <n v="101005380"/>
    <s v="ATIVIDADE NORMAL"/>
    <s v="02/01/2019"/>
    <x v="1"/>
    <x v="26"/>
    <x v="6"/>
    <x v="15"/>
    <s v="Regional Ceará"/>
    <s v="Sobral"/>
    <s v="Tecnico de campo"/>
    <x v="5"/>
    <s v="INSTALADOR"/>
    <s v="ATIVIDADE NORMAL"/>
    <s v="SOL"/>
    <s v="04399419385"/>
    <s v="04/09/2019"/>
    <s v="MARCILIO RIBEIRO DOS SANTOS"/>
    <s v="JEFFERSON OLIVEIRA DA SILVA"/>
    <s v="JONILSON FELIPE VIEIRA"/>
    <x v="0"/>
    <x v="90"/>
    <x v="6"/>
    <s v="INSTALADOR I"/>
    <x v="877"/>
    <x v="877"/>
    <x v="20"/>
    <x v="2"/>
    <x v="1"/>
    <x v="0"/>
    <x v="1"/>
  </r>
  <r>
    <x v="877"/>
    <n v="105000985"/>
    <s v="ATIVIDADE NORMAL"/>
    <s v="24/07/2018"/>
    <x v="2"/>
    <x v="61"/>
    <x v="6"/>
    <x v="24"/>
    <s v="Regional Pernambuco"/>
    <s v="João Pessoa"/>
    <s v="MultiSkill"/>
    <x v="5"/>
    <s v="TEC MULTIFUNCIONAL"/>
    <s v="ATIVIDADE NORMAL"/>
    <s v="POS"/>
    <s v="04414486408"/>
    <s v="04/09/2019"/>
    <s v="STANLEY MEDEIROS WANDERLEY"/>
    <s v="WENDELL FRANKLIN VIEIRA MAIA"/>
    <s v="WENDELL FRANKLIN VIEIRA MAIA"/>
    <x v="0"/>
    <x v="67"/>
    <x v="2"/>
    <s v="TECNICO MULTIFUNCIONAL"/>
    <x v="878"/>
    <x v="878"/>
    <x v="58"/>
    <x v="6"/>
    <x v="3"/>
    <x v="0"/>
    <x v="1"/>
  </r>
  <r>
    <x v="878"/>
    <n v="109505049"/>
    <s v="ATIVIDADE NORMAL"/>
    <s v="23/11/2018"/>
    <x v="0"/>
    <x v="52"/>
    <x v="0"/>
    <x v="7"/>
    <s v="Regional Pernambuco"/>
    <s v="Recife"/>
    <s v="Tecnico de campo"/>
    <x v="0"/>
    <s v="TEC MULTIFUNCIONAL"/>
    <s v="ATIVIDADE NORMAL"/>
    <s v="LES"/>
    <s v="04465967446"/>
    <s v="04/09/2019"/>
    <s v="RAMSES DE ANDRADE MACHADO RODRIGUES LAVRA"/>
    <s v="BRUNO VINICIUS DE ALBERTINS ALVES"/>
    <s v="NIVALDO DE OLIVEIRA SOARES"/>
    <x v="0"/>
    <x v="57"/>
    <x v="1"/>
    <s v="TECNICO MULTIFUNCIONAL"/>
    <x v="879"/>
    <x v="879"/>
    <x v="48"/>
    <x v="9"/>
    <x v="0"/>
    <x v="0"/>
    <x v="0"/>
  </r>
  <r>
    <x v="879"/>
    <n v="105303208"/>
    <s v="ATIVIDADE NORMAL"/>
    <s v="06/03/2019"/>
    <x v="2"/>
    <x v="15"/>
    <x v="12"/>
    <x v="12"/>
    <s v="Regional Pernambuco"/>
    <s v="João Pessoa"/>
    <s v="Equipe SWAT"/>
    <x v="6"/>
    <s v="CABISTA I"/>
    <s v="ATIVIDADE NORMAL"/>
    <s v="JPA"/>
    <s v="04471137476"/>
    <s v="04/09/2019"/>
    <s v="FERNANDO ANTONIO PORTO DE FREITAS"/>
    <s v="WENDELL FRANKLIN VIEIRA MAIA"/>
    <s v="WENDELL FRANKLIN VIEIRA MAIA"/>
    <x v="0"/>
    <x v="72"/>
    <x v="7"/>
    <s v="CABISTA I"/>
    <x v="880"/>
    <x v="880"/>
    <x v="16"/>
    <x v="6"/>
    <x v="3"/>
    <x v="0"/>
    <x v="1"/>
  </r>
  <r>
    <x v="880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04479135499"/>
    <s v="04/09/2019"/>
    <s v="RAMSES DE ANDRADE MACHADO RODRIGUES LAVRA"/>
    <s v="BRUNO VINICIUS DE ALBERTINS ALVES"/>
    <s v="NIVALDO DE OLIVEIRA SOARES"/>
    <x v="0"/>
    <x v="57"/>
    <x v="1"/>
    <s v="TECNICO MULTIFUNCIONAL"/>
    <x v="881"/>
    <x v="881"/>
    <x v="48"/>
    <x v="9"/>
    <x v="0"/>
    <x v="0"/>
    <x v="0"/>
  </r>
  <r>
    <x v="881"/>
    <n v="109000119"/>
    <s v="ATIVIDADE NORMAL"/>
    <s v="06/02/2019"/>
    <x v="0"/>
    <x v="35"/>
    <x v="2"/>
    <x v="14"/>
    <s v="Regional Pernambuco"/>
    <s v="Recife"/>
    <s v="Tecnico de campo"/>
    <x v="1"/>
    <s v="CABISTA I"/>
    <s v="ATIVIDADE NORMAL"/>
    <s v="NOR"/>
    <s v="04519529441"/>
    <s v="04/09/2019"/>
    <s v="AMARILDO GOMES DE MELO"/>
    <s v="MARCOS DE OLIVEIRA STEHLING"/>
    <s v="NIVALDO DE OLIVEIRA SOARES"/>
    <x v="0"/>
    <x v="71"/>
    <x v="3"/>
    <s v="CABISTA I"/>
    <x v="882"/>
    <x v="882"/>
    <x v="60"/>
    <x v="3"/>
    <x v="0"/>
    <x v="0"/>
    <x v="1"/>
  </r>
  <r>
    <x v="882"/>
    <n v="105000985"/>
    <s v="FERIAS NOR AD 13 SALARIO"/>
    <s v="19/08/2019"/>
    <x v="2"/>
    <x v="61"/>
    <x v="5"/>
    <x v="24"/>
    <s v="Regional Pernambuco"/>
    <s v="João Pessoa"/>
    <s v="MultiSkill"/>
    <x v="4"/>
    <s v="TEC MULTIFUNCIONAL"/>
    <s v="FERIAS NOR AD 13 SALARIO"/>
    <s v="POS"/>
    <s v="04540500465"/>
    <s v="04/09/2019"/>
    <s v="STANLEY MEDEIROS WANDERLEY"/>
    <s v="WENDELL FRANKLIN VIEIRA MAIA"/>
    <s v="WENDELL FRANKLIN VIEIRA MAIA"/>
    <x v="1"/>
    <x v="67"/>
    <x v="2"/>
    <s v="TECNICO MULTIFUNCIONAL"/>
    <x v="883"/>
    <x v="883"/>
    <x v="58"/>
    <x v="6"/>
    <x v="3"/>
    <x v="1"/>
    <x v="0"/>
  </r>
  <r>
    <x v="883"/>
    <n v="109000017"/>
    <s v="ATIVIDADE NORMAL"/>
    <s v="01/05/2019"/>
    <x v="0"/>
    <x v="56"/>
    <x v="15"/>
    <x v="10"/>
    <s v="Regional Pernambuco"/>
    <s v="Recife"/>
    <s v="Tecnico de campo"/>
    <x v="9"/>
    <s v="TEC MULTIFUNCIONAL"/>
    <s v="ATIVIDADE NORMAL"/>
    <s v="PES"/>
    <s v="05179132401"/>
    <s v="04/09/2019"/>
    <s v="AMAURY ASSIS DE LIMA"/>
    <s v="DECIO FABIANO LOPES FERREIRA"/>
    <s v="NIVALDO DE OLIVEIRA SOARES"/>
    <x v="0"/>
    <x v="40"/>
    <x v="11"/>
    <s v="TECNICO MULTIFUNCIONAL"/>
    <x v="884"/>
    <x v="884"/>
    <x v="15"/>
    <x v="0"/>
    <x v="0"/>
    <x v="0"/>
    <x v="0"/>
  </r>
  <r>
    <x v="884"/>
    <n v="102101642"/>
    <s v="ATIVIDADE NORMAL"/>
    <s v="29/04/2019"/>
    <x v="3"/>
    <x v="28"/>
    <x v="4"/>
    <x v="21"/>
    <s v="Regional Pernambuco"/>
    <s v="Natal"/>
    <s v="MultiSkill"/>
    <x v="3"/>
    <s v="TEC MULTIFUNCIONAL"/>
    <s v="ATIVIDADE NORMAL"/>
    <s v="NTS"/>
    <s v="05193145493"/>
    <s v="04/09/2019"/>
    <s v="WILSON CARLOS SILVEIRA LEIROS"/>
    <s v="REINILSON IGLESIAS JUNIOR"/>
    <s v="WENDELL FRANKLIN VIEIRA MAIA"/>
    <x v="0"/>
    <x v="51"/>
    <x v="11"/>
    <s v="TECNICO MULTIFUNCIONAL"/>
    <x v="885"/>
    <x v="885"/>
    <x v="28"/>
    <x v="7"/>
    <x v="3"/>
    <x v="0"/>
    <x v="0"/>
  </r>
  <r>
    <x v="885"/>
    <n v="109500177"/>
    <s v="ATIVIDADE NORMAL"/>
    <s v="17/04/2019"/>
    <x v="0"/>
    <x v="37"/>
    <x v="10"/>
    <x v="14"/>
    <s v="Regional Pernambuco"/>
    <s v="Recife"/>
    <s v="MultiSkill"/>
    <x v="4"/>
    <s v="TEC MULTIFUNCIONAL"/>
    <s v="ATIVIDADE NORMAL"/>
    <s v="NOR"/>
    <s v="05245518473"/>
    <s v="04/09/2019"/>
    <s v="JOSUEL FERREIRA DE BRITO"/>
    <s v="BRUNO VINICIUS DE ALBERTINS ALVES"/>
    <s v="NIVALDO DE OLIVEIRA SOARES"/>
    <x v="0"/>
    <x v="38"/>
    <x v="2"/>
    <s v="TECNICO MULTIFUNCIONAL"/>
    <x v="886"/>
    <x v="886"/>
    <x v="36"/>
    <x v="9"/>
    <x v="0"/>
    <x v="0"/>
    <x v="0"/>
  </r>
  <r>
    <x v="886"/>
    <n v="109500177"/>
    <s v="ATIVIDADE NORMAL"/>
    <s v="28/11/2018"/>
    <x v="0"/>
    <x v="18"/>
    <x v="10"/>
    <x v="14"/>
    <s v="Regional Pernambuco"/>
    <s v="Recife"/>
    <s v="MultiSkill"/>
    <x v="4"/>
    <s v="TEC MULTIFUNCIONAL"/>
    <s v="ATIVIDADE NORMAL"/>
    <s v="NOR"/>
    <s v="05305262470"/>
    <s v="04/09/2019"/>
    <s v="JOSUEL FERREIRA DE BRITO"/>
    <s v="BRUNO VINICIUS DE ALBERTINS ALVES"/>
    <s v="NIVALDO DE OLIVEIRA SOARES"/>
    <x v="0"/>
    <x v="77"/>
    <x v="2"/>
    <s v="TECNICO MULTIFUNCIONAL"/>
    <x v="887"/>
    <x v="887"/>
    <x v="36"/>
    <x v="9"/>
    <x v="0"/>
    <x v="0"/>
    <x v="0"/>
  </r>
  <r>
    <x v="887"/>
    <n v="101010210"/>
    <s v="ATIVIDADE NORMAL"/>
    <s v="19/12/2018"/>
    <x v="1"/>
    <x v="1"/>
    <x v="18"/>
    <x v="1"/>
    <s v="Regional Ceará"/>
    <s v="Capital Sul Ceará"/>
    <s v="Tecnico de campo"/>
    <x v="0"/>
    <s v="TEC MULTIFUNCIONAL"/>
    <s v="ATIVIDADE NORMAL"/>
    <s v="GCS - FTTH"/>
    <s v="05345239355"/>
    <s v="04/09/2019"/>
    <s v="ANTONIO FABIO DOS SANTOS LIMA"/>
    <s v="ANTONIO ROBEVANIO PINHEIRO"/>
    <s v="JONILSON FELIPE VIEIRA"/>
    <x v="0"/>
    <x v="61"/>
    <x v="1"/>
    <s v="TECNICO MULTIFUNCIONAL"/>
    <x v="888"/>
    <x v="888"/>
    <x v="1"/>
    <x v="1"/>
    <x v="1"/>
    <x v="0"/>
    <x v="0"/>
  </r>
  <r>
    <x v="888"/>
    <n v="109000017"/>
    <s v="ATIVIDADE NORMAL"/>
    <s v="01/05/2019"/>
    <x v="0"/>
    <x v="56"/>
    <x v="2"/>
    <x v="10"/>
    <s v="Regional Pernambuco"/>
    <s v="Recife"/>
    <s v="Tecnico de campo"/>
    <x v="1"/>
    <s v="CABISTA I"/>
    <s v="ATIVIDADE NORMAL"/>
    <s v="PES"/>
    <s v="05373805408"/>
    <s v="04/09/2019"/>
    <s v="AMAURY ASSIS DE LIMA"/>
    <s v="DECIO FABIANO LOPES FERREIRA"/>
    <s v="NIVALDO DE OLIVEIRA SOARES"/>
    <x v="0"/>
    <x v="70"/>
    <x v="10"/>
    <s v="CABISTA I"/>
    <x v="889"/>
    <x v="889"/>
    <x v="15"/>
    <x v="0"/>
    <x v="0"/>
    <x v="0"/>
    <x v="1"/>
  </r>
  <r>
    <x v="889"/>
    <n v="105000985"/>
    <s v="ATIVIDADE NORMAL"/>
    <s v="02/01/2019"/>
    <x v="2"/>
    <x v="61"/>
    <x v="13"/>
    <x v="24"/>
    <s v="Regional Pernambuco"/>
    <s v="João Pessoa"/>
    <s v="Tecnico de campo"/>
    <x v="8"/>
    <s v="OP DG"/>
    <s v="ATIVIDADE NORMAL"/>
    <s v="POS"/>
    <s v="04561305432"/>
    <s v="04/09/2019"/>
    <s v="STANLEY MEDEIROS WANDERLEY"/>
    <s v="WENDELL FRANKLIN VIEIRA MAIA"/>
    <s v="WENDELL FRANKLIN VIEIRA MAIA"/>
    <x v="1"/>
    <x v="67"/>
    <x v="9"/>
    <s v="OPERADOR"/>
    <x v="890"/>
    <x v="890"/>
    <x v="58"/>
    <x v="6"/>
    <x v="3"/>
    <x v="0"/>
    <x v="1"/>
  </r>
  <r>
    <x v="890"/>
    <n v="109000340"/>
    <s v="ATIVIDADE NORMAL"/>
    <s v="28/11/2018"/>
    <x v="0"/>
    <x v="38"/>
    <x v="5"/>
    <x v="22"/>
    <s v="Regional Pernambuco"/>
    <s v="Interior"/>
    <s v="MultiSkill"/>
    <x v="4"/>
    <s v="TEC MULTIFUNCIONAL"/>
    <s v="ATIVIDADE NORMAL"/>
    <s v="CAA"/>
    <s v="04569278400"/>
    <s v="04/09/2019"/>
    <s v="AILTON JOSE DOS SANTOS"/>
    <s v="DECIO FABIANO LOPES FERREIRA"/>
    <s v="NIVALDO DE OLIVEIRA SOARES"/>
    <x v="0"/>
    <x v="41"/>
    <x v="2"/>
    <s v="TECNICO MULTIFUNCIONAL"/>
    <x v="891"/>
    <x v="891"/>
    <x v="22"/>
    <x v="0"/>
    <x v="0"/>
    <x v="0"/>
    <x v="0"/>
  </r>
  <r>
    <x v="891"/>
    <n v="109500177"/>
    <s v="ATIVIDADE NORMAL"/>
    <s v="06/02/2019"/>
    <x v="0"/>
    <x v="18"/>
    <x v="10"/>
    <x v="14"/>
    <s v="Regional Pernambuco"/>
    <s v="Recife"/>
    <s v="MultiSkill"/>
    <x v="4"/>
    <s v="TEC MULTIFUNCIONAL"/>
    <s v="ATIVIDADE NORMAL"/>
    <s v="NOR"/>
    <s v="04584292442"/>
    <s v="04/09/2019"/>
    <s v="JOSUEL FERREIRA DE BRITO"/>
    <s v="BRUNO VINICIUS DE ALBERTINS ALVES"/>
    <s v="NIVALDO DE OLIVEIRA SOARES"/>
    <x v="0"/>
    <x v="38"/>
    <x v="2"/>
    <s v="TECNICO MULTIFUNCIONAL"/>
    <x v="892"/>
    <x v="892"/>
    <x v="36"/>
    <x v="9"/>
    <x v="0"/>
    <x v="0"/>
    <x v="0"/>
  </r>
  <r>
    <x v="892"/>
    <n v="109505819"/>
    <s v="ATIVIDADE NORMAL"/>
    <s v="02/01/2019"/>
    <x v="0"/>
    <x v="39"/>
    <x v="10"/>
    <x v="13"/>
    <s v="Regional Pernambuco"/>
    <s v="Recife"/>
    <s v="MultiSkill"/>
    <x v="4"/>
    <s v="TEC MULTIFUNCIONAL"/>
    <s v="ATIVIDADE NORMAL"/>
    <s v="OES"/>
    <s v="04585103430"/>
    <s v="04/09/2019"/>
    <s v="ALESSANDRO DIONISIO DE FRANCA"/>
    <s v="DECIO FABIANO LOPES FERREIRA"/>
    <s v="NIVALDO DE OLIVEIRA SOARES"/>
    <x v="0"/>
    <x v="16"/>
    <x v="2"/>
    <s v="TECNICO MULTIFUNCIONAL"/>
    <x v="893"/>
    <x v="893"/>
    <x v="37"/>
    <x v="0"/>
    <x v="0"/>
    <x v="0"/>
    <x v="0"/>
  </r>
  <r>
    <x v="893"/>
    <n v="109000340"/>
    <s v="ATIVIDADE NORMAL"/>
    <s v="13/03/2019"/>
    <x v="0"/>
    <x v="0"/>
    <x v="6"/>
    <x v="0"/>
    <s v="Regional Pernambuco"/>
    <s v="Interior"/>
    <s v="Tecnico de campo"/>
    <x v="5"/>
    <s v="INSTALADOR"/>
    <s v="ATIVIDADE NORMAL"/>
    <s v="CRU"/>
    <s v="04605699457"/>
    <s v="04/09/2019"/>
    <s v="AILTON JOSE DOS SANTOS"/>
    <s v="DECIO FABIANO LOPES FERREIRA"/>
    <s v="NIVALDO DE OLIVEIRA SOARES"/>
    <x v="0"/>
    <x v="21"/>
    <x v="2"/>
    <s v="INSTALADOR I"/>
    <x v="894"/>
    <x v="894"/>
    <x v="22"/>
    <x v="0"/>
    <x v="0"/>
    <x v="0"/>
    <x v="1"/>
  </r>
  <r>
    <x v="894"/>
    <n v="102101220"/>
    <s v="ATIVIDADE NORMAL"/>
    <s v="13/03/2019"/>
    <x v="3"/>
    <x v="22"/>
    <x v="16"/>
    <x v="18"/>
    <s v="Regional Pernambuco"/>
    <s v="Natal"/>
    <s v="Tecnico de campo"/>
    <x v="9"/>
    <s v="INSTALADOR DTH"/>
    <s v="ATIVIDADE NORMAL"/>
    <s v="RNS"/>
    <s v="04622058430"/>
    <s v="04/09/2019"/>
    <s v="JOSUE MOURA DA SILVA"/>
    <s v="REINILSON IGLESIAS JUNIOR"/>
    <s v="WENDELL FRANKLIN VIEIRA MAIA"/>
    <x v="0"/>
    <x v="22"/>
    <x v="11"/>
    <s v="INSTALADOR DTH"/>
    <x v="895"/>
    <x v="895"/>
    <x v="23"/>
    <x v="7"/>
    <x v="3"/>
    <x v="0"/>
    <x v="0"/>
  </r>
  <r>
    <x v="895"/>
    <n v="102101220"/>
    <s v="ATIVIDADE NORMAL"/>
    <s v="06/05/2019"/>
    <x v="3"/>
    <x v="22"/>
    <x v="20"/>
    <x v="18"/>
    <s v="Regional Pernambuco"/>
    <s v="Natal"/>
    <s v="Tecnico de campo"/>
    <x v="7"/>
    <s v="TEC MULTIFUNCIONAL"/>
    <s v="ATIVIDADE NORMAL"/>
    <s v="RNS"/>
    <s v="05387076403"/>
    <s v="04/09/2019"/>
    <s v="JOSUE MOURA DA SILVA"/>
    <s v="REINILSON IGLESIAS JUNIOR"/>
    <s v="WENDELL FRANKLIN VIEIRA MAIA"/>
    <x v="0"/>
    <x v="22"/>
    <x v="2"/>
    <s v="TECNICO MULTIFUNCIONAL"/>
    <x v="896"/>
    <x v="896"/>
    <x v="23"/>
    <x v="7"/>
    <x v="3"/>
    <x v="0"/>
    <x v="0"/>
  </r>
  <r>
    <x v="896"/>
    <n v="109505149"/>
    <s v="ATIVIDADE NORMAL"/>
    <s v="07/05/2019"/>
    <x v="0"/>
    <x v="52"/>
    <x v="0"/>
    <x v="7"/>
    <s v="Regional Pernambuco"/>
    <s v="Recife"/>
    <s v="Tecnico de campo"/>
    <x v="0"/>
    <s v="TEC MULTIFUNCIONAL"/>
    <s v="ATIVIDADE NORMAL"/>
    <s v="LES"/>
    <s v="05410617479"/>
    <s v="04/09/2019"/>
    <s v="BRUNO VINICIUS DE ALBERTINS ALVES"/>
    <s v="BRUNO VINICIUS DE ALBERTINS ALVES"/>
    <s v="NIVALDO DE OLIVEIRA SOARES"/>
    <x v="0"/>
    <x v="57"/>
    <x v="1"/>
    <s v="TECNICO MULTIFUNCIONAL"/>
    <x v="897"/>
    <x v="897"/>
    <x v="53"/>
    <x v="9"/>
    <x v="0"/>
    <x v="0"/>
    <x v="0"/>
  </r>
  <r>
    <x v="897"/>
    <n v="105000986"/>
    <s v="ATIVIDADE NORMAL"/>
    <s v="17/12/2018"/>
    <x v="2"/>
    <x v="20"/>
    <x v="2"/>
    <x v="16"/>
    <s v="Regional Pernambuco"/>
    <s v="João Pessoa"/>
    <s v="Tecnico de campo"/>
    <x v="1"/>
    <s v="CABISTA I"/>
    <s v="ATIVIDADE NORMAL"/>
    <s v="CGE"/>
    <s v="05430643440"/>
    <s v="04/09/2019"/>
    <s v="JOSILENE MACENA DE OLIVEIRA"/>
    <s v="WENDELL FRANKLIN VIEIRA MAIA"/>
    <s v="WENDELL FRANKLIN VIEIRA MAIA"/>
    <x v="0"/>
    <x v="20"/>
    <x v="7"/>
    <s v="CABISTA I"/>
    <x v="898"/>
    <x v="898"/>
    <x v="21"/>
    <x v="6"/>
    <x v="3"/>
    <x v="0"/>
    <x v="1"/>
  </r>
  <r>
    <x v="898"/>
    <n v="109000926"/>
    <s v="ATIVIDADE NORMAL"/>
    <s v="06/02/2019"/>
    <x v="0"/>
    <x v="7"/>
    <x v="15"/>
    <x v="7"/>
    <s v="Regional Pernambuco"/>
    <s v="Recife"/>
    <s v="Tecnico de campo"/>
    <x v="9"/>
    <s v="INSTALADOR DTH"/>
    <s v="ATIVIDADE NORMAL"/>
    <s v="LES"/>
    <s v="05436724418"/>
    <s v="04/09/2019"/>
    <s v="ANTONIO MAGNO DE CASTRO LEAO"/>
    <s v="BRUNO VINICIUS DE ALBERTINS ALVES"/>
    <s v="NIVALDO DE OLIVEIRA SOARES"/>
    <x v="0"/>
    <x v="45"/>
    <x v="7"/>
    <s v="INSTALADOR DTH"/>
    <x v="899"/>
    <x v="899"/>
    <x v="41"/>
    <x v="9"/>
    <x v="0"/>
    <x v="0"/>
    <x v="0"/>
  </r>
  <r>
    <x v="899"/>
    <n v="109505049"/>
    <s v="ATIVIDADE NORMAL"/>
    <s v="23/11/2018"/>
    <x v="0"/>
    <x v="52"/>
    <x v="0"/>
    <x v="7"/>
    <s v="Regional Pernambuco"/>
    <s v="Recife"/>
    <s v="Tecnico de campo"/>
    <x v="0"/>
    <s v="TEC MULTIFUNCIONAL"/>
    <s v="ATIVIDADE NORMAL"/>
    <s v="LES"/>
    <s v="05443161423"/>
    <s v="04/09/2019"/>
    <s v="RAMSES DE ANDRADE MACHADO RODRIGUES LAVRA"/>
    <s v="BRUNO VINICIUS DE ALBERTINS ALVES"/>
    <s v="NIVALDO DE OLIVEIRA SOARES"/>
    <x v="0"/>
    <x v="57"/>
    <x v="1"/>
    <s v="TECNICO MULTIFUNCIONAL"/>
    <x v="900"/>
    <x v="900"/>
    <x v="48"/>
    <x v="9"/>
    <x v="0"/>
    <x v="0"/>
    <x v="0"/>
  </r>
  <r>
    <x v="900"/>
    <n v="109505858"/>
    <s v="ATIVIDADE NORMAL"/>
    <s v="09/06/2019"/>
    <x v="0"/>
    <x v="46"/>
    <x v="14"/>
    <x v="11"/>
    <s v="Regional Pernambuco"/>
    <s v="Interior"/>
    <s v="MultiSkill"/>
    <x v="4"/>
    <s v="TEC MULTIFUNCIONAL"/>
    <s v="ATIVIDADE NORMAL"/>
    <s v="ACV"/>
    <s v="05449403429"/>
    <s v="04/09/2019"/>
    <s v="THIAGO DE LIMA PIRES RODRIGUES"/>
    <s v="DECIO FABIANO LOPES FERREIRA"/>
    <s v="NIVALDO DE OLIVEIRA SOARES"/>
    <x v="0"/>
    <x v="11"/>
    <x v="2"/>
    <s v="TECNICO MULTIFUNCIONAL"/>
    <x v="901"/>
    <x v="901"/>
    <x v="12"/>
    <x v="0"/>
    <x v="0"/>
    <x v="0"/>
    <x v="0"/>
  </r>
  <r>
    <x v="901"/>
    <n v="101001670"/>
    <s v="ATIVIDADE NORMAL"/>
    <s v="19/12/2018"/>
    <x v="1"/>
    <x v="8"/>
    <x v="10"/>
    <x v="2"/>
    <s v="Regional Ceará"/>
    <s v="Capital Sul Ceará"/>
    <s v="MultiSkill"/>
    <x v="4"/>
    <s v="TEC MULTIFUNCIONAL"/>
    <s v="ATIVIDADE NORMAL"/>
    <s v="GCL"/>
    <s v="04632978302"/>
    <s v="04/09/2019"/>
    <s v="FRANCISCO MARCOS TEIXEIRA DOS SANTOS"/>
    <s v="JEFFERSON OLIVEIRA DA SILVA"/>
    <s v="JONILSON FELIPE VIEIRA"/>
    <x v="0"/>
    <x v="8"/>
    <x v="2"/>
    <s v="TECNICO MULTIFUNCIONAL"/>
    <x v="902"/>
    <x v="902"/>
    <x v="9"/>
    <x v="2"/>
    <x v="1"/>
    <x v="0"/>
    <x v="0"/>
  </r>
  <r>
    <x v="902"/>
    <n v="101001782"/>
    <s v="ATIVIDADE NORMAL"/>
    <s v="30/09/2019"/>
    <x v="1"/>
    <x v="40"/>
    <x v="4"/>
    <x v="8"/>
    <s v="Regional Ceará"/>
    <s v="Quixadá"/>
    <s v="MultiSkill"/>
    <x v="3"/>
    <s v="TEC MULTIFUNCIONAL"/>
    <s v="ATIVIDADE NORMAL"/>
    <s v="QXA"/>
    <s v="04633050354"/>
    <s v="04/09/2019"/>
    <s v="LYNDON JONHSON SILVA LIMA"/>
    <s v="ALENCAR DE SOUZA SANTOS"/>
    <s v="JONILSON FELIPE VIEIRA"/>
    <x v="0"/>
    <x v="9"/>
    <x v="2"/>
    <s v="TECNICO MULTIFUNCIONAL"/>
    <x v="903"/>
    <x v="903"/>
    <x v="10"/>
    <x v="4"/>
    <x v="1"/>
    <x v="0"/>
    <x v="0"/>
  </r>
  <r>
    <x v="903"/>
    <n v="109500177"/>
    <s v="ATIVIDADE NORMAL"/>
    <s v="28/11/2018"/>
    <x v="0"/>
    <x v="18"/>
    <x v="10"/>
    <x v="14"/>
    <s v="Regional Pernambuco"/>
    <s v="Recife"/>
    <s v="MultiSkill"/>
    <x v="4"/>
    <s v="TEC MULTIFUNCIONAL"/>
    <s v="ATIVIDADE NORMAL"/>
    <s v="NOR"/>
    <s v="04634081440"/>
    <s v="04/09/2019"/>
    <s v="JOSUEL FERREIRA DE BRITO"/>
    <s v="BRUNO VINICIUS DE ALBERTINS ALVES"/>
    <s v="NIVALDO DE OLIVEIRA SOARES"/>
    <x v="0"/>
    <x v="38"/>
    <x v="2"/>
    <s v="TECNICO MULTIFUNCIONAL"/>
    <x v="904"/>
    <x v="904"/>
    <x v="36"/>
    <x v="9"/>
    <x v="0"/>
    <x v="0"/>
    <x v="0"/>
  </r>
  <r>
    <x v="904"/>
    <n v="101001488"/>
    <s v="ATIVIDADE NORMAL"/>
    <s v="24/04/2019"/>
    <x v="1"/>
    <x v="1"/>
    <x v="18"/>
    <x v="1"/>
    <s v="Regional Ceará"/>
    <s v="Capital Sul Ceará"/>
    <s v="Tecnico de campo"/>
    <x v="0"/>
    <s v="TEC MULTIFUNCIONAL"/>
    <s v="ATIVIDADE NORMAL"/>
    <s v="GCS - FTTH"/>
    <s v="04644704393"/>
    <s v="04/09/2019"/>
    <s v="MICHEL SOARES DE OLIVEIRA"/>
    <s v="ANTONIO ROBEVANIO PINHEIRO"/>
    <s v="JONILSON FELIPE VIEIRA"/>
    <x v="0"/>
    <x v="46"/>
    <x v="1"/>
    <s v="TECNICO MULTIFUNCIONAL"/>
    <x v="905"/>
    <x v="905"/>
    <x v="2"/>
    <x v="1"/>
    <x v="1"/>
    <x v="0"/>
    <x v="0"/>
  </r>
  <r>
    <x v="905"/>
    <n v="101001782"/>
    <s v="ATIVIDADE NORMAL"/>
    <s v="18/05/2019"/>
    <x v="1"/>
    <x v="9"/>
    <x v="4"/>
    <x v="8"/>
    <s v="Regional Ceará"/>
    <s v="Quixadá"/>
    <s v="MultiSkill"/>
    <x v="3"/>
    <s v="TEC MULTIFUNCIONAL"/>
    <s v="ATIVIDADE NORMAL"/>
    <s v="QXA"/>
    <s v="04660644383"/>
    <s v="04/09/2019"/>
    <s v="LYNDON JONHSON SILVA LIMA"/>
    <s v="ALENCAR DE SOUZA SANTOS"/>
    <s v="JONILSON FELIPE VIEIRA"/>
    <x v="0"/>
    <x v="9"/>
    <x v="2"/>
    <s v="TECNICO MULTIFUNCIONAL"/>
    <x v="906"/>
    <x v="906"/>
    <x v="10"/>
    <x v="4"/>
    <x v="1"/>
    <x v="0"/>
    <x v="0"/>
  </r>
  <r>
    <x v="906"/>
    <n v="109506091"/>
    <s v="ATIVIDADE NORMAL"/>
    <s v="18/10/2018"/>
    <x v="0"/>
    <x v="35"/>
    <x v="10"/>
    <x v="14"/>
    <s v="Regional Pernambuco"/>
    <s v="Recife"/>
    <s v="MultiSkill"/>
    <x v="4"/>
    <s v="TEC MULTIFUNCIONAL"/>
    <s v="ATIVIDADE NORMAL"/>
    <s v="NOR"/>
    <s v="04691523464"/>
    <s v="04/09/2019"/>
    <s v="LUIZ RICARDO LIMA DA SILVA"/>
    <s v="BRUNO VINICIUS DE ALBERTINS ALVES"/>
    <s v="NIVALDO DE OLIVEIRA SOARES"/>
    <x v="0"/>
    <x v="40"/>
    <x v="2"/>
    <s v="TECNICO MULTIFUNCIONAL"/>
    <x v="907"/>
    <x v="907"/>
    <x v="49"/>
    <x v="9"/>
    <x v="0"/>
    <x v="0"/>
    <x v="0"/>
  </r>
  <r>
    <x v="907"/>
    <n v="105000986"/>
    <s v="ATIVIDADE NORMAL"/>
    <s v="02/01/2019"/>
    <x v="2"/>
    <x v="33"/>
    <x v="2"/>
    <x v="16"/>
    <s v="Regional Pernambuco"/>
    <s v="João Pessoa"/>
    <s v="Tecnico de campo"/>
    <x v="1"/>
    <s v="CABISTA I"/>
    <s v="ATIVIDADE NORMAL"/>
    <s v="CGE"/>
    <s v="04702175459"/>
    <s v="04/09/2019"/>
    <s v="JOSILENE MACENA DE OLIVEIRA"/>
    <s v="WENDELL FRANKLIN VIEIRA MAIA"/>
    <s v="WENDELL FRANKLIN VIEIRA MAIA"/>
    <x v="0"/>
    <x v="20"/>
    <x v="7"/>
    <s v="CABISTA I"/>
    <x v="908"/>
    <x v="908"/>
    <x v="21"/>
    <x v="6"/>
    <x v="3"/>
    <x v="0"/>
    <x v="1"/>
  </r>
  <r>
    <x v="908"/>
    <n v="109000499"/>
    <s v="ATIVIDADE NORMAL"/>
    <s v="31/07/2019"/>
    <x v="0"/>
    <x v="30"/>
    <x v="13"/>
    <x v="13"/>
    <s v="Regional Pernambuco"/>
    <s v="Recife"/>
    <s v="Tecnico de campo"/>
    <x v="8"/>
    <s v="OP DG"/>
    <s v="ATIVIDADE NORMAL"/>
    <s v="OES"/>
    <s v="04706289440"/>
    <s v="04/09/2019"/>
    <s v="ALTAIR LUIZ DO NASCIMENTO"/>
    <s v="DECIO FABIANO LOPES FERREIRA"/>
    <s v="NIVALDO DE OLIVEIRA SOARES"/>
    <x v="0"/>
    <x v="42"/>
    <x v="9"/>
    <s v="OPERADOR"/>
    <x v="909"/>
    <x v="909"/>
    <x v="38"/>
    <x v="0"/>
    <x v="0"/>
    <x v="0"/>
    <x v="1"/>
  </r>
  <r>
    <x v="909"/>
    <n v="101006811"/>
    <s v="ATIVIDADE NORMAL"/>
    <s v="30/09/2019"/>
    <x v="1"/>
    <x v="43"/>
    <x v="2"/>
    <x v="8"/>
    <s v="Regional Ceará"/>
    <s v="Quixadá"/>
    <s v="Equipe SWAT"/>
    <x v="1"/>
    <s v="CABISTA I"/>
    <s v="ATIVIDADE NORMAL"/>
    <s v="QXA"/>
    <s v="04736728396"/>
    <s v="04/09/2019"/>
    <s v="CARLOS FERNANDES GUIMARAES"/>
    <s v="ALENCAR DE SOUZA SANTOS"/>
    <s v="JONILSON FELIPE VIEIRA"/>
    <x v="0"/>
    <x v="44"/>
    <x v="10"/>
    <s v="CABISTA I"/>
    <x v="910"/>
    <x v="910"/>
    <x v="40"/>
    <x v="4"/>
    <x v="1"/>
    <x v="0"/>
    <x v="1"/>
  </r>
  <r>
    <x v="910"/>
    <n v="105302862"/>
    <s v="ATIVIDADE NORMAL"/>
    <s v="02/12/2018"/>
    <x v="2"/>
    <x v="34"/>
    <x v="2"/>
    <x v="12"/>
    <s v="Regional Pernambuco"/>
    <s v="João Pessoa"/>
    <s v="Tecnico de campo"/>
    <x v="1"/>
    <s v="CABISTA III"/>
    <s v="ATIVIDADE NORMAL"/>
    <s v="JPA"/>
    <s v="04780624860"/>
    <s v="04/09/2019"/>
    <s v="PAULO PEREIRA DA SILVA"/>
    <s v="EDERLINDO GONCALVES SOARES"/>
    <s v="WENDELL FRANKLIN VIEIRA MAIA"/>
    <x v="0"/>
    <x v="66"/>
    <x v="3"/>
    <s v="CABISTA III"/>
    <x v="911"/>
    <x v="911"/>
    <x v="57"/>
    <x v="10"/>
    <x v="3"/>
    <x v="0"/>
    <x v="1"/>
  </r>
  <r>
    <x v="911"/>
    <n v="109000943"/>
    <s v="ATIVIDADE NORMAL"/>
    <s v="03/07/2019"/>
    <x v="0"/>
    <x v="60"/>
    <x v="10"/>
    <x v="14"/>
    <s v="Regional Pernambuco"/>
    <s v="Recife"/>
    <s v="MultiSkill"/>
    <x v="4"/>
    <s v="TEC MULTIFUNCIONAL"/>
    <s v="ATIVIDADE NORMAL"/>
    <s v="NOR"/>
    <s v="04849044425"/>
    <s v="04/09/2019"/>
    <s v="MAURO BRAGA RANGEL"/>
    <s v="BRUNO VINICIUS DE ALBERTINS ALVES"/>
    <s v="NIVALDO DE OLIVEIRA SOARES"/>
    <x v="0"/>
    <x v="38"/>
    <x v="2"/>
    <s v="TECNICO MULTIFUNCIONAL"/>
    <x v="912"/>
    <x v="912"/>
    <x v="56"/>
    <x v="9"/>
    <x v="0"/>
    <x v="0"/>
    <x v="0"/>
  </r>
  <r>
    <x v="912"/>
    <n v="109505719"/>
    <s v="ATIVIDADE NORMAL"/>
    <s v="20/09/2018"/>
    <x v="0"/>
    <x v="71"/>
    <x v="10"/>
    <x v="7"/>
    <s v="Regional Pernambuco"/>
    <s v="Recife"/>
    <s v="MultiSkill"/>
    <x v="4"/>
    <s v="TEC REDE II"/>
    <s v="ATIVIDADE NORMAL"/>
    <s v="LES"/>
    <s v="04853659447"/>
    <s v="04/09/2019"/>
    <s v="DIEGO MARTINS DE VASCONCELOS"/>
    <s v="CRISTIANO FERREIRA DE SOUZA CASTRO"/>
    <s v="HEBERT JONES SOUTO ARAUJO"/>
    <x v="1"/>
    <x v="45"/>
    <x v="15"/>
    <s v="TECNICO REDE"/>
    <x v="913"/>
    <x v="913"/>
    <x v="74"/>
    <x v="14"/>
    <x v="5"/>
    <x v="0"/>
    <x v="0"/>
  </r>
  <r>
    <x v="913"/>
    <n v="105000986"/>
    <s v="ATIVIDADE NORMAL"/>
    <s v="05/06/2019"/>
    <x v="2"/>
    <x v="20"/>
    <x v="4"/>
    <x v="16"/>
    <s v="Regional Pernambuco"/>
    <s v="João Pessoa"/>
    <s v="MultiSkill"/>
    <x v="3"/>
    <s v="TEC MULTIFUNCIONAL"/>
    <s v="ATIVIDADE NORMAL"/>
    <s v="CGE"/>
    <s v="04865511482"/>
    <s v="04/09/2019"/>
    <s v="JOSILENE MACENA DE OLIVEIRA"/>
    <s v="WENDELL FRANKLIN VIEIRA MAIA"/>
    <s v="WENDELL FRANKLIN VIEIRA MAIA"/>
    <x v="0"/>
    <x v="20"/>
    <x v="2"/>
    <s v="TECNICO MULTIFUNCIONAL"/>
    <x v="914"/>
    <x v="914"/>
    <x v="21"/>
    <x v="6"/>
    <x v="3"/>
    <x v="0"/>
    <x v="0"/>
  </r>
  <r>
    <x v="914"/>
    <n v="101010210"/>
    <s v="ATIVIDADE NORMAL"/>
    <s v="25/06/2019"/>
    <x v="1"/>
    <x v="4"/>
    <x v="0"/>
    <x v="4"/>
    <s v="Regional Ceará"/>
    <s v="Capital Oeste Ceará"/>
    <s v="MultiSkill"/>
    <x v="0"/>
    <s v="TEC MULTIFUNCIONAL"/>
    <s v="ATIVIDADE NORMAL"/>
    <s v="COO"/>
    <s v="05449809301"/>
    <s v="04/09/2019"/>
    <s v="ANTONIO FABIO DOS SANTOS LIMA"/>
    <s v="ANTONIO ROBEVANIO PINHEIRO"/>
    <s v="JONILSON FELIPE VIEIRA"/>
    <x v="0"/>
    <x v="61"/>
    <x v="1"/>
    <s v="TECNICO MULTIFUNCIONAL"/>
    <x v="915"/>
    <x v="915"/>
    <x v="1"/>
    <x v="1"/>
    <x v="1"/>
    <x v="0"/>
    <x v="0"/>
  </r>
  <r>
    <x v="915"/>
    <n v="109506174"/>
    <s v="ATIVIDADE NORMAL"/>
    <s v="15/05/2019"/>
    <x v="0"/>
    <x v="50"/>
    <x v="4"/>
    <x v="17"/>
    <s v="Regional Pernambuco"/>
    <s v="Interior"/>
    <s v="MultiSkill"/>
    <x v="3"/>
    <s v="TEC MULTIFUNCIONAL"/>
    <s v="ATIVIDADE NORMAL"/>
    <s v="GUS"/>
    <s v="05477446412"/>
    <s v="04/09/2019"/>
    <s v="ALYSSON HENRIQUE FERREIRA DE LUCENA"/>
    <s v="DECIO FABIANO LOPES FERREIRA"/>
    <s v="NIVALDO DE OLIVEIRA SOARES"/>
    <x v="0"/>
    <x v="21"/>
    <x v="2"/>
    <s v="TECNICO MULTIFUNCIONAL"/>
    <x v="916"/>
    <x v="916"/>
    <x v="55"/>
    <x v="0"/>
    <x v="0"/>
    <x v="0"/>
    <x v="0"/>
  </r>
  <r>
    <x v="916"/>
    <n v="109000340"/>
    <s v="ATIVIDADE NORMAL"/>
    <s v="08/05/2019"/>
    <x v="0"/>
    <x v="0"/>
    <x v="6"/>
    <x v="0"/>
    <s v="Regional Pernambuco"/>
    <s v="Interior"/>
    <s v="Tecnico de campo"/>
    <x v="5"/>
    <s v="INSTALADOR"/>
    <s v="ATIVIDADE NORMAL"/>
    <s v="CRU"/>
    <s v="05531313462"/>
    <s v="04/09/2019"/>
    <s v="AILTON JOSE DOS SANTOS"/>
    <s v="DECIO FABIANO LOPES FERREIRA"/>
    <s v="NIVALDO DE OLIVEIRA SOARES"/>
    <x v="0"/>
    <x v="21"/>
    <x v="6"/>
    <s v="INSTALADOR I"/>
    <x v="917"/>
    <x v="917"/>
    <x v="22"/>
    <x v="0"/>
    <x v="0"/>
    <x v="0"/>
    <x v="1"/>
  </r>
  <r>
    <x v="917"/>
    <n v="101005380"/>
    <s v="ATIVIDADE NORMAL"/>
    <s v="28/11/2018"/>
    <x v="1"/>
    <x v="19"/>
    <x v="2"/>
    <x v="15"/>
    <s v="Regional Ceará"/>
    <s v="Sobral"/>
    <s v="Tecnico de campo"/>
    <x v="1"/>
    <s v="CABISTA I"/>
    <s v="ATIVIDADE NORMAL"/>
    <s v="SOL"/>
    <s v="05536584332"/>
    <s v="04/09/2019"/>
    <s v="MARCILIO RIBEIRO DOS SANTOS"/>
    <s v="JEFFERSON OLIVEIRA DA SILVA"/>
    <s v="JONILSON FELIPE VIEIRA"/>
    <x v="0"/>
    <x v="19"/>
    <x v="10"/>
    <s v="CABISTA I"/>
    <x v="918"/>
    <x v="918"/>
    <x v="20"/>
    <x v="2"/>
    <x v="1"/>
    <x v="0"/>
    <x v="1"/>
  </r>
  <r>
    <x v="918"/>
    <n v="109505819"/>
    <s v="ATIVIDADE NORMAL"/>
    <s v="13/03/2019"/>
    <x v="0"/>
    <x v="39"/>
    <x v="8"/>
    <x v="13"/>
    <s v="Regional Pernambuco"/>
    <s v="Recife"/>
    <s v="Equipe SWAT"/>
    <x v="6"/>
    <s v="CABISTA I"/>
    <s v="ATIVIDADE NORMAL"/>
    <s v="OES"/>
    <s v="05559569461"/>
    <s v="04/09/2019"/>
    <s v="ALESSANDRO DIONISIO DE FRANCA"/>
    <s v="DECIO FABIANO LOPES FERREIRA"/>
    <s v="NIVALDO DE OLIVEIRA SOARES"/>
    <x v="0"/>
    <x v="16"/>
    <x v="7"/>
    <s v="CABISTA I"/>
    <x v="919"/>
    <x v="919"/>
    <x v="37"/>
    <x v="0"/>
    <x v="0"/>
    <x v="0"/>
    <x v="1"/>
  </r>
  <r>
    <x v="919"/>
    <n v="101008134"/>
    <s v="ATIVIDADE NORMAL"/>
    <s v="02/01/2019"/>
    <x v="1"/>
    <x v="70"/>
    <x v="10"/>
    <x v="1"/>
    <s v="Regional Ceará"/>
    <s v="Capital Sul Ceará"/>
    <s v="MultiSkill"/>
    <x v="4"/>
    <s v="TEC MULTIFUNCIONAL"/>
    <s v="ATIVIDADE NORMAL"/>
    <s v="GCS"/>
    <s v="05564221397"/>
    <s v="04/09/2019"/>
    <s v="BRUNO SAVIO DA SILVA"/>
    <s v="ANTONIO ROBEVANIO PINHEIRO"/>
    <s v="JONILSON FELIPE VIEIRA"/>
    <x v="0"/>
    <x v="53"/>
    <x v="2"/>
    <s v="TECNICO MULTIFUNCIONAL"/>
    <x v="920"/>
    <x v="920"/>
    <x v="5"/>
    <x v="1"/>
    <x v="1"/>
    <x v="0"/>
    <x v="0"/>
  </r>
  <r>
    <x v="920"/>
    <n v="101008003"/>
    <s v="ATIVIDADE NORMAL"/>
    <s v="23/05/2018"/>
    <x v="1"/>
    <x v="4"/>
    <x v="0"/>
    <x v="4"/>
    <s v="Regional Ceará"/>
    <s v="Capital Oeste Ceará"/>
    <s v="Tecnico de campo"/>
    <x v="0"/>
    <s v="TEC MULTIFUNCIONAL"/>
    <s v="ATIVIDADE NORMAL"/>
    <s v="COO"/>
    <s v="04867724386"/>
    <s v="04/09/2019"/>
    <s v="NILO WEBER RAMOS RIBEIRO"/>
    <s v="ANTONIO ROBEVANIO PINHEIRO"/>
    <s v="JONILSON FELIPE VIEIRA"/>
    <x v="0"/>
    <x v="54"/>
    <x v="1"/>
    <s v="TECNICO MULTIFUNCIONAL"/>
    <x v="921"/>
    <x v="921"/>
    <x v="3"/>
    <x v="1"/>
    <x v="1"/>
    <x v="0"/>
    <x v="0"/>
  </r>
  <r>
    <x v="921"/>
    <n v="105000985"/>
    <s v="ATIVIDADE NORMAL"/>
    <s v="01/02/2019"/>
    <x v="2"/>
    <x v="61"/>
    <x v="12"/>
    <x v="24"/>
    <s v="Regional Pernambuco"/>
    <s v="João Pessoa"/>
    <s v="Tecnico de campo"/>
    <x v="6"/>
    <s v="CABISTA II"/>
    <s v="ATIVIDADE NORMAL"/>
    <s v="POS"/>
    <s v="04876452431"/>
    <s v="04/09/2019"/>
    <s v="STANLEY MEDEIROS WANDERLEY"/>
    <s v="WENDELL FRANKLIN VIEIRA MAIA"/>
    <s v="WENDELL FRANKLIN VIEIRA MAIA"/>
    <x v="0"/>
    <x v="67"/>
    <x v="2"/>
    <s v="CABISTA II"/>
    <x v="922"/>
    <x v="922"/>
    <x v="58"/>
    <x v="6"/>
    <x v="3"/>
    <x v="0"/>
    <x v="1"/>
  </r>
  <r>
    <x v="922"/>
    <n v="101001488"/>
    <s v="ATIVIDADE NORMAL"/>
    <s v="24/04/2019"/>
    <x v="1"/>
    <x v="3"/>
    <x v="18"/>
    <x v="3"/>
    <s v="Regional Ceará"/>
    <s v="Capital Oeste Ceará"/>
    <s v="Tecnico de campo"/>
    <x v="0"/>
    <s v="TEC MULTIFUNCIONAL"/>
    <s v="ATIVIDADE NORMAL"/>
    <s v="CNO"/>
    <s v="04883067360"/>
    <s v="04/09/2019"/>
    <s v="MICHEL SOARES DE OLIVEIRA"/>
    <s v="ANTONIO ROBEVANIO PINHEIRO"/>
    <s v="JONILSON FELIPE VIEIRA"/>
    <x v="0"/>
    <x v="46"/>
    <x v="1"/>
    <s v="TECNICO MULTIFUNCIONAL"/>
    <x v="923"/>
    <x v="923"/>
    <x v="2"/>
    <x v="1"/>
    <x v="1"/>
    <x v="0"/>
    <x v="0"/>
  </r>
  <r>
    <x v="923"/>
    <n v="321454"/>
    <s v="ATIVIDADE NORMAL"/>
    <s v="09/01/2019"/>
    <x v="3"/>
    <x v="29"/>
    <x v="11"/>
    <x v="19"/>
    <s v="Regional Pernambuco"/>
    <s v="Natal"/>
    <s v="MultiSkill"/>
    <x v="1"/>
    <s v="AUDITOR DE CAMPO"/>
    <s v="ATIVIDADE NORMAL"/>
    <s v="NTN"/>
    <s v="04967641440"/>
    <s v="04/09/2019"/>
    <s v="RODRIGO ALBUQUERQUE DA SILVA"/>
    <s v="RODRIGO ALBUQUERQUE DA SILVA"/>
    <s v="RODRIGO ALBUQUERQUE DA SILVA"/>
    <x v="1"/>
    <x v="51"/>
    <x v="14"/>
    <s v="AUDITOR"/>
    <x v="924"/>
    <x v="924"/>
    <x v="59"/>
    <x v="11"/>
    <x v="4"/>
    <x v="0"/>
    <x v="1"/>
  </r>
  <r>
    <x v="924"/>
    <n v="105000986"/>
    <s v="FERIAS NORMAIS"/>
    <s v="19/08/2019"/>
    <x v="2"/>
    <x v="20"/>
    <x v="14"/>
    <x v="16"/>
    <s v="Regional Pernambuco"/>
    <s v="João Pessoa"/>
    <s v="MultiSkill"/>
    <x v="4"/>
    <s v="TEC MULTIFUNCIONAL"/>
    <s v="FERIAS NORMAIS"/>
    <s v="CGE"/>
    <s v="05013214467"/>
    <s v="04/09/2019"/>
    <s v="JOSILENE MACENA DE OLIVEIRA"/>
    <s v="WENDELL FRANKLIN VIEIRA MAIA"/>
    <s v="WENDELL FRANKLIN VIEIRA MAIA"/>
    <x v="1"/>
    <x v="20"/>
    <x v="2"/>
    <s v="TECNICO MULTIFUNCIONAL"/>
    <x v="925"/>
    <x v="925"/>
    <x v="21"/>
    <x v="6"/>
    <x v="3"/>
    <x v="1"/>
    <x v="0"/>
  </r>
  <r>
    <x v="925"/>
    <n v="101006255"/>
    <s v="FERIAS NORMAIS"/>
    <s v="02/09/2019"/>
    <x v="1"/>
    <x v="32"/>
    <x v="13"/>
    <x v="2"/>
    <s v="Regional Ceará"/>
    <s v="Capital Sul Ceará"/>
    <s v="Tecnico de campo"/>
    <x v="8"/>
    <s v="OP DG"/>
    <s v="FERIAS NORMAIS"/>
    <s v="GCL"/>
    <s v="05015402376"/>
    <s v="04/09/2019"/>
    <s v="FRANCISCO DE ASSIS FILHO"/>
    <s v="JEFFERSON OLIVEIRA DA SILVA"/>
    <s v="JONILSON FELIPE VIEIRA"/>
    <x v="1"/>
    <x v="32"/>
    <x v="9"/>
    <s v="OPERADOR"/>
    <x v="926"/>
    <x v="926"/>
    <x v="31"/>
    <x v="2"/>
    <x v="1"/>
    <x v="1"/>
    <x v="1"/>
  </r>
  <r>
    <x v="926"/>
    <n v="101008003"/>
    <s v="ATIVIDADE NORMAL"/>
    <s v="25/06/2019"/>
    <x v="1"/>
    <x v="4"/>
    <x v="0"/>
    <x v="4"/>
    <s v="Regional Ceará"/>
    <s v="Capital Oeste Ceará"/>
    <s v="MultiSkill"/>
    <x v="0"/>
    <s v="TEC MULTIFUNCIONAL"/>
    <s v="ATIVIDADE NORMAL"/>
    <s v="COO"/>
    <s v="05039643365"/>
    <s v="04/09/2019"/>
    <s v="NILO WEBER RAMOS RIBEIRO"/>
    <s v="ANTONIO ROBEVANIO PINHEIRO"/>
    <s v="JONILSON FELIPE VIEIRA"/>
    <x v="0"/>
    <x v="54"/>
    <x v="1"/>
    <s v="TECNICO MULTIFUNCIONAL"/>
    <x v="927"/>
    <x v="927"/>
    <x v="3"/>
    <x v="1"/>
    <x v="1"/>
    <x v="0"/>
    <x v="0"/>
  </r>
  <r>
    <x v="927"/>
    <n v="109500177"/>
    <s v="ATIVIDADE NORMAL"/>
    <s v="29/05/2019"/>
    <x v="0"/>
    <x v="37"/>
    <x v="10"/>
    <x v="14"/>
    <s v="Regional Pernambuco"/>
    <s v="Recife"/>
    <s v="MultiSkill"/>
    <x v="4"/>
    <s v="TEC MULTIFUNCIONAL"/>
    <s v="ATIVIDADE NORMAL"/>
    <s v="NOR"/>
    <s v="05165048438"/>
    <s v="04/09/2019"/>
    <s v="JOSUEL FERREIRA DE BRITO"/>
    <s v="BRUNO VINICIUS DE ALBERTINS ALVES"/>
    <s v="NIVALDO DE OLIVEIRA SOARES"/>
    <x v="0"/>
    <x v="38"/>
    <x v="2"/>
    <s v="TECNICO MULTIFUNCIONAL"/>
    <x v="928"/>
    <x v="928"/>
    <x v="36"/>
    <x v="9"/>
    <x v="0"/>
    <x v="0"/>
    <x v="0"/>
  </r>
  <r>
    <x v="928"/>
    <n v="109505858"/>
    <s v="ATIVIDADE NORMAL"/>
    <s v="20/09/2018"/>
    <x v="0"/>
    <x v="46"/>
    <x v="12"/>
    <x v="11"/>
    <s v="Regional Pernambuco"/>
    <s v="Interior"/>
    <s v="Equipe SWAT"/>
    <x v="6"/>
    <s v="CABISTA I"/>
    <s v="ATIVIDADE NORMAL"/>
    <s v="ACV"/>
    <s v="05173114452"/>
    <s v="04/09/2019"/>
    <s v="THIAGO DE LIMA PIRES RODRIGUES"/>
    <s v="DECIO FABIANO LOPES FERREIRA"/>
    <s v="NIVALDO DE OLIVEIRA SOARES"/>
    <x v="0"/>
    <x v="11"/>
    <x v="7"/>
    <s v="CABISTA I"/>
    <x v="929"/>
    <x v="929"/>
    <x v="12"/>
    <x v="0"/>
    <x v="0"/>
    <x v="0"/>
    <x v="1"/>
  </r>
  <r>
    <x v="929"/>
    <n v="102002917"/>
    <s v="ATIVIDADE NORMAL"/>
    <s v="20/05/2019"/>
    <x v="3"/>
    <x v="23"/>
    <x v="20"/>
    <x v="18"/>
    <s v="Regional Pernambuco"/>
    <s v="Natal"/>
    <s v="Tecnico de campo"/>
    <x v="7"/>
    <s v="TEC MULTIFUNCIONAL"/>
    <s v="ATIVIDADE NORMAL"/>
    <s v="RNS"/>
    <s v="05275224494"/>
    <s v="04/09/2019"/>
    <s v="RICELE DA SILVA NASCIMENTO"/>
    <s v="REINILSON IGLESIAS JUNIOR"/>
    <s v="WENDELL FRANKLIN VIEIRA MAIA"/>
    <x v="0"/>
    <x v="91"/>
    <x v="2"/>
    <s v="TECNICO MULTIFUNCIONAL"/>
    <x v="930"/>
    <x v="930"/>
    <x v="51"/>
    <x v="7"/>
    <x v="3"/>
    <x v="0"/>
    <x v="0"/>
  </r>
  <r>
    <x v="930"/>
    <n v="102100390"/>
    <s v="ATIVIDADE NORMAL"/>
    <s v="30/04/2019"/>
    <x v="3"/>
    <x v="45"/>
    <x v="23"/>
    <x v="21"/>
    <s v="Regional Pernambuco"/>
    <s v="Natal"/>
    <s v="Tecnico de campo"/>
    <x v="2"/>
    <s v="TEC ADSL I"/>
    <s v="ATIVIDADE NORMAL"/>
    <s v="NTS"/>
    <s v="05310018492"/>
    <s v="04/09/2019"/>
    <s v="ANDRIER CARLOS SOARES FERREIRA"/>
    <s v="REINILSON IGLESIAS JUNIOR"/>
    <s v="WENDELL FRANKLIN VIEIRA MAIA"/>
    <x v="0"/>
    <x v="48"/>
    <x v="4"/>
    <s v="TECNICO ADSL"/>
    <x v="931"/>
    <x v="931"/>
    <x v="43"/>
    <x v="7"/>
    <x v="3"/>
    <x v="0"/>
    <x v="0"/>
  </r>
  <r>
    <x v="931"/>
    <n v="109501286"/>
    <s v="ATIVIDADE NORMAL"/>
    <s v="17/01/2019"/>
    <x v="0"/>
    <x v="30"/>
    <x v="12"/>
    <x v="13"/>
    <s v="Regional Pernambuco"/>
    <s v="Recife"/>
    <s v="Equipe SWAT"/>
    <x v="6"/>
    <s v="TEC MULTIFUNCIONAL"/>
    <s v="ATIVIDADE NORMAL"/>
    <s v="OES"/>
    <s v="05339387402"/>
    <s v="04/09/2019"/>
    <s v="JOSE HENRIQUE NEGRAO DE MEDEIROS"/>
    <s v="DECIO FABIANO LOPES FERREIRA"/>
    <s v="NIVALDO DE OLIVEIRA SOARES"/>
    <x v="0"/>
    <x v="37"/>
    <x v="7"/>
    <s v="TECNICO MULTIFUNCIONAL"/>
    <x v="932"/>
    <x v="932"/>
    <x v="34"/>
    <x v="0"/>
    <x v="0"/>
    <x v="0"/>
    <x v="1"/>
  </r>
  <r>
    <x v="932"/>
    <n v="109501286"/>
    <s v="ATIVIDADE NORMAL"/>
    <s v="27/03/2019"/>
    <x v="0"/>
    <x v="30"/>
    <x v="12"/>
    <x v="13"/>
    <s v="Regional Pernambuco"/>
    <s v="Recife"/>
    <s v="Equipe SWAT"/>
    <x v="6"/>
    <s v="CABISTA I"/>
    <s v="ATIVIDADE NORMAL"/>
    <s v="OES"/>
    <s v="05614714448"/>
    <s v="04/09/2019"/>
    <s v="JOSE HENRIQUE NEGRAO DE MEDEIROS"/>
    <s v="DECIO FABIANO LOPES FERREIRA"/>
    <s v="NIVALDO DE OLIVEIRA SOARES"/>
    <x v="0"/>
    <x v="37"/>
    <x v="10"/>
    <s v="CABISTA I"/>
    <x v="933"/>
    <x v="933"/>
    <x v="34"/>
    <x v="0"/>
    <x v="0"/>
    <x v="0"/>
    <x v="1"/>
  </r>
  <r>
    <x v="933"/>
    <n v="428271"/>
    <s v="ATIVIDADE NORMAL"/>
    <s v="31/07/2019"/>
    <x v="1"/>
    <x v="12"/>
    <x v="10"/>
    <x v="1"/>
    <s v="Regional Ceará"/>
    <s v="Capital Sul Ceará"/>
    <s v="MultiSkill"/>
    <x v="4"/>
    <s v="TEC MULTIFUNCIONAL"/>
    <s v="ATIVIDADE NORMAL"/>
    <s v="GCS"/>
    <s v="05633536355"/>
    <s v="04/09/2019"/>
    <s v="SHEYLA MARIA CALIOPE DE MELO MOURA"/>
    <s v="JEFFERSON OLIVEIRA DA SILVA"/>
    <s v="JONILSON FELIPE VIEIRA"/>
    <x v="0"/>
    <x v="56"/>
    <x v="2"/>
    <s v="TECNICO MULTIFUNCIONAL"/>
    <x v="934"/>
    <x v="934"/>
    <x v="47"/>
    <x v="2"/>
    <x v="1"/>
    <x v="0"/>
    <x v="0"/>
  </r>
  <r>
    <x v="934"/>
    <n v="102100917"/>
    <s v="ATIVIDADE NORMAL"/>
    <s v="03/07/2019"/>
    <x v="3"/>
    <x v="27"/>
    <x v="2"/>
    <x v="20"/>
    <s v="Regional Pernambuco"/>
    <s v="Natal"/>
    <s v="Tecnico de campo"/>
    <x v="1"/>
    <s v="CABISTA I"/>
    <s v="ATIVIDADE NORMAL"/>
    <s v="MRO"/>
    <s v="05673431465"/>
    <s v="04/09/2019"/>
    <s v="FERNANDO FREITAS ALMEIDA DOS SANTOS"/>
    <s v="REINILSON IGLESIAS JUNIOR"/>
    <s v="WENDELL FRANKLIN VIEIRA MAIA"/>
    <x v="0"/>
    <x v="28"/>
    <x v="7"/>
    <s v="CABISTA I"/>
    <x v="935"/>
    <x v="935"/>
    <x v="27"/>
    <x v="7"/>
    <x v="3"/>
    <x v="0"/>
    <x v="1"/>
  </r>
  <r>
    <x v="935"/>
    <n v="101005989"/>
    <s v="FERIAS NORMAIS"/>
    <s v="02/09/2019"/>
    <x v="1"/>
    <x v="69"/>
    <x v="10"/>
    <x v="3"/>
    <s v="Regional Ceará"/>
    <s v="Capital Oeste Ceará"/>
    <s v="MultiSkill"/>
    <x v="4"/>
    <s v="TEC MULTIFUNCIONAL"/>
    <s v="FERIAS NORMAIS"/>
    <s v="CNO"/>
    <s v="05683532345"/>
    <s v="04/09/2019"/>
    <s v="JOSENIL GOMES RODRIGUES"/>
    <s v="ALENCAR DE SOUZA SANTOS"/>
    <s v="JONILSON FELIPE VIEIRA"/>
    <x v="1"/>
    <x v="17"/>
    <x v="2"/>
    <s v="TECNICO MULTIFUNCIONAL"/>
    <x v="936"/>
    <x v="936"/>
    <x v="18"/>
    <x v="4"/>
    <x v="1"/>
    <x v="1"/>
    <x v="0"/>
  </r>
  <r>
    <x v="936"/>
    <n v="109000340"/>
    <s v="ATIVIDADE NORMAL"/>
    <s v="14/12/2018"/>
    <x v="0"/>
    <x v="0"/>
    <x v="14"/>
    <x v="0"/>
    <s v="Regional Pernambuco"/>
    <s v="Interior"/>
    <s v="MultiSkill"/>
    <x v="4"/>
    <s v="TEC MULTIFUNCIONAL"/>
    <s v="ATIVIDADE NORMAL"/>
    <s v="CRU"/>
    <s v="05697651457"/>
    <s v="04/09/2019"/>
    <s v="AILTON JOSE DOS SANTOS"/>
    <s v="DECIO FABIANO LOPES FERREIRA"/>
    <s v="NIVALDO DE OLIVEIRA SOARES"/>
    <x v="0"/>
    <x v="21"/>
    <x v="2"/>
    <s v="TECNICO MULTIFUNCIONAL"/>
    <x v="937"/>
    <x v="937"/>
    <x v="22"/>
    <x v="0"/>
    <x v="0"/>
    <x v="0"/>
    <x v="0"/>
  </r>
  <r>
    <x v="937"/>
    <n v="109505858"/>
    <s v="ATIVIDADE NORMAL"/>
    <s v="10/04/2019"/>
    <x v="0"/>
    <x v="14"/>
    <x v="4"/>
    <x v="11"/>
    <s v="Regional Pernambuco"/>
    <s v="Interior"/>
    <s v="Tecnico de campo"/>
    <x v="3"/>
    <s v="TEC MULTIFUNCIONAL"/>
    <s v="ATIVIDADE NORMAL"/>
    <s v="ACV"/>
    <s v="83024450459"/>
    <s v="04/09/2019"/>
    <s v="THIAGO DE LIMA PIRES RODRIGUES"/>
    <s v="DECIO FABIANO LOPES FERREIRA"/>
    <s v="NIVALDO DE OLIVEIRA SOARES"/>
    <x v="0"/>
    <x v="11"/>
    <x v="2"/>
    <s v="TECNICO MULTIFUNCIONAL"/>
    <x v="938"/>
    <x v="938"/>
    <x v="12"/>
    <x v="0"/>
    <x v="0"/>
    <x v="0"/>
    <x v="0"/>
  </r>
  <r>
    <x v="938"/>
    <n v="105000986"/>
    <s v="ATIVIDADE NORMAL"/>
    <s v="13/03/2019"/>
    <x v="2"/>
    <x v="33"/>
    <x v="12"/>
    <x v="16"/>
    <s v="Regional Pernambuco"/>
    <s v="João Pessoa"/>
    <s v="Tecnico de campo"/>
    <x v="6"/>
    <s v="CABISTA I"/>
    <s v="ATIVIDADE NORMAL"/>
    <s v="CGE"/>
    <s v="05369094403"/>
    <s v="04/09/2019"/>
    <s v="JOSILENE MACENA DE OLIVEIRA"/>
    <s v="WENDELL FRANKLIN VIEIRA MAIA"/>
    <s v="WENDELL FRANKLIN VIEIRA MAIA"/>
    <x v="0"/>
    <x v="20"/>
    <x v="7"/>
    <s v="CABISTA I"/>
    <x v="939"/>
    <x v="939"/>
    <x v="21"/>
    <x v="6"/>
    <x v="3"/>
    <x v="0"/>
    <x v="1"/>
  </r>
  <r>
    <x v="939"/>
    <n v="105302695"/>
    <s v="ATIVIDADE NORMAL"/>
    <s v="20/04/2019"/>
    <x v="2"/>
    <x v="42"/>
    <x v="2"/>
    <x v="12"/>
    <s v="Regional Pernambuco"/>
    <s v="João Pessoa"/>
    <s v="Tecnico de campo"/>
    <x v="1"/>
    <s v="CABISTA I"/>
    <s v="ATIVIDADE NORMAL"/>
    <s v="JPA"/>
    <s v="05413934483"/>
    <s v="04/09/2019"/>
    <s v="KALYNE GOUVEIA PEREIRA"/>
    <s v="EDERLINDO GONCALVES SOARES"/>
    <s v="WENDELL FRANKLIN VIEIRA MAIA"/>
    <x v="0"/>
    <x v="43"/>
    <x v="13"/>
    <s v="CABISTA I"/>
    <x v="940"/>
    <x v="940"/>
    <x v="76"/>
    <x v="10"/>
    <x v="3"/>
    <x v="0"/>
    <x v="1"/>
  </r>
  <r>
    <x v="940"/>
    <n v="109505049"/>
    <s v="ATIVIDADE NORMAL"/>
    <s v="24/04/2019"/>
    <x v="0"/>
    <x v="51"/>
    <x v="0"/>
    <x v="14"/>
    <s v="Regional Pernambuco"/>
    <s v="Recife"/>
    <s v="Tecnico de campo"/>
    <x v="0"/>
    <s v="TEC MULTIFUNCIONAL"/>
    <s v="ATIVIDADE NORMAL"/>
    <s v="NOR"/>
    <s v="05545932461"/>
    <s v="04/09/2019"/>
    <s v="RAMSES DE ANDRADE MACHADO RODRIGUES LAVRA"/>
    <s v="BRUNO VINICIUS DE ALBERTINS ALVES"/>
    <s v="NIVALDO DE OLIVEIRA SOARES"/>
    <x v="0"/>
    <x v="57"/>
    <x v="1"/>
    <s v="TECNICO MULTIFUNCIONAL"/>
    <x v="941"/>
    <x v="941"/>
    <x v="48"/>
    <x v="9"/>
    <x v="0"/>
    <x v="0"/>
    <x v="0"/>
  </r>
  <r>
    <x v="941"/>
    <n v="109505049"/>
    <s v="FERIAS NORMAIS"/>
    <s v="02/09/2019"/>
    <x v="0"/>
    <x v="52"/>
    <x v="0"/>
    <x v="7"/>
    <s v="Regional Pernambuco"/>
    <s v="Recife"/>
    <s v="MultiSkill"/>
    <x v="0"/>
    <s v="TEC MULTIFUNCIONAL"/>
    <s v="FERIAS NORMAIS"/>
    <s v="LES"/>
    <s v="05550625466"/>
    <s v="04/09/2019"/>
    <s v="RAMSES DE ANDRADE MACHADO RODRIGUES LAVRA"/>
    <s v="BRUNO VINICIUS DE ALBERTINS ALVES"/>
    <s v="NIVALDO DE OLIVEIRA SOARES"/>
    <x v="1"/>
    <x v="57"/>
    <x v="1"/>
    <s v="TECNICO MULTIFUNCIONAL"/>
    <x v="942"/>
    <x v="942"/>
    <x v="48"/>
    <x v="9"/>
    <x v="0"/>
    <x v="1"/>
    <x v="0"/>
  </r>
  <r>
    <x v="942"/>
    <n v="101001782"/>
    <s v="ATIVIDADE NORMAL"/>
    <s v="28/11/2018"/>
    <x v="1"/>
    <x v="40"/>
    <x v="5"/>
    <x v="8"/>
    <s v="Regional Ceará"/>
    <s v="Quixadá"/>
    <s v="MultiSkill"/>
    <x v="4"/>
    <s v="TEC MULTIFUNCIONAL"/>
    <s v="ATIVIDADE NORMAL"/>
    <s v="QXA"/>
    <s v="05565118328"/>
    <s v="04/09/2019"/>
    <s v="LYNDON JONHSON SILVA LIMA"/>
    <s v="ALENCAR DE SOUZA SANTOS"/>
    <s v="JONILSON FELIPE VIEIRA"/>
    <x v="0"/>
    <x v="9"/>
    <x v="2"/>
    <s v="TECNICO MULTIFUNCIONAL"/>
    <x v="943"/>
    <x v="943"/>
    <x v="10"/>
    <x v="4"/>
    <x v="1"/>
    <x v="0"/>
    <x v="0"/>
  </r>
  <r>
    <x v="943"/>
    <n v="109000017"/>
    <s v="ATIVIDADE NORMAL"/>
    <s v="31/07/2019"/>
    <x v="0"/>
    <x v="25"/>
    <x v="10"/>
    <x v="10"/>
    <s v="Regional Pernambuco"/>
    <s v="Recife"/>
    <s v="MultiSkill"/>
    <x v="4"/>
    <s v="TEC MULTIFUNCIONAL"/>
    <s v="ATIVIDADE NORMAL"/>
    <s v="PES"/>
    <s v="05565330467"/>
    <s v="04/09/2019"/>
    <s v="AMAURY ASSIS DE LIMA"/>
    <s v="DECIO FABIANO LOPES FERREIRA"/>
    <s v="NIVALDO DE OLIVEIRA SOARES"/>
    <x v="0"/>
    <x v="24"/>
    <x v="2"/>
    <s v="TECNICO MULTIFUNCIONAL"/>
    <x v="944"/>
    <x v="944"/>
    <x v="15"/>
    <x v="0"/>
    <x v="0"/>
    <x v="0"/>
    <x v="0"/>
  </r>
  <r>
    <x v="944"/>
    <n v="109000017"/>
    <s v="ATIVIDADE NORMAL"/>
    <s v="10/04/2019"/>
    <x v="0"/>
    <x v="68"/>
    <x v="10"/>
    <x v="10"/>
    <s v="Regional Pernambuco"/>
    <s v="Recife"/>
    <s v="MultiSkill"/>
    <x v="4"/>
    <s v="TEC MULTIFUNCIONAL"/>
    <s v="ATIVIDADE NORMAL"/>
    <s v="PES"/>
    <s v="05574659409"/>
    <s v="04/09/2019"/>
    <s v="AMAURY ASSIS DE LIMA"/>
    <s v="DECIO FABIANO LOPES FERREIRA"/>
    <s v="NIVALDO DE OLIVEIRA SOARES"/>
    <x v="0"/>
    <x v="14"/>
    <x v="2"/>
    <s v="TECNICO MULTIFUNCIONAL"/>
    <x v="945"/>
    <x v="945"/>
    <x v="15"/>
    <x v="0"/>
    <x v="0"/>
    <x v="0"/>
    <x v="0"/>
  </r>
  <r>
    <x v="945"/>
    <n v="101005241"/>
    <s v="ATIVIDADE NORMAL"/>
    <s v="31/07/2019"/>
    <x v="1"/>
    <x v="11"/>
    <x v="6"/>
    <x v="9"/>
    <s v="Regional Ceará"/>
    <s v="Juazeiro"/>
    <s v="Tecnico de campo"/>
    <x v="5"/>
    <s v="INSTALADOR TUP"/>
    <s v="ATIVIDADE NORMAL"/>
    <s v="IAU"/>
    <s v="05682293398"/>
    <s v="04/09/2019"/>
    <s v="CLAUDECIR GOMES MACIEL"/>
    <s v="JEFFERSON OLIVEIRA DA SILVA"/>
    <s v="JONILSON FELIPE VIEIRA"/>
    <x v="1"/>
    <x v="5"/>
    <x v="6"/>
    <s v="INSTALADOR I"/>
    <x v="946"/>
    <x v="946"/>
    <x v="6"/>
    <x v="2"/>
    <x v="1"/>
    <x v="0"/>
    <x v="1"/>
  </r>
  <r>
    <x v="946"/>
    <n v="109000926"/>
    <s v="ATIVIDADE NORMAL"/>
    <s v="01/02/2019"/>
    <x v="0"/>
    <x v="44"/>
    <x v="2"/>
    <x v="7"/>
    <s v="Regional Pernambuco"/>
    <s v="Recife"/>
    <s v="Equipe SWAT"/>
    <x v="1"/>
    <s v="CABISTA I"/>
    <s v="ATIVIDADE NORMAL"/>
    <s v="LES"/>
    <s v="83399011415"/>
    <s v="04/09/2019"/>
    <s v="ANTONIO MAGNO DE CASTRO LEAO"/>
    <s v="BRUNO VINICIUS DE ALBERTINS ALVES"/>
    <s v="NIVALDO DE OLIVEIRA SOARES"/>
    <x v="0"/>
    <x v="45"/>
    <x v="7"/>
    <s v="CABISTA I"/>
    <x v="947"/>
    <x v="947"/>
    <x v="41"/>
    <x v="9"/>
    <x v="0"/>
    <x v="0"/>
    <x v="1"/>
  </r>
  <r>
    <x v="947"/>
    <n v="109500177"/>
    <s v="ATIVIDADE NORMAL"/>
    <s v="06/02/2019"/>
    <x v="0"/>
    <x v="67"/>
    <x v="10"/>
    <x v="14"/>
    <s v="Regional Pernambuco"/>
    <s v="Recife"/>
    <s v="MultiSkill"/>
    <x v="4"/>
    <s v="TEC MULTIFUNCIONAL"/>
    <s v="ATIVIDADE NORMAL"/>
    <s v="NOR"/>
    <s v="83550011415"/>
    <s v="04/09/2019"/>
    <s v="JOSUEL FERREIRA DE BRITO"/>
    <s v="BRUNO VINICIUS DE ALBERTINS ALVES"/>
    <s v="NIVALDO DE OLIVEIRA SOARES"/>
    <x v="0"/>
    <x v="38"/>
    <x v="2"/>
    <s v="TECNICO MULTIFUNCIONAL"/>
    <x v="948"/>
    <x v="948"/>
    <x v="36"/>
    <x v="9"/>
    <x v="0"/>
    <x v="0"/>
    <x v="0"/>
  </r>
  <r>
    <x v="948"/>
    <n v="109501286"/>
    <s v="ATIVIDADE NORMAL"/>
    <s v="30/04/2019"/>
    <x v="0"/>
    <x v="30"/>
    <x v="10"/>
    <x v="13"/>
    <s v="Regional Pernambuco"/>
    <s v="Recife"/>
    <s v="MultiSkill"/>
    <x v="4"/>
    <s v="TEC MULTIFUNCIONAL"/>
    <s v="ATIVIDADE NORMAL"/>
    <s v="OES"/>
    <s v="83590765453"/>
    <s v="04/09/2019"/>
    <s v="JOSE HENRIQUE NEGRAO DE MEDEIROS"/>
    <s v="DECIO FABIANO LOPES FERREIRA"/>
    <s v="NIVALDO DE OLIVEIRA SOARES"/>
    <x v="0"/>
    <x v="37"/>
    <x v="2"/>
    <s v="TECNICO MULTIFUNCIONAL"/>
    <x v="949"/>
    <x v="949"/>
    <x v="34"/>
    <x v="0"/>
    <x v="0"/>
    <x v="0"/>
    <x v="0"/>
  </r>
  <r>
    <x v="949"/>
    <n v="101010175"/>
    <s v="ATIVIDADE NORMAL"/>
    <s v="10/04/2019"/>
    <x v="1"/>
    <x v="40"/>
    <x v="7"/>
    <x v="8"/>
    <s v="Regional Ceará"/>
    <s v="Quixadá"/>
    <s v="Tecnico de campo"/>
    <x v="1"/>
    <s v="LIDER DE OBRAS"/>
    <s v="ATIVIDADE NORMAL"/>
    <s v="QXA"/>
    <s v="83673890344"/>
    <s v="04/09/2019"/>
    <s v="ANTONIO GILSON BANDEIRA VALE"/>
    <s v="CRISTIANO ADOLFO TORRES SAMPAIO"/>
    <s v="JESSE GONCALVES PASSOS DE LIMA"/>
    <x v="1"/>
    <x v="60"/>
    <x v="5"/>
    <s v="LIDER DE OBRAS"/>
    <x v="950"/>
    <x v="950"/>
    <x v="50"/>
    <x v="5"/>
    <x v="2"/>
    <x v="0"/>
    <x v="1"/>
  </r>
  <r>
    <x v="950"/>
    <n v="109000017"/>
    <s v="ATIVIDADE NORMAL"/>
    <s v="12/06/2019"/>
    <x v="0"/>
    <x v="13"/>
    <x v="10"/>
    <x v="10"/>
    <s v="Regional Pernambuco"/>
    <s v="Recife"/>
    <s v="MultiSkill"/>
    <x v="4"/>
    <s v="TEC MULTIFUNCIONAL"/>
    <s v="ATIVIDADE NORMAL"/>
    <s v="PES"/>
    <s v="83030514404"/>
    <s v="04/09/2019"/>
    <s v="AMAURY ASSIS DE LIMA"/>
    <s v="DECIO FABIANO LOPES FERREIRA"/>
    <s v="NIVALDO DE OLIVEIRA SOARES"/>
    <x v="0"/>
    <x v="14"/>
    <x v="2"/>
    <s v="TECNICO MULTIFUNCIONAL"/>
    <x v="951"/>
    <x v="951"/>
    <x v="15"/>
    <x v="0"/>
    <x v="0"/>
    <x v="0"/>
    <x v="0"/>
  </r>
  <r>
    <x v="951"/>
    <n v="109000926"/>
    <s v="AFAST DOENCA MAIS DE 15 DIAS"/>
    <s v="17/04/2018"/>
    <x v="0"/>
    <x v="7"/>
    <x v="10"/>
    <x v="7"/>
    <s v="Regional Pernambuco"/>
    <s v="Recife"/>
    <s v="MultiSkill"/>
    <x v="4"/>
    <s v="TEC MULTIFUNCIONAL"/>
    <s v="AFAST DOENCA MAIS DE 15 DIAS"/>
    <s v="LES"/>
    <s v="83137769434"/>
    <s v="04/09/2019"/>
    <s v="ANTONIO MAGNO DE CASTRO LEAO"/>
    <s v="BRUNO VINICIUS DE ALBERTINS ALVES"/>
    <s v="NIVALDO DE OLIVEIRA SOARES"/>
    <x v="1"/>
    <x v="45"/>
    <x v="2"/>
    <s v="TECNICO MULTIFUNCIONAL"/>
    <x v="952"/>
    <x v="952"/>
    <x v="41"/>
    <x v="9"/>
    <x v="0"/>
    <x v="2"/>
    <x v="0"/>
  </r>
  <r>
    <x v="952"/>
    <n v="109506032"/>
    <s v="FERIAS NORMAIS"/>
    <s v="02/09/2019"/>
    <x v="0"/>
    <x v="49"/>
    <x v="10"/>
    <x v="13"/>
    <s v="Regional Pernambuco"/>
    <s v="Recife"/>
    <s v="MultiSkill"/>
    <x v="4"/>
    <s v="TEC MULTIFUNCIONAL"/>
    <s v="FERIAS NORMAIS"/>
    <s v="OES"/>
    <s v="83235620400"/>
    <s v="04/09/2019"/>
    <s v="CARLOS REIS GONZAGA"/>
    <s v="DECIO FABIANO LOPES FERREIRA"/>
    <s v="NIVALDO DE OLIVEIRA SOARES"/>
    <x v="1"/>
    <x v="16"/>
    <x v="2"/>
    <s v="TECNICO MULTIFUNCIONAL"/>
    <x v="953"/>
    <x v="953"/>
    <x v="17"/>
    <x v="0"/>
    <x v="0"/>
    <x v="1"/>
    <x v="0"/>
  </r>
  <r>
    <x v="953"/>
    <n v="101003771"/>
    <s v="ATIVIDADE NORMAL"/>
    <s v="24/02/2019"/>
    <x v="1"/>
    <x v="40"/>
    <x v="6"/>
    <x v="8"/>
    <s v="Regional Ceará"/>
    <s v="Quixadá"/>
    <s v="Equipe SWAT"/>
    <x v="5"/>
    <s v="INSTALADOR TUP"/>
    <s v="ATIVIDADE NORMAL"/>
    <s v="QXA"/>
    <s v="83270779372"/>
    <s v="04/09/2019"/>
    <s v="ANA CLAUDIA DE CASTRO DA SILVA"/>
    <s v="ALENCAR DE SOUZA SANTOS"/>
    <s v="JONILSON FELIPE VIEIRA"/>
    <x v="1"/>
    <x v="13"/>
    <x v="6"/>
    <s v="INSTALADOR I"/>
    <x v="954"/>
    <x v="954"/>
    <x v="14"/>
    <x v="4"/>
    <x v="1"/>
    <x v="0"/>
    <x v="1"/>
  </r>
  <r>
    <x v="954"/>
    <n v="102101642"/>
    <s v="ATIVIDADE NORMAL"/>
    <s v="10/07/2019"/>
    <x v="3"/>
    <x v="24"/>
    <x v="10"/>
    <x v="19"/>
    <s v="Regional Pernambuco"/>
    <s v="Natal"/>
    <s v="MultiSkill"/>
    <x v="4"/>
    <s v="TEC MULTIFUNCIONAL"/>
    <s v="ATIVIDADE NORMAL"/>
    <s v="NTN"/>
    <s v="83751009434"/>
    <s v="04/09/2019"/>
    <s v="WILSON CARLOS SILVEIRA LEIROS"/>
    <s v="REINILSON IGLESIAS JUNIOR"/>
    <s v="WENDELL FRANKLIN VIEIRA MAIA"/>
    <x v="0"/>
    <x v="51"/>
    <x v="2"/>
    <s v="TECNICO MULTIFUNCIONAL"/>
    <x v="955"/>
    <x v="955"/>
    <x v="28"/>
    <x v="7"/>
    <x v="3"/>
    <x v="0"/>
    <x v="0"/>
  </r>
  <r>
    <x v="955"/>
    <n v="101003771"/>
    <s v="ATIVIDADE NORMAL"/>
    <s v="18/10/2018"/>
    <x v="1"/>
    <x v="69"/>
    <x v="6"/>
    <x v="3"/>
    <s v="Regional Ceará"/>
    <s v="Capital Oeste Ceará"/>
    <s v="Tecnico de campo"/>
    <x v="5"/>
    <s v="INSTALADOR TUP"/>
    <s v="ATIVIDADE NORMAL"/>
    <s v="CNO"/>
    <s v="83971580300"/>
    <s v="04/09/2019"/>
    <s v="ANA CLAUDIA DE CASTRO DA SILVA"/>
    <s v="ALENCAR DE SOUZA SANTOS"/>
    <s v="JONILSON FELIPE VIEIRA"/>
    <x v="0"/>
    <x v="65"/>
    <x v="6"/>
    <s v="INSTALADOR I"/>
    <x v="956"/>
    <x v="956"/>
    <x v="14"/>
    <x v="4"/>
    <x v="1"/>
    <x v="0"/>
    <x v="1"/>
  </r>
  <r>
    <x v="956"/>
    <n v="102101393"/>
    <s v="ATIVIDADE NORMAL"/>
    <s v="06/03/2019"/>
    <x v="3"/>
    <x v="45"/>
    <x v="2"/>
    <x v="21"/>
    <s v="Regional Pernambuco"/>
    <s v="Natal"/>
    <s v="Tecnico de campo"/>
    <x v="1"/>
    <s v="CABISTA I"/>
    <s v="ATIVIDADE NORMAL"/>
    <s v="NTS"/>
    <s v="83730699415"/>
    <s v="04/09/2019"/>
    <s v="SIDNEY MOURA FREIRE"/>
    <s v="REINILSON IGLESIAS JUNIOR"/>
    <s v="WENDELL FRANKLIN VIEIRA MAIA"/>
    <x v="0"/>
    <x v="23"/>
    <x v="10"/>
    <s v="CABISTA I"/>
    <x v="957"/>
    <x v="957"/>
    <x v="24"/>
    <x v="7"/>
    <x v="3"/>
    <x v="0"/>
    <x v="1"/>
  </r>
  <r>
    <x v="957"/>
    <n v="102100390"/>
    <s v="ATIVIDADE NORMAL"/>
    <s v="19/06/2019"/>
    <x v="3"/>
    <x v="66"/>
    <x v="11"/>
    <x v="21"/>
    <s v="Regional Pernambuco"/>
    <s v="Natal"/>
    <s v="MultiSkill"/>
    <x v="1"/>
    <s v="TEC MULTIFUNCIONAL"/>
    <s v="ATIVIDADE NORMAL"/>
    <s v="NTS"/>
    <s v="83753184420"/>
    <s v="04/09/2019"/>
    <s v="ANDRIER CARLOS SOARES FERREIRA"/>
    <s v="REINILSON IGLESIAS JUNIOR"/>
    <s v="WENDELL FRANKLIN VIEIRA MAIA"/>
    <x v="1"/>
    <x v="30"/>
    <x v="2"/>
    <s v="TECNICO MULTIFUNCIONAL"/>
    <x v="958"/>
    <x v="958"/>
    <x v="43"/>
    <x v="7"/>
    <x v="3"/>
    <x v="0"/>
    <x v="1"/>
  </r>
  <r>
    <x v="958"/>
    <n v="101010209"/>
    <s v="ATIVIDADE NORMAL"/>
    <s v="31/07/2019"/>
    <x v="1"/>
    <x v="10"/>
    <x v="2"/>
    <x v="4"/>
    <s v="Regional Ceará"/>
    <s v="Capital Oeste Ceará"/>
    <s v="Tecnico de campo"/>
    <x v="1"/>
    <s v="CABISTA I"/>
    <s v="ATIVIDADE NORMAL"/>
    <s v="COO"/>
    <s v="83775137300"/>
    <s v="04/09/2019"/>
    <s v="KARLYSSON FRANCO SANTANA DE SOUSA"/>
    <s v="ALENCAR DE SOUZA SANTOS"/>
    <s v="JONILSON FELIPE VIEIRA"/>
    <x v="0"/>
    <x v="10"/>
    <x v="7"/>
    <s v="CABISTA I"/>
    <x v="959"/>
    <x v="959"/>
    <x v="11"/>
    <x v="4"/>
    <x v="1"/>
    <x v="0"/>
    <x v="1"/>
  </r>
  <r>
    <x v="959"/>
    <n v="101010062"/>
    <s v="ATIVIDADE NORMAL"/>
    <s v="02/01/2019"/>
    <x v="1"/>
    <x v="26"/>
    <x v="4"/>
    <x v="15"/>
    <s v="Regional Ceará"/>
    <s v="Sobral"/>
    <s v="MultiSkill"/>
    <x v="3"/>
    <s v="TEC MULTIFUNCIONAL"/>
    <s v="ATIVIDADE NORMAL"/>
    <s v="SOL"/>
    <s v="83993010353"/>
    <s v="04/09/2019"/>
    <s v="ANTONIO ERINEUDES CAVALCANTE FEIJAO"/>
    <s v="JEFFERSON OLIVEIRA DA SILVA"/>
    <s v="JONILSON FELIPE VIEIRA"/>
    <x v="0"/>
    <x v="26"/>
    <x v="2"/>
    <s v="TECNICO MULTIFUNCIONAL"/>
    <x v="960"/>
    <x v="960"/>
    <x v="26"/>
    <x v="2"/>
    <x v="1"/>
    <x v="0"/>
    <x v="0"/>
  </r>
  <r>
    <x v="960"/>
    <n v="105303207"/>
    <s v="ATIVIDADE NORMAL"/>
    <s v="19/05/2019"/>
    <x v="2"/>
    <x v="34"/>
    <x v="2"/>
    <x v="12"/>
    <s v="Regional Pernambuco"/>
    <s v="João Pessoa"/>
    <s v="Equipe SWAT"/>
    <x v="1"/>
    <s v="CABISTA I"/>
    <s v="ATIVIDADE NORMAL"/>
    <s v="JPA"/>
    <s v="84055090463"/>
    <s v="04/09/2019"/>
    <s v="RAFAEL FERNANDES MATIAS"/>
    <s v="WENDELL FRANKLIN VIEIRA MAIA"/>
    <s v="WENDELL FRANKLIN VIEIRA MAIA"/>
    <x v="0"/>
    <x v="49"/>
    <x v="7"/>
    <s v="CABISTA I"/>
    <x v="961"/>
    <x v="961"/>
    <x v="44"/>
    <x v="6"/>
    <x v="3"/>
    <x v="0"/>
    <x v="1"/>
  </r>
  <r>
    <x v="961"/>
    <n v="101005241"/>
    <s v="ATIVIDADE NORMAL"/>
    <s v="07/05/2019"/>
    <x v="1"/>
    <x v="11"/>
    <x v="2"/>
    <x v="9"/>
    <s v="Regional Ceará"/>
    <s v="Juazeiro"/>
    <s v="MultiSkill"/>
    <x v="1"/>
    <s v="TEC MULTIFUNCIONAL"/>
    <s v="ATIVIDADE NORMAL"/>
    <s v="IAU"/>
    <s v="84091266304"/>
    <s v="04/09/2019"/>
    <s v="CLAUDECIR GOMES MACIEL"/>
    <s v="JEFFERSON OLIVEIRA DA SILVA"/>
    <s v="JONILSON FELIPE VIEIRA"/>
    <x v="0"/>
    <x v="8"/>
    <x v="2"/>
    <s v="TECNICO MULTIFUNCIONAL"/>
    <x v="962"/>
    <x v="962"/>
    <x v="6"/>
    <x v="2"/>
    <x v="1"/>
    <x v="0"/>
    <x v="1"/>
  </r>
  <r>
    <x v="962"/>
    <n v="109505858"/>
    <s v="FERIAS NORMAIS"/>
    <s v="02/09/2019"/>
    <x v="0"/>
    <x v="6"/>
    <x v="6"/>
    <x v="6"/>
    <s v="Regional Pernambuco"/>
    <s v="Interior"/>
    <s v="Tecnico de campo"/>
    <x v="5"/>
    <s v="TEC ADSL I"/>
    <s v="FERIAS NORMAIS"/>
    <s v="PTA"/>
    <s v="84431415491"/>
    <s v="04/09/2019"/>
    <s v="THIAGO DE LIMA PIRES RODRIGUES"/>
    <s v="DECIO FABIANO LOPES FERREIRA"/>
    <s v="NIVALDO DE OLIVEIRA SOARES"/>
    <x v="1"/>
    <x v="11"/>
    <x v="4"/>
    <s v="TECNICO ADSL"/>
    <x v="963"/>
    <x v="963"/>
    <x v="12"/>
    <x v="0"/>
    <x v="0"/>
    <x v="1"/>
    <x v="1"/>
  </r>
  <r>
    <x v="963"/>
    <n v="109504012"/>
    <s v="FERIAS NORMAIS"/>
    <s v="02/09/2019"/>
    <x v="2"/>
    <x v="54"/>
    <x v="5"/>
    <x v="12"/>
    <s v="Regional Pernambuco"/>
    <s v="João Pessoa"/>
    <s v="MultiSkill"/>
    <x v="4"/>
    <s v="TEC MULTIFUNCIONAL"/>
    <s v="FERIAS NORMAIS"/>
    <s v="JPA"/>
    <s v="84100354487"/>
    <s v="04/09/2019"/>
    <s v="FRANCISCO JOSE DIAS DA SILVA"/>
    <s v="WENDELL FRANKLIN VIEIRA MAIA"/>
    <s v="WENDELL FRANKLIN VIEIRA MAIA"/>
    <x v="1"/>
    <x v="36"/>
    <x v="2"/>
    <s v="TECNICO MULTIFUNCIONAL"/>
    <x v="964"/>
    <x v="964"/>
    <x v="25"/>
    <x v="6"/>
    <x v="3"/>
    <x v="1"/>
    <x v="0"/>
  </r>
  <r>
    <x v="964"/>
    <n v="109505858"/>
    <s v="ATIVIDADE NORMAL"/>
    <s v="07/06/2019"/>
    <x v="0"/>
    <x v="6"/>
    <x v="2"/>
    <x v="6"/>
    <s v="Regional Pernambuco"/>
    <s v="Interior"/>
    <s v="MultiSkill"/>
    <x v="1"/>
    <s v="TEC MULTIFUNCIONAL"/>
    <s v="ATIVIDADE NORMAL"/>
    <s v="PTA"/>
    <s v="84431083472"/>
    <s v="04/09/2019"/>
    <s v="THIAGO DE LIMA PIRES RODRIGUES"/>
    <s v="DECIO FABIANO LOPES FERREIRA"/>
    <s v="NIVALDO DE OLIVEIRA SOARES"/>
    <x v="0"/>
    <x v="11"/>
    <x v="2"/>
    <s v="TECNICO MULTIFUNCIONAL"/>
    <x v="965"/>
    <x v="965"/>
    <x v="12"/>
    <x v="0"/>
    <x v="0"/>
    <x v="0"/>
    <x v="1"/>
  </r>
  <r>
    <x v="965"/>
    <n v="101005989"/>
    <s v="FERIAS NORMAIS"/>
    <s v="19/08/2019"/>
    <x v="1"/>
    <x v="17"/>
    <x v="17"/>
    <x v="3"/>
    <s v="Regional Ceará"/>
    <s v="Capital Oeste Ceará"/>
    <s v="MultiSkill"/>
    <x v="4"/>
    <s v="TEC MULTIFUNCIONAL"/>
    <s v="FERIAS NORMAIS"/>
    <s v="CNO"/>
    <s v="84731800382"/>
    <s v="04/09/2019"/>
    <s v="JOSENIL GOMES RODRIGUES"/>
    <s v="ALENCAR DE SOUZA SANTOS"/>
    <s v="JONILSON FELIPE VIEIRA"/>
    <x v="1"/>
    <x v="17"/>
    <x v="2"/>
    <s v="TECNICO MULTIFUNCIONAL"/>
    <x v="966"/>
    <x v="966"/>
    <x v="18"/>
    <x v="4"/>
    <x v="1"/>
    <x v="1"/>
    <x v="0"/>
  </r>
  <r>
    <x v="966"/>
    <n v="102101634"/>
    <s v="FERIAS NORMAIS"/>
    <s v="19/08/2019"/>
    <x v="3"/>
    <x v="62"/>
    <x v="23"/>
    <x v="19"/>
    <s v="Regional Pernambuco"/>
    <s v="Natal"/>
    <s v="Tecnico de campo"/>
    <x v="2"/>
    <s v="TEC MULTIFUNCIONAL"/>
    <s v="FERIAS NORMAIS"/>
    <s v="NTN"/>
    <s v="85031887400"/>
    <s v="04/09/2019"/>
    <s v="FABIO BATISTA DA SILVA"/>
    <s v="REINILSON IGLESIAS JUNIOR"/>
    <s v="WENDELL FRANKLIN VIEIRA MAIA"/>
    <x v="1"/>
    <x v="30"/>
    <x v="2"/>
    <s v="TECNICO MULTIFUNCIONAL"/>
    <x v="967"/>
    <x v="967"/>
    <x v="29"/>
    <x v="7"/>
    <x v="3"/>
    <x v="1"/>
    <x v="0"/>
  </r>
  <r>
    <x v="967"/>
    <n v="101001488"/>
    <s v="ATIVIDADE NORMAL"/>
    <s v="19/12/2018"/>
    <x v="1"/>
    <x v="2"/>
    <x v="18"/>
    <x v="2"/>
    <s v="Regional Ceará"/>
    <s v="Capital Sul Ceará"/>
    <s v="Tecnico de campo"/>
    <x v="0"/>
    <s v="TEC MULTIFUNCIONAL"/>
    <s v="ATIVIDADE NORMAL"/>
    <s v="GCL"/>
    <s v="85120286372"/>
    <s v="04/09/2019"/>
    <s v="MICHEL SOARES DE OLIVEIRA"/>
    <s v="ANTONIO ROBEVANIO PINHEIRO"/>
    <s v="JONILSON FELIPE VIEIRA"/>
    <x v="0"/>
    <x v="50"/>
    <x v="1"/>
    <s v="TECNICO MULTIFUNCIONAL"/>
    <x v="968"/>
    <x v="968"/>
    <x v="2"/>
    <x v="1"/>
    <x v="1"/>
    <x v="0"/>
    <x v="0"/>
  </r>
  <r>
    <x v="968"/>
    <n v="105303208"/>
    <s v="ATIVIDADE NORMAL"/>
    <s v="07/06/2019"/>
    <x v="2"/>
    <x v="15"/>
    <x v="10"/>
    <x v="12"/>
    <s v="Regional Pernambuco"/>
    <s v="João Pessoa"/>
    <s v="MultiSkill"/>
    <x v="4"/>
    <s v="TEC MULTIFUNCIONAL"/>
    <s v="ATIVIDADE NORMAL"/>
    <s v="JPA"/>
    <s v="85472930430"/>
    <s v="04/09/2019"/>
    <s v="FERNANDO ANTONIO PORTO DE FREITAS"/>
    <s v="WENDELL FRANKLIN VIEIRA MAIA"/>
    <s v="WENDELL FRANKLIN VIEIRA MAIA"/>
    <x v="0"/>
    <x v="72"/>
    <x v="2"/>
    <s v="TECNICO MULTIFUNCIONAL"/>
    <x v="969"/>
    <x v="969"/>
    <x v="16"/>
    <x v="6"/>
    <x v="3"/>
    <x v="0"/>
    <x v="0"/>
  </r>
  <r>
    <x v="969"/>
    <n v="101005380"/>
    <s v="ATIVIDADE NORMAL"/>
    <s v="31/10/2018"/>
    <x v="1"/>
    <x v="26"/>
    <x v="5"/>
    <x v="15"/>
    <s v="Regional Ceará"/>
    <s v="Sobral"/>
    <s v="MultiSkill"/>
    <x v="4"/>
    <s v="TEC MULTIFUNCIONAL"/>
    <s v="ATIVIDADE NORMAL"/>
    <s v="SOL"/>
    <s v="85761770300"/>
    <s v="04/09/2019"/>
    <s v="MARCILIO RIBEIRO DOS SANTOS"/>
    <s v="JEFFERSON OLIVEIRA DA SILVA"/>
    <s v="JONILSON FELIPE VIEIRA"/>
    <x v="0"/>
    <x v="19"/>
    <x v="2"/>
    <s v="TECNICO MULTIFUNCIONAL"/>
    <x v="970"/>
    <x v="970"/>
    <x v="20"/>
    <x v="2"/>
    <x v="1"/>
    <x v="0"/>
    <x v="0"/>
  </r>
  <r>
    <x v="970"/>
    <n v="109000499"/>
    <s v="ATIVIDADE NORMAL"/>
    <s v="19/06/2019"/>
    <x v="0"/>
    <x v="56"/>
    <x v="13"/>
    <x v="10"/>
    <s v="Regional Pernambuco"/>
    <s v="Recife"/>
    <s v="Tecnico de campo"/>
    <x v="8"/>
    <s v="OP DG"/>
    <s v="ATIVIDADE NORMAL"/>
    <s v="PES"/>
    <s v="86419110491"/>
    <s v="04/09/2019"/>
    <s v="ALTAIR LUIZ DO NASCIMENTO"/>
    <s v="DECIO FABIANO LOPES FERREIRA"/>
    <s v="NIVALDO DE OLIVEIRA SOARES"/>
    <x v="0"/>
    <x v="42"/>
    <x v="9"/>
    <s v="OPERADOR"/>
    <x v="971"/>
    <x v="971"/>
    <x v="38"/>
    <x v="0"/>
    <x v="0"/>
    <x v="0"/>
    <x v="1"/>
  </r>
  <r>
    <x v="971"/>
    <n v="101010062"/>
    <s v="FERIAS NORMAIS"/>
    <s v="02/09/2019"/>
    <x v="1"/>
    <x v="26"/>
    <x v="5"/>
    <x v="15"/>
    <s v="Regional Ceará"/>
    <s v="Sobral"/>
    <s v="MultiSkill"/>
    <x v="4"/>
    <s v="TEC MULTIFUNCIONAL"/>
    <s v="FERIAS NORMAIS"/>
    <s v="SOL"/>
    <s v="86588842368"/>
    <s v="04/09/2019"/>
    <s v="ANTONIO ERINEUDES CAVALCANTE FEIJAO"/>
    <s v="JEFFERSON OLIVEIRA DA SILVA"/>
    <s v="JONILSON FELIPE VIEIRA"/>
    <x v="1"/>
    <x v="26"/>
    <x v="2"/>
    <s v="TECNICO MULTIFUNCIONAL"/>
    <x v="972"/>
    <x v="972"/>
    <x v="26"/>
    <x v="2"/>
    <x v="1"/>
    <x v="1"/>
    <x v="0"/>
  </r>
  <r>
    <x v="972"/>
    <n v="109000017"/>
    <s v="ATIVIDADE NORMAL"/>
    <s v="17/07/2019"/>
    <x v="0"/>
    <x v="68"/>
    <x v="20"/>
    <x v="10"/>
    <s v="Regional Pernambuco"/>
    <s v="Recife"/>
    <s v="MultiSkill"/>
    <x v="7"/>
    <s v="TEC MULTIFUNCIONAL"/>
    <s v="ATIVIDADE NORMAL"/>
    <s v="PES"/>
    <s v="86719890468"/>
    <s v="04/09/2019"/>
    <s v="AMAURY ASSIS DE LIMA"/>
    <s v="DECIO FABIANO LOPES FERREIRA"/>
    <s v="NIVALDO DE OLIVEIRA SOARES"/>
    <x v="0"/>
    <x v="14"/>
    <x v="2"/>
    <s v="TECNICO MULTIFUNCIONAL"/>
    <x v="973"/>
    <x v="973"/>
    <x v="15"/>
    <x v="0"/>
    <x v="0"/>
    <x v="0"/>
    <x v="0"/>
  </r>
  <r>
    <x v="973"/>
    <n v="109000926"/>
    <s v="ATIVIDADE NORMAL"/>
    <s v="01/05/2019"/>
    <x v="0"/>
    <x v="44"/>
    <x v="10"/>
    <x v="7"/>
    <s v="Regional Pernambuco"/>
    <s v="Recife"/>
    <s v="MultiSkill"/>
    <x v="4"/>
    <s v="TEC MULTIFUNCIONAL"/>
    <s v="ATIVIDADE NORMAL"/>
    <s v="LES"/>
    <s v="86959549434"/>
    <s v="04/09/2019"/>
    <s v="ANTONIO MAGNO DE CASTRO LEAO"/>
    <s v="BRUNO VINICIUS DE ALBERTINS ALVES"/>
    <s v="NIVALDO DE OLIVEIRA SOARES"/>
    <x v="0"/>
    <x v="45"/>
    <x v="2"/>
    <s v="TECNICO MULTIFUNCIONAL"/>
    <x v="974"/>
    <x v="974"/>
    <x v="41"/>
    <x v="9"/>
    <x v="0"/>
    <x v="0"/>
    <x v="0"/>
  </r>
  <r>
    <x v="974"/>
    <n v="101003771"/>
    <s v="ATIVIDADE NORMAL"/>
    <s v="26/11/2018"/>
    <x v="1"/>
    <x v="57"/>
    <x v="11"/>
    <x v="4"/>
    <s v="Regional Ceará"/>
    <s v="Capital Oeste Ceará"/>
    <s v="MultiSkill"/>
    <x v="1"/>
    <s v="TEC MULTIFUNCIONAL"/>
    <s v="ATIVIDADE NORMAL"/>
    <s v="COO"/>
    <s v="87264935353"/>
    <s v="04/09/2019"/>
    <s v="ANA CLAUDIA DE CASTRO DA SILVA"/>
    <s v="ALENCAR DE SOUZA SANTOS"/>
    <s v="JONILSON FELIPE VIEIRA"/>
    <x v="1"/>
    <x v="10"/>
    <x v="2"/>
    <s v="TECNICO MULTIFUNCIONAL"/>
    <x v="975"/>
    <x v="975"/>
    <x v="14"/>
    <x v="4"/>
    <x v="1"/>
    <x v="0"/>
    <x v="1"/>
  </r>
  <r>
    <x v="975"/>
    <n v="105303207"/>
    <s v="ATIVIDADE NORMAL"/>
    <s v="01/02/2019"/>
    <x v="2"/>
    <x v="63"/>
    <x v="2"/>
    <x v="12"/>
    <s v="Regional Pernambuco"/>
    <s v="João Pessoa"/>
    <s v="Equipe SWAT"/>
    <x v="1"/>
    <s v="LIDER DE OBRAS"/>
    <s v="ATIVIDADE NORMAL"/>
    <s v="JPA"/>
    <s v="87302268487"/>
    <s v="04/09/2019"/>
    <s v="RAFAEL FERNANDES MATIAS"/>
    <s v="WENDELL FRANKLIN VIEIRA MAIA"/>
    <s v="WENDELL FRANKLIN VIEIRA MAIA"/>
    <x v="0"/>
    <x v="49"/>
    <x v="10"/>
    <s v="LIDER DE OBRAS"/>
    <x v="976"/>
    <x v="976"/>
    <x v="44"/>
    <x v="6"/>
    <x v="3"/>
    <x v="0"/>
    <x v="1"/>
  </r>
  <r>
    <x v="976"/>
    <n v="105303134"/>
    <s v="ATIVIDADE NORMAL"/>
    <s v="06/03/2019"/>
    <x v="2"/>
    <x v="42"/>
    <x v="12"/>
    <x v="12"/>
    <s v="Regional Pernambuco"/>
    <s v="João Pessoa"/>
    <s v="Equipe SWAT"/>
    <x v="6"/>
    <s v="LIDER DE OBRAS"/>
    <s v="ATIVIDADE NORMAL"/>
    <s v="JPA"/>
    <s v="87318776487"/>
    <s v="04/09/2019"/>
    <s v="GLAUBER JOSE GOMES LEITAO"/>
    <s v="WENDELL FRANKLIN VIEIRA MAIA"/>
    <s v="WENDELL FRANKLIN VIEIRA MAIA"/>
    <x v="0"/>
    <x v="43"/>
    <x v="10"/>
    <s v="LIDER DE OBRAS"/>
    <x v="977"/>
    <x v="977"/>
    <x v="39"/>
    <x v="6"/>
    <x v="3"/>
    <x v="0"/>
    <x v="1"/>
  </r>
  <r>
    <x v="977"/>
    <n v="102101634"/>
    <s v="ATIVIDADE NORMAL"/>
    <s v="03/04/2019"/>
    <x v="3"/>
    <x v="29"/>
    <x v="10"/>
    <x v="19"/>
    <s v="Regional Pernambuco"/>
    <s v="Natal"/>
    <s v="MultiSkill"/>
    <x v="4"/>
    <s v="TEC MULTIFUNCIONAL"/>
    <s v="ATIVIDADE NORMAL"/>
    <s v="NTN"/>
    <s v="87483068434"/>
    <s v="04/09/2019"/>
    <s v="FABIO BATISTA DA SILVA"/>
    <s v="REINILSON IGLESIAS JUNIOR"/>
    <s v="WENDELL FRANKLIN VIEIRA MAIA"/>
    <x v="0"/>
    <x v="30"/>
    <x v="2"/>
    <s v="TECNICO MULTIFUNCIONAL"/>
    <x v="978"/>
    <x v="978"/>
    <x v="29"/>
    <x v="7"/>
    <x v="3"/>
    <x v="0"/>
    <x v="0"/>
  </r>
  <r>
    <x v="978"/>
    <n v="105303124"/>
    <s v="ATIVIDADE NORMAL"/>
    <s v="14/04/2019"/>
    <x v="0"/>
    <x v="30"/>
    <x v="2"/>
    <x v="13"/>
    <s v="Regional Pernambuco"/>
    <s v="Recife"/>
    <s v="Tecnico de campo"/>
    <x v="1"/>
    <s v="TEC MULTIFUNCIONAL"/>
    <s v="ATIVIDADE NORMAL"/>
    <s v="OES"/>
    <s v="88214095468"/>
    <s v="04/09/2019"/>
    <s v="GENELSON AUGUSTO ALIXANDRE"/>
    <s v="CARLOS EDUARDO DE ALBUQUERQUE MEIRA"/>
    <s v="HEBERT JONES SOUTO ARAUJO"/>
    <x v="0"/>
    <x v="31"/>
    <x v="12"/>
    <s v="TECNICO MULTIFUNCIONAL"/>
    <x v="979"/>
    <x v="979"/>
    <x v="63"/>
    <x v="12"/>
    <x v="5"/>
    <x v="0"/>
    <x v="1"/>
  </r>
  <r>
    <x v="979"/>
    <n v="101005380"/>
    <s v="ATIVIDADE NORMAL"/>
    <s v="02/01/2019"/>
    <x v="1"/>
    <x v="19"/>
    <x v="21"/>
    <x v="15"/>
    <s v="Regional Ceará"/>
    <s v="Sobral"/>
    <s v="MultiSkill"/>
    <x v="3"/>
    <s v="TEC MULTIFUNCIONAL"/>
    <s v="ATIVIDADE NORMAL"/>
    <s v="SOL"/>
    <s v="88568172334"/>
    <s v="04/09/2019"/>
    <s v="MARCILIO RIBEIRO DOS SANTOS"/>
    <s v="JEFFERSON OLIVEIRA DA SILVA"/>
    <s v="JONILSON FELIPE VIEIRA"/>
    <x v="0"/>
    <x v="19"/>
    <x v="2"/>
    <s v="TECNICO MULTIFUNCIONAL"/>
    <x v="980"/>
    <x v="980"/>
    <x v="20"/>
    <x v="2"/>
    <x v="1"/>
    <x v="0"/>
    <x v="0"/>
  </r>
  <r>
    <x v="980"/>
    <n v="109501286"/>
    <s v="ATIVIDADE NORMAL"/>
    <s v="06/02/2019"/>
    <x v="0"/>
    <x v="30"/>
    <x v="10"/>
    <x v="13"/>
    <s v="Regional Pernambuco"/>
    <s v="Recife"/>
    <s v="MultiSkill"/>
    <x v="4"/>
    <s v="TEC MULTIFUNCIONAL"/>
    <s v="ATIVIDADE NORMAL"/>
    <s v="OES"/>
    <s v="89283988434"/>
    <s v="04/09/2019"/>
    <s v="JOSE HENRIQUE NEGRAO DE MEDEIROS"/>
    <s v="DECIO FABIANO LOPES FERREIRA"/>
    <s v="NIVALDO DE OLIVEIRA SOARES"/>
    <x v="0"/>
    <x v="37"/>
    <x v="2"/>
    <s v="TECNICO MULTIFUNCIONAL"/>
    <x v="981"/>
    <x v="981"/>
    <x v="34"/>
    <x v="0"/>
    <x v="0"/>
    <x v="0"/>
    <x v="0"/>
  </r>
  <r>
    <x v="981"/>
    <n v="109000499"/>
    <s v="ATIVIDADE NORMAL"/>
    <s v="31/01/2019"/>
    <x v="0"/>
    <x v="60"/>
    <x v="13"/>
    <x v="14"/>
    <s v="Regional Pernambuco"/>
    <s v="Recife"/>
    <s v="Tecnico de campo"/>
    <x v="8"/>
    <s v="INSTALADOR TUP"/>
    <s v="ATIVIDADE NORMAL"/>
    <s v="NOR"/>
    <s v="84695226472"/>
    <s v="04/09/2019"/>
    <s v="ALTAIR LUIZ DO NASCIMENTO"/>
    <s v="DECIO FABIANO LOPES FERREIRA"/>
    <s v="NIVALDO DE OLIVEIRA SOARES"/>
    <x v="0"/>
    <x v="42"/>
    <x v="6"/>
    <s v="INSTALADOR I"/>
    <x v="982"/>
    <x v="982"/>
    <x v="38"/>
    <x v="0"/>
    <x v="0"/>
    <x v="0"/>
    <x v="1"/>
  </r>
  <r>
    <x v="982"/>
    <n v="101001488"/>
    <s v="ATIVIDADE NORMAL"/>
    <s v="24/04/2019"/>
    <x v="1"/>
    <x v="4"/>
    <x v="18"/>
    <x v="4"/>
    <s v="Regional Ceará"/>
    <s v="Capital Oeste Ceará"/>
    <s v="Tecnico de campo"/>
    <x v="0"/>
    <s v="TEC MULTIFUNCIONAL"/>
    <s v="ATIVIDADE NORMAL"/>
    <s v="COO"/>
    <s v="85056138304"/>
    <s v="04/09/2019"/>
    <s v="MICHEL SOARES DE OLIVEIRA"/>
    <s v="ANTONIO ROBEVANIO PINHEIRO"/>
    <s v="JONILSON FELIPE VIEIRA"/>
    <x v="0"/>
    <x v="46"/>
    <x v="1"/>
    <s v="TECNICO MULTIFUNCIONAL"/>
    <x v="983"/>
    <x v="983"/>
    <x v="2"/>
    <x v="1"/>
    <x v="1"/>
    <x v="0"/>
    <x v="0"/>
  </r>
  <r>
    <x v="983"/>
    <n v="101010210"/>
    <s v="ATIVIDADE NORMAL"/>
    <s v="02/01/2019"/>
    <x v="1"/>
    <x v="4"/>
    <x v="0"/>
    <x v="4"/>
    <s v="Regional Ceará"/>
    <s v="Capital Oeste Ceará"/>
    <s v="Tecnico de campo"/>
    <x v="0"/>
    <s v="TEC MULTIFUNCIONAL"/>
    <s v="ATIVIDADE NORMAL"/>
    <s v="COO"/>
    <s v="85074799368"/>
    <s v="04/09/2019"/>
    <s v="ANTONIO FABIO DOS SANTOS LIMA"/>
    <s v="ANTONIO ROBEVANIO PINHEIRO"/>
    <s v="JONILSON FELIPE VIEIRA"/>
    <x v="0"/>
    <x v="61"/>
    <x v="1"/>
    <s v="TECNICO MULTIFUNCIONAL"/>
    <x v="984"/>
    <x v="984"/>
    <x v="1"/>
    <x v="1"/>
    <x v="1"/>
    <x v="0"/>
    <x v="0"/>
  </r>
  <r>
    <x v="984"/>
    <n v="102101220"/>
    <s v="FERIAS NORMAIS"/>
    <s v="19/08/2019"/>
    <x v="3"/>
    <x v="22"/>
    <x v="14"/>
    <x v="18"/>
    <s v="Regional Pernambuco"/>
    <s v="Natal"/>
    <s v="MultiSkill"/>
    <x v="4"/>
    <s v="TEC MULTIFUNCIONAL"/>
    <s v="FERIAS NORMAIS"/>
    <s v="RNS"/>
    <s v="85127051400"/>
    <s v="04/09/2019"/>
    <s v="JOSUE MOURA DA SILVA"/>
    <s v="REINILSON IGLESIAS JUNIOR"/>
    <s v="WENDELL FRANKLIN VIEIRA MAIA"/>
    <x v="1"/>
    <x v="22"/>
    <x v="2"/>
    <s v="TECNICO MULTIFUNCIONAL"/>
    <x v="985"/>
    <x v="985"/>
    <x v="23"/>
    <x v="7"/>
    <x v="3"/>
    <x v="1"/>
    <x v="0"/>
  </r>
  <r>
    <x v="985"/>
    <n v="105303208"/>
    <s v="ATIVIDADE NORMAL"/>
    <s v="02/06/2019"/>
    <x v="2"/>
    <x v="15"/>
    <x v="12"/>
    <x v="12"/>
    <s v="Regional Pernambuco"/>
    <s v="João Pessoa"/>
    <s v="Equipe SWAT"/>
    <x v="6"/>
    <s v="CABISTA III"/>
    <s v="ATIVIDADE NORMAL"/>
    <s v="JPA"/>
    <s v="85454621404"/>
    <s v="04/09/2019"/>
    <s v="FERNANDO ANTONIO PORTO DE FREITAS"/>
    <s v="WENDELL FRANKLIN VIEIRA MAIA"/>
    <s v="WENDELL FRANKLIN VIEIRA MAIA"/>
    <x v="0"/>
    <x v="72"/>
    <x v="7"/>
    <s v="CABISTA III"/>
    <x v="986"/>
    <x v="986"/>
    <x v="16"/>
    <x v="6"/>
    <x v="3"/>
    <x v="0"/>
    <x v="1"/>
  </r>
  <r>
    <x v="986"/>
    <n v="101010209"/>
    <s v="ATIVIDADE NORMAL"/>
    <s v="14/06/2019"/>
    <x v="1"/>
    <x v="10"/>
    <x v="10"/>
    <x v="4"/>
    <s v="Regional Ceará"/>
    <s v="Capital Oeste Ceará"/>
    <s v="MultiSkill"/>
    <x v="4"/>
    <s v="TEC MULTIFUNCIONAL"/>
    <s v="ATIVIDADE NORMAL"/>
    <s v="COO"/>
    <s v="85576301315"/>
    <s v="04/09/2019"/>
    <s v="KARLYSSON FRANCO SANTANA DE SOUSA"/>
    <s v="ALENCAR DE SOUZA SANTOS"/>
    <s v="JONILSON FELIPE VIEIRA"/>
    <x v="0"/>
    <x v="63"/>
    <x v="2"/>
    <s v="TECNICO MULTIFUNCIONAL"/>
    <x v="987"/>
    <x v="987"/>
    <x v="11"/>
    <x v="4"/>
    <x v="1"/>
    <x v="0"/>
    <x v="0"/>
  </r>
  <r>
    <x v="987"/>
    <n v="101005380"/>
    <s v="FERIAS NORMAIS"/>
    <s v="02/09/2019"/>
    <x v="1"/>
    <x v="19"/>
    <x v="2"/>
    <x v="15"/>
    <s v="Regional Ceará"/>
    <s v="Sobral"/>
    <s v="Tecnico de campo"/>
    <x v="1"/>
    <s v="CABISTA I"/>
    <s v="FERIAS NORMAIS"/>
    <s v="SOL"/>
    <s v="89319222304"/>
    <s v="04/09/2019"/>
    <s v="MARCILIO RIBEIRO DOS SANTOS"/>
    <s v="JEFFERSON OLIVEIRA DA SILVA"/>
    <s v="JONILSON FELIPE VIEIRA"/>
    <x v="1"/>
    <x v="19"/>
    <x v="7"/>
    <s v="CABISTA I"/>
    <x v="988"/>
    <x v="988"/>
    <x v="20"/>
    <x v="2"/>
    <x v="1"/>
    <x v="1"/>
    <x v="1"/>
  </r>
  <r>
    <x v="988"/>
    <n v="108401409"/>
    <s v="ATIVIDADE NORMAL"/>
    <s v="03/07/2019"/>
    <x v="1"/>
    <x v="47"/>
    <x v="16"/>
    <x v="1"/>
    <s v="Regional Ceará"/>
    <s v="Capital Sul Ceará"/>
    <s v="Tecnico de campo"/>
    <x v="9"/>
    <s v="INSTALADOR DTH"/>
    <s v="ATIVIDADE NORMAL"/>
    <s v="GCS"/>
    <s v="89320778353"/>
    <s v="04/09/2019"/>
    <s v="JOSE NILTON MENDES LIMA"/>
    <s v="VANDERLEI HENZEL CHOLLET"/>
    <s v="JONILSON FELIPE VIEIRA"/>
    <x v="0"/>
    <x v="9"/>
    <x v="11"/>
    <s v="INSTALADOR DTH"/>
    <x v="989"/>
    <x v="989"/>
    <x v="32"/>
    <x v="8"/>
    <x v="1"/>
    <x v="0"/>
    <x v="0"/>
  </r>
  <r>
    <x v="989"/>
    <n v="105000986"/>
    <s v="ATIVIDADE NORMAL"/>
    <s v="06/02/2019"/>
    <x v="2"/>
    <x v="33"/>
    <x v="12"/>
    <x v="16"/>
    <s v="Regional Pernambuco"/>
    <s v="João Pessoa"/>
    <s v="Equipe SWAT"/>
    <x v="6"/>
    <s v="CABISTA III"/>
    <s v="ATIVIDADE NORMAL"/>
    <s v="CGE"/>
    <s v="89321898468"/>
    <s v="04/09/2019"/>
    <s v="JOSILENE MACENA DE OLIVEIRA"/>
    <s v="WENDELL FRANKLIN VIEIRA MAIA"/>
    <s v="WENDELL FRANKLIN VIEIRA MAIA"/>
    <x v="0"/>
    <x v="20"/>
    <x v="10"/>
    <s v="CABISTA III"/>
    <x v="990"/>
    <x v="990"/>
    <x v="21"/>
    <x v="6"/>
    <x v="3"/>
    <x v="0"/>
    <x v="1"/>
  </r>
  <r>
    <x v="990"/>
    <n v="109000340"/>
    <s v="ATIVIDADE NORMAL"/>
    <s v="01/02/2019"/>
    <x v="0"/>
    <x v="38"/>
    <x v="12"/>
    <x v="22"/>
    <s v="Regional Pernambuco"/>
    <s v="Interior"/>
    <s v="Tecnico de campo"/>
    <x v="6"/>
    <s v="CABISTA I"/>
    <s v="ATIVIDADE NORMAL"/>
    <s v="CAA"/>
    <s v="89581270400"/>
    <s v="04/09/2019"/>
    <s v="AILTON JOSE DOS SANTOS"/>
    <s v="DECIO FABIANO LOPES FERREIRA"/>
    <s v="NIVALDO DE OLIVEIRA SOARES"/>
    <x v="0"/>
    <x v="41"/>
    <x v="7"/>
    <s v="CABISTA I"/>
    <x v="991"/>
    <x v="991"/>
    <x v="22"/>
    <x v="0"/>
    <x v="0"/>
    <x v="0"/>
    <x v="1"/>
  </r>
  <r>
    <x v="991"/>
    <n v="109500177"/>
    <s v="ATIVIDADE NORMAL"/>
    <s v="05/06/2019"/>
    <x v="0"/>
    <x v="18"/>
    <x v="2"/>
    <x v="14"/>
    <s v="Regional Pernambuco"/>
    <s v="Recife"/>
    <s v="Tecnico de campo"/>
    <x v="1"/>
    <s v="TEC MULTIFUNCIONAL"/>
    <s v="ATIVIDADE NORMAL"/>
    <s v="NOR"/>
    <s v="89831721420"/>
    <s v="04/09/2019"/>
    <s v="JOSUEL FERREIRA DE BRITO"/>
    <s v="BRUNO VINICIUS DE ALBERTINS ALVES"/>
    <s v="NIVALDO DE OLIVEIRA SOARES"/>
    <x v="0"/>
    <x v="31"/>
    <x v="12"/>
    <s v="TECNICO MULTIFUNCIONAL"/>
    <x v="992"/>
    <x v="992"/>
    <x v="36"/>
    <x v="9"/>
    <x v="0"/>
    <x v="0"/>
    <x v="1"/>
  </r>
  <r>
    <x v="992"/>
    <n v="109500038"/>
    <s v="ATIVIDADE NORMAL"/>
    <s v="01/05/2019"/>
    <x v="0"/>
    <x v="35"/>
    <x v="2"/>
    <x v="14"/>
    <s v="Regional Pernambuco"/>
    <s v="Recife"/>
    <s v="Tecnico de campo"/>
    <x v="1"/>
    <s v="CABISTA III"/>
    <s v="ATIVIDADE NORMAL"/>
    <s v="NOR"/>
    <s v="90001532472"/>
    <s v="04/09/2019"/>
    <s v="PATRICIO MARTINS DE SOUSA"/>
    <s v="MARCOS DE OLIVEIRA STEHLING"/>
    <s v="NIVALDO DE OLIVEIRA SOARES"/>
    <x v="0"/>
    <x v="18"/>
    <x v="3"/>
    <s v="CABISTA III"/>
    <x v="993"/>
    <x v="993"/>
    <x v="19"/>
    <x v="3"/>
    <x v="0"/>
    <x v="0"/>
    <x v="1"/>
  </r>
  <r>
    <x v="993"/>
    <n v="101003771"/>
    <s v="FERIAS NORMAIS"/>
    <s v="19/08/2019"/>
    <x v="1"/>
    <x v="48"/>
    <x v="6"/>
    <x v="3"/>
    <s v="Regional Ceará"/>
    <s v="Capital Oeste Ceará"/>
    <s v="Equipe SWAT"/>
    <x v="5"/>
    <s v="INSTALADOR TUP"/>
    <s v="FERIAS NORMAIS"/>
    <s v="CNO"/>
    <s v="90301706387"/>
    <s v="04/09/2019"/>
    <s v="ANA CLAUDIA DE CASTRO DA SILVA"/>
    <s v="ALENCAR DE SOUZA SANTOS"/>
    <s v="JONILSON FELIPE VIEIRA"/>
    <x v="1"/>
    <x v="13"/>
    <x v="6"/>
    <s v="INSTALADOR I"/>
    <x v="994"/>
    <x v="994"/>
    <x v="14"/>
    <x v="4"/>
    <x v="1"/>
    <x v="1"/>
    <x v="1"/>
  </r>
  <r>
    <x v="994"/>
    <n v="102002917"/>
    <s v="ATIVIDADE NORMAL"/>
    <s v="06/02/2019"/>
    <x v="3"/>
    <x v="23"/>
    <x v="14"/>
    <x v="18"/>
    <s v="Regional Pernambuco"/>
    <s v="Natal"/>
    <s v="MultiSkill"/>
    <x v="4"/>
    <s v="TEC MULTIFUNCIONAL"/>
    <s v="ATIVIDADE NORMAL"/>
    <s v="RNS"/>
    <s v="91468973487"/>
    <s v="04/09/2019"/>
    <s v="RICELE DA SILVA NASCIMENTO"/>
    <s v="REINILSON IGLESIAS JUNIOR"/>
    <s v="WENDELL FRANKLIN VIEIRA MAIA"/>
    <x v="0"/>
    <x v="29"/>
    <x v="2"/>
    <s v="TECNICO MULTIFUNCIONAL"/>
    <x v="995"/>
    <x v="995"/>
    <x v="51"/>
    <x v="7"/>
    <x v="3"/>
    <x v="0"/>
    <x v="0"/>
  </r>
  <r>
    <x v="995"/>
    <n v="102101393"/>
    <s v="ATIVIDADE NORMAL"/>
    <s v="05/06/2019"/>
    <x v="3"/>
    <x v="45"/>
    <x v="6"/>
    <x v="21"/>
    <s v="Regional Pernambuco"/>
    <s v="Natal"/>
    <s v="Tecnico de campo"/>
    <x v="5"/>
    <s v="INSTALADOR TUP"/>
    <s v="ATIVIDADE NORMAL"/>
    <s v="NTS"/>
    <s v="91612462472"/>
    <s v="04/09/2019"/>
    <s v="SIDNEY MOURA FREIRE"/>
    <s v="REINILSON IGLESIAS JUNIOR"/>
    <s v="WENDELL FRANKLIN VIEIRA MAIA"/>
    <x v="0"/>
    <x v="23"/>
    <x v="6"/>
    <s v="INSTALADOR I"/>
    <x v="996"/>
    <x v="996"/>
    <x v="24"/>
    <x v="7"/>
    <x v="3"/>
    <x v="0"/>
    <x v="1"/>
  </r>
  <r>
    <x v="996"/>
    <n v="105000986"/>
    <s v="ATIVIDADE NORMAL"/>
    <s v="19/12/2018"/>
    <x v="2"/>
    <x v="20"/>
    <x v="15"/>
    <x v="16"/>
    <s v="Regional Pernambuco"/>
    <s v="João Pessoa"/>
    <s v="Tecnico de campo"/>
    <x v="9"/>
    <s v="INSTALADOR DTH"/>
    <s v="ATIVIDADE NORMAL"/>
    <s v="CGE"/>
    <s v="91963257472"/>
    <s v="04/09/2019"/>
    <s v="JOSILENE MACENA DE OLIVEIRA"/>
    <s v="WENDELL FRANKLIN VIEIRA MAIA"/>
    <s v="WENDELL FRANKLIN VIEIRA MAIA"/>
    <x v="0"/>
    <x v="20"/>
    <x v="11"/>
    <s v="INSTALADOR DTH"/>
    <x v="997"/>
    <x v="997"/>
    <x v="21"/>
    <x v="6"/>
    <x v="3"/>
    <x v="0"/>
    <x v="0"/>
  </r>
  <r>
    <x v="997"/>
    <n v="109000119"/>
    <s v="ATIVIDADE NORMAL"/>
    <s v="01/05/2019"/>
    <x v="0"/>
    <x v="35"/>
    <x v="2"/>
    <x v="14"/>
    <s v="Regional Pernambuco"/>
    <s v="Recife"/>
    <s v="Tecnico de campo"/>
    <x v="1"/>
    <s v="CABISTA III"/>
    <s v="ATIVIDADE NORMAL"/>
    <s v="NOR"/>
    <s v="92110339420"/>
    <s v="04/09/2019"/>
    <s v="AMARILDO GOMES DE MELO"/>
    <s v="MARCOS DE OLIVEIRA STEHLING"/>
    <s v="NIVALDO DE OLIVEIRA SOARES"/>
    <x v="0"/>
    <x v="71"/>
    <x v="3"/>
    <s v="CABISTA III"/>
    <x v="998"/>
    <x v="998"/>
    <x v="60"/>
    <x v="3"/>
    <x v="0"/>
    <x v="0"/>
    <x v="1"/>
  </r>
  <r>
    <x v="998"/>
    <n v="109506172"/>
    <s v="ATIVIDADE NORMAL"/>
    <s v="16/09/2019"/>
    <x v="0"/>
    <x v="59"/>
    <x v="10"/>
    <x v="13"/>
    <s v="Regional Pernambuco"/>
    <s v="Recife"/>
    <s v="MultiSkill"/>
    <x v="4"/>
    <s v="TEC MULTIFUNCIONAL"/>
    <s v="ATIVIDADE NORMAL"/>
    <s v="OES"/>
    <s v="92154018491"/>
    <s v="04/09/2019"/>
    <s v="MARCUS VINICIUS NEVES DE BRITO"/>
    <s v="DECIO FABIANO LOPES FERREIRA"/>
    <s v="NIVALDO DE OLIVEIRA SOARES"/>
    <x v="0"/>
    <x v="64"/>
    <x v="2"/>
    <s v="TECNICO MULTIFUNCIONAL"/>
    <x v="999"/>
    <x v="999"/>
    <x v="54"/>
    <x v="0"/>
    <x v="0"/>
    <x v="0"/>
    <x v="0"/>
  </r>
  <r>
    <x v="999"/>
    <n v="105000985"/>
    <s v="ATIVIDADE NORMAL"/>
    <s v="03/10/2018"/>
    <x v="2"/>
    <x v="61"/>
    <x v="5"/>
    <x v="24"/>
    <s v="Regional Pernambuco"/>
    <s v="João Pessoa"/>
    <s v="MultiSkill"/>
    <x v="4"/>
    <s v="TEC MULTIFUNCIONAL"/>
    <s v="ATIVIDADE NORMAL"/>
    <s v="POS"/>
    <s v="93041942453"/>
    <s v="04/09/2019"/>
    <s v="STANLEY MEDEIROS WANDERLEY"/>
    <s v="WENDELL FRANKLIN VIEIRA MAIA"/>
    <s v="WENDELL FRANKLIN VIEIRA MAIA"/>
    <x v="0"/>
    <x v="67"/>
    <x v="2"/>
    <s v="TECNICO MULTIFUNCIONAL"/>
    <x v="1000"/>
    <x v="1000"/>
    <x v="58"/>
    <x v="6"/>
    <x v="3"/>
    <x v="0"/>
    <x v="0"/>
  </r>
  <r>
    <x v="1000"/>
    <n v="101005380"/>
    <s v="ATIVIDADE NORMAL"/>
    <s v="03/10/2018"/>
    <x v="1"/>
    <x v="19"/>
    <x v="6"/>
    <x v="15"/>
    <s v="Regional Ceará"/>
    <s v="Sobral"/>
    <s v="Tecnico de campo"/>
    <x v="5"/>
    <s v="INSTALADOR"/>
    <s v="ATIVIDADE NORMAL"/>
    <s v="SOL"/>
    <s v="93568703815"/>
    <s v="04/09/2019"/>
    <s v="MARCILIO RIBEIRO DOS SANTOS"/>
    <s v="JEFFERSON OLIVEIRA DA SILVA"/>
    <s v="JONILSON FELIPE VIEIRA"/>
    <x v="1"/>
    <x v="19"/>
    <x v="6"/>
    <s v="INSTALADOR I"/>
    <x v="1001"/>
    <x v="1001"/>
    <x v="20"/>
    <x v="2"/>
    <x v="1"/>
    <x v="0"/>
    <x v="1"/>
  </r>
  <r>
    <x v="1001"/>
    <n v="109506032"/>
    <s v="ATIVIDADE NORMAL"/>
    <s v="06/03/2019"/>
    <x v="0"/>
    <x v="16"/>
    <x v="10"/>
    <x v="13"/>
    <s v="Regional Pernambuco"/>
    <s v="Recife"/>
    <s v="MultiSkill"/>
    <x v="4"/>
    <s v="TEC MULTIFUNCIONAL"/>
    <s v="ATIVIDADE NORMAL"/>
    <s v="OES"/>
    <s v="93578210404"/>
    <s v="04/09/2019"/>
    <s v="CARLOS REIS GONZAGA"/>
    <s v="DECIO FABIANO LOPES FERREIRA"/>
    <s v="NIVALDO DE OLIVEIRA SOARES"/>
    <x v="0"/>
    <x v="16"/>
    <x v="2"/>
    <s v="TECNICO MULTIFUNCIONAL"/>
    <x v="1002"/>
    <x v="1002"/>
    <x v="17"/>
    <x v="0"/>
    <x v="0"/>
    <x v="0"/>
    <x v="0"/>
  </r>
  <r>
    <x v="1002"/>
    <n v="101010210"/>
    <s v="ATIVIDADE NORMAL"/>
    <s v="24/04/2019"/>
    <x v="1"/>
    <x v="1"/>
    <x v="18"/>
    <x v="1"/>
    <s v="Regional Ceará"/>
    <s v="Capital Sul Ceará"/>
    <s v="Tecnico de campo"/>
    <x v="0"/>
    <s v="TEC MULTIFUNCIONAL"/>
    <s v="ATIVIDADE NORMAL"/>
    <s v="GCS - FTTH"/>
    <s v="94029130330"/>
    <s v="04/09/2019"/>
    <s v="ANTONIO FABIO DOS SANTOS LIMA"/>
    <s v="ANTONIO ROBEVANIO PINHEIRO"/>
    <s v="JONILSON FELIPE VIEIRA"/>
    <x v="0"/>
    <x v="61"/>
    <x v="1"/>
    <s v="TECNICO MULTIFUNCIONAL"/>
    <x v="1003"/>
    <x v="1003"/>
    <x v="1"/>
    <x v="1"/>
    <x v="1"/>
    <x v="0"/>
    <x v="0"/>
  </r>
  <r>
    <x v="1003"/>
    <n v="105000986"/>
    <s v="ATIVIDADE NORMAL"/>
    <s v="15/05/2019"/>
    <x v="2"/>
    <x v="20"/>
    <x v="5"/>
    <x v="16"/>
    <s v="Regional Pernambuco"/>
    <s v="João Pessoa"/>
    <s v="MultiSkill"/>
    <x v="4"/>
    <s v="TEC MULTIFUNCIONAL"/>
    <s v="ATIVIDADE NORMAL"/>
    <s v="CGE"/>
    <s v="95131850444"/>
    <s v="04/09/2019"/>
    <s v="JOSILENE MACENA DE OLIVEIRA"/>
    <s v="WENDELL FRANKLIN VIEIRA MAIA"/>
    <s v="WENDELL FRANKLIN VIEIRA MAIA"/>
    <x v="0"/>
    <x v="20"/>
    <x v="2"/>
    <s v="TECNICO MULTIFUNCIONAL"/>
    <x v="1004"/>
    <x v="1004"/>
    <x v="21"/>
    <x v="6"/>
    <x v="3"/>
    <x v="0"/>
    <x v="0"/>
  </r>
  <r>
    <x v="1004"/>
    <n v="101005241"/>
    <s v="ATIVIDADE NORMAL"/>
    <s v="24/05/2019"/>
    <x v="1"/>
    <x v="11"/>
    <x v="4"/>
    <x v="9"/>
    <s v="Regional Ceará"/>
    <s v="Juazeiro"/>
    <s v="MultiSkill"/>
    <x v="3"/>
    <s v="TEC MULTIFUNCIONAL"/>
    <s v="ATIVIDADE NORMAL"/>
    <s v="IAU"/>
    <s v="95207627368"/>
    <s v="04/09/2019"/>
    <s v="CLAUDECIR GOMES MACIEL"/>
    <s v="JEFFERSON OLIVEIRA DA SILVA"/>
    <s v="JONILSON FELIPE VIEIRA"/>
    <x v="0"/>
    <x v="5"/>
    <x v="11"/>
    <s v="TECNICO MULTIFUNCIONAL"/>
    <x v="1005"/>
    <x v="1005"/>
    <x v="6"/>
    <x v="2"/>
    <x v="1"/>
    <x v="0"/>
    <x v="0"/>
  </r>
  <r>
    <x v="1005"/>
    <n v="101004033"/>
    <s v="FERIAS NORMAIS"/>
    <s v="19/08/2019"/>
    <x v="1"/>
    <x v="4"/>
    <x v="0"/>
    <x v="4"/>
    <s v="Regional Ceará"/>
    <s v="Capital Oeste Ceará"/>
    <s v="Tecnico de campo"/>
    <x v="0"/>
    <s v="TEC MULTIFUNCIONAL"/>
    <s v="FERIAS NORMAIS"/>
    <s v="COO"/>
    <s v="95401750382"/>
    <s v="04/09/2019"/>
    <s v="HENRIQUE OLIVEIRA DO NASCIMENTO"/>
    <s v="ALENCAR DE SOUZA SANTOS"/>
    <s v="JONILSON FELIPE VIEIRA"/>
    <x v="1"/>
    <x v="52"/>
    <x v="2"/>
    <s v="TECNICO MULTIFUNCIONAL"/>
    <x v="1006"/>
    <x v="1006"/>
    <x v="52"/>
    <x v="4"/>
    <x v="1"/>
    <x v="1"/>
    <x v="0"/>
  </r>
  <r>
    <x v="1006"/>
    <n v="109500038"/>
    <s v="ATIVIDADE NORMAL"/>
    <s v="06/03/2019"/>
    <x v="0"/>
    <x v="7"/>
    <x v="2"/>
    <x v="7"/>
    <s v="Regional Pernambuco"/>
    <s v="Recife"/>
    <s v="Tecnico de campo"/>
    <x v="1"/>
    <s v="CABISTA I"/>
    <s v="ATIVIDADE NORMAL"/>
    <s v="LES"/>
    <s v="96022833434"/>
    <s v="04/09/2019"/>
    <s v="PATRICIO MARTINS DE SOUSA"/>
    <s v="MARCOS DE OLIVEIRA STEHLING"/>
    <s v="NIVALDO DE OLIVEIRA SOARES"/>
    <x v="0"/>
    <x v="18"/>
    <x v="3"/>
    <s v="CABISTA I"/>
    <x v="1007"/>
    <x v="1007"/>
    <x v="19"/>
    <x v="3"/>
    <x v="0"/>
    <x v="0"/>
    <x v="1"/>
  </r>
  <r>
    <x v="1007"/>
    <n v="428271"/>
    <s v="ATIVIDADE NORMAL"/>
    <s v="02/01/2019"/>
    <x v="1"/>
    <x v="8"/>
    <x v="2"/>
    <x v="2"/>
    <s v="Regional Ceará"/>
    <s v="Capital Sul Ceará"/>
    <s v="Equipe SWAT"/>
    <x v="1"/>
    <s v="CABISTA I"/>
    <s v="ATIVIDADE NORMAL"/>
    <s v="GCL"/>
    <s v="96149760391"/>
    <s v="04/09/2019"/>
    <s v="SHEYLA MARIA CALIOPE DE MELO MOURA"/>
    <s v="JEFFERSON OLIVEIRA DA SILVA"/>
    <s v="JONILSON FELIPE VIEIRA"/>
    <x v="0"/>
    <x v="56"/>
    <x v="7"/>
    <s v="CABISTA I"/>
    <x v="1008"/>
    <x v="1008"/>
    <x v="47"/>
    <x v="2"/>
    <x v="1"/>
    <x v="0"/>
    <x v="1"/>
  </r>
  <r>
    <x v="1008"/>
    <n v="101001670"/>
    <s v="FERIAS NORMAIS"/>
    <s v="19/08/2019"/>
    <x v="1"/>
    <x v="58"/>
    <x v="10"/>
    <x v="4"/>
    <s v="Regional Ceará"/>
    <s v="Capital Oeste Ceará"/>
    <s v="MultiSkill"/>
    <x v="4"/>
    <s v="TEC MULTIFUNCIONAL"/>
    <s v="FERIAS NORMAIS"/>
    <s v="COO"/>
    <s v="96232005368"/>
    <s v="04/09/2019"/>
    <s v="FRANCISCO MARCOS TEIXEIRA DOS SANTOS"/>
    <s v="JEFFERSON OLIVEIRA DA SILVA"/>
    <s v="JONILSON FELIPE VIEIRA"/>
    <x v="1"/>
    <x v="8"/>
    <x v="2"/>
    <s v="TECNICO MULTIFUNCIONAL"/>
    <x v="1009"/>
    <x v="1009"/>
    <x v="9"/>
    <x v="2"/>
    <x v="1"/>
    <x v="1"/>
    <x v="0"/>
  </r>
  <r>
    <x v="1009"/>
    <n v="109000340"/>
    <s v="ATIVIDADE NORMAL"/>
    <s v="06/02/2019"/>
    <x v="0"/>
    <x v="38"/>
    <x v="6"/>
    <x v="22"/>
    <s v="Regional Pernambuco"/>
    <s v="Interior"/>
    <s v="Tecnico de campo"/>
    <x v="5"/>
    <s v="INSTALADOR TUP"/>
    <s v="ATIVIDADE NORMAL"/>
    <s v="CAA"/>
    <s v="96247010400"/>
    <s v="04/09/2019"/>
    <s v="AILTON JOSE DOS SANTOS"/>
    <s v="DECIO FABIANO LOPES FERREIRA"/>
    <s v="NIVALDO DE OLIVEIRA SOARES"/>
    <x v="0"/>
    <x v="41"/>
    <x v="6"/>
    <s v="INSTALADOR I"/>
    <x v="1010"/>
    <x v="1010"/>
    <x v="22"/>
    <x v="0"/>
    <x v="0"/>
    <x v="0"/>
    <x v="1"/>
  </r>
  <r>
    <x v="1010"/>
    <n v="109506032"/>
    <s v="ATIVIDADE NORMAL"/>
    <s v="06/03/2019"/>
    <x v="0"/>
    <x v="49"/>
    <x v="10"/>
    <x v="13"/>
    <s v="Regional Pernambuco"/>
    <s v="Recife"/>
    <s v="MultiSkill"/>
    <x v="4"/>
    <s v="TEC MULTIFUNCIONAL"/>
    <s v="ATIVIDADE NORMAL"/>
    <s v="OES"/>
    <s v="96283815472"/>
    <s v="04/09/2019"/>
    <s v="CARLOS REIS GONZAGA"/>
    <s v="DECIO FABIANO LOPES FERREIRA"/>
    <s v="NIVALDO DE OLIVEIRA SOARES"/>
    <x v="0"/>
    <x v="14"/>
    <x v="0"/>
    <s v="TECNICO MULTIFUNCIONAL"/>
    <x v="1011"/>
    <x v="1011"/>
    <x v="17"/>
    <x v="0"/>
    <x v="0"/>
    <x v="0"/>
    <x v="0"/>
  </r>
  <r>
    <x v="1011"/>
    <n v="101001488"/>
    <s v="ATIVIDADE NORMAL"/>
    <s v="22/08/2018"/>
    <x v="1"/>
    <x v="4"/>
    <x v="0"/>
    <x v="4"/>
    <s v="Regional Ceará"/>
    <s v="Capital Oeste Ceará"/>
    <s v="Tecnico de campo"/>
    <x v="0"/>
    <s v="TEC MULTIFUNCIONAL"/>
    <s v="ATIVIDADE NORMAL"/>
    <s v="COO"/>
    <s v="96284684304"/>
    <s v="04/09/2019"/>
    <s v="MICHEL SOARES DE OLIVEIRA"/>
    <s v="ANTONIO ROBEVANIO PINHEIRO"/>
    <s v="JONILSON FELIPE VIEIRA"/>
    <x v="0"/>
    <x v="53"/>
    <x v="1"/>
    <s v="TECNICO MULTIFUNCIONAL"/>
    <x v="1012"/>
    <x v="1012"/>
    <x v="2"/>
    <x v="1"/>
    <x v="1"/>
    <x v="0"/>
    <x v="0"/>
  </r>
  <r>
    <x v="1012"/>
    <n v="109000340"/>
    <s v="ATIVIDADE NORMAL"/>
    <s v="12/04/2019"/>
    <x v="0"/>
    <x v="21"/>
    <x v="14"/>
    <x v="17"/>
    <s v="Regional Pernambuco"/>
    <s v="Interior"/>
    <s v="MultiSkill"/>
    <x v="4"/>
    <s v="TEC MULTIFUNCIONAL"/>
    <s v="ATIVIDADE NORMAL"/>
    <s v="GUS"/>
    <s v="85584150720"/>
    <s v="04/09/2019"/>
    <s v="AILTON JOSE DOS SANTOS"/>
    <s v="DECIO FABIANO LOPES FERREIRA"/>
    <s v="NIVALDO DE OLIVEIRA SOARES"/>
    <x v="0"/>
    <x v="21"/>
    <x v="2"/>
    <s v="TECNICO MULTIFUNCIONAL"/>
    <x v="1013"/>
    <x v="1013"/>
    <x v="22"/>
    <x v="0"/>
    <x v="0"/>
    <x v="0"/>
    <x v="0"/>
  </r>
  <r>
    <x v="1013"/>
    <n v="109505819"/>
    <s v="ATIVIDADE NORMAL"/>
    <s v="08/02/2018"/>
    <x v="0"/>
    <x v="39"/>
    <x v="15"/>
    <x v="13"/>
    <s v="Regional Pernambuco"/>
    <s v="Recife"/>
    <s v="Tecnico de campo"/>
    <x v="9"/>
    <s v="INSTALADOR DTH"/>
    <s v="ATIVIDADE NORMAL"/>
    <s v="OES"/>
    <s v="85610445434"/>
    <s v="04/09/2019"/>
    <s v="ALESSANDRO DIONISIO DE FRANCA"/>
    <s v="DECIO FABIANO LOPES FERREIRA"/>
    <s v="NIVALDO DE OLIVEIRA SOARES"/>
    <x v="0"/>
    <x v="37"/>
    <x v="11"/>
    <s v="INSTALADOR DTH"/>
    <x v="1014"/>
    <x v="1014"/>
    <x v="37"/>
    <x v="0"/>
    <x v="0"/>
    <x v="0"/>
    <x v="0"/>
  </r>
  <r>
    <x v="1014"/>
    <n v="109000926"/>
    <s v="ATIVIDADE NORMAL"/>
    <s v="22/06/2019"/>
    <x v="0"/>
    <x v="7"/>
    <x v="15"/>
    <x v="7"/>
    <s v="Regional Pernambuco"/>
    <s v="Recife"/>
    <s v="Tecnico de campo"/>
    <x v="9"/>
    <s v="INSTALADOR DTH"/>
    <s v="ATIVIDADE NORMAL"/>
    <s v="LES"/>
    <s v="85755141487"/>
    <s v="04/09/2019"/>
    <s v="ANTONIO MAGNO DE CASTRO LEAO"/>
    <s v="BRUNO VINICIUS DE ALBERTINS ALVES"/>
    <s v="NIVALDO DE OLIVEIRA SOARES"/>
    <x v="0"/>
    <x v="45"/>
    <x v="11"/>
    <s v="INSTALADOR DTH"/>
    <x v="1015"/>
    <x v="1015"/>
    <x v="41"/>
    <x v="9"/>
    <x v="0"/>
    <x v="0"/>
    <x v="0"/>
  </r>
  <r>
    <x v="1015"/>
    <n v="109000926"/>
    <s v="ATIVIDADE NORMAL"/>
    <s v="06/02/2019"/>
    <x v="0"/>
    <x v="65"/>
    <x v="3"/>
    <x v="7"/>
    <s v="Regional Pernambuco"/>
    <s v="Recife"/>
    <s v="Tecnico de campo"/>
    <x v="2"/>
    <s v="TEC ADSL I"/>
    <s v="ATIVIDADE NORMAL"/>
    <s v="LES"/>
    <s v="85894990491"/>
    <s v="04/09/2019"/>
    <s v="ANTONIO MAGNO DE CASTRO LEAO"/>
    <s v="BRUNO VINICIUS DE ALBERTINS ALVES"/>
    <s v="NIVALDO DE OLIVEIRA SOARES"/>
    <x v="0"/>
    <x v="45"/>
    <x v="4"/>
    <s v="TECNICO ADSL"/>
    <x v="1016"/>
    <x v="1016"/>
    <x v="41"/>
    <x v="9"/>
    <x v="0"/>
    <x v="0"/>
    <x v="0"/>
  </r>
  <r>
    <x v="1016"/>
    <n v="101005380"/>
    <s v="ATIVIDADE NORMAL"/>
    <s v="13/01/2019"/>
    <x v="1"/>
    <x v="19"/>
    <x v="6"/>
    <x v="15"/>
    <s v="Regional Ceará"/>
    <s v="Sobral"/>
    <s v="Tecnico de campo"/>
    <x v="5"/>
    <s v="INSTALADOR"/>
    <s v="ATIVIDADE NORMAL"/>
    <s v="SOL"/>
    <s v="86455648315"/>
    <s v="04/09/2019"/>
    <s v="MARCILIO RIBEIRO DOS SANTOS"/>
    <s v="JEFFERSON OLIVEIRA DA SILVA"/>
    <s v="JONILSON FELIPE VIEIRA"/>
    <x v="0"/>
    <x v="90"/>
    <x v="6"/>
    <s v="INSTALADOR I"/>
    <x v="1017"/>
    <x v="1017"/>
    <x v="20"/>
    <x v="2"/>
    <x v="1"/>
    <x v="0"/>
    <x v="1"/>
  </r>
  <r>
    <x v="1017"/>
    <n v="101001782"/>
    <s v="ATIVIDADE NORMAL"/>
    <s v="06/02/2019"/>
    <x v="1"/>
    <x v="9"/>
    <x v="14"/>
    <x v="8"/>
    <s v="Regional Ceará"/>
    <s v="Quixadá"/>
    <s v="MultiSkill"/>
    <x v="4"/>
    <s v="TEC MULTIFUNCIONAL"/>
    <s v="ATIVIDADE NORMAL"/>
    <s v="QXA"/>
    <s v="86673823372"/>
    <s v="04/09/2019"/>
    <s v="LYNDON JONHSON SILVA LIMA"/>
    <s v="ALENCAR DE SOUZA SANTOS"/>
    <s v="JONILSON FELIPE VIEIRA"/>
    <x v="0"/>
    <x v="9"/>
    <x v="2"/>
    <s v="TECNICO MULTIFUNCIONAL"/>
    <x v="1018"/>
    <x v="1018"/>
    <x v="10"/>
    <x v="4"/>
    <x v="1"/>
    <x v="0"/>
    <x v="0"/>
  </r>
  <r>
    <x v="1018"/>
    <n v="101003771"/>
    <s v="ATIVIDADE NORMAL"/>
    <s v="02/01/2019"/>
    <x v="1"/>
    <x v="43"/>
    <x v="6"/>
    <x v="8"/>
    <s v="Regional Ceará"/>
    <s v="Quixadá"/>
    <s v="Tecnico de campo"/>
    <x v="5"/>
    <s v="INSTALADOR TUP"/>
    <s v="ATIVIDADE NORMAL"/>
    <s v="QXA"/>
    <s v="87247135387"/>
    <s v="04/09/2019"/>
    <s v="ANA CLAUDIA DE CASTRO DA SILVA"/>
    <s v="ALENCAR DE SOUZA SANTOS"/>
    <s v="JONILSON FELIPE VIEIRA"/>
    <x v="0"/>
    <x v="13"/>
    <x v="6"/>
    <s v="INSTALADOR I"/>
    <x v="1019"/>
    <x v="1019"/>
    <x v="14"/>
    <x v="4"/>
    <x v="1"/>
    <x v="0"/>
    <x v="1"/>
  </r>
  <r>
    <x v="1019"/>
    <n v="321454"/>
    <s v="ATIVIDADE NORMAL"/>
    <s v="25/04/2019"/>
    <x v="1"/>
    <x v="64"/>
    <x v="11"/>
    <x v="3"/>
    <s v="Regional Ceará"/>
    <s v="Capital Oeste Ceará"/>
    <s v="Tecnico de campo"/>
    <x v="1"/>
    <s v="AUDITOR DE CAMPO"/>
    <s v="ATIVIDADE NORMAL"/>
    <s v="CNO"/>
    <s v="87309602315"/>
    <s v="04/09/2019"/>
    <s v="RODRIGO ALBUQUERQUE DA SILVA"/>
    <s v="RODRIGO ALBUQUERQUE DA SILVA"/>
    <s v="RODRIGO ALBUQUERQUE DA SILVA"/>
    <x v="1"/>
    <x v="33"/>
    <x v="14"/>
    <s v="AUDITOR"/>
    <x v="1020"/>
    <x v="1020"/>
    <x v="59"/>
    <x v="11"/>
    <x v="4"/>
    <x v="0"/>
    <x v="1"/>
  </r>
  <r>
    <x v="1020"/>
    <n v="101004033"/>
    <s v="ATIVIDADE NORMAL"/>
    <s v="05/06/2019"/>
    <x v="1"/>
    <x v="58"/>
    <x v="2"/>
    <x v="4"/>
    <s v="Regional Ceará"/>
    <s v="Capital Oeste Ceará"/>
    <s v="Equipe SWAT"/>
    <x v="1"/>
    <s v="CABISTA I"/>
    <s v="ATIVIDADE NORMAL"/>
    <s v="COO"/>
    <s v="87630206372"/>
    <s v="04/09/2019"/>
    <s v="HENRIQUE OLIVEIRA DO NASCIMENTO"/>
    <s v="ALENCAR DE SOUZA SANTOS"/>
    <s v="JONILSON FELIPE VIEIRA"/>
    <x v="0"/>
    <x v="63"/>
    <x v="10"/>
    <s v="CABISTA I"/>
    <x v="1021"/>
    <x v="1021"/>
    <x v="52"/>
    <x v="4"/>
    <x v="1"/>
    <x v="0"/>
    <x v="1"/>
  </r>
  <r>
    <x v="1021"/>
    <n v="101005241"/>
    <s v="FERIAS NORMAIS"/>
    <s v="02/09/2019"/>
    <x v="1"/>
    <x v="11"/>
    <x v="13"/>
    <x v="9"/>
    <s v="Regional Ceará"/>
    <s v="Juazeiro"/>
    <s v="Tecnico de campo"/>
    <x v="8"/>
    <s v="OP DG"/>
    <s v="FERIAS NORMAIS"/>
    <s v="IAU"/>
    <s v="88536858320"/>
    <s v="04/09/2019"/>
    <s v="CLAUDECIR GOMES MACIEL"/>
    <s v="JEFFERSON OLIVEIRA DA SILVA"/>
    <s v="JONILSON FELIPE VIEIRA"/>
    <x v="1"/>
    <x v="5"/>
    <x v="9"/>
    <s v="OPERADOR"/>
    <x v="1022"/>
    <x v="1022"/>
    <x v="6"/>
    <x v="2"/>
    <x v="1"/>
    <x v="1"/>
    <x v="1"/>
  </r>
  <r>
    <x v="1022"/>
    <n v="101007963"/>
    <s v="ATIVIDADE NORMAL"/>
    <s v="12/03/2019"/>
    <x v="1"/>
    <x v="36"/>
    <x v="2"/>
    <x v="4"/>
    <s v="Regional Ceará"/>
    <s v="Capital Oeste Ceará"/>
    <s v="Tecnico de campo"/>
    <x v="1"/>
    <s v="CABISTA I"/>
    <s v="ATIVIDADE NORMAL"/>
    <s v="COO"/>
    <s v="89022025349"/>
    <s v="04/09/2019"/>
    <s v="JOSEVAN DE SOUSA SILVA"/>
    <s v="ALENCAR DE SOUZA SANTOS"/>
    <s v="JONILSON FELIPE VIEIRA"/>
    <x v="0"/>
    <x v="39"/>
    <x v="10"/>
    <s v="CABISTA I"/>
    <x v="1023"/>
    <x v="1023"/>
    <x v="35"/>
    <x v="4"/>
    <x v="1"/>
    <x v="0"/>
    <x v="1"/>
  </r>
  <r>
    <x v="1023"/>
    <n v="109505819"/>
    <s v="FERIAS NORMAIS"/>
    <s v="19/08/2019"/>
    <x v="0"/>
    <x v="59"/>
    <x v="10"/>
    <x v="13"/>
    <s v="Regional Pernambuco"/>
    <s v="Recife"/>
    <s v="MultiSkill"/>
    <x v="4"/>
    <s v="TEC MULTIFUNCIONAL"/>
    <s v="FERIAS NORMAIS"/>
    <s v="OES"/>
    <s v="89201140487"/>
    <s v="04/09/2019"/>
    <s v="ALESSANDRO DIONISIO DE FRANCA"/>
    <s v="DECIO FABIANO LOPES FERREIRA"/>
    <s v="NIVALDO DE OLIVEIRA SOARES"/>
    <x v="1"/>
    <x v="16"/>
    <x v="2"/>
    <s v="TECNICO MULTIFUNCIONAL"/>
    <x v="1024"/>
    <x v="1024"/>
    <x v="37"/>
    <x v="0"/>
    <x v="0"/>
    <x v="1"/>
    <x v="0"/>
  </r>
  <r>
    <x v="1024"/>
    <n v="109500177"/>
    <s v="ATIVIDADE NORMAL"/>
    <s v="16/03/2018"/>
    <x v="0"/>
    <x v="37"/>
    <x v="10"/>
    <x v="14"/>
    <s v="Regional Pernambuco"/>
    <s v="Recife"/>
    <s v="MultiSkill"/>
    <x v="4"/>
    <s v="TEC MULTIFUNCIONAL"/>
    <s v="ATIVIDADE NORMAL"/>
    <s v="NOR"/>
    <s v="89251709491"/>
    <s v="04/09/2019"/>
    <s v="JOSUEL FERREIRA DE BRITO"/>
    <s v="BRUNO VINICIUS DE ALBERTINS ALVES"/>
    <s v="NIVALDO DE OLIVEIRA SOARES"/>
    <x v="0"/>
    <x v="40"/>
    <x v="2"/>
    <s v="TECNICO MULTIFUNCIONAL"/>
    <x v="1025"/>
    <x v="1025"/>
    <x v="36"/>
    <x v="9"/>
    <x v="0"/>
    <x v="0"/>
    <x v="0"/>
  </r>
  <r>
    <x v="1025"/>
    <n v="108401409"/>
    <s v="FERIAS NORMAIS"/>
    <s v="02/09/2019"/>
    <x v="1"/>
    <x v="47"/>
    <x v="15"/>
    <x v="1"/>
    <s v="Regional Ceará"/>
    <s v="Capital Sul Ceará"/>
    <s v="Tecnico de campo"/>
    <x v="9"/>
    <s v="INSTALADOR DTH"/>
    <s v="FERIAS NORMAIS"/>
    <s v="GCS"/>
    <s v="96605650387"/>
    <s v="04/09/2019"/>
    <s v="JOSE NILTON MENDES LIMA"/>
    <s v="VANDERLEI HENZEL CHOLLET"/>
    <s v="JONILSON FELIPE VIEIRA"/>
    <x v="1"/>
    <x v="8"/>
    <x v="11"/>
    <s v="INSTALADOR DTH"/>
    <x v="1026"/>
    <x v="1026"/>
    <x v="32"/>
    <x v="8"/>
    <x v="1"/>
    <x v="1"/>
    <x v="0"/>
  </r>
  <r>
    <x v="1026"/>
    <n v="101010210"/>
    <s v="ATIVIDADE NORMAL"/>
    <s v="04/10/2018"/>
    <x v="1"/>
    <x v="3"/>
    <x v="18"/>
    <x v="3"/>
    <s v="Regional Ceará"/>
    <s v="Capital Oeste Ceará"/>
    <s v="Tecnico de campo"/>
    <x v="0"/>
    <s v="TEC MULTIFUNCIONAL"/>
    <s v="ATIVIDADE NORMAL"/>
    <s v="CNO"/>
    <s v="96761180368"/>
    <s v="04/09/2019"/>
    <s v="ANTONIO FABIO DOS SANTOS LIMA"/>
    <s v="ANTONIO ROBEVANIO PINHEIRO"/>
    <s v="JONILSON FELIPE VIEIRA"/>
    <x v="0"/>
    <x v="61"/>
    <x v="1"/>
    <s v="TECNICO MULTIFUNCIONAL"/>
    <x v="1027"/>
    <x v="1027"/>
    <x v="1"/>
    <x v="1"/>
    <x v="1"/>
    <x v="0"/>
    <x v="0"/>
  </r>
  <r>
    <x v="1027"/>
    <n v="101010209"/>
    <s v="ATIVIDADE NORMAL"/>
    <s v="17/05/2019"/>
    <x v="1"/>
    <x v="58"/>
    <x v="2"/>
    <x v="4"/>
    <s v="Regional Ceará"/>
    <s v="Capital Oeste Ceará"/>
    <s v="Equipe SWAT"/>
    <x v="1"/>
    <s v="CABISTA I"/>
    <s v="ATIVIDADE NORMAL"/>
    <s v="COO"/>
    <s v="96957913368"/>
    <s v="04/09/2019"/>
    <s v="KARLYSSON FRANCO SANTANA DE SOUSA"/>
    <s v="ALENCAR DE SOUZA SANTOS"/>
    <s v="JONILSON FELIPE VIEIRA"/>
    <x v="0"/>
    <x v="63"/>
    <x v="7"/>
    <s v="CABISTA I"/>
    <x v="1028"/>
    <x v="1028"/>
    <x v="11"/>
    <x v="4"/>
    <x v="1"/>
    <x v="0"/>
    <x v="1"/>
  </r>
  <r>
    <x v="1028"/>
    <n v="109000340"/>
    <s v="FERIAS NORMAIS"/>
    <s v="19/08/2019"/>
    <x v="0"/>
    <x v="38"/>
    <x v="6"/>
    <x v="22"/>
    <s v="Regional Pernambuco"/>
    <s v="Interior"/>
    <s v="Tecnico de campo"/>
    <x v="5"/>
    <s v="INSTALADOR"/>
    <s v="FERIAS NORMAIS"/>
    <s v="CAA"/>
    <s v="97472506400"/>
    <s v="04/09/2019"/>
    <s v="AILTON JOSE DOS SANTOS"/>
    <s v="DECIO FABIANO LOPES FERREIRA"/>
    <s v="NIVALDO DE OLIVEIRA SOARES"/>
    <x v="1"/>
    <x v="41"/>
    <x v="6"/>
    <s v="INSTALADOR I"/>
    <x v="1029"/>
    <x v="1029"/>
    <x v="22"/>
    <x v="0"/>
    <x v="0"/>
    <x v="1"/>
    <x v="1"/>
  </r>
  <r>
    <x v="1029"/>
    <n v="101001488"/>
    <s v="ATIVIDADE NORMAL"/>
    <s v="25/06/2019"/>
    <x v="1"/>
    <x v="2"/>
    <x v="1"/>
    <x v="2"/>
    <s v="Regional Ceará"/>
    <s v="Capital Sul Ceará"/>
    <s v="MultiSkill"/>
    <x v="0"/>
    <s v="TEC MULTIFUNCIONAL"/>
    <s v="ATIVIDADE NORMAL"/>
    <s v="GCL"/>
    <s v="97534404304"/>
    <s v="04/09/2019"/>
    <s v="MICHEL SOARES DE OLIVEIRA"/>
    <s v="ANTONIO ROBEVANIO PINHEIRO"/>
    <s v="JONILSON FELIPE VIEIRA"/>
    <x v="0"/>
    <x v="50"/>
    <x v="1"/>
    <s v="TECNICO MULTIFUNCIONAL"/>
    <x v="1030"/>
    <x v="1030"/>
    <x v="2"/>
    <x v="1"/>
    <x v="1"/>
    <x v="0"/>
    <x v="0"/>
  </r>
  <r>
    <x v="1030"/>
    <n v="109506091"/>
    <s v="ATIVIDADE NORMAL"/>
    <s v="22/05/2019"/>
    <x v="0"/>
    <x v="35"/>
    <x v="10"/>
    <x v="14"/>
    <s v="Regional Pernambuco"/>
    <s v="Recife"/>
    <s v="MultiSkill"/>
    <x v="4"/>
    <s v="TEC MULTIFUNCIONAL"/>
    <s v="ATIVIDADE NORMAL"/>
    <s v="NOR"/>
    <s v="97584290434"/>
    <s v="04/09/2019"/>
    <s v="LUIZ RICARDO LIMA DA SILVA"/>
    <s v="BRUNO VINICIUS DE ALBERTINS ALVES"/>
    <s v="NIVALDO DE OLIVEIRA SOARES"/>
    <x v="0"/>
    <x v="38"/>
    <x v="2"/>
    <s v="TECNICO MULTIFUNCIONAL"/>
    <x v="1031"/>
    <x v="1031"/>
    <x v="49"/>
    <x v="9"/>
    <x v="0"/>
    <x v="0"/>
    <x v="0"/>
  </r>
  <r>
    <x v="1031"/>
    <n v="105303207"/>
    <s v="ATIVIDADE NORMAL"/>
    <s v="03/03/2019"/>
    <x v="2"/>
    <x v="63"/>
    <x v="10"/>
    <x v="12"/>
    <s v="Regional Pernambuco"/>
    <s v="João Pessoa"/>
    <s v="MultiSkill"/>
    <x v="4"/>
    <s v="TEC MULTIFUNCIONAL"/>
    <s v="ATIVIDADE NORMAL"/>
    <s v="JPA"/>
    <s v="97761354472"/>
    <s v="04/09/2019"/>
    <s v="RAFAEL FERNANDES MATIAS"/>
    <s v="WENDELL FRANKLIN VIEIRA MAIA"/>
    <s v="WENDELL FRANKLIN VIEIRA MAIA"/>
    <x v="0"/>
    <x v="49"/>
    <x v="2"/>
    <s v="TECNICO MULTIFUNCIONAL"/>
    <x v="1032"/>
    <x v="1032"/>
    <x v="44"/>
    <x v="6"/>
    <x v="3"/>
    <x v="0"/>
    <x v="0"/>
  </r>
  <r>
    <x v="1032"/>
    <n v="102101393"/>
    <s v="ATIVIDADE NORMAL"/>
    <s v="05/06/2019"/>
    <x v="3"/>
    <x v="62"/>
    <x v="6"/>
    <x v="19"/>
    <s v="Regional Pernambuco"/>
    <s v="Natal"/>
    <s v="Tecnico de campo"/>
    <x v="5"/>
    <s v="INSTALADOR TUP"/>
    <s v="ATIVIDADE NORMAL"/>
    <s v="NTN"/>
    <s v="90384890482"/>
    <s v="04/09/2019"/>
    <s v="SIDNEY MOURA FREIRE"/>
    <s v="REINILSON IGLESIAS JUNIOR"/>
    <s v="WENDELL FRANKLIN VIEIRA MAIA"/>
    <x v="0"/>
    <x v="23"/>
    <x v="6"/>
    <s v="INSTALADOR I"/>
    <x v="1033"/>
    <x v="1033"/>
    <x v="24"/>
    <x v="7"/>
    <x v="3"/>
    <x v="0"/>
    <x v="1"/>
  </r>
  <r>
    <x v="1033"/>
    <n v="109506032"/>
    <s v="ATIVIDADE NORMAL"/>
    <s v="31/07/2019"/>
    <x v="0"/>
    <x v="39"/>
    <x v="3"/>
    <x v="13"/>
    <s v="Regional Pernambuco"/>
    <s v="Recife"/>
    <s v="Tecnico de campo"/>
    <x v="2"/>
    <s v="TEC ADSL I"/>
    <s v="ATIVIDADE NORMAL"/>
    <s v="OES"/>
    <s v="90638484472"/>
    <s v="04/09/2019"/>
    <s v="CARLOS REIS GONZAGA"/>
    <s v="DECIO FABIANO LOPES FERREIRA"/>
    <s v="NIVALDO DE OLIVEIRA SOARES"/>
    <x v="0"/>
    <x v="16"/>
    <x v="4"/>
    <s v="TECNICO ADSL"/>
    <x v="1034"/>
    <x v="1034"/>
    <x v="17"/>
    <x v="0"/>
    <x v="0"/>
    <x v="0"/>
    <x v="0"/>
  </r>
  <r>
    <x v="1034"/>
    <n v="109000926"/>
    <s v="ATIVIDADE NORMAL"/>
    <s v="10/04/2019"/>
    <x v="0"/>
    <x v="7"/>
    <x v="12"/>
    <x v="7"/>
    <s v="Regional Pernambuco"/>
    <s v="Recife"/>
    <s v="Tecnico de campo"/>
    <x v="6"/>
    <s v="CABISTA I"/>
    <s v="ATIVIDADE NORMAL"/>
    <s v="LES"/>
    <s v="90711513449"/>
    <s v="04/09/2019"/>
    <s v="ANTONIO MAGNO DE CASTRO LEAO"/>
    <s v="BRUNO VINICIUS DE ALBERTINS ALVES"/>
    <s v="NIVALDO DE OLIVEIRA SOARES"/>
    <x v="0"/>
    <x v="45"/>
    <x v="10"/>
    <s v="CABISTA I"/>
    <x v="1035"/>
    <x v="1035"/>
    <x v="41"/>
    <x v="9"/>
    <x v="0"/>
    <x v="0"/>
    <x v="1"/>
  </r>
  <r>
    <x v="1035"/>
    <n v="109505858"/>
    <s v="ATIVIDADE NORMAL"/>
    <s v="27/03/2019"/>
    <x v="0"/>
    <x v="46"/>
    <x v="10"/>
    <x v="11"/>
    <s v="Regional Pernambuco"/>
    <s v="Interior"/>
    <s v="MultiSkill"/>
    <x v="4"/>
    <s v="TEC MULTIFUNCIONAL"/>
    <s v="ATIVIDADE NORMAL"/>
    <s v="ACV"/>
    <s v="90868730491"/>
    <s v="04/09/2019"/>
    <s v="THIAGO DE LIMA PIRES RODRIGUES"/>
    <s v="DECIO FABIANO LOPES FERREIRA"/>
    <s v="NIVALDO DE OLIVEIRA SOARES"/>
    <x v="0"/>
    <x v="11"/>
    <x v="2"/>
    <s v="TECNICO MULTIFUNCIONAL"/>
    <x v="1036"/>
    <x v="1036"/>
    <x v="12"/>
    <x v="0"/>
    <x v="0"/>
    <x v="0"/>
    <x v="0"/>
  </r>
  <r>
    <x v="1036"/>
    <n v="101001782"/>
    <s v="ATIVIDADE NORMAL"/>
    <s v="02/01/2019"/>
    <x v="1"/>
    <x v="40"/>
    <x v="2"/>
    <x v="8"/>
    <s v="Regional Ceará"/>
    <s v="Quixadá"/>
    <s v="Equipe SWAT"/>
    <x v="1"/>
    <s v="TEC MULTIFUNCIONAL"/>
    <s v="ATIVIDADE NORMAL"/>
    <s v="QXA"/>
    <s v="91701244349"/>
    <s v="04/09/2019"/>
    <s v="LYNDON JONHSON SILVA LIMA"/>
    <s v="ALENCAR DE SOUZA SANTOS"/>
    <s v="JONILSON FELIPE VIEIRA"/>
    <x v="0"/>
    <x v="9"/>
    <x v="10"/>
    <s v="TECNICO MULTIFUNCIONAL"/>
    <x v="1037"/>
    <x v="1037"/>
    <x v="10"/>
    <x v="4"/>
    <x v="1"/>
    <x v="0"/>
    <x v="1"/>
  </r>
  <r>
    <x v="1037"/>
    <n v="101005241"/>
    <s v="ATIVIDADE NORMAL"/>
    <s v="07/05/2019"/>
    <x v="1"/>
    <x v="11"/>
    <x v="5"/>
    <x v="9"/>
    <s v="Regional Ceará"/>
    <s v="Juazeiro"/>
    <s v="MultiSkill"/>
    <x v="4"/>
    <s v="TEC MULTIFUNCIONAL"/>
    <s v="ATIVIDADE NORMAL"/>
    <s v="IAU"/>
    <s v="92030491349"/>
    <s v="04/09/2019"/>
    <s v="CLAUDECIR GOMES MACIEL"/>
    <s v="JEFFERSON OLIVEIRA DA SILVA"/>
    <s v="JONILSON FELIPE VIEIRA"/>
    <x v="0"/>
    <x v="5"/>
    <x v="2"/>
    <s v="TECNICO MULTIFUNCIONAL"/>
    <x v="1038"/>
    <x v="1038"/>
    <x v="6"/>
    <x v="2"/>
    <x v="1"/>
    <x v="0"/>
    <x v="0"/>
  </r>
  <r>
    <x v="1038"/>
    <n v="101007665"/>
    <s v="ATIVIDADE NORMAL"/>
    <s v="31/07/2019"/>
    <x v="1"/>
    <x v="64"/>
    <x v="8"/>
    <x v="3"/>
    <s v="Regional Ceará"/>
    <s v="Capital Oeste Ceará"/>
    <s v="Tecnico de campo"/>
    <x v="6"/>
    <s v="CABISTA I"/>
    <s v="ATIVIDADE NORMAL"/>
    <s v="CNO"/>
    <s v="92123767387"/>
    <s v="04/09/2019"/>
    <s v="CARLOS AUGUSTO ALVES DE SOUSA"/>
    <s v="ALENCAR DE SOUZA SANTOS"/>
    <s v="JONILSON FELIPE VIEIRA"/>
    <x v="0"/>
    <x v="33"/>
    <x v="7"/>
    <s v="CABISTA I"/>
    <x v="1039"/>
    <x v="1039"/>
    <x v="45"/>
    <x v="4"/>
    <x v="1"/>
    <x v="0"/>
    <x v="1"/>
  </r>
  <r>
    <x v="1039"/>
    <n v="321454"/>
    <s v="ATIVIDADE NORMAL"/>
    <s v="31/10/2018"/>
    <x v="0"/>
    <x v="52"/>
    <x v="0"/>
    <x v="7"/>
    <s v="Regional Pernambuco"/>
    <s v="Recife"/>
    <s v="Tecnico de campo"/>
    <x v="0"/>
    <s v="AUDITOR DE CAMPO"/>
    <s v="ATIVIDADE NORMAL"/>
    <s v="LES"/>
    <s v="92307051449"/>
    <s v="04/09/2019"/>
    <s v="RODRIGO ALBUQUERQUE DA SILVA"/>
    <s v="RODRIGO ALBUQUERQUE DA SILVA"/>
    <s v="RODRIGO ALBUQUERQUE DA SILVA"/>
    <x v="1"/>
    <x v="57"/>
    <x v="14"/>
    <s v="AUDITOR"/>
    <x v="1040"/>
    <x v="1040"/>
    <x v="59"/>
    <x v="11"/>
    <x v="4"/>
    <x v="0"/>
    <x v="0"/>
  </r>
  <r>
    <x v="1040"/>
    <n v="101008134"/>
    <s v="ATIVIDADE NORMAL"/>
    <s v="12/04/2019"/>
    <x v="1"/>
    <x v="47"/>
    <x v="2"/>
    <x v="1"/>
    <s v="Regional Ceará"/>
    <s v="Capital Sul Ceará"/>
    <s v="Equipe SWAT"/>
    <x v="1"/>
    <s v="CABISTA I"/>
    <s v="ATIVIDADE NORMAL"/>
    <s v="GCS"/>
    <s v="92837654353"/>
    <s v="04/09/2019"/>
    <s v="BRUNO SAVIO DA SILVA"/>
    <s v="ANTONIO ROBEVANIO PINHEIRO"/>
    <s v="JONILSON FELIPE VIEIRA"/>
    <x v="0"/>
    <x v="53"/>
    <x v="7"/>
    <s v="CABISTA I"/>
    <x v="1041"/>
    <x v="1041"/>
    <x v="5"/>
    <x v="1"/>
    <x v="1"/>
    <x v="0"/>
    <x v="1"/>
  </r>
  <r>
    <x v="1041"/>
    <n v="105303207"/>
    <s v="ATIVIDADE NORMAL"/>
    <s v="15/04/2019"/>
    <x v="2"/>
    <x v="34"/>
    <x v="2"/>
    <x v="12"/>
    <s v="Regional Pernambuco"/>
    <s v="João Pessoa"/>
    <s v="Equipe SWAT"/>
    <x v="1"/>
    <s v="CABISTA I"/>
    <s v="ATIVIDADE NORMAL"/>
    <s v="JPA"/>
    <s v="92916570420"/>
    <s v="04/09/2019"/>
    <s v="RAFAEL FERNANDES MATIAS"/>
    <s v="WENDELL FRANKLIN VIEIRA MAIA"/>
    <s v="WENDELL FRANKLIN VIEIRA MAIA"/>
    <x v="0"/>
    <x v="49"/>
    <x v="7"/>
    <s v="CABISTA I"/>
    <x v="1042"/>
    <x v="1042"/>
    <x v="44"/>
    <x v="6"/>
    <x v="3"/>
    <x v="0"/>
    <x v="1"/>
  </r>
  <r>
    <x v="1042"/>
    <n v="109506172"/>
    <s v="ATIVIDADE NORMAL"/>
    <s v="06/03/2019"/>
    <x v="0"/>
    <x v="59"/>
    <x v="11"/>
    <x v="13"/>
    <s v="Regional Pernambuco"/>
    <s v="Recife"/>
    <s v="MultiSkill"/>
    <x v="1"/>
    <s v="TEC MULTIFUNCIONAL"/>
    <s v="ATIVIDADE NORMAL"/>
    <s v="OES"/>
    <s v="93323263472"/>
    <s v="04/09/2019"/>
    <s v="MARCUS VINICIUS NEVES DE BRITO"/>
    <s v="DECIO FABIANO LOPES FERREIRA"/>
    <s v="NIVALDO DE OLIVEIRA SOARES"/>
    <x v="0"/>
    <x v="64"/>
    <x v="2"/>
    <s v="TECNICO MULTIFUNCIONAL"/>
    <x v="1043"/>
    <x v="1043"/>
    <x v="54"/>
    <x v="0"/>
    <x v="0"/>
    <x v="0"/>
    <x v="1"/>
  </r>
  <r>
    <x v="1043"/>
    <n v="109000926"/>
    <s v="ATIVIDADE NORMAL"/>
    <s v="04/12/2018"/>
    <x v="0"/>
    <x v="44"/>
    <x v="3"/>
    <x v="7"/>
    <s v="Regional Pernambuco"/>
    <s v="Recife"/>
    <s v="Tecnico de campo"/>
    <x v="2"/>
    <s v="TEC ADSL I"/>
    <s v="ATIVIDADE NORMAL"/>
    <s v="LES"/>
    <s v="94995907491"/>
    <s v="04/09/2019"/>
    <s v="ANTONIO MAGNO DE CASTRO LEAO"/>
    <s v="BRUNO VINICIUS DE ALBERTINS ALVES"/>
    <s v="NIVALDO DE OLIVEIRA SOARES"/>
    <x v="0"/>
    <x v="45"/>
    <x v="4"/>
    <s v="TECNICO ADSL"/>
    <x v="1044"/>
    <x v="1044"/>
    <x v="41"/>
    <x v="9"/>
    <x v="0"/>
    <x v="0"/>
    <x v="0"/>
  </r>
  <r>
    <x v="1044"/>
    <n v="109000017"/>
    <s v="ATIVIDADE NORMAL"/>
    <s v="19/06/2019"/>
    <x v="0"/>
    <x v="25"/>
    <x v="10"/>
    <x v="10"/>
    <s v="Regional Pernambuco"/>
    <s v="Recife"/>
    <s v="MultiSkill"/>
    <x v="4"/>
    <s v="TEC MULTIFUNCIONAL"/>
    <s v="ATIVIDADE NORMAL"/>
    <s v="PES"/>
    <s v="96286482415"/>
    <s v="04/09/2019"/>
    <s v="AMAURY ASSIS DE LIMA"/>
    <s v="DECIO FABIANO LOPES FERREIRA"/>
    <s v="NIVALDO DE OLIVEIRA SOARES"/>
    <x v="0"/>
    <x v="14"/>
    <x v="2"/>
    <s v="TECNICO MULTIFUNCIONAL"/>
    <x v="1045"/>
    <x v="1045"/>
    <x v="15"/>
    <x v="0"/>
    <x v="0"/>
    <x v="0"/>
    <x v="0"/>
  </r>
  <r>
    <x v="1045"/>
    <n v="101005380"/>
    <s v="ATIVIDADE NORMAL"/>
    <s v="13/12/2018"/>
    <x v="1"/>
    <x v="26"/>
    <x v="5"/>
    <x v="15"/>
    <s v="Regional Ceará"/>
    <s v="Sobral"/>
    <s v="MultiSkill"/>
    <x v="4"/>
    <s v="TEC MULTIFUNCIONAL"/>
    <s v="ATIVIDADE NORMAL"/>
    <s v="SOL"/>
    <s v="96349174372"/>
    <s v="04/09/2019"/>
    <s v="MARCILIO RIBEIRO DOS SANTOS"/>
    <s v="JEFFERSON OLIVEIRA DA SILVA"/>
    <s v="JONILSON FELIPE VIEIRA"/>
    <x v="0"/>
    <x v="19"/>
    <x v="2"/>
    <s v="TECNICO MULTIFUNCIONAL"/>
    <x v="1046"/>
    <x v="1046"/>
    <x v="20"/>
    <x v="2"/>
    <x v="1"/>
    <x v="0"/>
    <x v="0"/>
  </r>
  <r>
    <x v="1046"/>
    <n v="102101393"/>
    <s v="ATIVIDADE NORMAL"/>
    <s v="17/03/2019"/>
    <x v="3"/>
    <x v="22"/>
    <x v="6"/>
    <x v="18"/>
    <s v="Regional Pernambuco"/>
    <s v="Natal"/>
    <s v="Tecnico de campo"/>
    <x v="5"/>
    <s v="INSTALADOR TUP"/>
    <s v="ATIVIDADE NORMAL"/>
    <s v="RNS"/>
    <s v="96633158491"/>
    <s v="04/09/2019"/>
    <s v="SIDNEY MOURA FREIRE"/>
    <s v="REINILSON IGLESIAS JUNIOR"/>
    <s v="WENDELL FRANKLIN VIEIRA MAIA"/>
    <x v="0"/>
    <x v="23"/>
    <x v="6"/>
    <s v="INSTALADOR I"/>
    <x v="1047"/>
    <x v="1047"/>
    <x v="24"/>
    <x v="7"/>
    <x v="3"/>
    <x v="0"/>
    <x v="1"/>
  </r>
  <r>
    <x v="1047"/>
    <n v="102101634"/>
    <s v="ATIVIDADE NORMAL"/>
    <s v="27/02/2019"/>
    <x v="3"/>
    <x v="29"/>
    <x v="23"/>
    <x v="19"/>
    <s v="Regional Pernambuco"/>
    <s v="Natal"/>
    <s v="Tecnico de campo"/>
    <x v="2"/>
    <s v="TEC ADSL I"/>
    <s v="ATIVIDADE NORMAL"/>
    <s v="NTN"/>
    <s v="96757833468"/>
    <s v="04/09/2019"/>
    <s v="FABIO BATISTA DA SILVA"/>
    <s v="REINILSON IGLESIAS JUNIOR"/>
    <s v="WENDELL FRANKLIN VIEIRA MAIA"/>
    <x v="0"/>
    <x v="30"/>
    <x v="4"/>
    <s v="TECNICO ADSL"/>
    <x v="1048"/>
    <x v="1048"/>
    <x v="29"/>
    <x v="7"/>
    <x v="3"/>
    <x v="0"/>
    <x v="0"/>
  </r>
  <r>
    <x v="1048"/>
    <n v="102100390"/>
    <s v="ATIVIDADE NORMAL"/>
    <s v="05/06/2019"/>
    <x v="3"/>
    <x v="66"/>
    <x v="13"/>
    <x v="21"/>
    <s v="Regional Pernambuco"/>
    <s v="Natal"/>
    <s v="Tecnico de campo"/>
    <x v="8"/>
    <s v="OP DG"/>
    <s v="ATIVIDADE NORMAL"/>
    <s v="NTS"/>
    <s v="96868767404"/>
    <s v="04/09/2019"/>
    <s v="ANDRIER CARLOS SOARES FERREIRA"/>
    <s v="REINILSON IGLESIAS JUNIOR"/>
    <s v="WENDELL FRANKLIN VIEIRA MAIA"/>
    <x v="1"/>
    <x v="30"/>
    <x v="9"/>
    <s v="OPERADOR"/>
    <x v="1049"/>
    <x v="1049"/>
    <x v="43"/>
    <x v="7"/>
    <x v="3"/>
    <x v="0"/>
    <x v="1"/>
  </r>
  <r>
    <x v="1049"/>
    <n v="101003771"/>
    <s v="ATIVIDADE NORMAL"/>
    <s v="02/01/2019"/>
    <x v="1"/>
    <x v="40"/>
    <x v="6"/>
    <x v="8"/>
    <s v="Regional Ceará"/>
    <s v="Quixadá"/>
    <s v="Tecnico de campo"/>
    <x v="5"/>
    <s v="INSTALADOR"/>
    <s v="ATIVIDADE NORMAL"/>
    <s v="QXA"/>
    <s v="96989190310"/>
    <s v="04/09/2019"/>
    <s v="ANA CLAUDIA DE CASTRO DA SILVA"/>
    <s v="ALENCAR DE SOUZA SANTOS"/>
    <s v="JONILSON FELIPE VIEIRA"/>
    <x v="0"/>
    <x v="13"/>
    <x v="6"/>
    <s v="INSTALADOR I"/>
    <x v="1050"/>
    <x v="1050"/>
    <x v="14"/>
    <x v="4"/>
    <x v="1"/>
    <x v="0"/>
    <x v="1"/>
  </r>
  <r>
    <x v="1050"/>
    <n v="101001488"/>
    <s v="ATIVIDADE NORMAL"/>
    <s v="24/04/2019"/>
    <x v="1"/>
    <x v="2"/>
    <x v="18"/>
    <x v="2"/>
    <s v="Regional Ceará"/>
    <s v="Capital Sul Ceará"/>
    <s v="Tecnico de campo"/>
    <x v="0"/>
    <s v="TEC MULTIFUNCIONAL"/>
    <s v="ATIVIDADE NORMAL"/>
    <s v="GCL"/>
    <s v="97191159391"/>
    <s v="04/09/2019"/>
    <s v="MICHEL SOARES DE OLIVEIRA"/>
    <s v="ANTONIO ROBEVANIO PINHEIRO"/>
    <s v="JONILSON FELIPE VIEIRA"/>
    <x v="0"/>
    <x v="46"/>
    <x v="1"/>
    <s v="TECNICO MULTIFUNCIONAL"/>
    <x v="1051"/>
    <x v="1051"/>
    <x v="2"/>
    <x v="1"/>
    <x v="1"/>
    <x v="0"/>
    <x v="0"/>
  </r>
  <r>
    <x v="1051"/>
    <n v="101008134"/>
    <s v="ATIVIDADE NORMAL"/>
    <s v="06/02/2019"/>
    <x v="1"/>
    <x v="70"/>
    <x v="10"/>
    <x v="1"/>
    <s v="Regional Ceará"/>
    <s v="Capital Sul Ceará"/>
    <s v="MultiSkill"/>
    <x v="4"/>
    <s v="TEC MULTIFUNCIONAL"/>
    <s v="ATIVIDADE NORMAL"/>
    <s v="GCS"/>
    <s v="97897337391"/>
    <s v="04/09/2019"/>
    <s v="BRUNO SAVIO DA SILVA"/>
    <s v="ANTONIO ROBEVANIO PINHEIRO"/>
    <s v="JONILSON FELIPE VIEIRA"/>
    <x v="0"/>
    <x v="53"/>
    <x v="2"/>
    <s v="TECNICO MULTIFUNCIONAL"/>
    <x v="1052"/>
    <x v="1052"/>
    <x v="5"/>
    <x v="1"/>
    <x v="1"/>
    <x v="0"/>
    <x v="0"/>
  </r>
  <r>
    <x v="1052"/>
    <n v="101007665"/>
    <s v="ATIVIDADE NORMAL"/>
    <s v="09/06/2019"/>
    <x v="1"/>
    <x v="64"/>
    <x v="10"/>
    <x v="3"/>
    <s v="Regional Ceará"/>
    <s v="Capital Oeste Ceará"/>
    <s v="MultiSkill"/>
    <x v="4"/>
    <s v="TEC MULTIFUNCIONAL"/>
    <s v="ATIVIDADE NORMAL"/>
    <s v="CNO"/>
    <s v="98486837391"/>
    <s v="04/09/2019"/>
    <s v="CARLOS AUGUSTO ALVES DE SOUSA"/>
    <s v="ALENCAR DE SOUZA SANTOS"/>
    <s v="JONILSON FELIPE VIEIRA"/>
    <x v="0"/>
    <x v="33"/>
    <x v="2"/>
    <s v="TECNICO MULTIFUNCIONAL"/>
    <x v="1053"/>
    <x v="1053"/>
    <x v="45"/>
    <x v="4"/>
    <x v="1"/>
    <x v="0"/>
    <x v="0"/>
  </r>
  <r>
    <x v="1053"/>
    <n v="101007665"/>
    <s v="ATIVIDADE NORMAL"/>
    <s v="19/06/2019"/>
    <x v="1"/>
    <x v="64"/>
    <x v="10"/>
    <x v="3"/>
    <s v="Regional Ceará"/>
    <s v="Capital Oeste Ceará"/>
    <s v="MultiSkill"/>
    <x v="4"/>
    <s v="TEC MULTIFUNCIONAL"/>
    <s v="ATIVIDADE NORMAL"/>
    <s v="CNO"/>
    <s v="98563416391"/>
    <s v="04/09/2019"/>
    <s v="CARLOS AUGUSTO ALVES DE SOUSA"/>
    <s v="ALENCAR DE SOUZA SANTOS"/>
    <s v="JONILSON FELIPE VIEIRA"/>
    <x v="0"/>
    <x v="33"/>
    <x v="2"/>
    <s v="TECNICO MULTIFUNCIONAL"/>
    <x v="1054"/>
    <x v="1054"/>
    <x v="45"/>
    <x v="4"/>
    <x v="1"/>
    <x v="0"/>
    <x v="0"/>
  </r>
  <r>
    <x v="1054"/>
    <n v="109000017"/>
    <s v="ATIVIDADE NORMAL"/>
    <s v="26/03/2019"/>
    <x v="0"/>
    <x v="56"/>
    <x v="2"/>
    <x v="10"/>
    <s v="Regional Pernambuco"/>
    <s v="Recife"/>
    <s v="Equipe SWAT"/>
    <x v="1"/>
    <s v="CABISTA I"/>
    <s v="ATIVIDADE NORMAL"/>
    <s v="PES"/>
    <s v="98778960444"/>
    <s v="04/09/2019"/>
    <s v="AMAURY ASSIS DE LIMA"/>
    <s v="DECIO FABIANO LOPES FERREIRA"/>
    <s v="NIVALDO DE OLIVEIRA SOARES"/>
    <x v="0"/>
    <x v="70"/>
    <x v="10"/>
    <s v="CABISTA I"/>
    <x v="1055"/>
    <x v="1055"/>
    <x v="15"/>
    <x v="0"/>
    <x v="0"/>
    <x v="0"/>
    <x v="1"/>
  </r>
  <r>
    <x v="1055"/>
    <n v="109504369"/>
    <s v="FERIAS NORMAIS"/>
    <s v="26/08/2019"/>
    <x v="0"/>
    <x v="38"/>
    <x v="2"/>
    <x v="22"/>
    <s v="Regional Pernambuco"/>
    <s v="Interior"/>
    <s v="Tecnico de campo"/>
    <x v="1"/>
    <s v="INSTALADOR TUP"/>
    <s v="FERIAS NORMAIS"/>
    <s v="CAA"/>
    <s v="99059878434"/>
    <s v="04/09/2019"/>
    <s v="JOSE HAILTON ATAIDE"/>
    <s v="MARCOS DE OLIVEIRA STEHLING"/>
    <s v="NIVALDO DE OLIVEIRA SOARES"/>
    <x v="1"/>
    <x v="55"/>
    <x v="3"/>
    <s v="INSTALADOR I"/>
    <x v="1056"/>
    <x v="1056"/>
    <x v="46"/>
    <x v="3"/>
    <x v="0"/>
    <x v="1"/>
    <x v="1"/>
  </r>
  <r>
    <x v="1056"/>
    <n v="109000340"/>
    <s v="ATIVIDADE NORMAL"/>
    <s v="03/07/2019"/>
    <x v="0"/>
    <x v="38"/>
    <x v="14"/>
    <x v="22"/>
    <s v="Regional Pernambuco"/>
    <s v="Interior"/>
    <s v="MultiSkill"/>
    <x v="4"/>
    <s v="TEC MULTIFUNCIONAL"/>
    <s v="ATIVIDADE NORMAL"/>
    <s v="CAA"/>
    <s v="99074028420"/>
    <s v="04/09/2019"/>
    <s v="AILTON JOSE DOS SANTOS"/>
    <s v="DECIO FABIANO LOPES FERREIRA"/>
    <s v="NIVALDO DE OLIVEIRA SOARES"/>
    <x v="0"/>
    <x v="41"/>
    <x v="2"/>
    <s v="TECNICO MULTIFUNCIONAL"/>
    <x v="1057"/>
    <x v="1057"/>
    <x v="22"/>
    <x v="0"/>
    <x v="0"/>
    <x v="0"/>
    <x v="0"/>
  </r>
  <r>
    <x v="1057"/>
    <n v="101005989"/>
    <s v="ATIVIDADE NORMAL"/>
    <s v="05/06/2019"/>
    <x v="1"/>
    <x v="17"/>
    <x v="2"/>
    <x v="3"/>
    <s v="Regional Ceará"/>
    <s v="Capital Oeste Ceará"/>
    <s v="Equipe SWAT"/>
    <x v="1"/>
    <s v="INSTALADOR"/>
    <s v="ATIVIDADE NORMAL"/>
    <s v="CNO"/>
    <s v="98894048349"/>
    <s v="04/09/2019"/>
    <s v="JOSENIL GOMES RODRIGUES"/>
    <s v="ALENCAR DE SOUZA SANTOS"/>
    <s v="JONILSON FELIPE VIEIRA"/>
    <x v="0"/>
    <x v="17"/>
    <x v="2"/>
    <s v="INSTALADOR I"/>
    <x v="1058"/>
    <x v="1058"/>
    <x v="18"/>
    <x v="4"/>
    <x v="1"/>
    <x v="0"/>
    <x v="1"/>
  </r>
  <r>
    <x v="1058"/>
    <n v="101010062"/>
    <s v="ATIVIDADE NORMAL"/>
    <s v="20/02/2019"/>
    <x v="1"/>
    <x v="26"/>
    <x v="2"/>
    <x v="15"/>
    <s v="Regional Ceará"/>
    <s v="Sobral"/>
    <s v="Equipe SWAT"/>
    <x v="1"/>
    <s v="CABISTA I"/>
    <s v="ATIVIDADE NORMAL"/>
    <s v="SOL"/>
    <s v="99244160234"/>
    <s v="04/09/2019"/>
    <s v="ANTONIO ERINEUDES CAVALCANTE FEIJAO"/>
    <s v="JEFFERSON OLIVEIRA DA SILVA"/>
    <s v="JONILSON FELIPE VIEIRA"/>
    <x v="0"/>
    <x v="26"/>
    <x v="10"/>
    <s v="CABISTA I"/>
    <x v="1059"/>
    <x v="1059"/>
    <x v="26"/>
    <x v="2"/>
    <x v="1"/>
    <x v="0"/>
    <x v="1"/>
  </r>
  <r>
    <x v="1059"/>
    <n v="101001488"/>
    <s v="ATIVIDADE NORMAL"/>
    <s v="24/04/2019"/>
    <x v="1"/>
    <x v="4"/>
    <x v="0"/>
    <x v="4"/>
    <s v="Regional Ceará"/>
    <s v="Capital Oeste Ceará"/>
    <s v="Tecnico de campo"/>
    <x v="0"/>
    <s v="TEC MULTIFUNCIONAL"/>
    <s v="ATIVIDADE NORMAL"/>
    <s v="COO"/>
    <s v="99631059391"/>
    <s v="04/09/2019"/>
    <s v="MICHEL SOARES DE OLIVEIRA"/>
    <s v="ANTONIO ROBEVANIO PINHEIRO"/>
    <s v="JONILSON FELIPE VIEIRA"/>
    <x v="0"/>
    <x v="46"/>
    <x v="1"/>
    <s v="TECNICO MULTIFUNCIONAL"/>
    <x v="1060"/>
    <x v="1060"/>
    <x v="2"/>
    <x v="1"/>
    <x v="1"/>
    <x v="0"/>
    <x v="0"/>
  </r>
  <r>
    <x v="1060"/>
    <n v="109505858"/>
    <s v="ATIVIDADE NORMAL"/>
    <s v="06/03/2019"/>
    <x v="0"/>
    <x v="14"/>
    <x v="4"/>
    <x v="11"/>
    <s v="Regional Pernambuco"/>
    <s v="Interior"/>
    <s v="MultiSkill"/>
    <x v="3"/>
    <s v="TEC MULTIFUNCIONAL"/>
    <s v="ATIVIDADE NORMAL"/>
    <s v="ACV"/>
    <s v="99632098404"/>
    <s v="04/09/2019"/>
    <s v="THIAGO DE LIMA PIRES RODRIGUES"/>
    <s v="DECIO FABIANO LOPES FERREIRA"/>
    <s v="NIVALDO DE OLIVEIRA SOARES"/>
    <x v="0"/>
    <x v="11"/>
    <x v="2"/>
    <s v="TECNICO MULTIFUNCIONAL"/>
    <x v="1061"/>
    <x v="1061"/>
    <x v="12"/>
    <x v="0"/>
    <x v="0"/>
    <x v="0"/>
    <x v="0"/>
  </r>
  <r>
    <x v="1061"/>
    <n v="109506091"/>
    <s v="ATIVIDADE NORMAL"/>
    <s v="10/05/2019"/>
    <x v="0"/>
    <x v="35"/>
    <x v="10"/>
    <x v="14"/>
    <s v="Regional Pernambuco"/>
    <s v="Recife"/>
    <s v="MultiSkill"/>
    <x v="4"/>
    <s v="TEC MULTIFUNCIONAL"/>
    <s v="ATIVIDADE NORMAL"/>
    <s v="NOR"/>
    <s v="84693738468"/>
    <s v="04/09/2019"/>
    <s v="LUIZ RICARDO LIMA DA SILVA"/>
    <s v="BRUNO VINICIUS DE ALBERTINS ALVES"/>
    <s v="NIVALDO DE OLIVEIRA SOARES"/>
    <x v="0"/>
    <x v="38"/>
    <x v="2"/>
    <s v="TECNICO MULTIFUNCIONAL"/>
    <x v="1062"/>
    <x v="1062"/>
    <x v="49"/>
    <x v="9"/>
    <x v="0"/>
    <x v="0"/>
    <x v="0"/>
  </r>
  <r>
    <x v="1062"/>
    <n v="109000926"/>
    <s v="ATIVIDADE NORMAL"/>
    <s v="17/01/2019"/>
    <x v="0"/>
    <x v="65"/>
    <x v="11"/>
    <x v="7"/>
    <s v="Regional Pernambuco"/>
    <s v="Recife"/>
    <s v="MultiSkill"/>
    <x v="1"/>
    <s v="TEC MULTIFUNCIONAL"/>
    <s v="ATIVIDADE NORMAL"/>
    <s v="LES"/>
    <s v="03371742458"/>
    <s v="04/09/2019"/>
    <s v="ANTONIO MAGNO DE CASTRO LEAO"/>
    <s v="BRUNO VINICIUS DE ALBERTINS ALVES"/>
    <s v="NIVALDO DE OLIVEIRA SOARES"/>
    <x v="0"/>
    <x v="45"/>
    <x v="2"/>
    <s v="TECNICO MULTIFUNCIONAL"/>
    <x v="1063"/>
    <x v="1063"/>
    <x v="41"/>
    <x v="9"/>
    <x v="0"/>
    <x v="0"/>
    <x v="1"/>
  </r>
  <r>
    <x v="1063"/>
    <n v="105000986"/>
    <s v="ATIVIDADE NORMAL"/>
    <s v="16/04/2019"/>
    <x v="2"/>
    <x v="20"/>
    <x v="14"/>
    <x v="16"/>
    <s v="Regional Pernambuco"/>
    <s v="João Pessoa"/>
    <s v="MultiSkill"/>
    <x v="4"/>
    <s v="TEC MULTIFUNCIONAL"/>
    <s v="ATIVIDADE NORMAL"/>
    <s v="CGE"/>
    <s v="99230062472"/>
    <s v="04/09/2019"/>
    <s v="JOSILENE MACENA DE OLIVEIRA"/>
    <s v="WENDELL FRANKLIN VIEIRA MAIA"/>
    <s v="WENDELL FRANKLIN VIEIRA MAIA"/>
    <x v="0"/>
    <x v="20"/>
    <x v="2"/>
    <s v="TECNICO MULTIFUNCIONAL"/>
    <x v="1064"/>
    <x v="1064"/>
    <x v="21"/>
    <x v="6"/>
    <x v="3"/>
    <x v="0"/>
    <x v="0"/>
  </r>
  <r>
    <x v="1064"/>
    <n v="102101642"/>
    <s v="ATIVIDADE NORMAL"/>
    <s v="22/03/2019"/>
    <x v="3"/>
    <x v="24"/>
    <x v="14"/>
    <x v="19"/>
    <s v="Regional Pernambuco"/>
    <s v="Natal"/>
    <s v="MultiSkill"/>
    <x v="4"/>
    <s v="TEC MULTIFUNCIONAL"/>
    <s v="ATIVIDADE NORMAL"/>
    <s v="NTN"/>
    <s v="10071307761"/>
    <s v="04/09/2019"/>
    <s v="WILSON CARLOS SILVEIRA LEIROS"/>
    <s v="REINILSON IGLESIAS JUNIOR"/>
    <s v="WENDELL FRANKLIN VIEIRA MAIA"/>
    <x v="0"/>
    <x v="51"/>
    <x v="2"/>
    <s v="TECNICO MULTIFUNCIONAL"/>
    <x v="1065"/>
    <x v="1065"/>
    <x v="28"/>
    <x v="7"/>
    <x v="3"/>
    <x v="0"/>
    <x v="0"/>
  </r>
  <r>
    <x v="1065"/>
    <n v="109506172"/>
    <s v="ATIVIDADE NORMAL"/>
    <s v="06/02/2019"/>
    <x v="0"/>
    <x v="59"/>
    <x v="10"/>
    <x v="13"/>
    <s v="Regional Pernambuco"/>
    <s v="Recife"/>
    <s v="MultiSkill"/>
    <x v="4"/>
    <s v="TEC MULTIFUNCIONAL"/>
    <s v="ATIVIDADE NORMAL"/>
    <s v="OES"/>
    <s v="71891587404"/>
    <s v="04/09/2019"/>
    <s v="MARCUS VINICIUS NEVES DE BRITO"/>
    <s v="DECIO FABIANO LOPES FERREIRA"/>
    <s v="NIVALDO DE OLIVEIRA SOARES"/>
    <x v="0"/>
    <x v="64"/>
    <x v="2"/>
    <s v="TECNICO MULTIFUNCIONAL"/>
    <x v="1066"/>
    <x v="1066"/>
    <x v="54"/>
    <x v="0"/>
    <x v="0"/>
    <x v="0"/>
    <x v="0"/>
  </r>
  <r>
    <x v="1066"/>
    <n v="109506172"/>
    <s v="ATIVIDADE NORMAL"/>
    <s v="22/05/2019"/>
    <x v="0"/>
    <x v="59"/>
    <x v="12"/>
    <x v="13"/>
    <s v="Regional Pernambuco"/>
    <s v="Recife"/>
    <s v="Equipe SWAT"/>
    <x v="6"/>
    <s v="CABISTA III"/>
    <s v="ATIVIDADE NORMAL"/>
    <s v="OES"/>
    <s v="08015388406"/>
    <s v="04/09/2019"/>
    <s v="MARCUS VINICIUS NEVES DE BRITO"/>
    <s v="DECIO FABIANO LOPES FERREIRA"/>
    <s v="NIVALDO DE OLIVEIRA SOARES"/>
    <x v="0"/>
    <x v="64"/>
    <x v="7"/>
    <s v="CABISTA III"/>
    <x v="1067"/>
    <x v="1067"/>
    <x v="54"/>
    <x v="0"/>
    <x v="0"/>
    <x v="0"/>
    <x v="1"/>
  </r>
  <r>
    <x v="1067"/>
    <n v="109501286"/>
    <s v="ATIVIDADE NORMAL"/>
    <s v="27/03/2019"/>
    <x v="0"/>
    <x v="30"/>
    <x v="2"/>
    <x v="13"/>
    <s v="Regional Pernambuco"/>
    <s v="Recife"/>
    <s v="Equipe SWAT"/>
    <x v="1"/>
    <s v="CABISTA I"/>
    <s v="ATIVIDADE NORMAL"/>
    <s v="OES"/>
    <s v="01010074423"/>
    <s v="04/09/2019"/>
    <s v="JOSE HENRIQUE NEGRAO DE MEDEIROS"/>
    <s v="DECIO FABIANO LOPES FERREIRA"/>
    <s v="NIVALDO DE OLIVEIRA SOARES"/>
    <x v="0"/>
    <x v="37"/>
    <x v="10"/>
    <s v="CABISTA I"/>
    <x v="1068"/>
    <x v="1068"/>
    <x v="34"/>
    <x v="0"/>
    <x v="0"/>
    <x v="0"/>
    <x v="1"/>
  </r>
  <r>
    <x v="1068"/>
    <n v="109000926"/>
    <s v="ATIVIDADE NORMAL"/>
    <s v="08/05/2019"/>
    <x v="0"/>
    <x v="7"/>
    <x v="10"/>
    <x v="7"/>
    <s v="Regional Pernambuco"/>
    <s v="Recife"/>
    <s v="MultiSkill"/>
    <x v="4"/>
    <s v="TEC MULTIFUNCIONAL"/>
    <s v="ATIVIDADE NORMAL"/>
    <s v="LES"/>
    <s v="03317866489"/>
    <s v="04/09/2019"/>
    <s v="ANTONIO MAGNO DE CASTRO LEAO"/>
    <s v="BRUNO VINICIUS DE ALBERTINS ALVES"/>
    <s v="NIVALDO DE OLIVEIRA SOARES"/>
    <x v="0"/>
    <x v="45"/>
    <x v="2"/>
    <s v="TECNICO MULTIFUNCIONAL"/>
    <x v="1069"/>
    <x v="1069"/>
    <x v="41"/>
    <x v="9"/>
    <x v="0"/>
    <x v="0"/>
    <x v="0"/>
  </r>
  <r>
    <x v="1069"/>
    <n v="109501286"/>
    <s v="ATIVIDADE NORMAL"/>
    <s v="06/03/2019"/>
    <x v="0"/>
    <x v="30"/>
    <x v="10"/>
    <x v="13"/>
    <s v="Regional Pernambuco"/>
    <s v="Recife"/>
    <s v="MultiSkill"/>
    <x v="4"/>
    <s v="TEC MULTIFUNCIONAL"/>
    <s v="ATIVIDADE NORMAL"/>
    <s v="OES"/>
    <s v="07577401463"/>
    <s v="04/09/2019"/>
    <s v="JOSE HENRIQUE NEGRAO DE MEDEIROS"/>
    <s v="DECIO FABIANO LOPES FERREIRA"/>
    <s v="NIVALDO DE OLIVEIRA SOARES"/>
    <x v="0"/>
    <x v="37"/>
    <x v="2"/>
    <s v="TECNICO MULTIFUNCIONAL"/>
    <x v="1070"/>
    <x v="1070"/>
    <x v="34"/>
    <x v="0"/>
    <x v="0"/>
    <x v="0"/>
    <x v="0"/>
  </r>
  <r>
    <x v="1070"/>
    <n v="109506172"/>
    <s v="ATIVIDADE NORMAL"/>
    <s v="28/11/2018"/>
    <x v="0"/>
    <x v="59"/>
    <x v="11"/>
    <x v="13"/>
    <s v="Regional Pernambuco"/>
    <s v="Recife"/>
    <s v="MultiSkill"/>
    <x v="1"/>
    <s v="TEC MULTIFUNCIONAL"/>
    <s v="ATIVIDADE NORMAL"/>
    <s v="OES"/>
    <s v="66587050468"/>
    <s v="04/09/2019"/>
    <s v="MARCUS VINICIUS NEVES DE BRITO"/>
    <s v="DECIO FABIANO LOPES FERREIRA"/>
    <s v="NIVALDO DE OLIVEIRA SOARES"/>
    <x v="0"/>
    <x v="64"/>
    <x v="2"/>
    <s v="TECNICO MULTIFUNCIONAL"/>
    <x v="1071"/>
    <x v="1071"/>
    <x v="54"/>
    <x v="0"/>
    <x v="0"/>
    <x v="0"/>
    <x v="1"/>
  </r>
  <r>
    <x v="1071"/>
    <n v="109000017"/>
    <s v="ATIVIDADE NORMAL"/>
    <s v="18/04/2019"/>
    <x v="0"/>
    <x v="56"/>
    <x v="10"/>
    <x v="10"/>
    <s v="Regional Pernambuco"/>
    <s v="Recife"/>
    <s v="MultiSkill"/>
    <x v="4"/>
    <s v="TEC MULTIFUNCIONAL"/>
    <s v="ATIVIDADE NORMAL"/>
    <s v="PES"/>
    <s v="61735353434"/>
    <s v="04/09/2019"/>
    <s v="AMAURY ASSIS DE LIMA"/>
    <s v="DECIO FABIANO LOPES FERREIRA"/>
    <s v="NIVALDO DE OLIVEIRA SOARES"/>
    <x v="0"/>
    <x v="70"/>
    <x v="2"/>
    <s v="TECNICO MULTIFUNCIONAL"/>
    <x v="1072"/>
    <x v="1072"/>
    <x v="15"/>
    <x v="0"/>
    <x v="0"/>
    <x v="0"/>
    <x v="0"/>
  </r>
  <r>
    <x v="1072"/>
    <n v="109505287"/>
    <s v="ATIVIDADE NORMAL"/>
    <s v="06/03/2019"/>
    <x v="0"/>
    <x v="7"/>
    <x v="12"/>
    <x v="7"/>
    <s v="Regional Pernambuco"/>
    <s v="Recife"/>
    <s v="Tecnico de campo"/>
    <x v="6"/>
    <s v="AUX TECNICO DE FIBRA OPTICA"/>
    <s v="ATIVIDADE NORMAL"/>
    <s v="LES"/>
    <s v="11499118406"/>
    <s v="04/09/2019"/>
    <s v="RODRIGO CARDOZO GUIMARAES DA SILVA"/>
    <s v="CARLOS EDUARDO DE ALBUQUERQUE MEIRA"/>
    <s v="HEBERT JONES SOUTO ARAUJO"/>
    <x v="1"/>
    <x v="92"/>
    <x v="5"/>
    <s v="AUXILIAR FIBRA OPTICA"/>
    <x v="1073"/>
    <x v="1073"/>
    <x v="73"/>
    <x v="12"/>
    <x v="5"/>
    <x v="0"/>
    <x v="1"/>
  </r>
  <r>
    <x v="1073"/>
    <n v="109501286"/>
    <s v="ATIVIDADE NORMAL"/>
    <s v="30/09/2019"/>
    <x v="0"/>
    <x v="60"/>
    <x v="10"/>
    <x v="14"/>
    <s v="Regional Pernambuco"/>
    <s v="Recife"/>
    <s v="MultiSkill"/>
    <x v="4"/>
    <s v="TEC MULTIFUNCIONAL"/>
    <s v="ATIVIDADE NORMAL"/>
    <s v="NOR"/>
    <s v="11518442412"/>
    <s v="04/09/2019"/>
    <s v="JOSE HENRIQUE NEGRAO DE MEDEIROS"/>
    <s v="DECIO FABIANO LOPES FERREIRA"/>
    <s v="NIVALDO DE OLIVEIRA SOARES"/>
    <x v="0"/>
    <x v="40"/>
    <x v="2"/>
    <s v="TECNICO MULTIFUNCIONAL"/>
    <x v="1074"/>
    <x v="1074"/>
    <x v="34"/>
    <x v="0"/>
    <x v="0"/>
    <x v="0"/>
    <x v="0"/>
  </r>
  <r>
    <x v="1074"/>
    <n v="109000340"/>
    <s v="ATIVIDADE NORMAL"/>
    <s v="08/05/2018"/>
    <x v="0"/>
    <x v="0"/>
    <x v="2"/>
    <x v="0"/>
    <s v="Regional Pernambuco"/>
    <s v="Interior"/>
    <s v="Equipe SWAT"/>
    <x v="1"/>
    <s v="CABISTA I"/>
    <s v="ATIVIDADE NORMAL"/>
    <s v="CRU"/>
    <s v="12444001494"/>
    <s v="04/09/2019"/>
    <s v="AILTON JOSE DOS SANTOS"/>
    <s v="DECIO FABIANO LOPES FERREIRA"/>
    <s v="NIVALDO DE OLIVEIRA SOARES"/>
    <x v="0"/>
    <x v="21"/>
    <x v="7"/>
    <s v="CABISTA I"/>
    <x v="1075"/>
    <x v="1075"/>
    <x v="22"/>
    <x v="0"/>
    <x v="0"/>
    <x v="0"/>
    <x v="1"/>
  </r>
  <r>
    <x v="1075"/>
    <n v="109000943"/>
    <s v="ATIVIDADE NORMAL"/>
    <s v="02/01/2019"/>
    <x v="0"/>
    <x v="60"/>
    <x v="10"/>
    <x v="14"/>
    <s v="Regional Pernambuco"/>
    <s v="Recife"/>
    <s v="MultiSkill"/>
    <x v="4"/>
    <s v="TEC MULTIFUNCIONAL"/>
    <s v="ATIVIDADE NORMAL"/>
    <s v="NOR"/>
    <s v="03015721437"/>
    <s v="04/09/2019"/>
    <s v="MAURO BRAGA RANGEL"/>
    <s v="BRUNO VINICIUS DE ALBERTINS ALVES"/>
    <s v="NIVALDO DE OLIVEIRA SOARES"/>
    <x v="0"/>
    <x v="40"/>
    <x v="2"/>
    <s v="TECNICO MULTIFUNCIONAL"/>
    <x v="1076"/>
    <x v="1076"/>
    <x v="56"/>
    <x v="9"/>
    <x v="0"/>
    <x v="0"/>
    <x v="0"/>
  </r>
  <r>
    <x v="1076"/>
    <n v="109500315"/>
    <s v="ATIVIDADE NORMAL"/>
    <s v="12/06/2019"/>
    <x v="0"/>
    <x v="59"/>
    <x v="6"/>
    <x v="13"/>
    <s v="Regional Pernambuco"/>
    <s v="Recife"/>
    <s v="Tecnico de campo"/>
    <x v="5"/>
    <s v="INSTALADOR"/>
    <s v="ATIVIDADE NORMAL"/>
    <s v="OES"/>
    <s v="05962849426"/>
    <s v="04/09/2019"/>
    <s v="IVALDO BEZERRA NOVAIS"/>
    <s v="DECIO FABIANO LOPES FERREIRA"/>
    <s v="NIVALDO DE OLIVEIRA SOARES"/>
    <x v="0"/>
    <x v="47"/>
    <x v="6"/>
    <s v="INSTALADOR I"/>
    <x v="1077"/>
    <x v="1077"/>
    <x v="42"/>
    <x v="0"/>
    <x v="0"/>
    <x v="0"/>
    <x v="1"/>
  </r>
  <r>
    <x v="1077"/>
    <n v="109505049"/>
    <s v="ATIVIDADE NORMAL"/>
    <s v="06/03/2019"/>
    <x v="0"/>
    <x v="52"/>
    <x v="0"/>
    <x v="7"/>
    <s v="Regional Pernambuco"/>
    <s v="Recife"/>
    <s v="MultiSkill"/>
    <x v="0"/>
    <s v="TEC MULTIFUNCIONAL"/>
    <s v="ATIVIDADE NORMAL"/>
    <s v="LES"/>
    <s v="01497177413"/>
    <s v="04/09/2019"/>
    <s v="RAMSES DE ANDRADE MACHADO RODRIGUES LAVRA"/>
    <s v="BRUNO VINICIUS DE ALBERTINS ALVES"/>
    <s v="NIVALDO DE OLIVEIRA SOARES"/>
    <x v="0"/>
    <x v="57"/>
    <x v="1"/>
    <s v="TECNICO MULTIFUNCIONAL"/>
    <x v="1078"/>
    <x v="1078"/>
    <x v="48"/>
    <x v="9"/>
    <x v="0"/>
    <x v="0"/>
    <x v="0"/>
  </r>
  <r>
    <x v="1078"/>
    <n v="109000119"/>
    <s v="ATIVIDADE NORMAL"/>
    <s v="27/03/2019"/>
    <x v="0"/>
    <x v="25"/>
    <x v="2"/>
    <x v="10"/>
    <s v="Regional Pernambuco"/>
    <s v="Recife"/>
    <s v="Tecnico de campo"/>
    <x v="1"/>
    <s v="CABISTA III"/>
    <s v="ATIVIDADE NORMAL"/>
    <s v="PES"/>
    <s v="02135391441"/>
    <s v="04/09/2019"/>
    <s v="AMARILDO GOMES DE MELO"/>
    <s v="MARCOS DE OLIVEIRA STEHLING"/>
    <s v="NIVALDO DE OLIVEIRA SOARES"/>
    <x v="0"/>
    <x v="71"/>
    <x v="3"/>
    <s v="CABISTA III"/>
    <x v="1079"/>
    <x v="1079"/>
    <x v="60"/>
    <x v="3"/>
    <x v="0"/>
    <x v="0"/>
    <x v="1"/>
  </r>
  <r>
    <x v="1079"/>
    <n v="109501286"/>
    <s v="ATIVIDADE NORMAL"/>
    <s v="06/02/2019"/>
    <x v="0"/>
    <x v="30"/>
    <x v="10"/>
    <x v="13"/>
    <s v="Regional Pernambuco"/>
    <s v="Recife"/>
    <s v="MultiSkill"/>
    <x v="4"/>
    <s v="TEC MULTIFUNCIONAL"/>
    <s v="ATIVIDADE NORMAL"/>
    <s v="OES"/>
    <s v="03801402410"/>
    <s v="04/09/2019"/>
    <s v="JOSE HENRIQUE NEGRAO DE MEDEIROS"/>
    <s v="DECIO FABIANO LOPES FERREIRA"/>
    <s v="NIVALDO DE OLIVEIRA SOARES"/>
    <x v="0"/>
    <x v="37"/>
    <x v="2"/>
    <s v="TECNICO MULTIFUNCIONAL"/>
    <x v="1080"/>
    <x v="1080"/>
    <x v="34"/>
    <x v="0"/>
    <x v="0"/>
    <x v="0"/>
    <x v="0"/>
  </r>
  <r>
    <x v="1080"/>
    <n v="109506172"/>
    <s v="ATIVIDADE NORMAL"/>
    <s v="06/02/2019"/>
    <x v="0"/>
    <x v="59"/>
    <x v="10"/>
    <x v="13"/>
    <s v="Regional Pernambuco"/>
    <s v="Recife"/>
    <s v="MultiSkill"/>
    <x v="4"/>
    <s v="TEC MULTIFUNCIONAL"/>
    <s v="ATIVIDADE NORMAL"/>
    <s v="OES"/>
    <s v="40954870468"/>
    <s v="04/09/2019"/>
    <s v="MARCUS VINICIUS NEVES DE BRITO"/>
    <s v="DECIO FABIANO LOPES FERREIRA"/>
    <s v="NIVALDO DE OLIVEIRA SOARES"/>
    <x v="0"/>
    <x v="64"/>
    <x v="2"/>
    <s v="TECNICO MULTIFUNCIONAL"/>
    <x v="1081"/>
    <x v="1081"/>
    <x v="54"/>
    <x v="0"/>
    <x v="0"/>
    <x v="0"/>
    <x v="0"/>
  </r>
  <r>
    <x v="1081"/>
    <n v="101005241"/>
    <s v="FERIAS NORMAIS"/>
    <s v="02/09/2019"/>
    <x v="1"/>
    <x v="11"/>
    <x v="8"/>
    <x v="9"/>
    <s v="Regional Ceará"/>
    <s v="Juazeiro"/>
    <s v="Tecnico de campo"/>
    <x v="6"/>
    <s v="CABISTA III"/>
    <s v="FERIAS NORMAIS"/>
    <s v="IAU"/>
    <s v="13464387810"/>
    <s v="04/09/2019"/>
    <s v="CLAUDECIR GOMES MACIEL"/>
    <s v="JEFFERSON OLIVEIRA DA SILVA"/>
    <s v="JONILSON FELIPE VIEIRA"/>
    <x v="1"/>
    <x v="5"/>
    <x v="2"/>
    <s v="CABISTA III"/>
    <x v="1082"/>
    <x v="1082"/>
    <x v="6"/>
    <x v="2"/>
    <x v="1"/>
    <x v="1"/>
    <x v="1"/>
  </r>
  <r>
    <x v="1082"/>
    <n v="101004033"/>
    <s v="FERIAS NORMAIS"/>
    <s v="26/08/2019"/>
    <x v="1"/>
    <x v="57"/>
    <x v="13"/>
    <x v="4"/>
    <s v="Regional Ceará"/>
    <s v="Capital Oeste Ceará"/>
    <s v="MultiSkill"/>
    <x v="8"/>
    <s v="TEC MULTIFUNCIONAL"/>
    <s v="FERIAS NORMAIS"/>
    <s v="COO"/>
    <s v="13591002372"/>
    <s v="04/09/2019"/>
    <s v="HENRIQUE OLIVEIRA DO NASCIMENTO"/>
    <s v="ALENCAR DE SOUZA SANTOS"/>
    <s v="JONILSON FELIPE VIEIRA"/>
    <x v="1"/>
    <x v="63"/>
    <x v="2"/>
    <s v="TECNICO MULTIFUNCIONAL"/>
    <x v="1083"/>
    <x v="1083"/>
    <x v="52"/>
    <x v="4"/>
    <x v="1"/>
    <x v="1"/>
    <x v="1"/>
  </r>
  <r>
    <x v="1083"/>
    <n v="101005241"/>
    <s v="FERIAS NORMAIS"/>
    <s v="02/09/2019"/>
    <x v="1"/>
    <x v="11"/>
    <x v="5"/>
    <x v="9"/>
    <s v="Regional Ceará"/>
    <s v="Juazeiro"/>
    <s v="MultiSkill"/>
    <x v="4"/>
    <s v="TEC MULTIFUNCIONAL"/>
    <s v="FERIAS NORMAIS"/>
    <s v="IAU"/>
    <s v="13973189889"/>
    <s v="04/09/2019"/>
    <s v="CLAUDECIR GOMES MACIEL"/>
    <s v="JEFFERSON OLIVEIRA DA SILVA"/>
    <s v="JONILSON FELIPE VIEIRA"/>
    <x v="1"/>
    <x v="5"/>
    <x v="2"/>
    <s v="TECNICO MULTIFUNCIONAL"/>
    <x v="1084"/>
    <x v="1084"/>
    <x v="6"/>
    <x v="2"/>
    <x v="1"/>
    <x v="1"/>
    <x v="0"/>
  </r>
  <r>
    <x v="1084"/>
    <n v="101003771"/>
    <s v="ATIVIDADE NORMAL"/>
    <s v="23/05/2019"/>
    <x v="1"/>
    <x v="64"/>
    <x v="6"/>
    <x v="3"/>
    <s v="Regional Ceará"/>
    <s v="Capital Oeste Ceará"/>
    <s v="Tecnico de campo"/>
    <x v="5"/>
    <s v="INSTALADOR"/>
    <s v="ATIVIDADE NORMAL"/>
    <s v="CNO"/>
    <s v="14095440368"/>
    <s v="04/09/2019"/>
    <s v="ANA CLAUDIA DE CASTRO DA SILVA"/>
    <s v="ALENCAR DE SOUZA SANTOS"/>
    <s v="JONILSON FELIPE VIEIRA"/>
    <x v="0"/>
    <x v="13"/>
    <x v="6"/>
    <s v="INSTALADOR I"/>
    <x v="1085"/>
    <x v="1085"/>
    <x v="14"/>
    <x v="4"/>
    <x v="1"/>
    <x v="0"/>
    <x v="1"/>
  </r>
  <r>
    <x v="1085"/>
    <n v="105303208"/>
    <s v="ATIVIDADE NORMAL"/>
    <s v="28/11/2018"/>
    <x v="2"/>
    <x v="15"/>
    <x v="10"/>
    <x v="12"/>
    <s v="Regional Pernambuco"/>
    <s v="João Pessoa"/>
    <s v="MultiSkill"/>
    <x v="4"/>
    <s v="TEC MULTIFUNCIONAL"/>
    <s v="ATIVIDADE NORMAL"/>
    <s v="JPA"/>
    <s v="14201240487"/>
    <s v="04/09/2019"/>
    <s v="FERNANDO ANTONIO PORTO DE FREITAS"/>
    <s v="WENDELL FRANKLIN VIEIRA MAIA"/>
    <s v="WENDELL FRANKLIN VIEIRA MAIA"/>
    <x v="0"/>
    <x v="72"/>
    <x v="2"/>
    <s v="TECNICO MULTIFUNCIONAL"/>
    <x v="1086"/>
    <x v="1086"/>
    <x v="16"/>
    <x v="6"/>
    <x v="3"/>
    <x v="0"/>
    <x v="0"/>
  </r>
  <r>
    <x v="1086"/>
    <n v="109000340"/>
    <s v="ATIVIDADE NORMAL"/>
    <s v="13/06/2019"/>
    <x v="0"/>
    <x v="0"/>
    <x v="14"/>
    <x v="0"/>
    <s v="Regional Pernambuco"/>
    <s v="Interior"/>
    <s v="MultiSkill"/>
    <x v="4"/>
    <s v="TEC MULTIFUNCIONAL"/>
    <s v="ATIVIDADE NORMAL"/>
    <s v="CRU"/>
    <s v="14936148865"/>
    <s v="04/09/2019"/>
    <s v="AILTON JOSE DOS SANTOS"/>
    <s v="DECIO FABIANO LOPES FERREIRA"/>
    <s v="NIVALDO DE OLIVEIRA SOARES"/>
    <x v="0"/>
    <x v="21"/>
    <x v="2"/>
    <s v="TECNICO MULTIFUNCIONAL"/>
    <x v="1087"/>
    <x v="1087"/>
    <x v="22"/>
    <x v="0"/>
    <x v="0"/>
    <x v="0"/>
    <x v="0"/>
  </r>
  <r>
    <x v="1087"/>
    <n v="101001670"/>
    <s v="ATIVIDADE NORMAL"/>
    <s v="06/03/2019"/>
    <x v="1"/>
    <x v="8"/>
    <x v="13"/>
    <x v="2"/>
    <s v="Regional Ceará"/>
    <s v="Capital Sul Ceará"/>
    <s v="Tecnico de campo"/>
    <x v="8"/>
    <s v="OP DG"/>
    <s v="ATIVIDADE NORMAL"/>
    <s v="GCL"/>
    <s v="17447470325"/>
    <s v="04/09/2019"/>
    <s v="FRANCISCO MARCOS TEIXEIRA DOS SANTOS"/>
    <s v="JEFFERSON OLIVEIRA DA SILVA"/>
    <s v="JONILSON FELIPE VIEIRA"/>
    <x v="1"/>
    <x v="8"/>
    <x v="9"/>
    <s v="OPERADOR"/>
    <x v="1088"/>
    <x v="1088"/>
    <x v="9"/>
    <x v="2"/>
    <x v="1"/>
    <x v="0"/>
    <x v="1"/>
  </r>
  <r>
    <x v="1088"/>
    <n v="101003771"/>
    <s v="ATIVIDADE NORMAL"/>
    <s v="06/02/2019"/>
    <x v="1"/>
    <x v="57"/>
    <x v="6"/>
    <x v="4"/>
    <s v="Regional Ceará"/>
    <s v="Capital Oeste Ceará"/>
    <s v="Tecnico de campo"/>
    <x v="5"/>
    <s v="INSTALADOR"/>
    <s v="ATIVIDADE NORMAL"/>
    <s v="COO"/>
    <s v="21026777372"/>
    <s v="04/09/2019"/>
    <s v="ANA CLAUDIA DE CASTRO DA SILVA"/>
    <s v="ALENCAR DE SOUZA SANTOS"/>
    <s v="JONILSON FELIPE VIEIRA"/>
    <x v="1"/>
    <x v="13"/>
    <x v="6"/>
    <s v="INSTALADOR I"/>
    <x v="1089"/>
    <x v="1089"/>
    <x v="14"/>
    <x v="4"/>
    <x v="1"/>
    <x v="0"/>
    <x v="1"/>
  </r>
  <r>
    <x v="1089"/>
    <n v="101001488"/>
    <s v="ATIVIDADE NORMAL"/>
    <s v="18/05/2019"/>
    <x v="1"/>
    <x v="2"/>
    <x v="18"/>
    <x v="2"/>
    <s v="Regional Ceará"/>
    <s v="Capital Sul Ceará"/>
    <s v="MultiSkill"/>
    <x v="0"/>
    <s v="TEC MULTIFUNCIONAL"/>
    <s v="ATIVIDADE NORMAL"/>
    <s v="GCL"/>
    <s v="21166242315"/>
    <s v="04/09/2019"/>
    <s v="MICHEL SOARES DE OLIVEIRA"/>
    <s v="ANTONIO ROBEVANIO PINHEIRO"/>
    <s v="JONILSON FELIPE VIEIRA"/>
    <x v="0"/>
    <x v="54"/>
    <x v="1"/>
    <s v="TECNICO MULTIFUNCIONAL"/>
    <x v="1090"/>
    <x v="1090"/>
    <x v="2"/>
    <x v="1"/>
    <x v="1"/>
    <x v="0"/>
    <x v="0"/>
  </r>
  <r>
    <x v="1090"/>
    <n v="101005241"/>
    <s v="ATIVIDADE NORMAL"/>
    <s v="02/01/2019"/>
    <x v="1"/>
    <x v="11"/>
    <x v="5"/>
    <x v="9"/>
    <s v="Regional Ceará"/>
    <s v="Juazeiro"/>
    <s v="MultiSkill"/>
    <x v="4"/>
    <s v="TEC MULTIFUNCIONAL"/>
    <s v="ATIVIDADE NORMAL"/>
    <s v="IAU"/>
    <s v="23430389372"/>
    <s v="04/09/2019"/>
    <s v="CLAUDECIR GOMES MACIEL"/>
    <s v="JEFFERSON OLIVEIRA DA SILVA"/>
    <s v="JONILSON FELIPE VIEIRA"/>
    <x v="0"/>
    <x v="5"/>
    <x v="2"/>
    <s v="TECNICO MULTIFUNCIONAL"/>
    <x v="1091"/>
    <x v="1091"/>
    <x v="6"/>
    <x v="2"/>
    <x v="1"/>
    <x v="0"/>
    <x v="0"/>
  </r>
  <r>
    <x v="1091"/>
    <n v="101004033"/>
    <s v="ATIVIDADE NORMAL"/>
    <s v="03/07/2019"/>
    <x v="1"/>
    <x v="57"/>
    <x v="10"/>
    <x v="4"/>
    <s v="Regional Ceará"/>
    <s v="Capital Oeste Ceará"/>
    <s v="MultiSkill"/>
    <x v="4"/>
    <s v="TEC MULTIFUNCIONAL"/>
    <s v="ATIVIDADE NORMAL"/>
    <s v="COO"/>
    <s v="23436760382"/>
    <s v="04/09/2019"/>
    <s v="HENRIQUE OLIVEIRA DO NASCIMENTO"/>
    <s v="ALENCAR DE SOUZA SANTOS"/>
    <s v="JONILSON FELIPE VIEIRA"/>
    <x v="0"/>
    <x v="63"/>
    <x v="2"/>
    <s v="TECNICO MULTIFUNCIONAL"/>
    <x v="1092"/>
    <x v="1092"/>
    <x v="52"/>
    <x v="4"/>
    <x v="1"/>
    <x v="0"/>
    <x v="0"/>
  </r>
  <r>
    <x v="1092"/>
    <n v="428271"/>
    <s v="ATIVIDADE NORMAL"/>
    <s v="10/04/2019"/>
    <x v="1"/>
    <x v="55"/>
    <x v="13"/>
    <x v="1"/>
    <s v="Regional Ceará"/>
    <s v="Capital Sul Ceará"/>
    <s v="Tecnico de campo"/>
    <x v="8"/>
    <s v="OP DG"/>
    <s v="ATIVIDADE NORMAL"/>
    <s v="GCS"/>
    <s v="23439440320"/>
    <s v="04/09/2019"/>
    <s v="SHEYLA MARIA CALIOPE DE MELO MOURA"/>
    <s v="JEFFERSON OLIVEIRA DA SILVA"/>
    <s v="JONILSON FELIPE VIEIRA"/>
    <x v="1"/>
    <x v="56"/>
    <x v="9"/>
    <s v="OPERADOR"/>
    <x v="1093"/>
    <x v="1093"/>
    <x v="47"/>
    <x v="2"/>
    <x v="1"/>
    <x v="0"/>
    <x v="1"/>
  </r>
  <r>
    <x v="1093"/>
    <n v="101009889"/>
    <s v="ATIVIDADE NORMAL"/>
    <s v="03/04/2019"/>
    <x v="1"/>
    <x v="32"/>
    <x v="7"/>
    <x v="2"/>
    <s v="Regional Ceará"/>
    <s v="Capital Sul Ceará"/>
    <s v="Tecnico de campo"/>
    <x v="1"/>
    <s v="LIDER DE OBRAS"/>
    <s v="ATIVIDADE NORMAL"/>
    <s v="GCL"/>
    <s v="23566639591"/>
    <s v="04/09/2019"/>
    <s v="ROBERTO CLAUDIO PAIVA CASTRO"/>
    <s v="CRISTIANO ADOLFO TORRES SAMPAIO"/>
    <s v="JESSE GONCALVES PASSOS DE LIMA"/>
    <x v="1"/>
    <x v="79"/>
    <x v="5"/>
    <s v="LIDER DE OBRAS"/>
    <x v="1094"/>
    <x v="1094"/>
    <x v="77"/>
    <x v="5"/>
    <x v="2"/>
    <x v="0"/>
    <x v="1"/>
  </r>
  <r>
    <x v="1094"/>
    <n v="109000926"/>
    <s v="ATIVIDADE NORMAL"/>
    <s v="12/05/2019"/>
    <x v="0"/>
    <x v="7"/>
    <x v="10"/>
    <x v="7"/>
    <s v="Regional Pernambuco"/>
    <s v="Recife"/>
    <s v="MultiSkill"/>
    <x v="4"/>
    <s v="TEC MULTIFUNCIONAL"/>
    <s v="ATIVIDADE NORMAL"/>
    <s v="LES"/>
    <s v="24385395420"/>
    <s v="04/09/2019"/>
    <s v="ANTONIO MAGNO DE CASTRO LEAO"/>
    <s v="BRUNO VINICIUS DE ALBERTINS ALVES"/>
    <s v="NIVALDO DE OLIVEIRA SOARES"/>
    <x v="0"/>
    <x v="45"/>
    <x v="2"/>
    <s v="TECNICO MULTIFUNCIONAL"/>
    <x v="1095"/>
    <x v="1095"/>
    <x v="41"/>
    <x v="9"/>
    <x v="0"/>
    <x v="0"/>
    <x v="0"/>
  </r>
  <r>
    <x v="1095"/>
    <n v="109000427"/>
    <s v="FERIAS NORMAIS"/>
    <s v="26/08/2019"/>
    <x v="0"/>
    <x v="46"/>
    <x v="2"/>
    <x v="11"/>
    <s v="Regional Pernambuco"/>
    <s v="Interior"/>
    <s v="Tecnico de campo"/>
    <x v="1"/>
    <s v="CABISTA I"/>
    <s v="FERIAS NORMAIS"/>
    <s v="ACV"/>
    <s v="24836478472"/>
    <s v="04/09/2019"/>
    <s v="HAMILTON DAVINO DA SILVA"/>
    <s v="MARCOS DE OLIVEIRA STEHLING"/>
    <s v="NIVALDO DE OLIVEIRA SOARES"/>
    <x v="1"/>
    <x v="6"/>
    <x v="3"/>
    <s v="CABISTA I"/>
    <x v="1096"/>
    <x v="1096"/>
    <x v="7"/>
    <x v="3"/>
    <x v="0"/>
    <x v="1"/>
    <x v="1"/>
  </r>
  <r>
    <x v="1096"/>
    <n v="101001488"/>
    <s v="ATIVIDADE NORMAL"/>
    <s v="05/06/2019"/>
    <x v="1"/>
    <x v="2"/>
    <x v="18"/>
    <x v="2"/>
    <s v="Regional Ceará"/>
    <s v="Capital Sul Ceará"/>
    <s v="MultiSkill"/>
    <x v="0"/>
    <s v="TEC MULTIFUNCIONAL"/>
    <s v="ATIVIDADE NORMAL"/>
    <s v="GCL"/>
    <s v="25687956387"/>
    <s v="04/09/2019"/>
    <s v="MICHEL SOARES DE OLIVEIRA"/>
    <s v="ANTONIO ROBEVANIO PINHEIRO"/>
    <s v="JONILSON FELIPE VIEIRA"/>
    <x v="0"/>
    <x v="54"/>
    <x v="1"/>
    <s v="TECNICO MULTIFUNCIONAL"/>
    <x v="1097"/>
    <x v="1097"/>
    <x v="2"/>
    <x v="1"/>
    <x v="1"/>
    <x v="0"/>
    <x v="0"/>
  </r>
  <r>
    <x v="1097"/>
    <n v="102101393"/>
    <s v="ATIVIDADE NORMAL"/>
    <s v="15/05/2019"/>
    <x v="3"/>
    <x v="45"/>
    <x v="6"/>
    <x v="21"/>
    <s v="Regional Pernambuco"/>
    <s v="Natal"/>
    <s v="Tecnico de campo"/>
    <x v="5"/>
    <s v="INSTALADOR TUP"/>
    <s v="ATIVIDADE NORMAL"/>
    <s v="NTS"/>
    <s v="26157942487"/>
    <s v="04/09/2019"/>
    <s v="SIDNEY MOURA FREIRE"/>
    <s v="REINILSON IGLESIAS JUNIOR"/>
    <s v="WENDELL FRANKLIN VIEIRA MAIA"/>
    <x v="0"/>
    <x v="23"/>
    <x v="6"/>
    <s v="INSTALADOR I"/>
    <x v="1098"/>
    <x v="1098"/>
    <x v="24"/>
    <x v="7"/>
    <x v="3"/>
    <x v="0"/>
    <x v="1"/>
  </r>
  <r>
    <x v="1098"/>
    <n v="101001782"/>
    <s v="FERIAS NORMAIS"/>
    <s v="02/09/2019"/>
    <x v="1"/>
    <x v="40"/>
    <x v="4"/>
    <x v="8"/>
    <s v="Regional Ceará"/>
    <s v="Quixadá"/>
    <s v="MultiSkill"/>
    <x v="3"/>
    <s v="TEC MULTIFUNCIONAL"/>
    <s v="FERIAS NORMAIS"/>
    <s v="QXA"/>
    <s v="26284185847"/>
    <s v="04/09/2019"/>
    <s v="LYNDON JONHSON SILVA LIMA"/>
    <s v="ALENCAR DE SOUZA SANTOS"/>
    <s v="JONILSON FELIPE VIEIRA"/>
    <x v="1"/>
    <x v="9"/>
    <x v="2"/>
    <s v="TECNICO MULTIFUNCIONAL"/>
    <x v="1099"/>
    <x v="1099"/>
    <x v="10"/>
    <x v="4"/>
    <x v="1"/>
    <x v="1"/>
    <x v="0"/>
  </r>
  <r>
    <x v="1099"/>
    <n v="101005241"/>
    <s v="ATIVIDADE NORMAL"/>
    <s v="01/08/2018"/>
    <x v="1"/>
    <x v="11"/>
    <x v="4"/>
    <x v="9"/>
    <s v="Regional Ceará"/>
    <s v="Juazeiro"/>
    <s v="MultiSkill"/>
    <x v="3"/>
    <s v="TEC MULTIFUNCIONAL"/>
    <s v="ATIVIDADE NORMAL"/>
    <s v="IAU"/>
    <s v="26487966819"/>
    <s v="04/09/2019"/>
    <s v="CLAUDECIR GOMES MACIEL"/>
    <s v="JEFFERSON OLIVEIRA DA SILVA"/>
    <s v="JONILSON FELIPE VIEIRA"/>
    <x v="0"/>
    <x v="5"/>
    <x v="2"/>
    <s v="TECNICO MULTIFUNCIONAL"/>
    <x v="1100"/>
    <x v="1100"/>
    <x v="6"/>
    <x v="2"/>
    <x v="1"/>
    <x v="0"/>
    <x v="0"/>
  </r>
  <r>
    <x v="1100"/>
    <n v="101005456"/>
    <s v="ATIVIDADE NORMAL"/>
    <s v="17/05/2019"/>
    <x v="1"/>
    <x v="26"/>
    <x v="2"/>
    <x v="15"/>
    <s v="Regional Ceará"/>
    <s v="Sobral"/>
    <s v="Tecnico de campo"/>
    <x v="1"/>
    <s v="CABISTA III"/>
    <s v="ATIVIDADE NORMAL"/>
    <s v="SOL"/>
    <s v="26638550306"/>
    <s v="04/09/2019"/>
    <s v="MARCOS ALBERTO DOS SANTOS"/>
    <s v="VANDERLEI HENZEL CHOLLET"/>
    <s v="JONILSON FELIPE VIEIRA"/>
    <x v="0"/>
    <x v="93"/>
    <x v="3"/>
    <s v="CABISTA III"/>
    <x v="1101"/>
    <x v="1101"/>
    <x v="62"/>
    <x v="8"/>
    <x v="1"/>
    <x v="0"/>
    <x v="1"/>
  </r>
  <r>
    <x v="1101"/>
    <n v="101005241"/>
    <s v="ATIVIDADE NORMAL"/>
    <s v="28/02/2019"/>
    <x v="1"/>
    <x v="31"/>
    <x v="6"/>
    <x v="5"/>
    <s v="Regional Ceará"/>
    <s v="Juazeiro"/>
    <s v="Tecnico de campo"/>
    <x v="5"/>
    <s v="TEC MULTIFUNCIONAL"/>
    <s v="ATIVIDADE NORMAL"/>
    <s v="JNE"/>
    <s v="27652092353"/>
    <s v="04/09/2019"/>
    <s v="CLAUDECIR GOMES MACIEL"/>
    <s v="JEFFERSON OLIVEIRA DA SILVA"/>
    <s v="JONILSON FELIPE VIEIRA"/>
    <x v="0"/>
    <x v="5"/>
    <x v="6"/>
    <s v="TECNICO MULTIFUNCIONAL"/>
    <x v="1102"/>
    <x v="1102"/>
    <x v="6"/>
    <x v="2"/>
    <x v="1"/>
    <x v="0"/>
    <x v="1"/>
  </r>
  <r>
    <x v="1102"/>
    <n v="428271"/>
    <s v="ATIVIDADE NORMAL"/>
    <s v="02/01/2019"/>
    <x v="1"/>
    <x v="12"/>
    <x v="10"/>
    <x v="1"/>
    <s v="Regional Ceará"/>
    <s v="Capital Sul Ceará"/>
    <s v="MultiSkill"/>
    <x v="4"/>
    <s v="TEC MULTIFUNCIONAL"/>
    <s v="ATIVIDADE NORMAL"/>
    <s v="GCS"/>
    <s v="27814599334"/>
    <s v="04/09/2019"/>
    <s v="SHEYLA MARIA CALIOPE DE MELO MOURA"/>
    <s v="JEFFERSON OLIVEIRA DA SILVA"/>
    <s v="JONILSON FELIPE VIEIRA"/>
    <x v="0"/>
    <x v="56"/>
    <x v="2"/>
    <s v="TECNICO MULTIFUNCIONAL"/>
    <x v="1103"/>
    <x v="1103"/>
    <x v="47"/>
    <x v="2"/>
    <x v="1"/>
    <x v="0"/>
    <x v="0"/>
  </r>
  <r>
    <x v="1103"/>
    <n v="109000017"/>
    <s v="ATIVIDADE NORMAL"/>
    <s v="06/03/2019"/>
    <x v="0"/>
    <x v="25"/>
    <x v="10"/>
    <x v="10"/>
    <s v="Regional Pernambuco"/>
    <s v="Recife"/>
    <s v="MultiSkill"/>
    <x v="4"/>
    <s v="TEC MULTIFUNCIONAL"/>
    <s v="ATIVIDADE NORMAL"/>
    <s v="PES"/>
    <s v="28971906472"/>
    <s v="04/09/2019"/>
    <s v="AMAURY ASSIS DE LIMA"/>
    <s v="DECIO FABIANO LOPES FERREIRA"/>
    <s v="NIVALDO DE OLIVEIRA SOARES"/>
    <x v="0"/>
    <x v="24"/>
    <x v="2"/>
    <s v="TECNICO MULTIFUNCIONAL"/>
    <x v="1104"/>
    <x v="1104"/>
    <x v="15"/>
    <x v="0"/>
    <x v="0"/>
    <x v="0"/>
    <x v="0"/>
  </r>
  <r>
    <x v="1104"/>
    <n v="101007665"/>
    <s v="ATIVIDADE NORMAL"/>
    <s v="31/07/2019"/>
    <x v="1"/>
    <x v="64"/>
    <x v="10"/>
    <x v="3"/>
    <s v="Regional Ceará"/>
    <s v="Capital Oeste Ceará"/>
    <s v="MultiSkill"/>
    <x v="4"/>
    <s v="TEC MULTIFUNCIONAL"/>
    <s v="ATIVIDADE NORMAL"/>
    <s v="CNO"/>
    <s v="29367243847"/>
    <s v="04/09/2019"/>
    <s v="CARLOS AUGUSTO ALVES DE SOUSA"/>
    <s v="ALENCAR DE SOUZA SANTOS"/>
    <s v="JONILSON FELIPE VIEIRA"/>
    <x v="0"/>
    <x v="33"/>
    <x v="2"/>
    <s v="TECNICO MULTIFUNCIONAL"/>
    <x v="1105"/>
    <x v="1105"/>
    <x v="45"/>
    <x v="4"/>
    <x v="1"/>
    <x v="0"/>
    <x v="0"/>
  </r>
  <r>
    <x v="1105"/>
    <n v="109500315"/>
    <s v="ATIVIDADE NORMAL"/>
    <s v="15/03/2019"/>
    <x v="0"/>
    <x v="60"/>
    <x v="6"/>
    <x v="14"/>
    <s v="Regional Pernambuco"/>
    <s v="Recife"/>
    <s v="Tecnico de campo"/>
    <x v="5"/>
    <s v="TEC MULTIFUNCIONAL"/>
    <s v="ATIVIDADE NORMAL"/>
    <s v="NOR"/>
    <s v="29785177866"/>
    <s v="04/09/2019"/>
    <s v="IVALDO BEZERRA NOVAIS"/>
    <s v="DECIO FABIANO LOPES FERREIRA"/>
    <s v="NIVALDO DE OLIVEIRA SOARES"/>
    <x v="0"/>
    <x v="47"/>
    <x v="6"/>
    <s v="TECNICO MULTIFUNCIONAL"/>
    <x v="1106"/>
    <x v="1106"/>
    <x v="42"/>
    <x v="0"/>
    <x v="0"/>
    <x v="0"/>
    <x v="1"/>
  </r>
  <r>
    <x v="1106"/>
    <n v="101005376"/>
    <s v="ATIVIDADE NORMAL"/>
    <s v="03/04/2019"/>
    <x v="1"/>
    <x v="12"/>
    <x v="2"/>
    <x v="1"/>
    <s v="Regional Ceará"/>
    <s v="Capital Sul Ceará"/>
    <s v="Tecnico de campo"/>
    <x v="1"/>
    <s v="LIDER DE OBRAS"/>
    <s v="ATIVIDADE NORMAL"/>
    <s v="GCS"/>
    <s v="30016126300"/>
    <s v="04/09/2019"/>
    <s v="JOSE VENILSON DA SILVA"/>
    <s v="VANDERLEI HENZEL CHOLLET"/>
    <s v="JONILSON FELIPE VIEIRA"/>
    <x v="0"/>
    <x v="94"/>
    <x v="13"/>
    <s v="LIDER DE OBRAS"/>
    <x v="1107"/>
    <x v="1107"/>
    <x v="72"/>
    <x v="8"/>
    <x v="1"/>
    <x v="0"/>
    <x v="1"/>
  </r>
  <r>
    <x v="1107"/>
    <n v="101008003"/>
    <s v="ATIVIDADE NORMAL"/>
    <s v="19/12/2018"/>
    <x v="1"/>
    <x v="3"/>
    <x v="18"/>
    <x v="3"/>
    <s v="Regional Ceará"/>
    <s v="Capital Oeste Ceará"/>
    <s v="Tecnico de campo"/>
    <x v="0"/>
    <s v="TEC MULTIFUNCIONAL"/>
    <s v="ATIVIDADE NORMAL"/>
    <s v="CNO"/>
    <s v="30317568353"/>
    <s v="04/09/2019"/>
    <s v="NILO WEBER RAMOS RIBEIRO"/>
    <s v="ANTONIO ROBEVANIO PINHEIRO"/>
    <s v="JONILSON FELIPE VIEIRA"/>
    <x v="0"/>
    <x v="54"/>
    <x v="1"/>
    <s v="TECNICO MULTIFUNCIONAL"/>
    <x v="1108"/>
    <x v="1108"/>
    <x v="3"/>
    <x v="1"/>
    <x v="1"/>
    <x v="0"/>
    <x v="0"/>
  </r>
  <r>
    <x v="1108"/>
    <n v="109000427"/>
    <s v="ATIVIDADE NORMAL"/>
    <s v="29/11/2018"/>
    <x v="0"/>
    <x v="21"/>
    <x v="2"/>
    <x v="17"/>
    <s v="Regional Pernambuco"/>
    <s v="Interior"/>
    <s v="Tecnico de campo"/>
    <x v="1"/>
    <s v="CABISTA I"/>
    <s v="ATIVIDADE NORMAL"/>
    <s v="GUS"/>
    <s v="31726741850"/>
    <s v="04/09/2019"/>
    <s v="HAMILTON DAVINO DA SILVA"/>
    <s v="MARCOS DE OLIVEIRA STEHLING"/>
    <s v="NIVALDO DE OLIVEIRA SOARES"/>
    <x v="0"/>
    <x v="6"/>
    <x v="3"/>
    <s v="CABISTA I"/>
    <x v="1109"/>
    <x v="1109"/>
    <x v="7"/>
    <x v="3"/>
    <x v="0"/>
    <x v="0"/>
    <x v="1"/>
  </r>
  <r>
    <x v="1109"/>
    <n v="109000340"/>
    <s v="ATIVIDADE NORMAL"/>
    <s v="11/06/2019"/>
    <x v="0"/>
    <x v="0"/>
    <x v="2"/>
    <x v="0"/>
    <s v="Regional Pernambuco"/>
    <s v="Interior"/>
    <s v="Tecnico de campo"/>
    <x v="1"/>
    <s v="INSTALADOR"/>
    <s v="ATIVIDADE NORMAL"/>
    <s v="CRU"/>
    <s v="31836183895"/>
    <s v="04/09/2019"/>
    <s v="AILTON JOSE DOS SANTOS"/>
    <s v="DECIO FABIANO LOPES FERREIRA"/>
    <s v="NIVALDO DE OLIVEIRA SOARES"/>
    <x v="0"/>
    <x v="21"/>
    <x v="7"/>
    <s v="INSTALADOR I"/>
    <x v="1110"/>
    <x v="1110"/>
    <x v="22"/>
    <x v="0"/>
    <x v="0"/>
    <x v="0"/>
    <x v="1"/>
  </r>
  <r>
    <x v="1110"/>
    <n v="101008134"/>
    <s v="ATIVIDADE NORMAL"/>
    <s v="03/04/2019"/>
    <x v="1"/>
    <x v="55"/>
    <x v="11"/>
    <x v="1"/>
    <s v="Regional Ceará"/>
    <s v="Capital Sul Ceará"/>
    <s v="Tecnico de campo"/>
    <x v="1"/>
    <s v="CABISTA II"/>
    <s v="ATIVIDADE NORMAL"/>
    <s v="GCS"/>
    <s v="32033680304"/>
    <s v="04/09/2019"/>
    <s v="BRUNO SAVIO DA SILVA"/>
    <s v="ANTONIO ROBEVANIO PINHEIRO"/>
    <s v="JONILSON FELIPE VIEIRA"/>
    <x v="1"/>
    <x v="53"/>
    <x v="7"/>
    <s v="CABISTA II"/>
    <x v="1111"/>
    <x v="1111"/>
    <x v="5"/>
    <x v="1"/>
    <x v="1"/>
    <x v="0"/>
    <x v="1"/>
  </r>
  <r>
    <x v="1111"/>
    <n v="109000017"/>
    <s v="ATIVIDADE NORMAL"/>
    <s v="06/03/2019"/>
    <x v="0"/>
    <x v="13"/>
    <x v="2"/>
    <x v="10"/>
    <s v="Regional Pernambuco"/>
    <s v="Recife"/>
    <s v="Tecnico de campo"/>
    <x v="1"/>
    <s v="CABISTA I"/>
    <s v="ATIVIDADE NORMAL"/>
    <s v="PES"/>
    <s v="33282048491"/>
    <s v="04/09/2019"/>
    <s v="AMAURY ASSIS DE LIMA"/>
    <s v="DECIO FABIANO LOPES FERREIRA"/>
    <s v="NIVALDO DE OLIVEIRA SOARES"/>
    <x v="0"/>
    <x v="14"/>
    <x v="10"/>
    <s v="CABISTA I"/>
    <x v="1112"/>
    <x v="1112"/>
    <x v="15"/>
    <x v="0"/>
    <x v="0"/>
    <x v="0"/>
    <x v="1"/>
  </r>
  <r>
    <x v="1112"/>
    <n v="109504223"/>
    <s v="FERIAS NORMAIS"/>
    <s v="19/08/2019"/>
    <x v="0"/>
    <x v="35"/>
    <x v="2"/>
    <x v="14"/>
    <s v="Regional Pernambuco"/>
    <s v="Recife"/>
    <s v="Tecnico de campo"/>
    <x v="1"/>
    <s v="LIDER DE OBRAS"/>
    <s v="FERIAS NORMAIS"/>
    <s v="NOR"/>
    <s v="34380710459"/>
    <s v="04/09/2019"/>
    <s v="ADENILTON CORREIA DA CRUZ"/>
    <s v="MARCOS DE OLIVEIRA STEHLING"/>
    <s v="NIVALDO DE OLIVEIRA SOARES"/>
    <x v="1"/>
    <x v="18"/>
    <x v="3"/>
    <s v="LIDER DE OBRAS"/>
    <x v="1113"/>
    <x v="1113"/>
    <x v="69"/>
    <x v="3"/>
    <x v="0"/>
    <x v="1"/>
    <x v="1"/>
  </r>
  <r>
    <x v="1113"/>
    <n v="101005241"/>
    <s v="ATIVIDADE NORMAL"/>
    <s v="31/07/2019"/>
    <x v="1"/>
    <x v="31"/>
    <x v="6"/>
    <x v="5"/>
    <s v="Regional Ceará"/>
    <s v="Juazeiro"/>
    <s v="Tecnico de campo"/>
    <x v="5"/>
    <s v="TEC MULTIFUNCIONAL"/>
    <s v="ATIVIDADE NORMAL"/>
    <s v="JNE"/>
    <s v="34715614391"/>
    <s v="04/09/2019"/>
    <s v="CLAUDECIR GOMES MACIEL"/>
    <s v="JEFFERSON OLIVEIRA DA SILVA"/>
    <s v="JONILSON FELIPE VIEIRA"/>
    <x v="1"/>
    <x v="5"/>
    <x v="6"/>
    <s v="TECNICO MULTIFUNCIONAL"/>
    <x v="1114"/>
    <x v="1114"/>
    <x v="6"/>
    <x v="2"/>
    <x v="1"/>
    <x v="0"/>
    <x v="1"/>
  </r>
  <r>
    <x v="1114"/>
    <n v="109000926"/>
    <s v="FERIAS NORMAIS"/>
    <s v="02/09/2019"/>
    <x v="0"/>
    <x v="65"/>
    <x v="10"/>
    <x v="7"/>
    <s v="Regional Pernambuco"/>
    <s v="Recife"/>
    <s v="MultiSkill"/>
    <x v="4"/>
    <s v="TEC MULTIFUNCIONAL"/>
    <s v="FERIAS NORMAIS"/>
    <s v="LES"/>
    <s v="35118245400"/>
    <s v="04/09/2019"/>
    <s v="ANTONIO MAGNO DE CASTRO LEAO"/>
    <s v="BRUNO VINICIUS DE ALBERTINS ALVES"/>
    <s v="NIVALDO DE OLIVEIRA SOARES"/>
    <x v="1"/>
    <x v="45"/>
    <x v="2"/>
    <s v="TECNICO MULTIFUNCIONAL"/>
    <x v="1115"/>
    <x v="1115"/>
    <x v="41"/>
    <x v="9"/>
    <x v="0"/>
    <x v="1"/>
    <x v="0"/>
  </r>
  <r>
    <x v="1115"/>
    <n v="109506172"/>
    <s v="ATIVIDADE NORMAL"/>
    <s v="14/04/2019"/>
    <x v="0"/>
    <x v="30"/>
    <x v="10"/>
    <x v="13"/>
    <s v="Regional Pernambuco"/>
    <s v="Recife"/>
    <s v="MultiSkill"/>
    <x v="4"/>
    <s v="TEC MULTIFUNCIONAL"/>
    <s v="ATIVIDADE NORMAL"/>
    <s v="OES"/>
    <s v="35262982468"/>
    <s v="04/09/2019"/>
    <s v="MARCUS VINICIUS NEVES DE BRITO"/>
    <s v="DECIO FABIANO LOPES FERREIRA"/>
    <s v="NIVALDO DE OLIVEIRA SOARES"/>
    <x v="0"/>
    <x v="64"/>
    <x v="2"/>
    <s v="TECNICO MULTIFUNCIONAL"/>
    <x v="1116"/>
    <x v="1116"/>
    <x v="54"/>
    <x v="0"/>
    <x v="0"/>
    <x v="0"/>
    <x v="0"/>
  </r>
  <r>
    <x v="1116"/>
    <n v="109505858"/>
    <s v="ATIVIDADE NORMAL"/>
    <s v="06/02/2019"/>
    <x v="0"/>
    <x v="6"/>
    <x v="6"/>
    <x v="6"/>
    <s v="Regional Pernambuco"/>
    <s v="Interior"/>
    <s v="Tecnico de campo"/>
    <x v="5"/>
    <s v="INSTALADOR"/>
    <s v="ATIVIDADE NORMAL"/>
    <s v="PTA"/>
    <s v="35345551472"/>
    <s v="04/09/2019"/>
    <s v="THIAGO DE LIMA PIRES RODRIGUES"/>
    <s v="DECIO FABIANO LOPES FERREIRA"/>
    <s v="NIVALDO DE OLIVEIRA SOARES"/>
    <x v="0"/>
    <x v="11"/>
    <x v="6"/>
    <s v="INSTALADOR I"/>
    <x v="1117"/>
    <x v="1117"/>
    <x v="12"/>
    <x v="0"/>
    <x v="0"/>
    <x v="0"/>
    <x v="1"/>
  </r>
  <r>
    <x v="1117"/>
    <n v="101008003"/>
    <s v="ATIVIDADE NORMAL"/>
    <s v="19/12/2018"/>
    <x v="1"/>
    <x v="4"/>
    <x v="0"/>
    <x v="4"/>
    <s v="Regional Ceará"/>
    <s v="Capital Oeste Ceará"/>
    <s v="Tecnico de campo"/>
    <x v="0"/>
    <s v="TEC MULTIFUNCIONAL"/>
    <s v="ATIVIDADE NORMAL"/>
    <s v="COO"/>
    <s v="35566477372"/>
    <s v="04/09/2019"/>
    <s v="NILO WEBER RAMOS RIBEIRO"/>
    <s v="ANTONIO ROBEVANIO PINHEIRO"/>
    <s v="JONILSON FELIPE VIEIRA"/>
    <x v="0"/>
    <x v="54"/>
    <x v="1"/>
    <s v="TECNICO MULTIFUNCIONAL"/>
    <x v="1118"/>
    <x v="1118"/>
    <x v="3"/>
    <x v="1"/>
    <x v="1"/>
    <x v="0"/>
    <x v="0"/>
  </r>
  <r>
    <x v="1118"/>
    <n v="101004033"/>
    <s v="ATIVIDADE NORMAL"/>
    <s v="05/06/2019"/>
    <x v="1"/>
    <x v="57"/>
    <x v="10"/>
    <x v="4"/>
    <s v="Regional Ceará"/>
    <s v="Capital Oeste Ceará"/>
    <s v="MultiSkill"/>
    <x v="4"/>
    <s v="TEC MULTIFUNCIONAL"/>
    <s v="ATIVIDADE NORMAL"/>
    <s v="COO"/>
    <s v="35745908300"/>
    <s v="04/09/2019"/>
    <s v="HENRIQUE OLIVEIRA DO NASCIMENTO"/>
    <s v="ALENCAR DE SOUZA SANTOS"/>
    <s v="JONILSON FELIPE VIEIRA"/>
    <x v="0"/>
    <x v="63"/>
    <x v="2"/>
    <s v="TECNICO MULTIFUNCIONAL"/>
    <x v="1119"/>
    <x v="1119"/>
    <x v="52"/>
    <x v="4"/>
    <x v="1"/>
    <x v="0"/>
    <x v="0"/>
  </r>
  <r>
    <x v="1119"/>
    <n v="101007665"/>
    <s v="ATIVIDADE NORMAL"/>
    <s v="06/02/2019"/>
    <x v="1"/>
    <x v="48"/>
    <x v="5"/>
    <x v="3"/>
    <s v="Regional Ceará"/>
    <s v="Capital Oeste Ceará"/>
    <s v="MultiSkill"/>
    <x v="4"/>
    <s v="TEC MULTIFUNCIONAL"/>
    <s v="ATIVIDADE NORMAL"/>
    <s v="CNO"/>
    <s v="35898968334"/>
    <s v="04/09/2019"/>
    <s v="CARLOS AUGUSTO ALVES DE SOUSA"/>
    <s v="ALENCAR DE SOUZA SANTOS"/>
    <s v="JONILSON FELIPE VIEIRA"/>
    <x v="0"/>
    <x v="33"/>
    <x v="2"/>
    <s v="TECNICO MULTIFUNCIONAL"/>
    <x v="1120"/>
    <x v="1120"/>
    <x v="45"/>
    <x v="4"/>
    <x v="1"/>
    <x v="0"/>
    <x v="0"/>
  </r>
  <r>
    <x v="1120"/>
    <n v="109000017"/>
    <s v="ATIVIDADE NORMAL"/>
    <s v="03/07/2019"/>
    <x v="0"/>
    <x v="25"/>
    <x v="10"/>
    <x v="10"/>
    <s v="Regional Pernambuco"/>
    <s v="Recife"/>
    <s v="MultiSkill"/>
    <x v="4"/>
    <s v="TEC MULTIFUNCIONAL"/>
    <s v="ATIVIDADE NORMAL"/>
    <s v="PES"/>
    <s v="36457930468"/>
    <s v="04/09/2019"/>
    <s v="AMAURY ASSIS DE LIMA"/>
    <s v="DECIO FABIANO LOPES FERREIRA"/>
    <s v="NIVALDO DE OLIVEIRA SOARES"/>
    <x v="0"/>
    <x v="70"/>
    <x v="2"/>
    <s v="TECNICO MULTIFUNCIONAL"/>
    <x v="1121"/>
    <x v="1121"/>
    <x v="15"/>
    <x v="0"/>
    <x v="0"/>
    <x v="0"/>
    <x v="0"/>
  </r>
  <r>
    <x v="1121"/>
    <n v="101008134"/>
    <s v="ATIVIDADE NORMAL"/>
    <s v="03/07/2019"/>
    <x v="1"/>
    <x v="70"/>
    <x v="10"/>
    <x v="1"/>
    <s v="Regional Ceará"/>
    <s v="Capital Sul Ceará"/>
    <s v="MultiSkill"/>
    <x v="4"/>
    <s v="TEC MULTIFUNCIONAL"/>
    <s v="ATIVIDADE NORMAL"/>
    <s v="GCS"/>
    <s v="38462966353"/>
    <s v="04/09/2019"/>
    <s v="BRUNO SAVIO DA SILVA"/>
    <s v="ANTONIO ROBEVANIO PINHEIRO"/>
    <s v="JONILSON FELIPE VIEIRA"/>
    <x v="0"/>
    <x v="53"/>
    <x v="2"/>
    <s v="TECNICO MULTIFUNCIONAL"/>
    <x v="1122"/>
    <x v="1122"/>
    <x v="5"/>
    <x v="1"/>
    <x v="1"/>
    <x v="0"/>
    <x v="0"/>
  </r>
  <r>
    <x v="1122"/>
    <n v="101006811"/>
    <s v="ATIVIDADE NORMAL"/>
    <s v="06/02/2019"/>
    <x v="1"/>
    <x v="43"/>
    <x v="14"/>
    <x v="8"/>
    <s v="Regional Ceará"/>
    <s v="Quixadá"/>
    <s v="MultiSkill"/>
    <x v="4"/>
    <s v="TEC MULTIFUNCIONAL"/>
    <s v="ATIVIDADE NORMAL"/>
    <s v="QXA"/>
    <s v="38993120315"/>
    <s v="04/09/2019"/>
    <s v="CARLOS FERNANDES GUIMARAES"/>
    <s v="ALENCAR DE SOUZA SANTOS"/>
    <s v="JONILSON FELIPE VIEIRA"/>
    <x v="0"/>
    <x v="44"/>
    <x v="2"/>
    <s v="TECNICO MULTIFUNCIONAL"/>
    <x v="1123"/>
    <x v="1123"/>
    <x v="40"/>
    <x v="4"/>
    <x v="1"/>
    <x v="0"/>
    <x v="0"/>
  </r>
  <r>
    <x v="1123"/>
    <n v="105000986"/>
    <s v="FERIAS NORMAIS"/>
    <s v="02/09/2019"/>
    <x v="2"/>
    <x v="20"/>
    <x v="10"/>
    <x v="16"/>
    <s v="Regional Pernambuco"/>
    <s v="João Pessoa"/>
    <s v="MultiSkill"/>
    <x v="4"/>
    <s v="TEC MULTIFUNCIONAL"/>
    <s v="FERIAS NORMAIS"/>
    <s v="CGE"/>
    <s v="39156590881"/>
    <s v="04/09/2019"/>
    <s v="JOSILENE MACENA DE OLIVEIRA"/>
    <s v="WENDELL FRANKLIN VIEIRA MAIA"/>
    <s v="WENDELL FRANKLIN VIEIRA MAIA"/>
    <x v="1"/>
    <x v="20"/>
    <x v="2"/>
    <s v="TECNICO MULTIFUNCIONAL"/>
    <x v="1124"/>
    <x v="1124"/>
    <x v="21"/>
    <x v="6"/>
    <x v="3"/>
    <x v="1"/>
    <x v="0"/>
  </r>
  <r>
    <x v="1124"/>
    <n v="109000499"/>
    <s v="ATIVIDADE NORMAL"/>
    <s v="24/04/2019"/>
    <x v="0"/>
    <x v="44"/>
    <x v="13"/>
    <x v="7"/>
    <s v="Regional Pernambuco"/>
    <s v="Recife"/>
    <s v="Tecnico de campo"/>
    <x v="8"/>
    <s v="OP DG"/>
    <s v="ATIVIDADE NORMAL"/>
    <s v="LES"/>
    <s v="41550935453"/>
    <s v="04/09/2019"/>
    <s v="ALTAIR LUIZ DO NASCIMENTO"/>
    <s v="DECIO FABIANO LOPES FERREIRA"/>
    <s v="NIVALDO DE OLIVEIRA SOARES"/>
    <x v="0"/>
    <x v="42"/>
    <x v="9"/>
    <s v="OPERADOR"/>
    <x v="1125"/>
    <x v="1125"/>
    <x v="38"/>
    <x v="0"/>
    <x v="0"/>
    <x v="0"/>
    <x v="1"/>
  </r>
  <r>
    <x v="1125"/>
    <n v="109000926"/>
    <s v="FERIAS NORMAIS"/>
    <s v="19/08/2019"/>
    <x v="0"/>
    <x v="7"/>
    <x v="10"/>
    <x v="7"/>
    <s v="Regional Pernambuco"/>
    <s v="Recife"/>
    <s v="MultiSkill"/>
    <x v="4"/>
    <s v="TEC MULTIFUNCIONAL"/>
    <s v="FERIAS NORMAIS"/>
    <s v="LES"/>
    <s v="41707168415"/>
    <s v="04/09/2019"/>
    <s v="ANTONIO MAGNO DE CASTRO LEAO"/>
    <s v="BRUNO VINICIUS DE ALBERTINS ALVES"/>
    <s v="NIVALDO DE OLIVEIRA SOARES"/>
    <x v="1"/>
    <x v="45"/>
    <x v="2"/>
    <s v="TECNICO MULTIFUNCIONAL"/>
    <x v="1126"/>
    <x v="1126"/>
    <x v="41"/>
    <x v="9"/>
    <x v="0"/>
    <x v="1"/>
    <x v="0"/>
  </r>
  <r>
    <x v="1126"/>
    <n v="101010062"/>
    <s v="FERIAS NORMAIS"/>
    <s v="02/09/2019"/>
    <x v="1"/>
    <x v="26"/>
    <x v="6"/>
    <x v="15"/>
    <s v="Regional Ceará"/>
    <s v="Sobral"/>
    <s v="Tecnico de campo"/>
    <x v="5"/>
    <s v="INSTALADOR TUP"/>
    <s v="FERIAS NORMAIS"/>
    <s v="SOL"/>
    <s v="41763361888"/>
    <s v="04/09/2019"/>
    <s v="ANTONIO ERINEUDES CAVALCANTE FEIJAO"/>
    <s v="JEFFERSON OLIVEIRA DA SILVA"/>
    <s v="JONILSON FELIPE VIEIRA"/>
    <x v="1"/>
    <x v="26"/>
    <x v="6"/>
    <s v="INSTALADOR I"/>
    <x v="1127"/>
    <x v="1127"/>
    <x v="26"/>
    <x v="2"/>
    <x v="1"/>
    <x v="1"/>
    <x v="1"/>
  </r>
  <r>
    <x v="1127"/>
    <n v="109505858"/>
    <s v="ATIVIDADE NORMAL"/>
    <s v="31/07/2019"/>
    <x v="0"/>
    <x v="14"/>
    <x v="10"/>
    <x v="11"/>
    <s v="Regional Pernambuco"/>
    <s v="Interior"/>
    <s v="MultiSkill"/>
    <x v="4"/>
    <s v="TEC MULTIFUNCIONAL"/>
    <s v="ATIVIDADE NORMAL"/>
    <s v="ACV"/>
    <s v="41869710487"/>
    <s v="04/09/2019"/>
    <s v="THIAGO DE LIMA PIRES RODRIGUES"/>
    <s v="DECIO FABIANO LOPES FERREIRA"/>
    <s v="NIVALDO DE OLIVEIRA SOARES"/>
    <x v="0"/>
    <x v="11"/>
    <x v="2"/>
    <s v="TECNICO MULTIFUNCIONAL"/>
    <x v="1128"/>
    <x v="1128"/>
    <x v="12"/>
    <x v="0"/>
    <x v="0"/>
    <x v="0"/>
    <x v="0"/>
  </r>
  <r>
    <x v="1128"/>
    <n v="428271"/>
    <s v="ATIVIDADE NORMAL"/>
    <s v="31/07/2019"/>
    <x v="1"/>
    <x v="55"/>
    <x v="8"/>
    <x v="1"/>
    <s v="Regional Ceará"/>
    <s v="Capital Sul Ceará"/>
    <s v="Tecnico de campo"/>
    <x v="6"/>
    <s v="CABISTA I"/>
    <s v="ATIVIDADE NORMAL"/>
    <s v="GCS"/>
    <s v="41961826828"/>
    <s v="04/09/2019"/>
    <s v="SHEYLA MARIA CALIOPE DE MELO MOURA"/>
    <s v="JEFFERSON OLIVEIRA DA SILVA"/>
    <s v="JONILSON FELIPE VIEIRA"/>
    <x v="0"/>
    <x v="56"/>
    <x v="7"/>
    <s v="CABISTA I"/>
    <x v="1129"/>
    <x v="1129"/>
    <x v="47"/>
    <x v="2"/>
    <x v="1"/>
    <x v="0"/>
    <x v="1"/>
  </r>
  <r>
    <x v="1129"/>
    <n v="109506032"/>
    <s v="ATIVIDADE NORMAL"/>
    <s v="31/07/2019"/>
    <x v="0"/>
    <x v="49"/>
    <x v="10"/>
    <x v="13"/>
    <s v="Regional Pernambuco"/>
    <s v="Recife"/>
    <s v="MultiSkill"/>
    <x v="4"/>
    <s v="TEC MULTIFUNCIONAL"/>
    <s v="ATIVIDADE NORMAL"/>
    <s v="OES"/>
    <s v="42833639449"/>
    <s v="04/09/2019"/>
    <s v="CARLOS REIS GONZAGA"/>
    <s v="DECIO FABIANO LOPES FERREIRA"/>
    <s v="NIVALDO DE OLIVEIRA SOARES"/>
    <x v="0"/>
    <x v="16"/>
    <x v="2"/>
    <s v="TECNICO MULTIFUNCIONAL"/>
    <x v="1130"/>
    <x v="1130"/>
    <x v="17"/>
    <x v="0"/>
    <x v="0"/>
    <x v="0"/>
    <x v="0"/>
  </r>
  <r>
    <x v="1130"/>
    <n v="109505049"/>
    <s v="ATIVIDADE NORMAL"/>
    <s v="06/03/2019"/>
    <x v="0"/>
    <x v="52"/>
    <x v="0"/>
    <x v="7"/>
    <s v="Regional Pernambuco"/>
    <s v="Recife"/>
    <s v="MultiSkill"/>
    <x v="0"/>
    <s v="TEC MULTIFUNCIONAL"/>
    <s v="ATIVIDADE NORMAL"/>
    <s v="LES"/>
    <s v="08571270473"/>
    <s v="04/09/2019"/>
    <s v="RAMSES DE ANDRADE MACHADO RODRIGUES LAVRA"/>
    <s v="BRUNO VINICIUS DE ALBERTINS ALVES"/>
    <s v="NIVALDO DE OLIVEIRA SOARES"/>
    <x v="0"/>
    <x v="57"/>
    <x v="1"/>
    <s v="TECNICO MULTIFUNCIONAL"/>
    <x v="1131"/>
    <x v="1131"/>
    <x v="48"/>
    <x v="9"/>
    <x v="0"/>
    <x v="0"/>
    <x v="0"/>
  </r>
  <r>
    <x v="1131"/>
    <n v="109505819"/>
    <s v="ATIVIDADE NORMAL"/>
    <s v="08/05/2019"/>
    <x v="0"/>
    <x v="39"/>
    <x v="12"/>
    <x v="13"/>
    <s v="Regional Pernambuco"/>
    <s v="Recife"/>
    <s v="Tecnico de campo"/>
    <x v="6"/>
    <s v="CABISTA III"/>
    <s v="ATIVIDADE NORMAL"/>
    <s v="OES"/>
    <s v="52248356404"/>
    <s v="04/09/2019"/>
    <s v="ALESSANDRO DIONISIO DE FRANCA"/>
    <s v="DECIO FABIANO LOPES FERREIRA"/>
    <s v="NIVALDO DE OLIVEIRA SOARES"/>
    <x v="0"/>
    <x v="16"/>
    <x v="7"/>
    <s v="CABISTA III"/>
    <x v="1132"/>
    <x v="1132"/>
    <x v="37"/>
    <x v="0"/>
    <x v="0"/>
    <x v="0"/>
    <x v="1"/>
  </r>
  <r>
    <x v="1132"/>
    <n v="109505049"/>
    <s v="ATIVIDADE NORMAL"/>
    <s v="06/02/2019"/>
    <x v="0"/>
    <x v="52"/>
    <x v="0"/>
    <x v="7"/>
    <s v="Regional Pernambuco"/>
    <s v="Recife"/>
    <s v="MultiSkill"/>
    <x v="0"/>
    <s v="TEC MULTIFUNCIONAL"/>
    <s v="ATIVIDADE NORMAL"/>
    <s v="LES"/>
    <s v="03849472477"/>
    <s v="04/09/2019"/>
    <s v="RAMSES DE ANDRADE MACHADO RODRIGUES LAVRA"/>
    <s v="BRUNO VINICIUS DE ALBERTINS ALVES"/>
    <s v="NIVALDO DE OLIVEIRA SOARES"/>
    <x v="0"/>
    <x v="57"/>
    <x v="1"/>
    <s v="TECNICO MULTIFUNCIONAL"/>
    <x v="1133"/>
    <x v="1133"/>
    <x v="48"/>
    <x v="9"/>
    <x v="0"/>
    <x v="0"/>
    <x v="0"/>
  </r>
  <r>
    <x v="1133"/>
    <n v="109000943"/>
    <s v="AFAST DOENCA MAIS DE 15 DIAS"/>
    <s v="30/03/2019"/>
    <x v="0"/>
    <x v="60"/>
    <x v="10"/>
    <x v="14"/>
    <s v="Regional Pernambuco"/>
    <s v="Recife"/>
    <s v="MultiSkill"/>
    <x v="4"/>
    <s v="TEC MULTIFUNCIONAL"/>
    <s v="AFAST DOENCA MAIS DE 15 DIAS"/>
    <s v="NOR"/>
    <s v="26743604453"/>
    <s v="04/09/2019"/>
    <s v="MAURO BRAGA RANGEL"/>
    <s v="BRUNO VINICIUS DE ALBERTINS ALVES"/>
    <s v="NIVALDO DE OLIVEIRA SOARES"/>
    <x v="1"/>
    <x v="38"/>
    <x v="2"/>
    <s v="TECNICO MULTIFUNCIONAL"/>
    <x v="1134"/>
    <x v="1134"/>
    <x v="56"/>
    <x v="9"/>
    <x v="0"/>
    <x v="2"/>
    <x v="0"/>
  </r>
  <r>
    <x v="1134"/>
    <n v="109506174"/>
    <s v="FERIAS NORMAIS"/>
    <s v="26/08/2019"/>
    <x v="0"/>
    <x v="50"/>
    <x v="12"/>
    <x v="17"/>
    <s v="Regional Pernambuco"/>
    <s v="Interior"/>
    <s v="Tecnico de campo"/>
    <x v="6"/>
    <s v="CABISTA II"/>
    <s v="FERIAS NORMAIS"/>
    <s v="GUS"/>
    <s v="66661960400"/>
    <s v="04/09/2019"/>
    <s v="ALYSSON HENRIQUE FERREIRA DE LUCENA"/>
    <s v="DECIO FABIANO LOPES FERREIRA"/>
    <s v="NIVALDO DE OLIVEIRA SOARES"/>
    <x v="1"/>
    <x v="21"/>
    <x v="7"/>
    <s v="CABISTA II"/>
    <x v="1135"/>
    <x v="1135"/>
    <x v="55"/>
    <x v="0"/>
    <x v="0"/>
    <x v="1"/>
    <x v="1"/>
  </r>
  <r>
    <x v="1135"/>
    <n v="109504534"/>
    <s v="ATIVIDADE NORMAL"/>
    <s v="03/07/2019"/>
    <x v="0"/>
    <x v="49"/>
    <x v="2"/>
    <x v="13"/>
    <s v="Regional Pernambuco"/>
    <s v="Recife"/>
    <s v="Tecnico de campo"/>
    <x v="1"/>
    <s v="CABISTA I"/>
    <s v="ATIVIDADE NORMAL"/>
    <s v="OES"/>
    <s v="67059520406"/>
    <s v="04/09/2019"/>
    <s v="EDSON CARLOS BARBOSA JUNIOR"/>
    <s v="MARCOS DE OLIVEIRA STEHLING"/>
    <s v="NIVALDO DE OLIVEIRA SOARES"/>
    <x v="0"/>
    <x v="7"/>
    <x v="3"/>
    <s v="CABISTA I"/>
    <x v="1136"/>
    <x v="1136"/>
    <x v="8"/>
    <x v="3"/>
    <x v="0"/>
    <x v="0"/>
    <x v="1"/>
  </r>
  <r>
    <x v="1136"/>
    <n v="109000499"/>
    <s v="ATIVIDADE NORMAL"/>
    <s v="01/05/2019"/>
    <x v="0"/>
    <x v="25"/>
    <x v="13"/>
    <x v="10"/>
    <s v="Regional Pernambuco"/>
    <s v="Recife"/>
    <s v="Tecnico de campo"/>
    <x v="8"/>
    <s v="OP DG"/>
    <s v="ATIVIDADE NORMAL"/>
    <s v="PES"/>
    <s v="43179410400"/>
    <s v="04/09/2019"/>
    <s v="ALTAIR LUIZ DO NASCIMENTO"/>
    <s v="DECIO FABIANO LOPES FERREIRA"/>
    <s v="NIVALDO DE OLIVEIRA SOARES"/>
    <x v="0"/>
    <x v="42"/>
    <x v="9"/>
    <s v="OPERADOR"/>
    <x v="1137"/>
    <x v="1137"/>
    <x v="38"/>
    <x v="0"/>
    <x v="0"/>
    <x v="0"/>
    <x v="1"/>
  </r>
  <r>
    <x v="1137"/>
    <n v="101010209"/>
    <s v="ATIVIDADE NORMAL"/>
    <s v="20/02/2019"/>
    <x v="1"/>
    <x v="10"/>
    <x v="2"/>
    <x v="4"/>
    <s v="Regional Ceará"/>
    <s v="Capital Oeste Ceará"/>
    <s v="Equipe SWAT"/>
    <x v="1"/>
    <s v="CABISTA I"/>
    <s v="ATIVIDADE NORMAL"/>
    <s v="COO"/>
    <s v="43358985334"/>
    <s v="04/09/2019"/>
    <s v="KARLYSSON FRANCO SANTANA DE SOUSA"/>
    <s v="ALENCAR DE SOUZA SANTOS"/>
    <s v="JONILSON FELIPE VIEIRA"/>
    <x v="0"/>
    <x v="10"/>
    <x v="10"/>
    <s v="CABISTA I"/>
    <x v="1138"/>
    <x v="1138"/>
    <x v="11"/>
    <x v="4"/>
    <x v="1"/>
    <x v="0"/>
    <x v="1"/>
  </r>
  <r>
    <x v="1138"/>
    <n v="101007963"/>
    <s v="FERIAS NORMAIS"/>
    <s v="19/08/2019"/>
    <x v="1"/>
    <x v="36"/>
    <x v="17"/>
    <x v="4"/>
    <s v="Regional Ceará"/>
    <s v="Capital Oeste Ceará"/>
    <s v="MultiSkill"/>
    <x v="4"/>
    <s v="TEC MULTIFUNCIONAL"/>
    <s v="FERIAS NORMAIS"/>
    <s v="COO"/>
    <s v="43461271349"/>
    <s v="04/09/2019"/>
    <s v="JOSEVAN DE SOUSA SILVA"/>
    <s v="ALENCAR DE SOUZA SANTOS"/>
    <s v="JONILSON FELIPE VIEIRA"/>
    <x v="1"/>
    <x v="39"/>
    <x v="2"/>
    <s v="TECNICO MULTIFUNCIONAL"/>
    <x v="1139"/>
    <x v="1139"/>
    <x v="35"/>
    <x v="4"/>
    <x v="1"/>
    <x v="1"/>
    <x v="0"/>
  </r>
  <r>
    <x v="1139"/>
    <n v="101010062"/>
    <s v="ATIVIDADE NORMAL"/>
    <s v="31/07/2019"/>
    <x v="1"/>
    <x v="26"/>
    <x v="5"/>
    <x v="15"/>
    <s v="Regional Ceará"/>
    <s v="Sobral"/>
    <s v="MultiSkill"/>
    <x v="4"/>
    <s v="TEC MULTIFUNCIONAL"/>
    <s v="ATIVIDADE NORMAL"/>
    <s v="SOL"/>
    <s v="43464815315"/>
    <s v="04/09/2019"/>
    <s v="ANTONIO ERINEUDES CAVALCANTE FEIJAO"/>
    <s v="JEFFERSON OLIVEIRA DA SILVA"/>
    <s v="JONILSON FELIPE VIEIRA"/>
    <x v="0"/>
    <x v="26"/>
    <x v="6"/>
    <s v="TECNICO MULTIFUNCIONAL"/>
    <x v="1140"/>
    <x v="1140"/>
    <x v="26"/>
    <x v="2"/>
    <x v="1"/>
    <x v="0"/>
    <x v="0"/>
  </r>
  <r>
    <x v="1140"/>
    <n v="101005989"/>
    <s v="FERIAS NORMAIS"/>
    <s v="19/08/2019"/>
    <x v="1"/>
    <x v="17"/>
    <x v="17"/>
    <x v="3"/>
    <s v="Regional Ceará"/>
    <s v="Capital Oeste Ceará"/>
    <s v="MultiSkill"/>
    <x v="4"/>
    <s v="TEC MULTIFUNCIONAL"/>
    <s v="FERIAS NORMAIS"/>
    <s v="CNO"/>
    <s v="44196598315"/>
    <s v="04/09/2019"/>
    <s v="JOSENIL GOMES RODRIGUES"/>
    <s v="ALENCAR DE SOUZA SANTOS"/>
    <s v="JONILSON FELIPE VIEIRA"/>
    <x v="1"/>
    <x v="17"/>
    <x v="2"/>
    <s v="TECNICO MULTIFUNCIONAL"/>
    <x v="1141"/>
    <x v="1141"/>
    <x v="18"/>
    <x v="4"/>
    <x v="1"/>
    <x v="1"/>
    <x v="0"/>
  </r>
  <r>
    <x v="1141"/>
    <n v="101010062"/>
    <s v="FERIAS NORMAIS"/>
    <s v="02/09/2019"/>
    <x v="1"/>
    <x v="26"/>
    <x v="6"/>
    <x v="15"/>
    <s v="Regional Ceará"/>
    <s v="Sobral"/>
    <s v="Tecnico de campo"/>
    <x v="5"/>
    <s v="INSTALADOR"/>
    <s v="FERIAS NORMAIS"/>
    <s v="SOL"/>
    <s v="44246145300"/>
    <s v="04/09/2019"/>
    <s v="ANTONIO ERINEUDES CAVALCANTE FEIJAO"/>
    <s v="JEFFERSON OLIVEIRA DA SILVA"/>
    <s v="JONILSON FELIPE VIEIRA"/>
    <x v="1"/>
    <x v="26"/>
    <x v="6"/>
    <s v="INSTALADOR I"/>
    <x v="1142"/>
    <x v="1142"/>
    <x v="26"/>
    <x v="2"/>
    <x v="1"/>
    <x v="1"/>
    <x v="1"/>
  </r>
  <r>
    <x v="1142"/>
    <n v="101001670"/>
    <s v="FERIAS NORMAIS"/>
    <s v="02/09/2019"/>
    <x v="1"/>
    <x v="8"/>
    <x v="10"/>
    <x v="2"/>
    <s v="Regional Ceará"/>
    <s v="Capital Sul Ceará"/>
    <s v="MultiSkill"/>
    <x v="4"/>
    <s v="TEC MULTIFUNCIONAL"/>
    <s v="FERIAS NORMAIS"/>
    <s v="GCL"/>
    <s v="44267991391"/>
    <s v="04/09/2019"/>
    <s v="FRANCISCO MARCOS TEIXEIRA DOS SANTOS"/>
    <s v="JEFFERSON OLIVEIRA DA SILVA"/>
    <s v="JONILSON FELIPE VIEIRA"/>
    <x v="1"/>
    <x v="53"/>
    <x v="2"/>
    <s v="TECNICO MULTIFUNCIONAL"/>
    <x v="1143"/>
    <x v="1143"/>
    <x v="9"/>
    <x v="2"/>
    <x v="1"/>
    <x v="1"/>
    <x v="0"/>
  </r>
  <r>
    <x v="1143"/>
    <n v="109500038"/>
    <s v="ATIVIDADE NORMAL"/>
    <s v="01/02/2019"/>
    <x v="0"/>
    <x v="60"/>
    <x v="2"/>
    <x v="14"/>
    <s v="Regional Pernambuco"/>
    <s v="Recife"/>
    <s v="Tecnico de campo"/>
    <x v="1"/>
    <s v="CABISTA III"/>
    <s v="ATIVIDADE NORMAL"/>
    <s v="NOR"/>
    <s v="44944357400"/>
    <s v="04/09/2019"/>
    <s v="PATRICIO MARTINS DE SOUSA"/>
    <s v="MARCOS DE OLIVEIRA STEHLING"/>
    <s v="NIVALDO DE OLIVEIRA SOARES"/>
    <x v="0"/>
    <x v="18"/>
    <x v="3"/>
    <s v="CABISTA III"/>
    <x v="1144"/>
    <x v="1144"/>
    <x v="19"/>
    <x v="3"/>
    <x v="0"/>
    <x v="0"/>
    <x v="1"/>
  </r>
  <r>
    <x v="1144"/>
    <n v="101006811"/>
    <s v="ATIVIDADE NORMAL"/>
    <s v="09/01/2019"/>
    <x v="1"/>
    <x v="43"/>
    <x v="13"/>
    <x v="8"/>
    <s v="Regional Ceará"/>
    <s v="Quixadá"/>
    <s v="Tecnico de campo"/>
    <x v="8"/>
    <s v="OP DG"/>
    <s v="ATIVIDADE NORMAL"/>
    <s v="QXA"/>
    <s v="46139699304"/>
    <s v="04/09/2019"/>
    <s v="CARLOS FERNANDES GUIMARAES"/>
    <s v="ALENCAR DE SOUZA SANTOS"/>
    <s v="JONILSON FELIPE VIEIRA"/>
    <x v="1"/>
    <x v="44"/>
    <x v="9"/>
    <s v="OPERADOR"/>
    <x v="1145"/>
    <x v="1145"/>
    <x v="40"/>
    <x v="4"/>
    <x v="1"/>
    <x v="0"/>
    <x v="1"/>
  </r>
  <r>
    <x v="1145"/>
    <n v="428271"/>
    <s v="ATIVIDADE NORMAL"/>
    <s v="10/07/2019"/>
    <x v="1"/>
    <x v="55"/>
    <x v="10"/>
    <x v="1"/>
    <s v="Regional Ceará"/>
    <s v="Capital Sul Ceará"/>
    <s v="MultiSkill"/>
    <x v="4"/>
    <s v="TEC MULTIFUNCIONAL"/>
    <s v="ATIVIDADE NORMAL"/>
    <s v="GCS"/>
    <s v="46204407368"/>
    <s v="04/09/2019"/>
    <s v="SHEYLA MARIA CALIOPE DE MELO MOURA"/>
    <s v="JEFFERSON OLIVEIRA DA SILVA"/>
    <s v="JONILSON FELIPE VIEIRA"/>
    <x v="0"/>
    <x v="56"/>
    <x v="2"/>
    <s v="TECNICO MULTIFUNCIONAL"/>
    <x v="1146"/>
    <x v="1146"/>
    <x v="47"/>
    <x v="2"/>
    <x v="1"/>
    <x v="0"/>
    <x v="0"/>
  </r>
  <r>
    <x v="1146"/>
    <n v="101008134"/>
    <s v="ATIVIDADE NORMAL"/>
    <s v="23/05/2018"/>
    <x v="1"/>
    <x v="4"/>
    <x v="0"/>
    <x v="4"/>
    <s v="Regional Ceará"/>
    <s v="Capital Oeste Ceará"/>
    <s v="MultiSkill"/>
    <x v="0"/>
    <s v="TEC MULTIFUNCIONAL"/>
    <s v="ATIVIDADE NORMAL"/>
    <s v="COO"/>
    <s v="46353550391"/>
    <s v="04/09/2019"/>
    <s v="BRUNO SAVIO DA SILVA"/>
    <s v="ANTONIO ROBEVANIO PINHEIRO"/>
    <s v="JONILSON FELIPE VIEIRA"/>
    <x v="0"/>
    <x v="53"/>
    <x v="1"/>
    <s v="TECNICO MULTIFUNCIONAL"/>
    <x v="1147"/>
    <x v="1147"/>
    <x v="5"/>
    <x v="1"/>
    <x v="1"/>
    <x v="0"/>
    <x v="0"/>
  </r>
  <r>
    <x v="1147"/>
    <n v="101007665"/>
    <s v="FERIAS NORMAIS"/>
    <s v="02/09/2019"/>
    <x v="1"/>
    <x v="64"/>
    <x v="10"/>
    <x v="3"/>
    <s v="Regional Ceará"/>
    <s v="Capital Oeste Ceará"/>
    <s v="MultiSkill"/>
    <x v="4"/>
    <s v="TEC MULTIFUNCIONAL"/>
    <s v="FERIAS NORMAIS"/>
    <s v="CNO"/>
    <s v="46580050349"/>
    <s v="04/09/2019"/>
    <s v="CARLOS AUGUSTO ALVES DE SOUSA"/>
    <s v="ALENCAR DE SOUZA SANTOS"/>
    <s v="JONILSON FELIPE VIEIRA"/>
    <x v="1"/>
    <x v="33"/>
    <x v="2"/>
    <s v="TECNICO MULTIFUNCIONAL"/>
    <x v="1148"/>
    <x v="1148"/>
    <x v="45"/>
    <x v="4"/>
    <x v="1"/>
    <x v="1"/>
    <x v="0"/>
  </r>
  <r>
    <x v="1148"/>
    <n v="102002917"/>
    <s v="ATIVIDADE NORMAL"/>
    <s v="30/05/2019"/>
    <x v="3"/>
    <x v="23"/>
    <x v="14"/>
    <x v="18"/>
    <s v="Regional Pernambuco"/>
    <s v="Natal"/>
    <s v="MultiSkill"/>
    <x v="4"/>
    <s v="TEC MULTIFUNCIONAL"/>
    <s v="ATIVIDADE NORMAL"/>
    <s v="RNS"/>
    <s v="67342655449"/>
    <s v="04/09/2019"/>
    <s v="RICELE DA SILVA NASCIMENTO"/>
    <s v="REINILSON IGLESIAS JUNIOR"/>
    <s v="WENDELL FRANKLIN VIEIRA MAIA"/>
    <x v="0"/>
    <x v="29"/>
    <x v="2"/>
    <s v="TECNICO MULTIFUNCIONAL"/>
    <x v="1149"/>
    <x v="1149"/>
    <x v="51"/>
    <x v="7"/>
    <x v="3"/>
    <x v="0"/>
    <x v="0"/>
  </r>
  <r>
    <x v="1149"/>
    <n v="101008134"/>
    <s v="ATIVIDADE NORMAL"/>
    <s v="03/07/2019"/>
    <x v="1"/>
    <x v="4"/>
    <x v="0"/>
    <x v="4"/>
    <s v="Regional Ceará"/>
    <s v="Capital Oeste Ceará"/>
    <s v="MultiSkill"/>
    <x v="0"/>
    <s v="TEC MULTIFUNCIONAL"/>
    <s v="ATIVIDADE NORMAL"/>
    <s v="COO"/>
    <s v="68610777200"/>
    <s v="04/09/2019"/>
    <s v="BRUNO SAVIO DA SILVA"/>
    <s v="ANTONIO ROBEVANIO PINHEIRO"/>
    <s v="JONILSON FELIPE VIEIRA"/>
    <x v="0"/>
    <x v="53"/>
    <x v="1"/>
    <s v="TECNICO MULTIFUNCIONAL"/>
    <x v="1150"/>
    <x v="1150"/>
    <x v="5"/>
    <x v="1"/>
    <x v="1"/>
    <x v="0"/>
    <x v="0"/>
  </r>
  <r>
    <x v="1150"/>
    <n v="109000499"/>
    <s v="ATIVIDADE NORMAL"/>
    <s v="30/09/2019"/>
    <x v="0"/>
    <x v="49"/>
    <x v="13"/>
    <x v="13"/>
    <s v="Regional Pernambuco"/>
    <s v="Recife"/>
    <s v="Tecnico de campo"/>
    <x v="8"/>
    <s v="OP DG"/>
    <s v="ATIVIDADE NORMAL"/>
    <s v="OES"/>
    <s v="68673213487"/>
    <s v="04/09/2019"/>
    <s v="ALTAIR LUIZ DO NASCIMENTO"/>
    <s v="DECIO FABIANO LOPES FERREIRA"/>
    <s v="NIVALDO DE OLIVEIRA SOARES"/>
    <x v="0"/>
    <x v="42"/>
    <x v="9"/>
    <s v="OPERADOR"/>
    <x v="1151"/>
    <x v="1151"/>
    <x v="38"/>
    <x v="0"/>
    <x v="0"/>
    <x v="0"/>
    <x v="1"/>
  </r>
  <r>
    <x v="1151"/>
    <n v="109000340"/>
    <s v="ATIVIDADE NORMAL"/>
    <s v="28/02/2019"/>
    <x v="0"/>
    <x v="0"/>
    <x v="4"/>
    <x v="0"/>
    <s v="Regional Pernambuco"/>
    <s v="Interior"/>
    <s v="MultiSkill"/>
    <x v="3"/>
    <s v="TEC MULTIFUNCIONAL"/>
    <s v="ATIVIDADE NORMAL"/>
    <s v="CRU"/>
    <s v="68804490420"/>
    <s v="04/09/2019"/>
    <s v="AILTON JOSE DOS SANTOS"/>
    <s v="DECIO FABIANO LOPES FERREIRA"/>
    <s v="NIVALDO DE OLIVEIRA SOARES"/>
    <x v="0"/>
    <x v="21"/>
    <x v="2"/>
    <s v="TECNICO MULTIFUNCIONAL"/>
    <x v="1152"/>
    <x v="1152"/>
    <x v="22"/>
    <x v="0"/>
    <x v="0"/>
    <x v="0"/>
    <x v="0"/>
  </r>
  <r>
    <x v="1152"/>
    <n v="109506091"/>
    <s v="ATIVIDADE NORMAL"/>
    <s v="30/09/2019"/>
    <x v="0"/>
    <x v="35"/>
    <x v="3"/>
    <x v="14"/>
    <s v="Regional Pernambuco"/>
    <s v="Recife"/>
    <s v="Tecnico de campo"/>
    <x v="2"/>
    <s v="TEC ADSL I"/>
    <s v="ATIVIDADE NORMAL"/>
    <s v="NOR"/>
    <s v="68906900449"/>
    <s v="04/09/2019"/>
    <s v="LUIZ RICARDO LIMA DA SILVA"/>
    <s v="BRUNO VINICIUS DE ALBERTINS ALVES"/>
    <s v="NIVALDO DE OLIVEIRA SOARES"/>
    <x v="1"/>
    <x v="40"/>
    <x v="4"/>
    <s v="TECNICO ADSL"/>
    <x v="1153"/>
    <x v="1153"/>
    <x v="49"/>
    <x v="9"/>
    <x v="0"/>
    <x v="0"/>
    <x v="0"/>
  </r>
  <r>
    <x v="1153"/>
    <n v="101006255"/>
    <s v="ATIVIDADE NORMAL"/>
    <s v="03/07/2019"/>
    <x v="1"/>
    <x v="32"/>
    <x v="10"/>
    <x v="2"/>
    <s v="Regional Ceará"/>
    <s v="Capital Sul Ceará"/>
    <s v="MultiSkill"/>
    <x v="4"/>
    <s v="TEC MULTIFUNCIONAL"/>
    <s v="ATIVIDADE NORMAL"/>
    <s v="GCL"/>
    <s v="68968469334"/>
    <s v="04/09/2019"/>
    <s v="FRANCISCO DE ASSIS FILHO"/>
    <s v="JEFFERSON OLIVEIRA DA SILVA"/>
    <s v="JONILSON FELIPE VIEIRA"/>
    <x v="0"/>
    <x v="32"/>
    <x v="2"/>
    <s v="TECNICO MULTIFUNCIONAL"/>
    <x v="1154"/>
    <x v="1154"/>
    <x v="31"/>
    <x v="2"/>
    <x v="1"/>
    <x v="0"/>
    <x v="0"/>
  </r>
  <r>
    <x v="1154"/>
    <n v="102101187"/>
    <s v="ATIVIDADE NORMAL"/>
    <s v="08/05/2019"/>
    <x v="3"/>
    <x v="66"/>
    <x v="2"/>
    <x v="21"/>
    <s v="Regional Pernambuco"/>
    <s v="Natal"/>
    <s v="Tecnico de campo"/>
    <x v="1"/>
    <s v="CABISTA I"/>
    <s v="ATIVIDADE NORMAL"/>
    <s v="NTS"/>
    <s v="46614770497"/>
    <s v="04/09/2019"/>
    <s v="ALEXANDRE ONASSIS BATISTA DE ANDRADE"/>
    <s v="EDERLINDO GONCALVES SOARES"/>
    <s v="WENDELL FRANKLIN VIEIRA MAIA"/>
    <x v="0"/>
    <x v="80"/>
    <x v="3"/>
    <s v="CABISTA I"/>
    <x v="1155"/>
    <x v="1155"/>
    <x v="68"/>
    <x v="10"/>
    <x v="3"/>
    <x v="0"/>
    <x v="1"/>
  </r>
  <r>
    <x v="1155"/>
    <n v="101005380"/>
    <s v="FERIAS NORMAIS"/>
    <s v="02/09/2019"/>
    <x v="1"/>
    <x v="26"/>
    <x v="4"/>
    <x v="15"/>
    <s v="Regional Ceará"/>
    <s v="Sobral"/>
    <s v="MultiSkill"/>
    <x v="3"/>
    <s v="TEC MULTIFUNCIONAL"/>
    <s v="FERIAS NORMAIS"/>
    <s v="SOL"/>
    <s v="46876871304"/>
    <s v="04/09/2019"/>
    <s v="MARCILIO RIBEIRO DOS SANTOS"/>
    <s v="JEFFERSON OLIVEIRA DA SILVA"/>
    <s v="JONILSON FELIPE VIEIRA"/>
    <x v="1"/>
    <x v="90"/>
    <x v="2"/>
    <s v="TECNICO MULTIFUNCIONAL"/>
    <x v="1156"/>
    <x v="1156"/>
    <x v="20"/>
    <x v="2"/>
    <x v="1"/>
    <x v="1"/>
    <x v="0"/>
  </r>
  <r>
    <x v="1156"/>
    <n v="101007665"/>
    <s v="ATIVIDADE NORMAL"/>
    <s v="14/06/2019"/>
    <x v="1"/>
    <x v="64"/>
    <x v="13"/>
    <x v="3"/>
    <s v="Regional Ceará"/>
    <s v="Capital Oeste Ceará"/>
    <s v="Tecnico de campo"/>
    <x v="8"/>
    <s v="OP DG"/>
    <s v="ATIVIDADE NORMAL"/>
    <s v="CNO"/>
    <s v="46898131320"/>
    <s v="04/09/2019"/>
    <s v="CARLOS AUGUSTO ALVES DE SOUSA"/>
    <s v="ALENCAR DE SOUZA SANTOS"/>
    <s v="JONILSON FELIPE VIEIRA"/>
    <x v="1"/>
    <x v="33"/>
    <x v="9"/>
    <s v="OPERADOR"/>
    <x v="1157"/>
    <x v="1157"/>
    <x v="45"/>
    <x v="4"/>
    <x v="1"/>
    <x v="0"/>
    <x v="1"/>
  </r>
  <r>
    <x v="1157"/>
    <n v="101005989"/>
    <s v="FERIAS NORMAIS"/>
    <s v="02/09/2019"/>
    <x v="1"/>
    <x v="17"/>
    <x v="17"/>
    <x v="3"/>
    <s v="Regional Ceará"/>
    <s v="Capital Oeste Ceará"/>
    <s v="MultiSkill"/>
    <x v="4"/>
    <s v="TEC MULTIFUNCIONAL"/>
    <s v="FERIAS NORMAIS"/>
    <s v="CNO"/>
    <s v="46898336304"/>
    <s v="04/09/2019"/>
    <s v="JOSENIL GOMES RODRIGUES"/>
    <s v="ALENCAR DE SOUZA SANTOS"/>
    <s v="JONILSON FELIPE VIEIRA"/>
    <x v="1"/>
    <x v="17"/>
    <x v="2"/>
    <s v="TECNICO MULTIFUNCIONAL"/>
    <x v="1158"/>
    <x v="1158"/>
    <x v="18"/>
    <x v="4"/>
    <x v="1"/>
    <x v="1"/>
    <x v="0"/>
  </r>
  <r>
    <x v="1158"/>
    <n v="105000985"/>
    <s v="FERIAS NOR AD 13 SALARIO"/>
    <s v="19/08/2019"/>
    <x v="2"/>
    <x v="61"/>
    <x v="14"/>
    <x v="24"/>
    <s v="Regional Pernambuco"/>
    <s v="João Pessoa"/>
    <s v="MultiSkill"/>
    <x v="4"/>
    <s v="TEC MULTIFUNCIONAL"/>
    <s v="FERIAS NOR AD 13 SALARIO"/>
    <s v="POS"/>
    <s v="47434236434"/>
    <s v="04/09/2019"/>
    <s v="STANLEY MEDEIROS WANDERLEY"/>
    <s v="WENDELL FRANKLIN VIEIRA MAIA"/>
    <s v="WENDELL FRANKLIN VIEIRA MAIA"/>
    <x v="1"/>
    <x v="67"/>
    <x v="2"/>
    <s v="TECNICO MULTIFUNCIONAL"/>
    <x v="1159"/>
    <x v="1159"/>
    <x v="58"/>
    <x v="6"/>
    <x v="3"/>
    <x v="1"/>
    <x v="0"/>
  </r>
  <r>
    <x v="1159"/>
    <n v="101005376"/>
    <s v="ATIVIDADE NORMAL"/>
    <s v="30/09/2019"/>
    <x v="1"/>
    <x v="64"/>
    <x v="2"/>
    <x v="3"/>
    <s v="Regional Ceará"/>
    <s v="Capital Oeste Ceará"/>
    <s v="Tecnico de campo"/>
    <x v="1"/>
    <s v="TEC MULTIFUNCIONAL"/>
    <s v="ATIVIDADE NORMAL"/>
    <s v="CNO"/>
    <s v="47866527334"/>
    <s v="04/09/2019"/>
    <s v="JOSE VENILSON DA SILVA"/>
    <s v="VANDERLEI HENZEL CHOLLET"/>
    <s v="JONILSON FELIPE VIEIRA"/>
    <x v="0"/>
    <x v="88"/>
    <x v="13"/>
    <s v="TECNICO MULTIFUNCIONAL"/>
    <x v="1160"/>
    <x v="1160"/>
    <x v="72"/>
    <x v="8"/>
    <x v="1"/>
    <x v="0"/>
    <x v="1"/>
  </r>
  <r>
    <x v="1160"/>
    <n v="101005380"/>
    <s v="ATIVIDADE NORMAL"/>
    <s v="09/09/2019"/>
    <x v="1"/>
    <x v="19"/>
    <x v="5"/>
    <x v="15"/>
    <s v="Regional Ceará"/>
    <s v="Sobral"/>
    <s v="MultiSkill"/>
    <x v="4"/>
    <s v="TEC MULTIFUNCIONAL"/>
    <s v="ATIVIDADE NORMAL"/>
    <s v="SOL"/>
    <s v="47965940353"/>
    <s v="04/09/2019"/>
    <s v="MARCILIO RIBEIRO DOS SANTOS"/>
    <s v="JEFFERSON OLIVEIRA DA SILVA"/>
    <s v="JONILSON FELIPE VIEIRA"/>
    <x v="0"/>
    <x v="19"/>
    <x v="2"/>
    <s v="TECNICO MULTIFUNCIONAL"/>
    <x v="1161"/>
    <x v="1161"/>
    <x v="20"/>
    <x v="2"/>
    <x v="1"/>
    <x v="0"/>
    <x v="0"/>
  </r>
  <r>
    <x v="1161"/>
    <n v="101008003"/>
    <s v="ATIVIDADE NORMAL"/>
    <s v="24/04/2019"/>
    <x v="1"/>
    <x v="1"/>
    <x v="18"/>
    <x v="1"/>
    <s v="Regional Ceará"/>
    <s v="Capital Sul Ceará"/>
    <s v="Tecnico de campo"/>
    <x v="0"/>
    <s v="TEC MULTIFUNCIONAL"/>
    <s v="ATIVIDADE NORMAL"/>
    <s v="GCS - FTTH"/>
    <s v="48006181349"/>
    <s v="04/09/2019"/>
    <s v="NILO WEBER RAMOS RIBEIRO"/>
    <s v="ANTONIO ROBEVANIO PINHEIRO"/>
    <s v="JONILSON FELIPE VIEIRA"/>
    <x v="0"/>
    <x v="75"/>
    <x v="1"/>
    <s v="TECNICO MULTIFUNCIONAL"/>
    <x v="1162"/>
    <x v="1162"/>
    <x v="3"/>
    <x v="1"/>
    <x v="1"/>
    <x v="0"/>
    <x v="0"/>
  </r>
  <r>
    <x v="1162"/>
    <n v="109500177"/>
    <s v="ATIVIDADE NORMAL"/>
    <s v="20/02/2019"/>
    <x v="0"/>
    <x v="37"/>
    <x v="2"/>
    <x v="14"/>
    <s v="Regional Pernambuco"/>
    <s v="Recife"/>
    <s v="Tecnico de campo"/>
    <x v="1"/>
    <s v="TEC MULTIFUNCIONAL"/>
    <s v="ATIVIDADE NORMAL"/>
    <s v="NOR"/>
    <s v="48014303415"/>
    <s v="04/09/2019"/>
    <s v="JOSUEL FERREIRA DE BRITO"/>
    <s v="BRUNO VINICIUS DE ALBERTINS ALVES"/>
    <s v="NIVALDO DE OLIVEIRA SOARES"/>
    <x v="0"/>
    <x v="31"/>
    <x v="12"/>
    <s v="TECNICO MULTIFUNCIONAL"/>
    <x v="1163"/>
    <x v="1163"/>
    <x v="36"/>
    <x v="9"/>
    <x v="0"/>
    <x v="0"/>
    <x v="1"/>
  </r>
  <r>
    <x v="1163"/>
    <n v="428271"/>
    <s v="ATIVIDADE NORMAL"/>
    <s v="10/04/2019"/>
    <x v="1"/>
    <x v="12"/>
    <x v="12"/>
    <x v="1"/>
    <s v="Regional Ceará"/>
    <s v="Capital Sul Ceará"/>
    <s v="Tecnico de campo"/>
    <x v="6"/>
    <s v="CABISTA II"/>
    <s v="ATIVIDADE NORMAL"/>
    <s v="GCS"/>
    <s v="48446475391"/>
    <s v="04/09/2019"/>
    <s v="SHEYLA MARIA CALIOPE DE MELO MOURA"/>
    <s v="JEFFERSON OLIVEIRA DA SILVA"/>
    <s v="JONILSON FELIPE VIEIRA"/>
    <x v="0"/>
    <x v="56"/>
    <x v="7"/>
    <s v="CABISTA II"/>
    <x v="1164"/>
    <x v="1164"/>
    <x v="47"/>
    <x v="2"/>
    <x v="1"/>
    <x v="0"/>
    <x v="1"/>
  </r>
  <r>
    <x v="1164"/>
    <n v="101009889"/>
    <s v="ATIVIDADE NORMAL"/>
    <s v="25/01/2019"/>
    <x v="1"/>
    <x v="32"/>
    <x v="7"/>
    <x v="2"/>
    <s v="Regional Ceará"/>
    <s v="Capital Sul Ceará"/>
    <s v="Tecnico de campo"/>
    <x v="1"/>
    <s v="LIDER DE OBRAS"/>
    <s v="ATIVIDADE NORMAL"/>
    <s v="GCL"/>
    <s v="48580295300"/>
    <s v="04/09/2019"/>
    <s v="ROBERTO CLAUDIO PAIVA CASTRO"/>
    <s v="CRISTIANO ADOLFO TORRES SAMPAIO"/>
    <s v="JESSE GONCALVES PASSOS DE LIMA"/>
    <x v="1"/>
    <x v="79"/>
    <x v="5"/>
    <s v="LIDER DE OBRAS"/>
    <x v="1165"/>
    <x v="1165"/>
    <x v="77"/>
    <x v="5"/>
    <x v="2"/>
    <x v="0"/>
    <x v="1"/>
  </r>
  <r>
    <x v="1165"/>
    <n v="109506248"/>
    <s v="ATIVIDADE NORMAL"/>
    <s v="06/03/2019"/>
    <x v="0"/>
    <x v="25"/>
    <x v="2"/>
    <x v="10"/>
    <s v="Regional Pernambuco"/>
    <s v="Recife"/>
    <s v="Tecnico de campo"/>
    <x v="1"/>
    <s v="TEC ADSL I"/>
    <s v="ATIVIDADE NORMAL"/>
    <s v="PES"/>
    <s v="49393634491"/>
    <s v="04/09/2019"/>
    <s v="LUIZ GUSTAVO DE OLIVEIRA DINIZ"/>
    <s v="MARCOS DE OLIVEIRA STEHLING"/>
    <s v="NIVALDO DE OLIVEIRA SOARES"/>
    <x v="0"/>
    <x v="14"/>
    <x v="4"/>
    <s v="TECNICO ADSL"/>
    <x v="1166"/>
    <x v="1166"/>
    <x v="71"/>
    <x v="3"/>
    <x v="0"/>
    <x v="0"/>
    <x v="1"/>
  </r>
  <r>
    <x v="1166"/>
    <n v="101001782"/>
    <s v="ATIVIDADE NORMAL"/>
    <s v="31/10/2018"/>
    <x v="1"/>
    <x v="40"/>
    <x v="22"/>
    <x v="8"/>
    <s v="Regional Ceará"/>
    <s v="Quixadá"/>
    <s v="MultiSkill"/>
    <x v="4"/>
    <s v="TEC MULTIFUNCIONAL"/>
    <s v="ATIVIDADE NORMAL"/>
    <s v="QXA"/>
    <s v="69245371387"/>
    <s v="04/09/2019"/>
    <s v="LYNDON JONHSON SILVA LIMA"/>
    <s v="ALENCAR DE SOUZA SANTOS"/>
    <s v="JONILSON FELIPE VIEIRA"/>
    <x v="0"/>
    <x v="9"/>
    <x v="2"/>
    <s v="TECNICO MULTIFUNCIONAL"/>
    <x v="1167"/>
    <x v="1167"/>
    <x v="10"/>
    <x v="4"/>
    <x v="1"/>
    <x v="0"/>
    <x v="0"/>
  </r>
  <r>
    <x v="1167"/>
    <n v="109504534"/>
    <s v="ATIVIDADE NORMAL"/>
    <s v="01/05/2019"/>
    <x v="0"/>
    <x v="35"/>
    <x v="2"/>
    <x v="14"/>
    <s v="Regional Pernambuco"/>
    <s v="Recife"/>
    <s v="Tecnico de campo"/>
    <x v="1"/>
    <s v="CABISTA III"/>
    <s v="ATIVIDADE NORMAL"/>
    <s v="NOR"/>
    <s v="69436401434"/>
    <s v="04/09/2019"/>
    <s v="EDSON CARLOS BARBOSA JUNIOR"/>
    <s v="MARCOS DE OLIVEIRA STEHLING"/>
    <s v="NIVALDO DE OLIVEIRA SOARES"/>
    <x v="0"/>
    <x v="7"/>
    <x v="3"/>
    <s v="CABISTA III"/>
    <x v="1168"/>
    <x v="1168"/>
    <x v="8"/>
    <x v="3"/>
    <x v="0"/>
    <x v="0"/>
    <x v="1"/>
  </r>
  <r>
    <x v="1168"/>
    <n v="101010062"/>
    <s v="FERIAS NORMAIS"/>
    <s v="19/08/2019"/>
    <x v="1"/>
    <x v="26"/>
    <x v="5"/>
    <x v="15"/>
    <s v="Regional Ceará"/>
    <s v="Sobral"/>
    <s v="MultiSkill"/>
    <x v="4"/>
    <s v="TEC MULTIFUNCIONAL"/>
    <s v="FERIAS NORMAIS"/>
    <s v="SOL"/>
    <s v="69944385387"/>
    <s v="04/09/2019"/>
    <s v="ANTONIO ERINEUDES CAVALCANTE FEIJAO"/>
    <s v="JEFFERSON OLIVEIRA DA SILVA"/>
    <s v="JONILSON FELIPE VIEIRA"/>
    <x v="1"/>
    <x v="26"/>
    <x v="2"/>
    <s v="TECNICO MULTIFUNCIONAL"/>
    <x v="1169"/>
    <x v="1169"/>
    <x v="26"/>
    <x v="2"/>
    <x v="1"/>
    <x v="1"/>
    <x v="0"/>
  </r>
  <r>
    <x v="1169"/>
    <n v="102101393"/>
    <s v="ATIVIDADE NORMAL"/>
    <s v="27/05/2019"/>
    <x v="3"/>
    <x v="28"/>
    <x v="2"/>
    <x v="21"/>
    <s v="Regional Pernambuco"/>
    <s v="Natal"/>
    <s v="Tecnico de campo"/>
    <x v="1"/>
    <s v="CABISTA I"/>
    <s v="ATIVIDADE NORMAL"/>
    <s v="NTS"/>
    <s v="70084816406"/>
    <s v="04/09/2019"/>
    <s v="SIDNEY MOURA FREIRE"/>
    <s v="REINILSON IGLESIAS JUNIOR"/>
    <s v="WENDELL FRANKLIN VIEIRA MAIA"/>
    <x v="0"/>
    <x v="23"/>
    <x v="10"/>
    <s v="CABISTA I"/>
    <x v="1170"/>
    <x v="1170"/>
    <x v="24"/>
    <x v="7"/>
    <x v="3"/>
    <x v="0"/>
    <x v="1"/>
  </r>
  <r>
    <x v="1170"/>
    <n v="102101393"/>
    <s v="ATIVIDADE NORMAL"/>
    <s v="03/07/2019"/>
    <x v="3"/>
    <x v="28"/>
    <x v="2"/>
    <x v="21"/>
    <s v="Regional Pernambuco"/>
    <s v="Natal"/>
    <s v="Tecnico de campo"/>
    <x v="1"/>
    <s v="CABISTA I"/>
    <s v="ATIVIDADE NORMAL"/>
    <s v="NTS"/>
    <s v="70222113456"/>
    <s v="04/09/2019"/>
    <s v="SIDNEY MOURA FREIRE"/>
    <s v="REINILSON IGLESIAS JUNIOR"/>
    <s v="WENDELL FRANKLIN VIEIRA MAIA"/>
    <x v="0"/>
    <x v="23"/>
    <x v="10"/>
    <s v="CABISTA I"/>
    <x v="1171"/>
    <x v="1171"/>
    <x v="24"/>
    <x v="7"/>
    <x v="3"/>
    <x v="0"/>
    <x v="1"/>
  </r>
  <r>
    <x v="1171"/>
    <n v="109506032"/>
    <s v="ATIVIDADE NORMAL"/>
    <s v="07/03/2019"/>
    <x v="0"/>
    <x v="49"/>
    <x v="12"/>
    <x v="13"/>
    <s v="Regional Pernambuco"/>
    <s v="Recife"/>
    <s v="Equipe SWAT"/>
    <x v="6"/>
    <s v="CABISTA I"/>
    <s v="ATIVIDADE NORMAL"/>
    <s v="OES"/>
    <s v="70235681407"/>
    <s v="04/09/2019"/>
    <s v="CARLOS REIS GONZAGA"/>
    <s v="DECIO FABIANO LOPES FERREIRA"/>
    <s v="NIVALDO DE OLIVEIRA SOARES"/>
    <x v="0"/>
    <x v="16"/>
    <x v="10"/>
    <s v="CABISTA I"/>
    <x v="1172"/>
    <x v="1172"/>
    <x v="17"/>
    <x v="0"/>
    <x v="0"/>
    <x v="0"/>
    <x v="1"/>
  </r>
  <r>
    <x v="1172"/>
    <n v="102100390"/>
    <s v="ATIVIDADE NORMAL"/>
    <s v="06/02/2019"/>
    <x v="3"/>
    <x v="66"/>
    <x v="10"/>
    <x v="21"/>
    <s v="Regional Pernambuco"/>
    <s v="Natal"/>
    <s v="MultiSkill"/>
    <x v="4"/>
    <s v="TEC MULTIFUNCIONAL"/>
    <s v="ATIVIDADE NORMAL"/>
    <s v="NTS"/>
    <s v="70282536434"/>
    <s v="04/09/2019"/>
    <s v="ANDRIER CARLOS SOARES FERREIRA"/>
    <s v="REINILSON IGLESIAS JUNIOR"/>
    <s v="WENDELL FRANKLIN VIEIRA MAIA"/>
    <x v="0"/>
    <x v="48"/>
    <x v="2"/>
    <s v="TECNICO MULTIFUNCIONAL"/>
    <x v="1173"/>
    <x v="1173"/>
    <x v="43"/>
    <x v="7"/>
    <x v="3"/>
    <x v="0"/>
    <x v="0"/>
  </r>
  <r>
    <x v="1173"/>
    <n v="109000943"/>
    <s v="ATIVIDADE NORMAL"/>
    <s v="19/12/2018"/>
    <x v="0"/>
    <x v="60"/>
    <x v="11"/>
    <x v="14"/>
    <s v="Regional Pernambuco"/>
    <s v="Recife"/>
    <s v="Tecnico de campo"/>
    <x v="1"/>
    <s v="TEC MULTIFUNCIONAL"/>
    <s v="ATIVIDADE NORMAL"/>
    <s v="NOR"/>
    <s v="70318028492"/>
    <s v="04/09/2019"/>
    <s v="MAURO BRAGA RANGEL"/>
    <s v="BRUNO VINICIUS DE ALBERTINS ALVES"/>
    <s v="NIVALDO DE OLIVEIRA SOARES"/>
    <x v="0"/>
    <x v="77"/>
    <x v="2"/>
    <s v="TECNICO MULTIFUNCIONAL"/>
    <x v="1174"/>
    <x v="1174"/>
    <x v="56"/>
    <x v="9"/>
    <x v="0"/>
    <x v="0"/>
    <x v="1"/>
  </r>
  <r>
    <x v="1174"/>
    <n v="109505049"/>
    <s v="ATIVIDADE NORMAL"/>
    <s v="23/11/2018"/>
    <x v="0"/>
    <x v="51"/>
    <x v="0"/>
    <x v="14"/>
    <s v="Regional Pernambuco"/>
    <s v="Recife"/>
    <s v="Tecnico de campo"/>
    <x v="0"/>
    <s v="TEC MULTIFUNCIONAL"/>
    <s v="ATIVIDADE NORMAL"/>
    <s v="NOR"/>
    <s v="70465735495"/>
    <s v="04/09/2019"/>
    <s v="RAMSES DE ANDRADE MACHADO RODRIGUES LAVRA"/>
    <s v="BRUNO VINICIUS DE ALBERTINS ALVES"/>
    <s v="NIVALDO DE OLIVEIRA SOARES"/>
    <x v="0"/>
    <x v="57"/>
    <x v="1"/>
    <s v="TECNICO MULTIFUNCIONAL"/>
    <x v="1175"/>
    <x v="1175"/>
    <x v="48"/>
    <x v="9"/>
    <x v="0"/>
    <x v="0"/>
    <x v="0"/>
  </r>
  <r>
    <x v="1175"/>
    <n v="109500315"/>
    <s v="ATIVIDADE NORMAL"/>
    <s v="31/07/2019"/>
    <x v="0"/>
    <x v="44"/>
    <x v="6"/>
    <x v="7"/>
    <s v="Regional Pernambuco"/>
    <s v="Recife"/>
    <s v="Tecnico de campo"/>
    <x v="5"/>
    <s v="INSTALADOR TUP"/>
    <s v="ATIVIDADE NORMAL"/>
    <s v="LES"/>
    <s v="71150692472"/>
    <s v="04/09/2019"/>
    <s v="IVALDO BEZERRA NOVAIS"/>
    <s v="DECIO FABIANO LOPES FERREIRA"/>
    <s v="NIVALDO DE OLIVEIRA SOARES"/>
    <x v="0"/>
    <x v="47"/>
    <x v="6"/>
    <s v="INSTALADOR I"/>
    <x v="1176"/>
    <x v="1176"/>
    <x v="42"/>
    <x v="0"/>
    <x v="0"/>
    <x v="0"/>
    <x v="1"/>
  </r>
  <r>
    <x v="1176"/>
    <n v="101001782"/>
    <s v="FERIAS NORMAIS"/>
    <s v="19/08/2019"/>
    <x v="1"/>
    <x v="40"/>
    <x v="14"/>
    <x v="8"/>
    <s v="Regional Ceará"/>
    <s v="Quixadá"/>
    <s v="MultiSkill"/>
    <x v="4"/>
    <s v="TEC MULTIFUNCIONAL"/>
    <s v="FERIAS NORMAIS"/>
    <s v="QXA"/>
    <s v="71162836334"/>
    <s v="04/09/2019"/>
    <s v="LYNDON JONHSON SILVA LIMA"/>
    <s v="ALENCAR DE SOUZA SANTOS"/>
    <s v="JONILSON FELIPE VIEIRA"/>
    <x v="1"/>
    <x v="9"/>
    <x v="2"/>
    <s v="TECNICO MULTIFUNCIONAL"/>
    <x v="1177"/>
    <x v="1177"/>
    <x v="10"/>
    <x v="4"/>
    <x v="1"/>
    <x v="1"/>
    <x v="0"/>
  </r>
  <r>
    <x v="1177"/>
    <n v="109504534"/>
    <s v="ATIVIDADE NORMAL"/>
    <s v="31/07/2019"/>
    <x v="0"/>
    <x v="39"/>
    <x v="2"/>
    <x v="13"/>
    <s v="Regional Pernambuco"/>
    <s v="Recife"/>
    <s v="Tecnico de campo"/>
    <x v="1"/>
    <s v="CABISTA III"/>
    <s v="ATIVIDADE NORMAL"/>
    <s v="OES"/>
    <s v="71212159420"/>
    <s v="04/09/2019"/>
    <s v="EDSON CARLOS BARBOSA JUNIOR"/>
    <s v="MARCOS DE OLIVEIRA STEHLING"/>
    <s v="NIVALDO DE OLIVEIRA SOARES"/>
    <x v="0"/>
    <x v="7"/>
    <x v="3"/>
    <s v="CABISTA III"/>
    <x v="1178"/>
    <x v="1178"/>
    <x v="8"/>
    <x v="3"/>
    <x v="0"/>
    <x v="0"/>
    <x v="1"/>
  </r>
  <r>
    <x v="1178"/>
    <n v="101003771"/>
    <s v="ATIVIDADE NORMAL"/>
    <s v="16/02/2019"/>
    <x v="1"/>
    <x v="9"/>
    <x v="6"/>
    <x v="8"/>
    <s v="Regional Ceará"/>
    <s v="Quixadá"/>
    <s v="Tecnico de campo"/>
    <x v="5"/>
    <s v="TEC MULTIFUNCIONAL"/>
    <s v="ATIVIDADE NORMAL"/>
    <s v="QXA"/>
    <s v="71511369353"/>
    <s v="04/09/2019"/>
    <s v="ANA CLAUDIA DE CASTRO DA SILVA"/>
    <s v="ALENCAR DE SOUZA SANTOS"/>
    <s v="JONILSON FELIPE VIEIRA"/>
    <x v="0"/>
    <x v="13"/>
    <x v="6"/>
    <s v="TECNICO MULTIFUNCIONAL"/>
    <x v="1179"/>
    <x v="1179"/>
    <x v="14"/>
    <x v="4"/>
    <x v="1"/>
    <x v="0"/>
    <x v="1"/>
  </r>
  <r>
    <x v="1179"/>
    <n v="101006255"/>
    <s v="ATIVIDADE NORMAL"/>
    <s v="20/03/2019"/>
    <x v="1"/>
    <x v="32"/>
    <x v="13"/>
    <x v="2"/>
    <s v="Regional Ceará"/>
    <s v="Capital Sul Ceará"/>
    <s v="Tecnico de campo"/>
    <x v="8"/>
    <s v="OP DG"/>
    <s v="ATIVIDADE NORMAL"/>
    <s v="GCL"/>
    <s v="72458917372"/>
    <s v="04/09/2019"/>
    <s v="FRANCISCO DE ASSIS FILHO"/>
    <s v="JEFFERSON OLIVEIRA DA SILVA"/>
    <s v="JONILSON FELIPE VIEIRA"/>
    <x v="1"/>
    <x v="32"/>
    <x v="9"/>
    <s v="OPERADOR"/>
    <x v="1180"/>
    <x v="1180"/>
    <x v="31"/>
    <x v="2"/>
    <x v="1"/>
    <x v="0"/>
    <x v="1"/>
  </r>
  <r>
    <x v="1180"/>
    <n v="428271"/>
    <s v="ATIVIDADE NORMAL"/>
    <s v="17/02/2019"/>
    <x v="1"/>
    <x v="55"/>
    <x v="10"/>
    <x v="1"/>
    <s v="Regional Ceará"/>
    <s v="Capital Sul Ceará"/>
    <s v="MultiSkill"/>
    <x v="4"/>
    <s v="TEC MULTIFUNCIONAL"/>
    <s v="ATIVIDADE NORMAL"/>
    <s v="GCS"/>
    <s v="49486667349"/>
    <s v="04/09/2019"/>
    <s v="SHEYLA MARIA CALIOPE DE MELO MOURA"/>
    <s v="JEFFERSON OLIVEIRA DA SILVA"/>
    <s v="JONILSON FELIPE VIEIRA"/>
    <x v="0"/>
    <x v="56"/>
    <x v="2"/>
    <s v="TECNICO MULTIFUNCIONAL"/>
    <x v="1181"/>
    <x v="1181"/>
    <x v="47"/>
    <x v="2"/>
    <x v="1"/>
    <x v="0"/>
    <x v="0"/>
  </r>
  <r>
    <x v="1181"/>
    <n v="102101220"/>
    <s v="ATIVIDADE NORMAL"/>
    <s v="06/03/2019"/>
    <x v="3"/>
    <x v="22"/>
    <x v="10"/>
    <x v="18"/>
    <s v="Regional Pernambuco"/>
    <s v="Natal"/>
    <s v="MultiSkill"/>
    <x v="4"/>
    <s v="TEC MULTIFUNCIONAL"/>
    <s v="ATIVIDADE NORMAL"/>
    <s v="RNS"/>
    <s v="49818490444"/>
    <s v="04/09/2019"/>
    <s v="JOSUE MOURA DA SILVA"/>
    <s v="REINILSON IGLESIAS JUNIOR"/>
    <s v="WENDELL FRANKLIN VIEIRA MAIA"/>
    <x v="0"/>
    <x v="22"/>
    <x v="2"/>
    <s v="TECNICO MULTIFUNCIONAL"/>
    <x v="1182"/>
    <x v="1182"/>
    <x v="23"/>
    <x v="7"/>
    <x v="3"/>
    <x v="0"/>
    <x v="0"/>
  </r>
  <r>
    <x v="1182"/>
    <n v="109505858"/>
    <s v="ATIVIDADE NORMAL"/>
    <s v="13/02/2019"/>
    <x v="0"/>
    <x v="46"/>
    <x v="6"/>
    <x v="11"/>
    <s v="Regional Pernambuco"/>
    <s v="Interior"/>
    <s v="Tecnico de campo"/>
    <x v="5"/>
    <s v="INSTALADOR TUP"/>
    <s v="ATIVIDADE NORMAL"/>
    <s v="ACV"/>
    <s v="50596497415"/>
    <s v="04/09/2019"/>
    <s v="THIAGO DE LIMA PIRES RODRIGUES"/>
    <s v="DECIO FABIANO LOPES FERREIRA"/>
    <s v="NIVALDO DE OLIVEIRA SOARES"/>
    <x v="0"/>
    <x v="11"/>
    <x v="6"/>
    <s v="INSTALADOR I"/>
    <x v="1183"/>
    <x v="1183"/>
    <x v="12"/>
    <x v="0"/>
    <x v="0"/>
    <x v="0"/>
    <x v="1"/>
  </r>
  <r>
    <x v="1183"/>
    <n v="101005380"/>
    <s v="ATIVIDADE NORMAL"/>
    <s v="30/09/2019"/>
    <x v="1"/>
    <x v="19"/>
    <x v="6"/>
    <x v="15"/>
    <s v="Regional Ceará"/>
    <s v="Sobral"/>
    <s v="Tecnico de campo"/>
    <x v="5"/>
    <s v="INSTALADOR"/>
    <s v="ATIVIDADE NORMAL"/>
    <s v="SOL"/>
    <s v="50675451353"/>
    <s v="04/09/2019"/>
    <s v="MARCILIO RIBEIRO DOS SANTOS"/>
    <s v="JEFFERSON OLIVEIRA DA SILVA"/>
    <s v="JONILSON FELIPE VIEIRA"/>
    <x v="1"/>
    <x v="19"/>
    <x v="6"/>
    <s v="INSTALADOR I"/>
    <x v="1184"/>
    <x v="1184"/>
    <x v="20"/>
    <x v="2"/>
    <x v="1"/>
    <x v="0"/>
    <x v="1"/>
  </r>
  <r>
    <x v="1184"/>
    <n v="101006255"/>
    <s v="ATIVIDADE NORMAL"/>
    <s v="11/05/2019"/>
    <x v="1"/>
    <x v="32"/>
    <x v="2"/>
    <x v="2"/>
    <s v="Regional Ceará"/>
    <s v="Capital Sul Ceará"/>
    <s v="Equipe SWAT"/>
    <x v="1"/>
    <s v="CABISTA I"/>
    <s v="ATIVIDADE NORMAL"/>
    <s v="GCL"/>
    <s v="51114178349"/>
    <s v="04/09/2019"/>
    <s v="FRANCISCO DE ASSIS FILHO"/>
    <s v="JEFFERSON OLIVEIRA DA SILVA"/>
    <s v="JONILSON FELIPE VIEIRA"/>
    <x v="0"/>
    <x v="32"/>
    <x v="10"/>
    <s v="CABISTA I"/>
    <x v="1185"/>
    <x v="1185"/>
    <x v="31"/>
    <x v="2"/>
    <x v="1"/>
    <x v="0"/>
    <x v="1"/>
  </r>
  <r>
    <x v="1185"/>
    <n v="109501286"/>
    <s v="ATIVIDADE NORMAL"/>
    <s v="03/07/2019"/>
    <x v="0"/>
    <x v="30"/>
    <x v="15"/>
    <x v="13"/>
    <s v="Regional Pernambuco"/>
    <s v="Recife"/>
    <s v="Tecnico de campo"/>
    <x v="9"/>
    <s v="INSTALADOR DTH"/>
    <s v="ATIVIDADE NORMAL"/>
    <s v="OES"/>
    <s v="51465329404"/>
    <s v="04/09/2019"/>
    <s v="JOSE HENRIQUE NEGRAO DE MEDEIROS"/>
    <s v="DECIO FABIANO LOPES FERREIRA"/>
    <s v="NIVALDO DE OLIVEIRA SOARES"/>
    <x v="0"/>
    <x v="37"/>
    <x v="11"/>
    <s v="INSTALADOR DTH"/>
    <x v="1186"/>
    <x v="1186"/>
    <x v="34"/>
    <x v="0"/>
    <x v="0"/>
    <x v="0"/>
    <x v="0"/>
  </r>
  <r>
    <x v="1186"/>
    <n v="109000340"/>
    <s v="ATIVIDADE NORMAL"/>
    <s v="27/03/2019"/>
    <x v="0"/>
    <x v="0"/>
    <x v="23"/>
    <x v="0"/>
    <s v="Regional Pernambuco"/>
    <s v="Interior"/>
    <s v="MultiSkill"/>
    <x v="2"/>
    <s v="TEC MULTIFUNCIONAL"/>
    <s v="ATIVIDADE NORMAL"/>
    <s v="CRU"/>
    <s v="72912529468"/>
    <s v="04/09/2019"/>
    <s v="AILTON JOSE DOS SANTOS"/>
    <s v="DECIO FABIANO LOPES FERREIRA"/>
    <s v="NIVALDO DE OLIVEIRA SOARES"/>
    <x v="0"/>
    <x v="21"/>
    <x v="2"/>
    <s v="TECNICO MULTIFUNCIONAL"/>
    <x v="1187"/>
    <x v="1187"/>
    <x v="22"/>
    <x v="0"/>
    <x v="0"/>
    <x v="0"/>
    <x v="0"/>
  </r>
  <r>
    <x v="1187"/>
    <n v="102101634"/>
    <s v="ATIVIDADE NORMAL"/>
    <s v="06/05/2019"/>
    <x v="3"/>
    <x v="62"/>
    <x v="10"/>
    <x v="19"/>
    <s v="Regional Pernambuco"/>
    <s v="Natal"/>
    <s v="Tecnico de campo"/>
    <x v="4"/>
    <s v="TEC MULTIFUNCIONAL"/>
    <s v="ATIVIDADE NORMAL"/>
    <s v="NTN"/>
    <s v="73208868634"/>
    <s v="04/09/2019"/>
    <s v="FABIO BATISTA DA SILVA"/>
    <s v="REINILSON IGLESIAS JUNIOR"/>
    <s v="WENDELL FRANKLIN VIEIRA MAIA"/>
    <x v="0"/>
    <x v="30"/>
    <x v="2"/>
    <s v="TECNICO MULTIFUNCIONAL"/>
    <x v="1188"/>
    <x v="1188"/>
    <x v="29"/>
    <x v="7"/>
    <x v="3"/>
    <x v="0"/>
    <x v="0"/>
  </r>
  <r>
    <x v="1188"/>
    <n v="101006255"/>
    <s v="ATIVIDADE NORMAL"/>
    <s v="23/03/2019"/>
    <x v="1"/>
    <x v="32"/>
    <x v="10"/>
    <x v="2"/>
    <s v="Regional Ceará"/>
    <s v="Capital Sul Ceará"/>
    <s v="MultiSkill"/>
    <x v="4"/>
    <s v="TEC MULTIFUNCIONAL"/>
    <s v="ATIVIDADE NORMAL"/>
    <s v="GCL"/>
    <s v="73362824315"/>
    <s v="04/09/2019"/>
    <s v="FRANCISCO DE ASSIS FILHO"/>
    <s v="JEFFERSON OLIVEIRA DA SILVA"/>
    <s v="JONILSON FELIPE VIEIRA"/>
    <x v="0"/>
    <x v="32"/>
    <x v="2"/>
    <s v="TECNICO MULTIFUNCIONAL"/>
    <x v="1189"/>
    <x v="1189"/>
    <x v="31"/>
    <x v="2"/>
    <x v="1"/>
    <x v="0"/>
    <x v="0"/>
  </r>
  <r>
    <x v="1189"/>
    <n v="101001782"/>
    <s v="FERIAS NORMAIS"/>
    <s v="02/09/2019"/>
    <x v="1"/>
    <x v="9"/>
    <x v="5"/>
    <x v="8"/>
    <s v="Regional Ceará"/>
    <s v="Quixadá"/>
    <s v="MultiSkill"/>
    <x v="4"/>
    <s v="TEC MULTIFUNCIONAL"/>
    <s v="FERIAS NORMAIS"/>
    <s v="QXA"/>
    <s v="73414611368"/>
    <s v="04/09/2019"/>
    <s v="LYNDON JONHSON SILVA LIMA"/>
    <s v="ALENCAR DE SOUZA SANTOS"/>
    <s v="JONILSON FELIPE VIEIRA"/>
    <x v="1"/>
    <x v="9"/>
    <x v="4"/>
    <s v="TECNICO MULTIFUNCIONAL"/>
    <x v="1190"/>
    <x v="1190"/>
    <x v="10"/>
    <x v="4"/>
    <x v="1"/>
    <x v="1"/>
    <x v="0"/>
  </r>
  <r>
    <x v="1190"/>
    <n v="109506248"/>
    <s v="ATIVIDADE NORMAL"/>
    <s v="01/05/2019"/>
    <x v="0"/>
    <x v="37"/>
    <x v="2"/>
    <x v="14"/>
    <s v="Regional Pernambuco"/>
    <s v="Recife"/>
    <s v="Tecnico de campo"/>
    <x v="1"/>
    <s v="CABISTA I"/>
    <s v="ATIVIDADE NORMAL"/>
    <s v="NOR"/>
    <s v="73595268415"/>
    <s v="04/09/2019"/>
    <s v="LUIZ GUSTAVO DE OLIVEIRA DINIZ"/>
    <s v="MARCOS DE OLIVEIRA STEHLING"/>
    <s v="NIVALDO DE OLIVEIRA SOARES"/>
    <x v="0"/>
    <x v="71"/>
    <x v="13"/>
    <s v="CABISTA I"/>
    <x v="1191"/>
    <x v="1191"/>
    <x v="71"/>
    <x v="3"/>
    <x v="0"/>
    <x v="0"/>
    <x v="1"/>
  </r>
  <r>
    <x v="1191"/>
    <n v="101010210"/>
    <s v="ATIVIDADE NORMAL"/>
    <s v="04/10/2018"/>
    <x v="1"/>
    <x v="1"/>
    <x v="18"/>
    <x v="1"/>
    <s v="Regional Ceará"/>
    <s v="Capital Sul Ceará"/>
    <s v="Tecnico de campo"/>
    <x v="0"/>
    <s v="TEC MULTIFUNCIONAL"/>
    <s v="ATIVIDADE NORMAL"/>
    <s v="GCS - FTTH"/>
    <s v="74078127304"/>
    <s v="04/09/2019"/>
    <s v="ANTONIO FABIO DOS SANTOS LIMA"/>
    <s v="ANTONIO ROBEVANIO PINHEIRO"/>
    <s v="JONILSON FELIPE VIEIRA"/>
    <x v="0"/>
    <x v="61"/>
    <x v="1"/>
    <s v="TECNICO MULTIFUNCIONAL"/>
    <x v="1192"/>
    <x v="1192"/>
    <x v="1"/>
    <x v="1"/>
    <x v="1"/>
    <x v="0"/>
    <x v="0"/>
  </r>
  <r>
    <x v="1192"/>
    <n v="109000926"/>
    <s v="ATIVIDADE NORMAL"/>
    <s v="06/02/2019"/>
    <x v="0"/>
    <x v="7"/>
    <x v="3"/>
    <x v="7"/>
    <s v="Regional Pernambuco"/>
    <s v="Recife"/>
    <s v="Tecnico de campo"/>
    <x v="2"/>
    <s v="TEC ADSL I"/>
    <s v="ATIVIDADE NORMAL"/>
    <s v="LES"/>
    <s v="52065642491"/>
    <s v="04/09/2019"/>
    <s v="ANTONIO MAGNO DE CASTRO LEAO"/>
    <s v="BRUNO VINICIUS DE ALBERTINS ALVES"/>
    <s v="NIVALDO DE OLIVEIRA SOARES"/>
    <x v="0"/>
    <x v="45"/>
    <x v="4"/>
    <s v="TECNICO ADSL"/>
    <x v="1193"/>
    <x v="1193"/>
    <x v="41"/>
    <x v="9"/>
    <x v="0"/>
    <x v="0"/>
    <x v="0"/>
  </r>
  <r>
    <x v="1193"/>
    <n v="109000499"/>
    <s v="ATIVIDADE NORMAL"/>
    <s v="13/03/2019"/>
    <x v="0"/>
    <x v="7"/>
    <x v="13"/>
    <x v="7"/>
    <s v="Regional Pernambuco"/>
    <s v="Recife"/>
    <s v="Tecnico de campo"/>
    <x v="8"/>
    <s v="OP DG"/>
    <s v="ATIVIDADE NORMAL"/>
    <s v="LES"/>
    <s v="52155145420"/>
    <s v="04/09/2019"/>
    <s v="ALTAIR LUIZ DO NASCIMENTO"/>
    <s v="DECIO FABIANO LOPES FERREIRA"/>
    <s v="NIVALDO DE OLIVEIRA SOARES"/>
    <x v="0"/>
    <x v="42"/>
    <x v="9"/>
    <s v="OPERADOR"/>
    <x v="1194"/>
    <x v="1194"/>
    <x v="38"/>
    <x v="0"/>
    <x v="0"/>
    <x v="0"/>
    <x v="1"/>
  </r>
  <r>
    <x v="1194"/>
    <n v="101007963"/>
    <s v="ATIVIDADE NORMAL"/>
    <s v="16/06/2019"/>
    <x v="1"/>
    <x v="41"/>
    <x v="2"/>
    <x v="4"/>
    <s v="Regional Ceará"/>
    <s v="Capital Oeste Ceará"/>
    <s v="Tecnico de campo"/>
    <x v="1"/>
    <s v="INSTALADOR"/>
    <s v="ATIVIDADE NORMAL"/>
    <s v="COO"/>
    <s v="52536742334"/>
    <s v="04/09/2019"/>
    <s v="JOSEVAN DE SOUSA SILVA"/>
    <s v="ALENCAR DE SOUZA SANTOS"/>
    <s v="JONILSON FELIPE VIEIRA"/>
    <x v="0"/>
    <x v="39"/>
    <x v="7"/>
    <s v="INSTALADOR I"/>
    <x v="1195"/>
    <x v="1195"/>
    <x v="35"/>
    <x v="4"/>
    <x v="1"/>
    <x v="0"/>
    <x v="1"/>
  </r>
  <r>
    <x v="1195"/>
    <n v="109000340"/>
    <s v="ATIVIDADE NORMAL"/>
    <s v="31/03/2019"/>
    <x v="0"/>
    <x v="38"/>
    <x v="6"/>
    <x v="22"/>
    <s v="Regional Pernambuco"/>
    <s v="Interior"/>
    <s v="Tecnico de campo"/>
    <x v="5"/>
    <s v="INSTALADOR"/>
    <s v="ATIVIDADE NORMAL"/>
    <s v="CAA"/>
    <s v="53066065472"/>
    <s v="04/09/2019"/>
    <s v="AILTON JOSE DOS SANTOS"/>
    <s v="DECIO FABIANO LOPES FERREIRA"/>
    <s v="NIVALDO DE OLIVEIRA SOARES"/>
    <x v="0"/>
    <x v="41"/>
    <x v="6"/>
    <s v="INSTALADOR I"/>
    <x v="1196"/>
    <x v="1196"/>
    <x v="22"/>
    <x v="0"/>
    <x v="0"/>
    <x v="0"/>
    <x v="1"/>
  </r>
  <r>
    <x v="1196"/>
    <n v="109000499"/>
    <s v="ATIVIDADE NORMAL"/>
    <s v="31/07/2019"/>
    <x v="0"/>
    <x v="35"/>
    <x v="13"/>
    <x v="14"/>
    <s v="Regional Pernambuco"/>
    <s v="Recife"/>
    <s v="Tecnico de campo"/>
    <x v="8"/>
    <s v="OP DG"/>
    <s v="ATIVIDADE NORMAL"/>
    <s v="NOR"/>
    <s v="53198506468"/>
    <s v="04/09/2019"/>
    <s v="ALTAIR LUIZ DO NASCIMENTO"/>
    <s v="DECIO FABIANO LOPES FERREIRA"/>
    <s v="NIVALDO DE OLIVEIRA SOARES"/>
    <x v="0"/>
    <x v="42"/>
    <x v="9"/>
    <s v="OPERADOR"/>
    <x v="1197"/>
    <x v="1197"/>
    <x v="38"/>
    <x v="0"/>
    <x v="0"/>
    <x v="0"/>
    <x v="1"/>
  </r>
  <r>
    <x v="1197"/>
    <n v="101005241"/>
    <s v="AFAST DOENCA MAIS DE 15 DIAS"/>
    <s v="13/08/2019"/>
    <x v="1"/>
    <x v="31"/>
    <x v="2"/>
    <x v="5"/>
    <s v="Regional Ceará"/>
    <s v="Juazeiro"/>
    <s v="Tecnico de campo"/>
    <x v="1"/>
    <s v="CABISTA I"/>
    <s v="AFAST DOENCA MAIS DE 15 DIAS"/>
    <s v="JNE"/>
    <s v="54943647472"/>
    <s v="04/09/2019"/>
    <s v="CLAUDECIR GOMES MACIEL"/>
    <s v="JEFFERSON OLIVEIRA DA SILVA"/>
    <s v="JONILSON FELIPE VIEIRA"/>
    <x v="1"/>
    <x v="5"/>
    <x v="2"/>
    <s v="CABISTA I"/>
    <x v="1198"/>
    <x v="1198"/>
    <x v="6"/>
    <x v="2"/>
    <x v="1"/>
    <x v="2"/>
    <x v="1"/>
  </r>
  <r>
    <x v="1198"/>
    <n v="105000986"/>
    <s v="ATIVIDADE NORMAL"/>
    <s v="06/03/2019"/>
    <x v="2"/>
    <x v="33"/>
    <x v="4"/>
    <x v="16"/>
    <s v="Regional Pernambuco"/>
    <s v="João Pessoa"/>
    <s v="MultiSkill"/>
    <x v="3"/>
    <s v="TEC MULTIFUNCIONAL"/>
    <s v="ATIVIDADE NORMAL"/>
    <s v="CGE"/>
    <s v="55824587434"/>
    <s v="04/09/2019"/>
    <s v="JOSILENE MACENA DE OLIVEIRA"/>
    <s v="WENDELL FRANKLIN VIEIRA MAIA"/>
    <s v="WENDELL FRANKLIN VIEIRA MAIA"/>
    <x v="0"/>
    <x v="20"/>
    <x v="2"/>
    <s v="TECNICO MULTIFUNCIONAL"/>
    <x v="1199"/>
    <x v="1199"/>
    <x v="21"/>
    <x v="6"/>
    <x v="3"/>
    <x v="0"/>
    <x v="0"/>
  </r>
  <r>
    <x v="1199"/>
    <n v="101001782"/>
    <s v="ATIVIDADE NORMAL"/>
    <s v="02/01/2019"/>
    <x v="1"/>
    <x v="40"/>
    <x v="14"/>
    <x v="8"/>
    <s v="Regional Ceará"/>
    <s v="Quixadá"/>
    <s v="MultiSkill"/>
    <x v="4"/>
    <s v="TEC MULTIFUNCIONAL"/>
    <s v="ATIVIDADE NORMAL"/>
    <s v="QXA"/>
    <s v="74123254349"/>
    <s v="04/09/2019"/>
    <s v="LYNDON JONHSON SILVA LIMA"/>
    <s v="ALENCAR DE SOUZA SANTOS"/>
    <s v="JONILSON FELIPE VIEIRA"/>
    <x v="0"/>
    <x v="9"/>
    <x v="2"/>
    <s v="TECNICO MULTIFUNCIONAL"/>
    <x v="1200"/>
    <x v="1200"/>
    <x v="10"/>
    <x v="4"/>
    <x v="1"/>
    <x v="0"/>
    <x v="0"/>
  </r>
  <r>
    <x v="1200"/>
    <n v="101006811"/>
    <s v="ATIVIDADE NORMAL"/>
    <s v="19/01/2019"/>
    <x v="1"/>
    <x v="43"/>
    <x v="8"/>
    <x v="8"/>
    <s v="Regional Ceará"/>
    <s v="Quixadá"/>
    <s v="Tecnico de campo"/>
    <x v="6"/>
    <s v="CABISTA III"/>
    <s v="ATIVIDADE NORMAL"/>
    <s v="QXA"/>
    <s v="74577573334"/>
    <s v="04/09/2019"/>
    <s v="CARLOS FERNANDES GUIMARAES"/>
    <s v="ALENCAR DE SOUZA SANTOS"/>
    <s v="JONILSON FELIPE VIEIRA"/>
    <x v="0"/>
    <x v="44"/>
    <x v="7"/>
    <s v="CABISTA III"/>
    <x v="1201"/>
    <x v="1201"/>
    <x v="40"/>
    <x v="4"/>
    <x v="1"/>
    <x v="0"/>
    <x v="1"/>
  </r>
  <r>
    <x v="1201"/>
    <n v="101008003"/>
    <s v="ATIVIDADE NORMAL"/>
    <s v="19/12/2018"/>
    <x v="1"/>
    <x v="1"/>
    <x v="18"/>
    <x v="1"/>
    <s v="Regional Ceará"/>
    <s v="Capital Sul Ceará"/>
    <s v="Tecnico de campo"/>
    <x v="0"/>
    <s v="TEC MULTIFUNCIONAL"/>
    <s v="ATIVIDADE NORMAL"/>
    <s v="GCS - FTTH"/>
    <s v="75307235372"/>
    <s v="04/09/2019"/>
    <s v="NILO WEBER RAMOS RIBEIRO"/>
    <s v="ANTONIO ROBEVANIO PINHEIRO"/>
    <s v="JONILSON FELIPE VIEIRA"/>
    <x v="0"/>
    <x v="54"/>
    <x v="1"/>
    <s v="TECNICO MULTIFUNCIONAL"/>
    <x v="1202"/>
    <x v="1202"/>
    <x v="3"/>
    <x v="1"/>
    <x v="1"/>
    <x v="0"/>
    <x v="0"/>
  </r>
  <r>
    <x v="1202"/>
    <n v="428271"/>
    <s v="FERIAS NORMAIS"/>
    <s v="02/09/2019"/>
    <x v="1"/>
    <x v="12"/>
    <x v="10"/>
    <x v="1"/>
    <s v="Regional Ceará"/>
    <s v="Capital Sul Ceará"/>
    <s v="MultiSkill"/>
    <x v="4"/>
    <s v="TEC MULTIFUNCIONAL"/>
    <s v="FERIAS NORMAIS"/>
    <s v="GCS"/>
    <s v="75624630344"/>
    <s v="04/09/2019"/>
    <s v="SHEYLA MARIA CALIOPE DE MELO MOURA"/>
    <s v="JEFFERSON OLIVEIRA DA SILVA"/>
    <s v="JONILSON FELIPE VIEIRA"/>
    <x v="1"/>
    <x v="56"/>
    <x v="2"/>
    <s v="TECNICO MULTIFUNCIONAL"/>
    <x v="1203"/>
    <x v="1203"/>
    <x v="47"/>
    <x v="2"/>
    <x v="1"/>
    <x v="1"/>
    <x v="0"/>
  </r>
  <r>
    <x v="1203"/>
    <n v="101010062"/>
    <s v="ATIVIDADE NORMAL"/>
    <s v="31/07/2019"/>
    <x v="1"/>
    <x v="26"/>
    <x v="5"/>
    <x v="15"/>
    <s v="Regional Ceará"/>
    <s v="Sobral"/>
    <s v="MultiSkill"/>
    <x v="4"/>
    <s v="TEC MULTIFUNCIONAL"/>
    <s v="ATIVIDADE NORMAL"/>
    <s v="SOL"/>
    <s v="75856948300"/>
    <s v="04/09/2019"/>
    <s v="ANTONIO ERINEUDES CAVALCANTE FEIJAO"/>
    <s v="JEFFERSON OLIVEIRA DA SILVA"/>
    <s v="JONILSON FELIPE VIEIRA"/>
    <x v="0"/>
    <x v="26"/>
    <x v="2"/>
    <s v="TECNICO MULTIFUNCIONAL"/>
    <x v="1204"/>
    <x v="1204"/>
    <x v="26"/>
    <x v="2"/>
    <x v="1"/>
    <x v="0"/>
    <x v="0"/>
  </r>
  <r>
    <x v="1204"/>
    <n v="101007665"/>
    <s v="ATIVIDADE NORMAL"/>
    <s v="05/06/2019"/>
    <x v="1"/>
    <x v="48"/>
    <x v="13"/>
    <x v="3"/>
    <s v="Regional Ceará"/>
    <s v="Capital Oeste Ceará"/>
    <s v="Tecnico de campo"/>
    <x v="8"/>
    <s v="OP DG"/>
    <s v="ATIVIDADE NORMAL"/>
    <s v="CNO"/>
    <s v="75978482349"/>
    <s v="04/09/2019"/>
    <s v="CARLOS AUGUSTO ALVES DE SOUSA"/>
    <s v="ALENCAR DE SOUZA SANTOS"/>
    <s v="JONILSON FELIPE VIEIRA"/>
    <x v="1"/>
    <x v="33"/>
    <x v="9"/>
    <s v="OPERADOR"/>
    <x v="1205"/>
    <x v="1205"/>
    <x v="45"/>
    <x v="4"/>
    <x v="1"/>
    <x v="0"/>
    <x v="1"/>
  </r>
  <r>
    <x v="1205"/>
    <n v="101004033"/>
    <s v="FERIAS NORMAIS"/>
    <s v="02/09/2019"/>
    <x v="1"/>
    <x v="64"/>
    <x v="10"/>
    <x v="3"/>
    <s v="Regional Ceará"/>
    <s v="Capital Oeste Ceará"/>
    <s v="MultiSkill"/>
    <x v="4"/>
    <s v="TEC MULTIFUNCIONAL"/>
    <s v="FERIAS NORMAIS"/>
    <s v="CNO"/>
    <s v="76125033368"/>
    <s v="04/09/2019"/>
    <s v="HENRIQUE OLIVEIRA DO NASCIMENTO"/>
    <s v="ALENCAR DE SOUZA SANTOS"/>
    <s v="JONILSON FELIPE VIEIRA"/>
    <x v="1"/>
    <x v="63"/>
    <x v="2"/>
    <s v="TECNICO MULTIFUNCIONAL"/>
    <x v="1206"/>
    <x v="1206"/>
    <x v="52"/>
    <x v="4"/>
    <x v="1"/>
    <x v="1"/>
    <x v="0"/>
  </r>
  <r>
    <x v="1206"/>
    <n v="109506091"/>
    <s v="ATIVIDADE NORMAL"/>
    <s v="29/03/2019"/>
    <x v="0"/>
    <x v="35"/>
    <x v="10"/>
    <x v="14"/>
    <s v="Regional Pernambuco"/>
    <s v="Recife"/>
    <s v="MultiSkill"/>
    <x v="4"/>
    <s v="TEC MULTIFUNCIONAL"/>
    <s v="ATIVIDADE NORMAL"/>
    <s v="NOR"/>
    <s v="76596125491"/>
    <s v="04/09/2019"/>
    <s v="LUIZ RICARDO LIMA DA SILVA"/>
    <s v="BRUNO VINICIUS DE ALBERTINS ALVES"/>
    <s v="NIVALDO DE OLIVEIRA SOARES"/>
    <x v="0"/>
    <x v="38"/>
    <x v="2"/>
    <s v="TECNICO MULTIFUNCIONAL"/>
    <x v="1207"/>
    <x v="1207"/>
    <x v="49"/>
    <x v="9"/>
    <x v="0"/>
    <x v="0"/>
    <x v="0"/>
  </r>
  <r>
    <x v="1207"/>
    <n v="109500315"/>
    <s v="ATIVIDADE NORMAL"/>
    <s v="30/09/2019"/>
    <x v="0"/>
    <x v="39"/>
    <x v="6"/>
    <x v="13"/>
    <s v="Regional Pernambuco"/>
    <s v="Recife"/>
    <s v="Equipe SWAT"/>
    <x v="5"/>
    <s v="INSTALADOR TUP"/>
    <s v="ATIVIDADE NORMAL"/>
    <s v="OES"/>
    <s v="76620670415"/>
    <s v="04/09/2019"/>
    <s v="IVALDO BEZERRA NOVAIS"/>
    <s v="DECIO FABIANO LOPES FERREIRA"/>
    <s v="NIVALDO DE OLIVEIRA SOARES"/>
    <x v="0"/>
    <x v="47"/>
    <x v="6"/>
    <s v="INSTALADOR I"/>
    <x v="1208"/>
    <x v="1208"/>
    <x v="42"/>
    <x v="0"/>
    <x v="0"/>
    <x v="0"/>
    <x v="1"/>
  </r>
  <r>
    <x v="1208"/>
    <n v="109000017"/>
    <s v="ATIVIDADE NORMAL"/>
    <s v="25/01/2019"/>
    <x v="0"/>
    <x v="56"/>
    <x v="12"/>
    <x v="10"/>
    <s v="Regional Pernambuco"/>
    <s v="Recife"/>
    <s v="Equipe SWAT"/>
    <x v="6"/>
    <s v="CABISTA I"/>
    <s v="ATIVIDADE NORMAL"/>
    <s v="PES"/>
    <s v="76724077400"/>
    <s v="04/09/2019"/>
    <s v="AMAURY ASSIS DE LIMA"/>
    <s v="DECIO FABIANO LOPES FERREIRA"/>
    <s v="NIVALDO DE OLIVEIRA SOARES"/>
    <x v="0"/>
    <x v="70"/>
    <x v="10"/>
    <s v="CABISTA I"/>
    <x v="1209"/>
    <x v="1209"/>
    <x v="15"/>
    <x v="0"/>
    <x v="0"/>
    <x v="0"/>
    <x v="1"/>
  </r>
  <r>
    <x v="1209"/>
    <n v="109000017"/>
    <s v="ATIVIDADE NORMAL"/>
    <s v="01/05/2019"/>
    <x v="0"/>
    <x v="13"/>
    <x v="10"/>
    <x v="10"/>
    <s v="Regional Pernambuco"/>
    <s v="Recife"/>
    <s v="MultiSkill"/>
    <x v="4"/>
    <s v="TEC MULTIFUNCIONAL"/>
    <s v="ATIVIDADE NORMAL"/>
    <s v="PES"/>
    <s v="76788180415"/>
    <s v="04/09/2019"/>
    <s v="AMAURY ASSIS DE LIMA"/>
    <s v="DECIO FABIANO LOPES FERREIRA"/>
    <s v="NIVALDO DE OLIVEIRA SOARES"/>
    <x v="0"/>
    <x v="14"/>
    <x v="2"/>
    <s v="TECNICO MULTIFUNCIONAL"/>
    <x v="1210"/>
    <x v="1210"/>
    <x v="15"/>
    <x v="0"/>
    <x v="0"/>
    <x v="0"/>
    <x v="0"/>
  </r>
  <r>
    <x v="1210"/>
    <n v="101007963"/>
    <s v="ATIVIDADE NORMAL"/>
    <s v="05/06/2019"/>
    <x v="1"/>
    <x v="41"/>
    <x v="10"/>
    <x v="4"/>
    <s v="Regional Ceará"/>
    <s v="Capital Oeste Ceará"/>
    <s v="MultiSkill"/>
    <x v="4"/>
    <s v="TEC MULTIFUNCIONAL"/>
    <s v="ATIVIDADE NORMAL"/>
    <s v="COO"/>
    <s v="76840832368"/>
    <s v="04/09/2019"/>
    <s v="JOSEVAN DE SOUSA SILVA"/>
    <s v="ALENCAR DE SOUZA SANTOS"/>
    <s v="JONILSON FELIPE VIEIRA"/>
    <x v="0"/>
    <x v="39"/>
    <x v="2"/>
    <s v="TECNICO MULTIFUNCIONAL"/>
    <x v="1211"/>
    <x v="1211"/>
    <x v="35"/>
    <x v="4"/>
    <x v="1"/>
    <x v="0"/>
    <x v="0"/>
  </r>
  <r>
    <x v="1211"/>
    <n v="109505819"/>
    <s v="ATIVIDADE NORMAL"/>
    <s v="01/05/2019"/>
    <x v="0"/>
    <x v="39"/>
    <x v="10"/>
    <x v="13"/>
    <s v="Regional Pernambuco"/>
    <s v="Recife"/>
    <s v="MultiSkill"/>
    <x v="4"/>
    <s v="TEC MULTIFUNCIONAL"/>
    <s v="ATIVIDADE NORMAL"/>
    <s v="OES"/>
    <s v="57132798472"/>
    <s v="04/09/2019"/>
    <s v="ALESSANDRO DIONISIO DE FRANCA"/>
    <s v="DECIO FABIANO LOPES FERREIRA"/>
    <s v="NIVALDO DE OLIVEIRA SOARES"/>
    <x v="0"/>
    <x v="16"/>
    <x v="2"/>
    <s v="TECNICO MULTIFUNCIONAL"/>
    <x v="1212"/>
    <x v="1212"/>
    <x v="37"/>
    <x v="0"/>
    <x v="0"/>
    <x v="0"/>
    <x v="0"/>
  </r>
  <r>
    <x v="1212"/>
    <n v="109500315"/>
    <s v="ATIVIDADE NORMAL"/>
    <s v="30/09/2019"/>
    <x v="0"/>
    <x v="56"/>
    <x v="6"/>
    <x v="10"/>
    <s v="Regional Pernambuco"/>
    <s v="Recife"/>
    <s v="Tecnico de campo"/>
    <x v="5"/>
    <s v="INSTALADOR TUP"/>
    <s v="ATIVIDADE NORMAL"/>
    <s v="PES"/>
    <s v="57842388415"/>
    <s v="04/09/2019"/>
    <s v="IVALDO BEZERRA NOVAIS"/>
    <s v="DECIO FABIANO LOPES FERREIRA"/>
    <s v="NIVALDO DE OLIVEIRA SOARES"/>
    <x v="0"/>
    <x v="47"/>
    <x v="6"/>
    <s v="INSTALADOR I"/>
    <x v="1213"/>
    <x v="1213"/>
    <x v="42"/>
    <x v="0"/>
    <x v="0"/>
    <x v="0"/>
    <x v="1"/>
  </r>
  <r>
    <x v="1213"/>
    <n v="109504369"/>
    <s v="ATIVIDADE NORMAL"/>
    <s v="23/05/2019"/>
    <x v="0"/>
    <x v="56"/>
    <x v="2"/>
    <x v="10"/>
    <s v="Regional Pernambuco"/>
    <s v="Recife"/>
    <s v="Tecnico de campo"/>
    <x v="1"/>
    <s v="INSTALADOR"/>
    <s v="ATIVIDADE NORMAL"/>
    <s v="PES"/>
    <s v="59296151449"/>
    <s v="04/09/2019"/>
    <s v="JOSE HAILTON ATAIDE"/>
    <s v="MARCOS DE OLIVEIRA STEHLING"/>
    <s v="NIVALDO DE OLIVEIRA SOARES"/>
    <x v="0"/>
    <x v="55"/>
    <x v="3"/>
    <s v="INSTALADOR I"/>
    <x v="1214"/>
    <x v="1214"/>
    <x v="46"/>
    <x v="3"/>
    <x v="0"/>
    <x v="0"/>
    <x v="1"/>
  </r>
  <r>
    <x v="1214"/>
    <n v="109506091"/>
    <s v="FERIAS NORMAIS"/>
    <s v="19/08/2019"/>
    <x v="0"/>
    <x v="35"/>
    <x v="10"/>
    <x v="14"/>
    <s v="Regional Pernambuco"/>
    <s v="Recife"/>
    <s v="MultiSkill"/>
    <x v="4"/>
    <s v="TEC MULTIFUNCIONAL"/>
    <s v="FERIAS NORMAIS"/>
    <s v="NOR"/>
    <s v="59489090425"/>
    <s v="04/09/2019"/>
    <s v="LUIZ RICARDO LIMA DA SILVA"/>
    <s v="BRUNO VINICIUS DE ALBERTINS ALVES"/>
    <s v="NIVALDO DE OLIVEIRA SOARES"/>
    <x v="1"/>
    <x v="38"/>
    <x v="2"/>
    <s v="TECNICO MULTIFUNCIONAL"/>
    <x v="1215"/>
    <x v="1215"/>
    <x v="49"/>
    <x v="9"/>
    <x v="0"/>
    <x v="1"/>
    <x v="0"/>
  </r>
  <r>
    <x v="1215"/>
    <n v="109000340"/>
    <s v="ATIVIDADE NORMAL"/>
    <s v="06/02/2019"/>
    <x v="0"/>
    <x v="0"/>
    <x v="6"/>
    <x v="0"/>
    <s v="Regional Pernambuco"/>
    <s v="Interior"/>
    <s v="Tecnico de campo"/>
    <x v="5"/>
    <s v="INSTALADOR"/>
    <s v="ATIVIDADE NORMAL"/>
    <s v="CRU"/>
    <s v="60049871404"/>
    <s v="04/09/2019"/>
    <s v="AILTON JOSE DOS SANTOS"/>
    <s v="DECIO FABIANO LOPES FERREIRA"/>
    <s v="NIVALDO DE OLIVEIRA SOARES"/>
    <x v="0"/>
    <x v="21"/>
    <x v="6"/>
    <s v="INSTALADOR I"/>
    <x v="1216"/>
    <x v="1216"/>
    <x v="22"/>
    <x v="0"/>
    <x v="0"/>
    <x v="0"/>
    <x v="1"/>
  </r>
  <r>
    <x v="1216"/>
    <n v="101005989"/>
    <s v="ATIVIDADE NORMAL"/>
    <s v="26/11/2018"/>
    <x v="1"/>
    <x v="69"/>
    <x v="10"/>
    <x v="3"/>
    <s v="Regional Ceará"/>
    <s v="Capital Oeste Ceará"/>
    <s v="MultiSkill"/>
    <x v="4"/>
    <s v="TEC MULTIFUNCIONAL"/>
    <s v="ATIVIDADE NORMAL"/>
    <s v="CNO"/>
    <s v="60382444337"/>
    <s v="04/09/2019"/>
    <s v="JOSENIL GOMES RODRIGUES"/>
    <s v="ALENCAR DE SOUZA SANTOS"/>
    <s v="JONILSON FELIPE VIEIRA"/>
    <x v="0"/>
    <x v="17"/>
    <x v="2"/>
    <s v="TECNICO MULTIFUNCIONAL"/>
    <x v="1217"/>
    <x v="1217"/>
    <x v="18"/>
    <x v="4"/>
    <x v="1"/>
    <x v="0"/>
    <x v="0"/>
  </r>
  <r>
    <x v="1217"/>
    <n v="109000427"/>
    <s v="ATIVIDADE NORMAL"/>
    <s v="28/11/2018"/>
    <x v="0"/>
    <x v="35"/>
    <x v="2"/>
    <x v="14"/>
    <s v="Regional Pernambuco"/>
    <s v="Recife"/>
    <s v="Tecnico de campo"/>
    <x v="1"/>
    <s v="AUX REDE"/>
    <s v="ATIVIDADE NORMAL"/>
    <s v="NOR"/>
    <s v="76884872420"/>
    <s v="04/09/2019"/>
    <s v="HAMILTON DAVINO DA SILVA"/>
    <s v="MARCOS DE OLIVEIRA STEHLING"/>
    <s v="NIVALDO DE OLIVEIRA SOARES"/>
    <x v="0"/>
    <x v="6"/>
    <x v="3"/>
    <s v="AUXILIAR REDE"/>
    <x v="1218"/>
    <x v="1218"/>
    <x v="7"/>
    <x v="3"/>
    <x v="0"/>
    <x v="0"/>
    <x v="1"/>
  </r>
  <r>
    <x v="1218"/>
    <n v="109000340"/>
    <s v="ATIVIDADE NORMAL"/>
    <s v="09/09/2019"/>
    <x v="0"/>
    <x v="0"/>
    <x v="0"/>
    <x v="0"/>
    <s v="Regional Pernambuco"/>
    <s v="Interior"/>
    <s v="MultiSkill"/>
    <x v="0"/>
    <s v="TEC MULTIFUNCIONAL"/>
    <s v="ATIVIDADE NORMAL"/>
    <s v="CRU"/>
    <s v="77449371472"/>
    <s v="04/09/2019"/>
    <s v="AILTON JOSE DOS SANTOS"/>
    <s v="DECIO FABIANO LOPES FERREIRA"/>
    <s v="NIVALDO DE OLIVEIRA SOARES"/>
    <x v="0"/>
    <x v="21"/>
    <x v="2"/>
    <s v="TECNICO MULTIFUNCIONAL"/>
    <x v="1219"/>
    <x v="1219"/>
    <x v="22"/>
    <x v="0"/>
    <x v="0"/>
    <x v="0"/>
    <x v="0"/>
  </r>
  <r>
    <x v="1219"/>
    <n v="101001488"/>
    <s v="ATIVIDADE NORMAL"/>
    <s v="25/06/2019"/>
    <x v="1"/>
    <x v="2"/>
    <x v="1"/>
    <x v="2"/>
    <s v="Regional Ceará"/>
    <s v="Capital Sul Ceará"/>
    <s v="MultiSkill"/>
    <x v="0"/>
    <s v="TEC MULTIFUNCIONAL"/>
    <s v="ATIVIDADE NORMAL"/>
    <s v="GCL"/>
    <s v="77661320363"/>
    <s v="04/09/2019"/>
    <s v="MICHEL SOARES DE OLIVEIRA"/>
    <s v="ANTONIO ROBEVANIO PINHEIRO"/>
    <s v="JONILSON FELIPE VIEIRA"/>
    <x v="0"/>
    <x v="50"/>
    <x v="1"/>
    <s v="TECNICO MULTIFUNCIONAL"/>
    <x v="1220"/>
    <x v="1220"/>
    <x v="2"/>
    <x v="1"/>
    <x v="1"/>
    <x v="0"/>
    <x v="0"/>
  </r>
  <r>
    <x v="1220"/>
    <n v="109000926"/>
    <s v="FERIAS NORMAIS"/>
    <s v="19/08/2019"/>
    <x v="0"/>
    <x v="7"/>
    <x v="10"/>
    <x v="7"/>
    <s v="Regional Pernambuco"/>
    <s v="Recife"/>
    <s v="MultiSkill"/>
    <x v="4"/>
    <s v="TEC MULTIFUNCIONAL"/>
    <s v="FERIAS NORMAIS"/>
    <s v="LES"/>
    <s v="77973038434"/>
    <s v="04/09/2019"/>
    <s v="ANTONIO MAGNO DE CASTRO LEAO"/>
    <s v="BRUNO VINICIUS DE ALBERTINS ALVES"/>
    <s v="NIVALDO DE OLIVEIRA SOARES"/>
    <x v="1"/>
    <x v="45"/>
    <x v="2"/>
    <s v="TECNICO MULTIFUNCIONAL"/>
    <x v="1221"/>
    <x v="1221"/>
    <x v="41"/>
    <x v="9"/>
    <x v="0"/>
    <x v="1"/>
    <x v="0"/>
  </r>
  <r>
    <x v="1221"/>
    <n v="109500038"/>
    <s v="ATIVIDADE NORMAL"/>
    <s v="30/09/2019"/>
    <x v="0"/>
    <x v="35"/>
    <x v="2"/>
    <x v="14"/>
    <s v="Regional Pernambuco"/>
    <s v="Recife"/>
    <s v="Tecnico de campo"/>
    <x v="1"/>
    <s v="CABISTA III"/>
    <s v="ATIVIDADE NORMAL"/>
    <s v="NOR"/>
    <s v="78347998434"/>
    <s v="04/09/2019"/>
    <s v="PATRICIO MARTINS DE SOUSA"/>
    <s v="MARCOS DE OLIVEIRA STEHLING"/>
    <s v="NIVALDO DE OLIVEIRA SOARES"/>
    <x v="0"/>
    <x v="18"/>
    <x v="8"/>
    <s v="CABISTA III"/>
    <x v="1222"/>
    <x v="1222"/>
    <x v="19"/>
    <x v="3"/>
    <x v="0"/>
    <x v="0"/>
    <x v="1"/>
  </r>
  <r>
    <x v="1222"/>
    <n v="102100917"/>
    <s v="ATIVIDADE NORMAL"/>
    <s v="18/06/2019"/>
    <x v="3"/>
    <x v="27"/>
    <x v="4"/>
    <x v="20"/>
    <s v="Regional Pernambuco"/>
    <s v="Natal"/>
    <s v="MultiSkill"/>
    <x v="3"/>
    <s v="TEC MULTIFUNCIONAL"/>
    <s v="ATIVIDADE NORMAL"/>
    <s v="MRO"/>
    <s v="78357268404"/>
    <s v="04/09/2019"/>
    <s v="FERNANDO FREITAS ALMEIDA DOS SANTOS"/>
    <s v="REINILSON IGLESIAS JUNIOR"/>
    <s v="WENDELL FRANKLIN VIEIRA MAIA"/>
    <x v="0"/>
    <x v="28"/>
    <x v="2"/>
    <s v="TECNICO MULTIFUNCIONAL"/>
    <x v="1223"/>
    <x v="1223"/>
    <x v="27"/>
    <x v="7"/>
    <x v="3"/>
    <x v="0"/>
    <x v="0"/>
  </r>
  <r>
    <x v="1223"/>
    <n v="101006811"/>
    <s v="FERIAS NORMAIS"/>
    <s v="02/09/2019"/>
    <x v="1"/>
    <x v="43"/>
    <x v="5"/>
    <x v="8"/>
    <s v="Regional Ceará"/>
    <s v="Quixadá"/>
    <s v="MultiSkill"/>
    <x v="4"/>
    <s v="TEC MULTIFUNCIONAL"/>
    <s v="FERIAS NORMAIS"/>
    <s v="QXA"/>
    <s v="78442613315"/>
    <s v="04/09/2019"/>
    <s v="CARLOS FERNANDES GUIMARAES"/>
    <s v="ALENCAR DE SOUZA SANTOS"/>
    <s v="JONILSON FELIPE VIEIRA"/>
    <x v="1"/>
    <x v="44"/>
    <x v="2"/>
    <s v="TECNICO MULTIFUNCIONAL"/>
    <x v="1224"/>
    <x v="1224"/>
    <x v="40"/>
    <x v="4"/>
    <x v="1"/>
    <x v="1"/>
    <x v="0"/>
  </r>
  <r>
    <x v="1224"/>
    <n v="101003771"/>
    <s v="ATIVIDADE NORMAL"/>
    <s v="31/07/2019"/>
    <x v="1"/>
    <x v="55"/>
    <x v="6"/>
    <x v="1"/>
    <s v="Regional Ceará"/>
    <s v="Capital Sul Ceará"/>
    <s v="Equipe SWAT"/>
    <x v="5"/>
    <s v="INSTALADOR TUP"/>
    <s v="ATIVIDADE NORMAL"/>
    <s v="GCS"/>
    <s v="78831717391"/>
    <s v="04/09/2019"/>
    <s v="ANA CLAUDIA DE CASTRO DA SILVA"/>
    <s v="ALENCAR DE SOUZA SANTOS"/>
    <s v="JONILSON FELIPE VIEIRA"/>
    <x v="0"/>
    <x v="13"/>
    <x v="6"/>
    <s v="INSTALADOR I"/>
    <x v="1225"/>
    <x v="1225"/>
    <x v="14"/>
    <x v="4"/>
    <x v="1"/>
    <x v="0"/>
    <x v="1"/>
  </r>
  <r>
    <x v="1225"/>
    <n v="109000926"/>
    <s v="ATIVIDADE NORMAL"/>
    <s v="01/02/2019"/>
    <x v="0"/>
    <x v="7"/>
    <x v="10"/>
    <x v="7"/>
    <s v="Regional Pernambuco"/>
    <s v="Recife"/>
    <s v="MultiSkill"/>
    <x v="4"/>
    <s v="TEC MULTIFUNCIONAL"/>
    <s v="ATIVIDADE NORMAL"/>
    <s v="LES"/>
    <s v="79296980410"/>
    <s v="04/09/2019"/>
    <s v="ANTONIO MAGNO DE CASTRO LEAO"/>
    <s v="BRUNO VINICIUS DE ALBERTINS ALVES"/>
    <s v="NIVALDO DE OLIVEIRA SOARES"/>
    <x v="0"/>
    <x v="45"/>
    <x v="2"/>
    <s v="TECNICO MULTIFUNCIONAL"/>
    <x v="1226"/>
    <x v="1226"/>
    <x v="41"/>
    <x v="9"/>
    <x v="0"/>
    <x v="0"/>
    <x v="0"/>
  </r>
  <r>
    <x v="1226"/>
    <n v="101010209"/>
    <s v="FERIAS NORMAIS"/>
    <s v="19/08/2019"/>
    <x v="1"/>
    <x v="10"/>
    <x v="10"/>
    <x v="4"/>
    <s v="Regional Ceará"/>
    <s v="Capital Oeste Ceará"/>
    <s v="MultiSkill"/>
    <x v="4"/>
    <s v="TEC MULTIFUNCIONAL"/>
    <s v="FERIAS NORMAIS"/>
    <s v="COO"/>
    <s v="80332285391"/>
    <s v="04/09/2019"/>
    <s v="KARLYSSON FRANCO SANTANA DE SOUSA"/>
    <s v="ALENCAR DE SOUZA SANTOS"/>
    <s v="JONILSON FELIPE VIEIRA"/>
    <x v="1"/>
    <x v="10"/>
    <x v="2"/>
    <s v="TECNICO MULTIFUNCIONAL"/>
    <x v="1227"/>
    <x v="1227"/>
    <x v="11"/>
    <x v="4"/>
    <x v="1"/>
    <x v="1"/>
    <x v="0"/>
  </r>
  <r>
    <x v="1227"/>
    <n v="109000427"/>
    <s v="ATIVIDADE NORMAL"/>
    <s v="16/01/2019"/>
    <x v="0"/>
    <x v="14"/>
    <x v="2"/>
    <x v="11"/>
    <s v="Regional Pernambuco"/>
    <s v="Interior"/>
    <s v="Tecnico de campo"/>
    <x v="1"/>
    <s v="CABISTA II"/>
    <s v="ATIVIDADE NORMAL"/>
    <s v="ACV"/>
    <s v="80337856400"/>
    <s v="04/09/2019"/>
    <s v="HAMILTON DAVINO DA SILVA"/>
    <s v="MARCOS DE OLIVEIRA STEHLING"/>
    <s v="NIVALDO DE OLIVEIRA SOARES"/>
    <x v="0"/>
    <x v="6"/>
    <x v="3"/>
    <s v="CABISTA II"/>
    <x v="1228"/>
    <x v="1228"/>
    <x v="7"/>
    <x v="3"/>
    <x v="0"/>
    <x v="0"/>
    <x v="1"/>
  </r>
  <r>
    <x v="1228"/>
    <n v="105303134"/>
    <s v="ATIVIDADE NORMAL"/>
    <s v="11/12/2018"/>
    <x v="2"/>
    <x v="42"/>
    <x v="10"/>
    <x v="12"/>
    <s v="Regional Pernambuco"/>
    <s v="João Pessoa"/>
    <s v="MultiSkill"/>
    <x v="4"/>
    <s v="TEC MULTIFUNCIONAL"/>
    <s v="ATIVIDADE NORMAL"/>
    <s v="JPA"/>
    <s v="80594298415"/>
    <s v="04/09/2019"/>
    <s v="GLAUBER JOSE GOMES LEITAO"/>
    <s v="WENDELL FRANKLIN VIEIRA MAIA"/>
    <s v="WENDELL FRANKLIN VIEIRA MAIA"/>
    <x v="0"/>
    <x v="43"/>
    <x v="2"/>
    <s v="TECNICO MULTIFUNCIONAL"/>
    <x v="1229"/>
    <x v="1229"/>
    <x v="39"/>
    <x v="6"/>
    <x v="3"/>
    <x v="0"/>
    <x v="0"/>
  </r>
  <r>
    <x v="1229"/>
    <n v="102101220"/>
    <s v="ATIVIDADE NORMAL"/>
    <s v="13/03/2019"/>
    <x v="3"/>
    <x v="22"/>
    <x v="11"/>
    <x v="18"/>
    <s v="Regional Pernambuco"/>
    <s v="Natal"/>
    <s v="Tecnico de campo"/>
    <x v="1"/>
    <s v="TEC MULTIFUNCIONAL"/>
    <s v="ATIVIDADE NORMAL"/>
    <s v="RNS"/>
    <s v="80674950410"/>
    <s v="04/09/2019"/>
    <s v="JOSUE MOURA DA SILVA"/>
    <s v="REINILSON IGLESIAS JUNIOR"/>
    <s v="WENDELL FRANKLIN VIEIRA MAIA"/>
    <x v="0"/>
    <x v="22"/>
    <x v="2"/>
    <s v="TECNICO MULTIFUNCIONAL"/>
    <x v="1230"/>
    <x v="1230"/>
    <x v="23"/>
    <x v="7"/>
    <x v="3"/>
    <x v="0"/>
    <x v="1"/>
  </r>
  <r>
    <x v="1230"/>
    <n v="102101220"/>
    <s v="ATIVIDADE NORMAL"/>
    <s v="31/07/2019"/>
    <x v="3"/>
    <x v="22"/>
    <x v="2"/>
    <x v="18"/>
    <s v="Regional Pernambuco"/>
    <s v="Natal"/>
    <s v="Tecnico de campo"/>
    <x v="1"/>
    <s v="CABISTA III"/>
    <s v="ATIVIDADE NORMAL"/>
    <s v="RNS"/>
    <s v="80689302487"/>
    <s v="04/09/2019"/>
    <s v="JOSUE MOURA DA SILVA"/>
    <s v="REINILSON IGLESIAS JUNIOR"/>
    <s v="WENDELL FRANKLIN VIEIRA MAIA"/>
    <x v="0"/>
    <x v="76"/>
    <x v="7"/>
    <s v="CABISTA III"/>
    <x v="1231"/>
    <x v="1231"/>
    <x v="23"/>
    <x v="7"/>
    <x v="3"/>
    <x v="0"/>
    <x v="1"/>
  </r>
  <r>
    <x v="1231"/>
    <n v="101007665"/>
    <s v="AFAST DOENCA MAIS DE 15 DIAS"/>
    <s v="31/08/2019"/>
    <x v="1"/>
    <x v="64"/>
    <x v="5"/>
    <x v="3"/>
    <s v="Regional Ceará"/>
    <s v="Capital Oeste Ceará"/>
    <s v="MultiSkill"/>
    <x v="4"/>
    <s v="TEC MULTIFUNCIONAL"/>
    <s v="AFAST DOENCA MAIS DE 15 DIAS"/>
    <s v="CNO"/>
    <s v="80693660368"/>
    <s v="04/09/2019"/>
    <s v="CARLOS AUGUSTO ALVES DE SOUSA"/>
    <s v="ALENCAR DE SOUZA SANTOS"/>
    <s v="JONILSON FELIPE VIEIRA"/>
    <x v="1"/>
    <x v="33"/>
    <x v="2"/>
    <s v="TECNICO MULTIFUNCIONAL"/>
    <x v="1232"/>
    <x v="1232"/>
    <x v="45"/>
    <x v="4"/>
    <x v="1"/>
    <x v="2"/>
    <x v="0"/>
  </r>
  <r>
    <x v="1232"/>
    <n v="102002917"/>
    <s v="ATIVIDADE NORMAL"/>
    <s v="06/05/2019"/>
    <x v="3"/>
    <x v="23"/>
    <x v="20"/>
    <x v="18"/>
    <s v="Regional Pernambuco"/>
    <s v="Natal"/>
    <s v="Tecnico de campo"/>
    <x v="7"/>
    <s v="TEC MULTIFUNCIONAL"/>
    <s v="ATIVIDADE NORMAL"/>
    <s v="RNS"/>
    <s v="80739199404"/>
    <s v="04/09/2019"/>
    <s v="RICELE DA SILVA NASCIMENTO"/>
    <s v="REINILSON IGLESIAS JUNIOR"/>
    <s v="WENDELL FRANKLIN VIEIRA MAIA"/>
    <x v="0"/>
    <x v="29"/>
    <x v="2"/>
    <s v="TECNICO MULTIFUNCIONAL"/>
    <x v="1233"/>
    <x v="1233"/>
    <x v="51"/>
    <x v="7"/>
    <x v="3"/>
    <x v="0"/>
    <x v="0"/>
  </r>
  <r>
    <x v="1233"/>
    <n v="101006811"/>
    <s v="ATIVIDADE NORMAL"/>
    <s v="11/06/2019"/>
    <x v="1"/>
    <x v="43"/>
    <x v="4"/>
    <x v="8"/>
    <s v="Regional Ceará"/>
    <s v="Quixadá"/>
    <s v="MultiSkill"/>
    <x v="3"/>
    <s v="TEC MULTIFUNCIONAL"/>
    <s v="ATIVIDADE NORMAL"/>
    <s v="QXA"/>
    <s v="80971148368"/>
    <s v="04/09/2019"/>
    <s v="CARLOS FERNANDES GUIMARAES"/>
    <s v="ALENCAR DE SOUZA SANTOS"/>
    <s v="JONILSON FELIPE VIEIRA"/>
    <x v="0"/>
    <x v="44"/>
    <x v="2"/>
    <s v="TECNICO MULTIFUNCIONAL"/>
    <x v="1234"/>
    <x v="1234"/>
    <x v="40"/>
    <x v="4"/>
    <x v="1"/>
    <x v="0"/>
    <x v="0"/>
  </r>
  <r>
    <x v="1234"/>
    <n v="101001782"/>
    <s v="ATIVIDADE NORMAL"/>
    <s v="22/05/2019"/>
    <x v="1"/>
    <x v="9"/>
    <x v="8"/>
    <x v="8"/>
    <s v="Regional Ceará"/>
    <s v="Quixadá"/>
    <s v="Tecnico de campo"/>
    <x v="6"/>
    <s v="CABISTA II"/>
    <s v="ATIVIDADE NORMAL"/>
    <s v="QXA"/>
    <s v="80991009304"/>
    <s v="04/09/2019"/>
    <s v="LYNDON JONHSON SILVA LIMA"/>
    <s v="ALENCAR DE SOUZA SANTOS"/>
    <s v="JONILSON FELIPE VIEIRA"/>
    <x v="0"/>
    <x v="9"/>
    <x v="7"/>
    <s v="CABISTA II"/>
    <x v="1235"/>
    <x v="1235"/>
    <x v="10"/>
    <x v="4"/>
    <x v="1"/>
    <x v="0"/>
    <x v="1"/>
  </r>
  <r>
    <x v="1235"/>
    <n v="101001670"/>
    <s v="FERIAS NORMAIS"/>
    <s v="02/09/2019"/>
    <x v="1"/>
    <x v="8"/>
    <x v="10"/>
    <x v="2"/>
    <s v="Regional Ceará"/>
    <s v="Capital Sul Ceará"/>
    <s v="MultiSkill"/>
    <x v="4"/>
    <s v="TEC MULTIFUNCIONAL"/>
    <s v="FERIAS NORMAIS"/>
    <s v="GCL"/>
    <s v="60400367378"/>
    <s v="04/09/2019"/>
    <s v="FRANCISCO MARCOS TEIXEIRA DOS SANTOS"/>
    <s v="JEFFERSON OLIVEIRA DA SILVA"/>
    <s v="JONILSON FELIPE VIEIRA"/>
    <x v="1"/>
    <x v="8"/>
    <x v="2"/>
    <s v="TECNICO MULTIFUNCIONAL"/>
    <x v="1236"/>
    <x v="1236"/>
    <x v="9"/>
    <x v="2"/>
    <x v="1"/>
    <x v="1"/>
    <x v="0"/>
  </r>
  <r>
    <x v="1236"/>
    <n v="428271"/>
    <s v="ATIVIDADE NORMAL"/>
    <s v="03/07/2019"/>
    <x v="1"/>
    <x v="12"/>
    <x v="2"/>
    <x v="1"/>
    <s v="Regional Ceará"/>
    <s v="Capital Sul Ceará"/>
    <s v="Tecnico de campo"/>
    <x v="1"/>
    <s v="CABISTA I"/>
    <s v="ATIVIDADE NORMAL"/>
    <s v="GCS"/>
    <s v="60402594347"/>
    <s v="04/09/2019"/>
    <s v="SHEYLA MARIA CALIOPE DE MELO MOURA"/>
    <s v="JEFFERSON OLIVEIRA DA SILVA"/>
    <s v="JONILSON FELIPE VIEIRA"/>
    <x v="0"/>
    <x v="56"/>
    <x v="10"/>
    <s v="CABISTA I"/>
    <x v="1237"/>
    <x v="1237"/>
    <x v="47"/>
    <x v="2"/>
    <x v="1"/>
    <x v="0"/>
    <x v="1"/>
  </r>
  <r>
    <x v="1237"/>
    <n v="101001670"/>
    <s v="ATIVIDADE NORMAL"/>
    <s v="26/04/2019"/>
    <x v="1"/>
    <x v="8"/>
    <x v="2"/>
    <x v="2"/>
    <s v="Regional Ceará"/>
    <s v="Capital Sul Ceará"/>
    <s v="Equipe SWAT"/>
    <x v="1"/>
    <s v="CABISTA I"/>
    <s v="ATIVIDADE NORMAL"/>
    <s v="GCL"/>
    <s v="60461328356"/>
    <s v="04/09/2019"/>
    <s v="FRANCISCO MARCOS TEIXEIRA DOS SANTOS"/>
    <s v="JEFFERSON OLIVEIRA DA SILVA"/>
    <s v="JONILSON FELIPE VIEIRA"/>
    <x v="0"/>
    <x v="8"/>
    <x v="10"/>
    <s v="CABISTA I"/>
    <x v="1238"/>
    <x v="1238"/>
    <x v="9"/>
    <x v="2"/>
    <x v="1"/>
    <x v="0"/>
    <x v="1"/>
  </r>
  <r>
    <x v="1238"/>
    <n v="108401409"/>
    <s v="ATIVIDADE NORMAL"/>
    <s v="01/05/2019"/>
    <x v="1"/>
    <x v="64"/>
    <x v="15"/>
    <x v="3"/>
    <s v="Regional Ceará"/>
    <s v="Capital Oeste Ceará"/>
    <s v="Tecnico de campo"/>
    <x v="9"/>
    <s v="INSTALADOR DTH"/>
    <s v="ATIVIDADE NORMAL"/>
    <s v="CNO"/>
    <s v="60587420308"/>
    <s v="04/09/2019"/>
    <s v="JOSE NILTON MENDES LIMA"/>
    <s v="VANDERLEI HENZEL CHOLLET"/>
    <s v="JONILSON FELIPE VIEIRA"/>
    <x v="0"/>
    <x v="44"/>
    <x v="11"/>
    <s v="INSTALADOR DTH"/>
    <x v="1239"/>
    <x v="1239"/>
    <x v="32"/>
    <x v="8"/>
    <x v="1"/>
    <x v="0"/>
    <x v="0"/>
  </r>
  <r>
    <x v="1239"/>
    <n v="101008134"/>
    <s v="ATIVIDADE NORMAL"/>
    <s v="02/01/2019"/>
    <x v="1"/>
    <x v="4"/>
    <x v="0"/>
    <x v="4"/>
    <s v="Regional Ceará"/>
    <s v="Capital Oeste Ceará"/>
    <s v="MultiSkill"/>
    <x v="0"/>
    <s v="TEC MULTIFUNCIONAL"/>
    <s v="ATIVIDADE NORMAL"/>
    <s v="COO"/>
    <s v="60691949344"/>
    <s v="04/09/2019"/>
    <s v="BRUNO SAVIO DA SILVA"/>
    <s v="ANTONIO ROBEVANIO PINHEIRO"/>
    <s v="JONILSON FELIPE VIEIRA"/>
    <x v="0"/>
    <x v="53"/>
    <x v="1"/>
    <s v="TECNICO MULTIFUNCIONAL"/>
    <x v="1240"/>
    <x v="1240"/>
    <x v="5"/>
    <x v="1"/>
    <x v="1"/>
    <x v="0"/>
    <x v="0"/>
  </r>
  <r>
    <x v="1240"/>
    <n v="101010210"/>
    <s v="ATIVIDADE NORMAL"/>
    <s v="19/12/2018"/>
    <x v="1"/>
    <x v="1"/>
    <x v="18"/>
    <x v="1"/>
    <s v="Regional Ceará"/>
    <s v="Capital Sul Ceará"/>
    <s v="Tecnico de campo"/>
    <x v="0"/>
    <s v="TEC MULTIFUNCIONAL"/>
    <s v="ATIVIDADE NORMAL"/>
    <s v="GCS - FTTH"/>
    <s v="61124517359"/>
    <s v="04/09/2019"/>
    <s v="ANTONIO FABIO DOS SANTOS LIMA"/>
    <s v="ANTONIO ROBEVANIO PINHEIRO"/>
    <s v="JONILSON FELIPE VIEIRA"/>
    <x v="0"/>
    <x v="61"/>
    <x v="1"/>
    <s v="TECNICO MULTIFUNCIONAL"/>
    <x v="1241"/>
    <x v="1241"/>
    <x v="1"/>
    <x v="1"/>
    <x v="1"/>
    <x v="0"/>
    <x v="0"/>
  </r>
  <r>
    <x v="1241"/>
    <n v="101010062"/>
    <s v="ATIVIDADE NORMAL"/>
    <s v="07/11/2018"/>
    <x v="1"/>
    <x v="26"/>
    <x v="5"/>
    <x v="15"/>
    <s v="Regional Ceará"/>
    <s v="Sobral"/>
    <s v="MultiSkill"/>
    <x v="4"/>
    <s v="TEC MULTIFUNCIONAL"/>
    <s v="ATIVIDADE NORMAL"/>
    <s v="SOL"/>
    <s v="81235500306"/>
    <s v="04/09/2019"/>
    <s v="ANTONIO ERINEUDES CAVALCANTE FEIJAO"/>
    <s v="JEFFERSON OLIVEIRA DA SILVA"/>
    <s v="JONILSON FELIPE VIEIRA"/>
    <x v="0"/>
    <x v="26"/>
    <x v="2"/>
    <s v="TECNICO MULTIFUNCIONAL"/>
    <x v="1242"/>
    <x v="1242"/>
    <x v="26"/>
    <x v="2"/>
    <x v="1"/>
    <x v="0"/>
    <x v="0"/>
  </r>
  <r>
    <x v="1242"/>
    <n v="109506174"/>
    <s v="ATIVIDADE NORMAL"/>
    <s v="13/02/2019"/>
    <x v="0"/>
    <x v="50"/>
    <x v="4"/>
    <x v="17"/>
    <s v="Regional Pernambuco"/>
    <s v="Interior"/>
    <s v="MultiSkill"/>
    <x v="3"/>
    <s v="TEC MULTIFUNCIONAL"/>
    <s v="ATIVIDADE NORMAL"/>
    <s v="GUS"/>
    <s v="81645295400"/>
    <s v="04/09/2019"/>
    <s v="ALYSSON HENRIQUE FERREIRA DE LUCENA"/>
    <s v="DECIO FABIANO LOPES FERREIRA"/>
    <s v="NIVALDO DE OLIVEIRA SOARES"/>
    <x v="0"/>
    <x v="21"/>
    <x v="2"/>
    <s v="TECNICO MULTIFUNCIONAL"/>
    <x v="1243"/>
    <x v="1243"/>
    <x v="55"/>
    <x v="0"/>
    <x v="0"/>
    <x v="0"/>
    <x v="0"/>
  </r>
  <r>
    <x v="1243"/>
    <n v="101006811"/>
    <s v="ATIVIDADE NORMAL"/>
    <s v="03/07/2019"/>
    <x v="1"/>
    <x v="43"/>
    <x v="14"/>
    <x v="8"/>
    <s v="Regional Ceará"/>
    <s v="Quixadá"/>
    <s v="MultiSkill"/>
    <x v="4"/>
    <s v="TEC MULTIFUNCIONAL"/>
    <s v="ATIVIDADE NORMAL"/>
    <s v="QXA"/>
    <s v="81761287320"/>
    <s v="04/09/2019"/>
    <s v="CARLOS FERNANDES GUIMARAES"/>
    <s v="ALENCAR DE SOUZA SANTOS"/>
    <s v="JONILSON FELIPE VIEIRA"/>
    <x v="0"/>
    <x v="44"/>
    <x v="2"/>
    <s v="TECNICO MULTIFUNCIONAL"/>
    <x v="1244"/>
    <x v="1244"/>
    <x v="40"/>
    <x v="4"/>
    <x v="1"/>
    <x v="0"/>
    <x v="0"/>
  </r>
  <r>
    <x v="1244"/>
    <n v="101005241"/>
    <s v="ATIVIDADE NORMAL"/>
    <s v="31/10/2018"/>
    <x v="1"/>
    <x v="11"/>
    <x v="4"/>
    <x v="9"/>
    <s v="Regional Ceará"/>
    <s v="Juazeiro"/>
    <s v="MultiSkill"/>
    <x v="3"/>
    <s v="TEC MULTIFUNCIONAL"/>
    <s v="ATIVIDADE NORMAL"/>
    <s v="IAU"/>
    <s v="82056145391"/>
    <s v="04/09/2019"/>
    <s v="CLAUDECIR GOMES MACIEL"/>
    <s v="JEFFERSON OLIVEIRA DA SILVA"/>
    <s v="JONILSON FELIPE VIEIRA"/>
    <x v="0"/>
    <x v="5"/>
    <x v="2"/>
    <s v="TECNICO MULTIFUNCIONAL"/>
    <x v="1245"/>
    <x v="1245"/>
    <x v="6"/>
    <x v="2"/>
    <x v="1"/>
    <x v="0"/>
    <x v="0"/>
  </r>
  <r>
    <x v="1245"/>
    <n v="428271"/>
    <s v="FERIAS NORMAIS"/>
    <s v="19/08/2019"/>
    <x v="1"/>
    <x v="12"/>
    <x v="10"/>
    <x v="1"/>
    <s v="Regional Ceará"/>
    <s v="Capital Sul Ceará"/>
    <s v="MultiSkill"/>
    <x v="4"/>
    <s v="TEC MULTIFUNCIONAL"/>
    <s v="FERIAS NORMAIS"/>
    <s v="GCS"/>
    <s v="82173532391"/>
    <s v="04/09/2019"/>
    <s v="SHEYLA MARIA CALIOPE DE MELO MOURA"/>
    <s v="JEFFERSON OLIVEIRA DA SILVA"/>
    <s v="JONILSON FELIPE VIEIRA"/>
    <x v="1"/>
    <x v="56"/>
    <x v="2"/>
    <s v="TECNICO MULTIFUNCIONAL"/>
    <x v="1246"/>
    <x v="1246"/>
    <x v="47"/>
    <x v="2"/>
    <x v="1"/>
    <x v="1"/>
    <x v="0"/>
  </r>
  <r>
    <x v="1246"/>
    <n v="109505819"/>
    <s v="ATIVIDADE NORMAL"/>
    <s v="06/03/2019"/>
    <x v="0"/>
    <x v="39"/>
    <x v="10"/>
    <x v="13"/>
    <s v="Regional Pernambuco"/>
    <s v="Recife"/>
    <s v="MultiSkill"/>
    <x v="4"/>
    <s v="TEC MULTIFUNCIONAL"/>
    <s v="ATIVIDADE NORMAL"/>
    <s v="OES"/>
    <s v="08783585443"/>
    <s v="04/09/2019"/>
    <s v="ALESSANDRO DIONISIO DE FRANCA"/>
    <s v="DECIO FABIANO LOPES FERREIRA"/>
    <s v="NIVALDO DE OLIVEIRA SOARES"/>
    <x v="0"/>
    <x v="16"/>
    <x v="2"/>
    <s v="TECNICO MULTIFUNCIONAL"/>
    <x v="1247"/>
    <x v="1247"/>
    <x v="37"/>
    <x v="0"/>
    <x v="0"/>
    <x v="0"/>
    <x v="0"/>
  </r>
  <r>
    <x v="1247"/>
    <n v="109000017"/>
    <s v="ATIVIDADE NORMAL"/>
    <s v="16/03/2018"/>
    <x v="0"/>
    <x v="56"/>
    <x v="10"/>
    <x v="10"/>
    <s v="Regional Pernambuco"/>
    <s v="Recife"/>
    <s v="MultiSkill"/>
    <x v="4"/>
    <s v="TEC MULTIFUNCIONAL"/>
    <s v="ATIVIDADE NORMAL"/>
    <s v="PES"/>
    <s v="08752315436"/>
    <s v="04/09/2019"/>
    <s v="AMAURY ASSIS DE LIMA"/>
    <s v="DECIO FABIANO LOPES FERREIRA"/>
    <s v="NIVALDO DE OLIVEIRA SOARES"/>
    <x v="0"/>
    <x v="70"/>
    <x v="2"/>
    <s v="TECNICO MULTIFUNCIONAL"/>
    <x v="1248"/>
    <x v="1248"/>
    <x v="15"/>
    <x v="0"/>
    <x v="0"/>
    <x v="0"/>
    <x v="0"/>
  </r>
  <r>
    <x v="1248"/>
    <n v="109000499"/>
    <s v="ATIVIDADE NORMAL"/>
    <s v="19/12/2018"/>
    <x v="0"/>
    <x v="30"/>
    <x v="13"/>
    <x v="13"/>
    <s v="Regional Pernambuco"/>
    <s v="Recife"/>
    <s v="Tecnico de campo"/>
    <x v="8"/>
    <s v="OPERADOR GPON I"/>
    <s v="ATIVIDADE NORMAL"/>
    <s v="OES"/>
    <s v="03801914402"/>
    <s v="04/09/2019"/>
    <s v="ALTAIR LUIZ DO NASCIMENTO"/>
    <s v="DECIO FABIANO LOPES FERREIRA"/>
    <s v="NIVALDO DE OLIVEIRA SOARES"/>
    <x v="0"/>
    <x v="42"/>
    <x v="9"/>
    <s v="OPERADOR"/>
    <x v="1249"/>
    <x v="1249"/>
    <x v="38"/>
    <x v="0"/>
    <x v="0"/>
    <x v="0"/>
    <x v="1"/>
  </r>
  <r>
    <x v="1249"/>
    <n v="101004033"/>
    <s v="RESC PEDIDO DEMISS AVISO IND"/>
    <s v="16/05/2019"/>
    <x v="1"/>
    <x v="58"/>
    <x v="10"/>
    <x v="4"/>
    <s v="Regional Ceará"/>
    <s v="Capital Oeste Ceará"/>
    <s v="MultiSkill"/>
    <x v="4"/>
    <s v="TEC MULTIFUNCIONAL"/>
    <s v="RESC PEDIDO DEMISS AVISO IND"/>
    <s v="COO"/>
    <s v="61346063320"/>
    <s v="04/09/2019"/>
    <s v="HENRIQUE OLIVEIRA DO NASCIMENTO"/>
    <s v="ALENCAR DE SOUZA SANTOS"/>
    <s v="JONILSON FELIPE VIEIRA"/>
    <x v="1"/>
    <x v="32"/>
    <x v="17"/>
    <m/>
    <x v="1250"/>
    <x v="1250"/>
    <x v="52"/>
    <x v="4"/>
    <x v="1"/>
    <x v="3"/>
    <x v="0"/>
  </r>
  <r>
    <x v="1250"/>
    <n v="102101587"/>
    <s v="RESC DEMIS COM JUSTA CAUSA"/>
    <s v="07/01/2019"/>
    <x v="3"/>
    <x v="24"/>
    <x v="2"/>
    <x v="19"/>
    <s v="Regional Pernambuco"/>
    <s v="Natal"/>
    <s v="Tecnico de campo"/>
    <x v="1"/>
    <s v="CABISTA I"/>
    <s v="RESC DEMIS COM JUSTA CAUSA"/>
    <s v="NTN"/>
    <s v="05654404466"/>
    <s v="04/09/2019"/>
    <s v="AELGRICIO SILVA COSTA"/>
    <s v="REINILSON IGLESIAS JUNIOR"/>
    <s v="WENDELL FRANKLIN VIEIRA MAIA"/>
    <x v="1"/>
    <x v="29"/>
    <x v="17"/>
    <m/>
    <x v="1251"/>
    <x v="1250"/>
    <x v="78"/>
    <x v="7"/>
    <x v="3"/>
    <x v="3"/>
    <x v="1"/>
  </r>
  <r>
    <x v="1251"/>
    <n v="101005989"/>
    <s v="RESC DEMIS S/ JC AVISO IND"/>
    <s v="05/06/2019"/>
    <x v="1"/>
    <x v="17"/>
    <x v="17"/>
    <x v="3"/>
    <s v="Regional Ceará"/>
    <s v="Capital Oeste Ceará"/>
    <s v="MultiSkill"/>
    <x v="4"/>
    <s v="TEC MULTIFUNCIONAL"/>
    <s v="RESC DEMIS S/ JC AVISO IND"/>
    <s v="CNO"/>
    <s v="83108327372"/>
    <s v="04/09/2019"/>
    <s v="JOSENIL GOMES RODRIGUES"/>
    <s v="ALENCAR DE SOUZA SANTOS"/>
    <s v="JONILSON FELIPE VIEIRA"/>
    <x v="1"/>
    <x v="17"/>
    <x v="17"/>
    <m/>
    <x v="1252"/>
    <x v="1250"/>
    <x v="18"/>
    <x v="4"/>
    <x v="1"/>
    <x v="3"/>
    <x v="0"/>
  </r>
  <r>
    <x v="1252"/>
    <n v="105000986"/>
    <s v="RESC DEMIS S/ JC AVISO IND"/>
    <s v="12/08/2019"/>
    <x v="2"/>
    <x v="33"/>
    <x v="14"/>
    <x v="16"/>
    <s v="Regional Pernambuco"/>
    <s v="João Pessoa"/>
    <s v="MultiSkill"/>
    <x v="4"/>
    <s v="TEC MULTIFUNCIONAL"/>
    <s v="RESC DEMIS S/ JC AVISO IND"/>
    <s v="CGE"/>
    <s v="05586765454"/>
    <s v="04/09/2019"/>
    <s v="JOSILENE MACENA DE OLIVEIRA"/>
    <s v="WENDELL FRANKLIN VIEIRA MAIA"/>
    <s v="WENDELL FRANKLIN VIEIRA MAIA"/>
    <x v="1"/>
    <x v="20"/>
    <x v="17"/>
    <m/>
    <x v="1253"/>
    <x v="1250"/>
    <x v="21"/>
    <x v="6"/>
    <x v="3"/>
    <x v="3"/>
    <x v="0"/>
  </r>
  <r>
    <x v="1253"/>
    <n v="109000499"/>
    <s v="ATIVIDADE NORMAL"/>
    <s v="10/04/2019"/>
    <x v="0"/>
    <x v="30"/>
    <x v="13"/>
    <x v="13"/>
    <s v="Regional Pernambuco"/>
    <s v="Recife"/>
    <s v="Tecnico de campo"/>
    <x v="8"/>
    <s v="OP DG"/>
    <s v="ATIVIDADE NORMAL"/>
    <s v="OES"/>
    <s v="61451649487"/>
    <s v="04/09/2019"/>
    <s v="ALTAIR LUIZ DO NASCIMENTO"/>
    <s v="DECIO FABIANO LOPES FERREIRA"/>
    <s v="NIVALDO DE OLIVEIRA SOARES"/>
    <x v="0"/>
    <x v="42"/>
    <x v="9"/>
    <s v="OPERADOR"/>
    <x v="1254"/>
    <x v="1251"/>
    <x v="38"/>
    <x v="0"/>
    <x v="0"/>
    <x v="0"/>
    <x v="1"/>
  </r>
  <r>
    <x v="1254"/>
    <n v="101010210"/>
    <s v="ATIVIDADE NORMAL"/>
    <s v="19/12/2018"/>
    <x v="1"/>
    <x v="2"/>
    <x v="18"/>
    <x v="2"/>
    <s v="Regional Ceará"/>
    <s v="Capital Sul Ceará"/>
    <s v="Tecnico de campo"/>
    <x v="0"/>
    <s v="TEC MULTIFUNCIONAL"/>
    <s v="ATIVIDADE NORMAL"/>
    <s v="GCL"/>
    <s v="61459943392"/>
    <s v="04/09/2019"/>
    <s v="ANTONIO FABIO DOS SANTOS LIMA"/>
    <s v="ANTONIO ROBEVANIO PINHEIRO"/>
    <s v="JONILSON FELIPE VIEIRA"/>
    <x v="0"/>
    <x v="50"/>
    <x v="1"/>
    <s v="TECNICO MULTIFUNCIONAL"/>
    <x v="1255"/>
    <x v="1252"/>
    <x v="1"/>
    <x v="1"/>
    <x v="1"/>
    <x v="0"/>
    <x v="0"/>
  </r>
  <r>
    <x v="1255"/>
    <n v="101006255"/>
    <s v="FERIAS NORMAIS"/>
    <s v="02/09/2019"/>
    <x v="1"/>
    <x v="32"/>
    <x v="10"/>
    <x v="2"/>
    <s v="Regional Ceará"/>
    <s v="Capital Sul Ceará"/>
    <s v="MultiSkill"/>
    <x v="4"/>
    <s v="TEC MULTIFUNCIONAL"/>
    <s v="FERIAS NORMAIS"/>
    <s v="GCL"/>
    <s v="61474118372"/>
    <s v="04/09/2019"/>
    <s v="FRANCISCO DE ASSIS FILHO"/>
    <s v="JEFFERSON OLIVEIRA DA SILVA"/>
    <s v="JONILSON FELIPE VIEIRA"/>
    <x v="1"/>
    <x v="32"/>
    <x v="2"/>
    <s v="TECNICO MULTIFUNCIONAL"/>
    <x v="1256"/>
    <x v="1253"/>
    <x v="31"/>
    <x v="2"/>
    <x v="1"/>
    <x v="1"/>
    <x v="0"/>
  </r>
  <r>
    <x v="1256"/>
    <n v="101008134"/>
    <s v="FERIAS NORMAIS"/>
    <s v="19/08/2019"/>
    <x v="1"/>
    <x v="47"/>
    <x v="13"/>
    <x v="1"/>
    <s v="Regional Ceará"/>
    <s v="Capital Sul Ceará"/>
    <s v="Tecnico de campo"/>
    <x v="8"/>
    <s v="OP DG"/>
    <s v="FERIAS NORMAIS"/>
    <s v="GCS"/>
    <s v="61595144315"/>
    <s v="04/09/2019"/>
    <s v="BRUNO SAVIO DA SILVA"/>
    <s v="ANTONIO ROBEVANIO PINHEIRO"/>
    <s v="JONILSON FELIPE VIEIRA"/>
    <x v="1"/>
    <x v="53"/>
    <x v="9"/>
    <s v="OPERADOR"/>
    <x v="1257"/>
    <x v="1254"/>
    <x v="5"/>
    <x v="1"/>
    <x v="1"/>
    <x v="1"/>
    <x v="1"/>
  </r>
  <r>
    <x v="1257"/>
    <n v="101005989"/>
    <s v="AFAST DOENCA MAIS DE 15 DIAS"/>
    <s v="25/05/2019"/>
    <x v="1"/>
    <x v="17"/>
    <x v="17"/>
    <x v="3"/>
    <s v="Regional Ceará"/>
    <s v="Capital Oeste Ceará"/>
    <s v="MultiSkill"/>
    <x v="4"/>
    <s v="TEC MULTIFUNCIONAL"/>
    <s v="AFAST DOENCA MAIS DE 15 DIAS"/>
    <s v="CNO"/>
    <s v="61821080378"/>
    <s v="04/09/2019"/>
    <s v="JOSENIL GOMES RODRIGUES"/>
    <s v="ALENCAR DE SOUZA SANTOS"/>
    <s v="JONILSON FELIPE VIEIRA"/>
    <x v="1"/>
    <x v="17"/>
    <x v="2"/>
    <s v="TECNICO MULTIFUNCIONAL"/>
    <x v="1258"/>
    <x v="1255"/>
    <x v="18"/>
    <x v="4"/>
    <x v="1"/>
    <x v="2"/>
    <x v="0"/>
  </r>
  <r>
    <x v="1258"/>
    <n v="101005241"/>
    <s v="ATIVIDADE NORMAL"/>
    <s v="19/12/2018"/>
    <x v="1"/>
    <x v="31"/>
    <x v="13"/>
    <x v="5"/>
    <s v="Regional Ceará"/>
    <s v="Juazeiro"/>
    <s v="Tecnico de campo"/>
    <x v="8"/>
    <s v="OP DG"/>
    <s v="ATIVIDADE NORMAL"/>
    <s v="JNE"/>
    <s v="61986844315"/>
    <s v="04/09/2019"/>
    <s v="CLAUDECIR GOMES MACIEL"/>
    <s v="JEFFERSON OLIVEIRA DA SILVA"/>
    <s v="JONILSON FELIPE VIEIRA"/>
    <x v="1"/>
    <x v="5"/>
    <x v="9"/>
    <s v="OPERADOR"/>
    <x v="1259"/>
    <x v="1256"/>
    <x v="6"/>
    <x v="2"/>
    <x v="1"/>
    <x v="0"/>
    <x v="1"/>
  </r>
  <r>
    <x v="1259"/>
    <n v="101007665"/>
    <s v="RESC DEMIS S/ JC AVISO IND"/>
    <s v="12/08/2019"/>
    <x v="1"/>
    <x v="48"/>
    <x v="10"/>
    <x v="3"/>
    <s v="Regional Ceará"/>
    <s v="Capital Oeste Ceará"/>
    <s v="MultiSkill"/>
    <x v="4"/>
    <s v="TEC MULTIFUNCIONAL"/>
    <s v="RESC DEMIS S/ JC AVISO IND"/>
    <s v="CNO"/>
    <s v="20833253387"/>
    <s v="04/09/2019"/>
    <s v="CARLOS AUGUSTO ALVES DE SOUSA"/>
    <s v="ALENCAR DE SOUZA SANTOS"/>
    <s v="JONILSON FELIPE VIEIRA"/>
    <x v="1"/>
    <x v="33"/>
    <x v="17"/>
    <m/>
    <x v="1260"/>
    <x v="1250"/>
    <x v="45"/>
    <x v="4"/>
    <x v="1"/>
    <x v="3"/>
    <x v="0"/>
  </r>
  <r>
    <x v="1260"/>
    <n v="101008003"/>
    <s v="RESC DEMIS COM JUSTA CAUSA"/>
    <s v="12/11/2018"/>
    <x v="1"/>
    <x v="2"/>
    <x v="0"/>
    <x v="2"/>
    <s v="Regional Ceará"/>
    <s v="Capital Sul Ceará"/>
    <s v="Tecnico de campo"/>
    <x v="0"/>
    <s v="TEC MULTIFUNCIONAL"/>
    <s v="RESC DEMIS COM JUSTA CAUSA"/>
    <s v="GCL"/>
    <s v="45484589304"/>
    <s v="04/09/2019"/>
    <s v="NILO WEBER RAMOS RIBEIRO"/>
    <s v="ANTONIO ROBEVANIO PINHEIRO"/>
    <s v="JONILSON FELIPE VIEIRA"/>
    <x v="1"/>
    <x v="32"/>
    <x v="17"/>
    <m/>
    <x v="1261"/>
    <x v="1250"/>
    <x v="3"/>
    <x v="1"/>
    <x v="1"/>
    <x v="3"/>
    <x v="0"/>
  </r>
  <r>
    <x v="1261"/>
    <n v="101005241"/>
    <s v="RESC PEDIDO DEMISS AVISO TRAB"/>
    <s v="09/08/2019"/>
    <x v="1"/>
    <x v="31"/>
    <x v="14"/>
    <x v="5"/>
    <s v="Regional Ceará"/>
    <s v="Juazeiro"/>
    <s v="MultiSkill"/>
    <x v="4"/>
    <s v="TEC MULTIFUNCIONAL"/>
    <s v="RESC PEDIDO DEMISS AVISO TRAB"/>
    <s v="JNE"/>
    <s v="70607230304"/>
    <s v="04/09/2019"/>
    <s v="CLAUDECIR GOMES MACIEL"/>
    <s v="JEFFERSON OLIVEIRA DA SILVA"/>
    <s v="JONILSON FELIPE VIEIRA"/>
    <x v="1"/>
    <x v="5"/>
    <x v="17"/>
    <m/>
    <x v="1262"/>
    <x v="1250"/>
    <x v="6"/>
    <x v="2"/>
    <x v="1"/>
    <x v="3"/>
    <x v="0"/>
  </r>
  <r>
    <x v="1262"/>
    <n v="101008134"/>
    <s v="RESC DEMIS S/ JC AVISO IND"/>
    <s v="06/05/2019"/>
    <x v="1"/>
    <x v="47"/>
    <x v="10"/>
    <x v="1"/>
    <s v="Regional Ceará"/>
    <s v="Capital Sul Ceará"/>
    <s v="MultiSkill"/>
    <x v="4"/>
    <s v="TEC MULTIFUNCIONAL"/>
    <s v="RESC DEMIS S/ JC AVISO IND"/>
    <s v="GCS"/>
    <s v="44267282315"/>
    <s v="04/09/2019"/>
    <s v="BRUNO SAVIO DA SILVA"/>
    <s v="ANTONIO ROBEVANIO PINHEIRO"/>
    <s v="JONILSON FELIPE VIEIRA"/>
    <x v="1"/>
    <x v="53"/>
    <x v="17"/>
    <m/>
    <x v="1263"/>
    <x v="1250"/>
    <x v="5"/>
    <x v="1"/>
    <x v="1"/>
    <x v="3"/>
    <x v="0"/>
  </r>
  <r>
    <x v="1263"/>
    <n v="109500177"/>
    <s v="RESC DEMIS S/ JC AVISO IND"/>
    <s v="10/06/2019"/>
    <x v="0"/>
    <x v="67"/>
    <x v="10"/>
    <x v="14"/>
    <s v="Regional Pernambuco"/>
    <s v="Recife"/>
    <s v="MultiSkill"/>
    <x v="4"/>
    <s v="TEC MULTIFUNCIONAL"/>
    <s v="RESC DEMIS S/ JC AVISO IND"/>
    <s v="NOR"/>
    <s v="04049874431"/>
    <s v="04/09/2019"/>
    <s v="JOSUEL FERREIRA DE BRITO"/>
    <s v="BRUNO VINICIUS DE ALBERTINS ALVES"/>
    <s v="NIVALDO DE OLIVEIRA SOARES"/>
    <x v="1"/>
    <x v="38"/>
    <x v="17"/>
    <m/>
    <x v="1264"/>
    <x v="1250"/>
    <x v="36"/>
    <x v="9"/>
    <x v="0"/>
    <x v="3"/>
    <x v="0"/>
  </r>
  <r>
    <x v="1264"/>
    <n v="102101642"/>
    <s v="RESC DEMIS COM JUSTA CAUSA"/>
    <s v="01/04/2019"/>
    <x v="3"/>
    <x v="62"/>
    <x v="10"/>
    <x v="19"/>
    <s v="Regional Pernambuco"/>
    <s v="Natal"/>
    <s v="MultiSkill"/>
    <x v="4"/>
    <s v="TEC MULTIFUNCIONAL"/>
    <s v="RESC DEMIS COM JUSTA CAUSA"/>
    <s v="NTN"/>
    <s v="20088102831"/>
    <s v="04/09/2019"/>
    <s v="WILSON CARLOS SILVEIRA LEIROS"/>
    <s v="REINILSON IGLESIAS JUNIOR"/>
    <s v="WENDELL FRANKLIN VIEIRA MAIA"/>
    <x v="1"/>
    <x v="27"/>
    <x v="17"/>
    <m/>
    <x v="1265"/>
    <x v="1250"/>
    <x v="28"/>
    <x v="7"/>
    <x v="3"/>
    <x v="3"/>
    <x v="0"/>
  </r>
  <r>
    <x v="1265"/>
    <n v="109000017"/>
    <s v="FERIAS NORMAIS"/>
    <s v="19/08/2019"/>
    <x v="0"/>
    <x v="25"/>
    <x v="10"/>
    <x v="10"/>
    <s v="Regional Pernambuco"/>
    <s v="Recife"/>
    <s v="MultiSkill"/>
    <x v="4"/>
    <s v="TEC MULTIFUNCIONAL"/>
    <s v="FERIAS NORMAIS"/>
    <s v="PES"/>
    <s v="62003321420"/>
    <s v="04/09/2019"/>
    <s v="AMAURY ASSIS DE LIMA"/>
    <s v="DECIO FABIANO LOPES FERREIRA"/>
    <s v="NIVALDO DE OLIVEIRA SOARES"/>
    <x v="1"/>
    <x v="24"/>
    <x v="2"/>
    <s v="TECNICO MULTIFUNCIONAL"/>
    <x v="1266"/>
    <x v="1257"/>
    <x v="15"/>
    <x v="0"/>
    <x v="0"/>
    <x v="1"/>
    <x v="0"/>
  </r>
  <r>
    <x v="1266"/>
    <n v="101007963"/>
    <s v="ATIVIDADE NORMAL"/>
    <s v="03/07/2019"/>
    <x v="1"/>
    <x v="41"/>
    <x v="10"/>
    <x v="4"/>
    <s v="Regional Ceará"/>
    <s v="Capital Oeste Ceará"/>
    <s v="MultiSkill"/>
    <x v="4"/>
    <s v="TEC MULTIFUNCIONAL"/>
    <s v="ATIVIDADE NORMAL"/>
    <s v="COO"/>
    <s v="62293273334"/>
    <s v="04/09/2019"/>
    <s v="JOSEVAN DE SOUSA SILVA"/>
    <s v="ALENCAR DE SOUZA SANTOS"/>
    <s v="JONILSON FELIPE VIEIRA"/>
    <x v="0"/>
    <x v="39"/>
    <x v="2"/>
    <s v="TECNICO MULTIFUNCIONAL"/>
    <x v="1267"/>
    <x v="1258"/>
    <x v="35"/>
    <x v="4"/>
    <x v="1"/>
    <x v="0"/>
    <x v="0"/>
  </r>
  <r>
    <x v="1267"/>
    <n v="428271"/>
    <s v="ATIVIDADE NORMAL"/>
    <s v="02/01/2019"/>
    <x v="1"/>
    <x v="12"/>
    <x v="13"/>
    <x v="1"/>
    <s v="Regional Ceará"/>
    <s v="Capital Sul Ceará"/>
    <s v="Tecnico de campo"/>
    <x v="8"/>
    <s v="OP DG"/>
    <s v="ATIVIDADE NORMAL"/>
    <s v="GCS"/>
    <s v="62323725300"/>
    <s v="04/09/2019"/>
    <s v="SHEYLA MARIA CALIOPE DE MELO MOURA"/>
    <s v="JEFFERSON OLIVEIRA DA SILVA"/>
    <s v="JONILSON FELIPE VIEIRA"/>
    <x v="1"/>
    <x v="56"/>
    <x v="9"/>
    <s v="OPERADOR"/>
    <x v="1268"/>
    <x v="1259"/>
    <x v="47"/>
    <x v="2"/>
    <x v="1"/>
    <x v="0"/>
    <x v="1"/>
  </r>
  <r>
    <x v="1268"/>
    <n v="101010209"/>
    <s v="ATIVIDADE NORMAL"/>
    <s v="02/01/2019"/>
    <x v="1"/>
    <x v="10"/>
    <x v="13"/>
    <x v="4"/>
    <s v="Regional Ceará"/>
    <s v="Capital Oeste Ceará"/>
    <s v="Tecnico de campo"/>
    <x v="8"/>
    <s v="OP DG"/>
    <s v="ATIVIDADE NORMAL"/>
    <s v="COO"/>
    <s v="62327186315"/>
    <s v="04/09/2019"/>
    <s v="KARLYSSON FRANCO SANTANA DE SOUSA"/>
    <s v="ALENCAR DE SOUZA SANTOS"/>
    <s v="JONILSON FELIPE VIEIRA"/>
    <x v="1"/>
    <x v="10"/>
    <x v="9"/>
    <s v="OPERADOR"/>
    <x v="1269"/>
    <x v="1260"/>
    <x v="11"/>
    <x v="4"/>
    <x v="1"/>
    <x v="0"/>
    <x v="1"/>
  </r>
  <r>
    <x v="1269"/>
    <n v="109500177"/>
    <s v="FERIAS NORMAIS"/>
    <s v="19/08/2019"/>
    <x v="0"/>
    <x v="67"/>
    <x v="20"/>
    <x v="14"/>
    <s v="Regional Pernambuco"/>
    <s v="Recife"/>
    <s v="MultiSkill"/>
    <x v="7"/>
    <s v="TEC MULTIFUNCIONAL"/>
    <s v="FERIAS NORMAIS"/>
    <s v="NOR"/>
    <s v="62531336400"/>
    <s v="04/09/2019"/>
    <s v="JOSUEL FERREIRA DE BRITO"/>
    <s v="BRUNO VINICIUS DE ALBERTINS ALVES"/>
    <s v="NIVALDO DE OLIVEIRA SOARES"/>
    <x v="1"/>
    <x v="38"/>
    <x v="2"/>
    <s v="TECNICO MULTIFUNCIONAL"/>
    <x v="1270"/>
    <x v="1261"/>
    <x v="36"/>
    <x v="9"/>
    <x v="0"/>
    <x v="1"/>
    <x v="0"/>
  </r>
  <r>
    <x v="1270"/>
    <n v="101008003"/>
    <s v="ATIVIDADE NORMAL"/>
    <s v="25/06/2019"/>
    <x v="1"/>
    <x v="4"/>
    <x v="0"/>
    <x v="4"/>
    <s v="Regional Ceará"/>
    <s v="Capital Oeste Ceará"/>
    <s v="MultiSkill"/>
    <x v="0"/>
    <s v="TEC MULTIFUNCIONAL"/>
    <s v="ATIVIDADE NORMAL"/>
    <s v="COO"/>
    <s v="62656910315"/>
    <s v="04/09/2019"/>
    <s v="NILO WEBER RAMOS RIBEIRO"/>
    <s v="ANTONIO ROBEVANIO PINHEIRO"/>
    <s v="JONILSON FELIPE VIEIRA"/>
    <x v="0"/>
    <x v="54"/>
    <x v="1"/>
    <s v="TECNICO MULTIFUNCIONAL"/>
    <x v="1271"/>
    <x v="1262"/>
    <x v="3"/>
    <x v="1"/>
    <x v="1"/>
    <x v="0"/>
    <x v="0"/>
  </r>
  <r>
    <x v="1271"/>
    <n v="101001488"/>
    <s v="RESC PEDIDO DEMISSAO"/>
    <s v="05/08/2019"/>
    <x v="1"/>
    <x v="4"/>
    <x v="0"/>
    <x v="4"/>
    <s v="Regional Ceará"/>
    <s v="Capital Oeste Ceará"/>
    <s v="Tecnico de campo"/>
    <x v="0"/>
    <s v="TEC MULTIFUNCIONAL"/>
    <s v="RESC PEDIDO DEMISSAO"/>
    <s v="COO"/>
    <s v="01144507308"/>
    <s v="04/09/2019"/>
    <s v="MICHEL SOARES DE OLIVEIRA"/>
    <s v="ANTONIO ROBEVANIO PINHEIRO"/>
    <s v="JONILSON FELIPE VIEIRA"/>
    <x v="1"/>
    <x v="46"/>
    <x v="17"/>
    <m/>
    <x v="1272"/>
    <x v="1250"/>
    <x v="2"/>
    <x v="1"/>
    <x v="1"/>
    <x v="3"/>
    <x v="0"/>
  </r>
  <r>
    <x v="1272"/>
    <n v="102101587"/>
    <s v="RESC DEMIS S/ JC AVISO IND"/>
    <s v="07/08/2019"/>
    <x v="3"/>
    <x v="23"/>
    <x v="10"/>
    <x v="18"/>
    <s v="Regional Pernambuco"/>
    <s v="Natal"/>
    <s v="MultiSkill"/>
    <x v="4"/>
    <s v="TEC MULTIFUNCIONAL"/>
    <s v="RESC DEMIS S/ JC AVISO IND"/>
    <s v="RNS"/>
    <s v="04217094485"/>
    <s v="04/09/2019"/>
    <s v="AELGRICIO SILVA COSTA"/>
    <s v="REINILSON IGLESIAS JUNIOR"/>
    <s v="WENDELL FRANKLIN VIEIRA MAIA"/>
    <x v="1"/>
    <x v="29"/>
    <x v="17"/>
    <m/>
    <x v="1273"/>
    <x v="1250"/>
    <x v="78"/>
    <x v="7"/>
    <x v="3"/>
    <x v="3"/>
    <x v="0"/>
  </r>
  <r>
    <x v="1273"/>
    <n v="105303207"/>
    <s v="RESC DEMIS S/ JC AVISO IND"/>
    <s v="12/08/2019"/>
    <x v="2"/>
    <x v="34"/>
    <x v="10"/>
    <x v="12"/>
    <s v="Regional Pernambuco"/>
    <s v="João Pessoa"/>
    <s v="MultiSkill"/>
    <x v="4"/>
    <s v="TEC MULTIFUNCIONAL"/>
    <s v="RESC DEMIS S/ JC AVISO IND"/>
    <s v="JPA"/>
    <s v="05106637457"/>
    <s v="04/09/2019"/>
    <s v="RAFAEL FERNANDES MATIAS"/>
    <s v="WENDELL FRANKLIN VIEIRA MAIA"/>
    <s v="WENDELL FRANKLIN VIEIRA MAIA"/>
    <x v="1"/>
    <x v="49"/>
    <x v="17"/>
    <m/>
    <x v="1274"/>
    <x v="1250"/>
    <x v="44"/>
    <x v="6"/>
    <x v="3"/>
    <x v="3"/>
    <x v="0"/>
  </r>
  <r>
    <x v="1274"/>
    <n v="109501286"/>
    <s v="RESC DEMIS S/ JC AVISO IND"/>
    <s v="10/06/2019"/>
    <x v="0"/>
    <x v="39"/>
    <x v="10"/>
    <x v="13"/>
    <s v="Regional Pernambuco"/>
    <s v="Recife"/>
    <s v="MultiSkill"/>
    <x v="4"/>
    <s v="TEC MULTIFUNCIONAL"/>
    <s v="RESC DEMIS S/ JC AVISO IND"/>
    <s v="OES"/>
    <s v="03414085496"/>
    <s v="04/09/2019"/>
    <s v="JOSE HENRIQUE NEGRAO DE MEDEIROS"/>
    <s v="DECIO FABIANO LOPES FERREIRA"/>
    <s v="NIVALDO DE OLIVEIRA SOARES"/>
    <x v="1"/>
    <x v="64"/>
    <x v="17"/>
    <m/>
    <x v="1275"/>
    <x v="1250"/>
    <x v="34"/>
    <x v="0"/>
    <x v="0"/>
    <x v="3"/>
    <x v="0"/>
  </r>
  <r>
    <x v="1275"/>
    <n v="105303207"/>
    <s v="RESC DEMIS S/ JC AVISO IND"/>
    <s v="15/04/2019"/>
    <x v="2"/>
    <x v="15"/>
    <x v="10"/>
    <x v="12"/>
    <s v="Regional Pernambuco"/>
    <s v="João Pessoa"/>
    <s v="MultiSkill"/>
    <x v="4"/>
    <s v="TEC MULTIFUNCIONAL"/>
    <s v="RESC DEMIS S/ JC AVISO IND"/>
    <s v="JPA"/>
    <s v="04049642492"/>
    <s v="04/09/2019"/>
    <s v="RAFAEL FERNANDES MATIAS"/>
    <s v="WENDELL FRANKLIN VIEIRA MAIA"/>
    <s v="WENDELL FRANKLIN VIEIRA MAIA"/>
    <x v="1"/>
    <x v="95"/>
    <x v="17"/>
    <m/>
    <x v="1276"/>
    <x v="1250"/>
    <x v="44"/>
    <x v="6"/>
    <x v="3"/>
    <x v="3"/>
    <x v="0"/>
  </r>
  <r>
    <x v="1276"/>
    <n v="101007665"/>
    <s v="RESC DEMIS S/ JC AVISO IND"/>
    <s v="05/06/2019"/>
    <x v="1"/>
    <x v="64"/>
    <x v="2"/>
    <x v="3"/>
    <s v="Regional Ceará"/>
    <s v="Capital Oeste Ceará"/>
    <s v="MultiSkill"/>
    <x v="1"/>
    <s v="TEC MULTIFUNCIONAL"/>
    <s v="RESC DEMIS S/ JC AVISO IND"/>
    <s v="CNO"/>
    <s v="01190667347"/>
    <s v="04/09/2019"/>
    <s v="CARLOS AUGUSTO ALVES DE SOUSA"/>
    <s v="ALENCAR DE SOUZA SANTOS"/>
    <s v="JONILSON FELIPE VIEIRA"/>
    <x v="1"/>
    <x v="13"/>
    <x v="17"/>
    <m/>
    <x v="1277"/>
    <x v="1250"/>
    <x v="45"/>
    <x v="4"/>
    <x v="1"/>
    <x v="3"/>
    <x v="1"/>
  </r>
  <r>
    <x v="1277"/>
    <n v="109000499"/>
    <s v="RESC DEMIS S/ JC AVISO IND"/>
    <s v="03/04/2019"/>
    <x v="0"/>
    <x v="56"/>
    <x v="13"/>
    <x v="10"/>
    <s v="Regional Pernambuco"/>
    <s v="Recife"/>
    <s v="Tecnico de campo"/>
    <x v="8"/>
    <s v="OP DG"/>
    <s v="RESC DEMIS S/ JC AVISO IND"/>
    <s v="PES"/>
    <s v="79666205491"/>
    <s v="04/09/2019"/>
    <s v="ALTAIR LUIZ DO NASCIMENTO"/>
    <s v="DECIO FABIANO LOPES FERREIRA"/>
    <s v="NIVALDO DE OLIVEIRA SOARES"/>
    <x v="1"/>
    <x v="42"/>
    <x v="17"/>
    <m/>
    <x v="1278"/>
    <x v="1250"/>
    <x v="38"/>
    <x v="0"/>
    <x v="0"/>
    <x v="3"/>
    <x v="1"/>
  </r>
  <r>
    <x v="1278"/>
    <n v="101008003"/>
    <s v="RESC DEMIS S/ JC AVISO IND"/>
    <s v="07/08/2019"/>
    <x v="1"/>
    <x v="2"/>
    <x v="0"/>
    <x v="2"/>
    <s v="Regional Ceará"/>
    <s v="Capital Sul Ceará"/>
    <s v="Tecnico de campo"/>
    <x v="0"/>
    <s v="TEC MULTIFUNCIONAL"/>
    <s v="RESC DEMIS S/ JC AVISO IND"/>
    <s v="GCL"/>
    <s v="01533540381"/>
    <s v="04/09/2019"/>
    <s v="NILO WEBER RAMOS RIBEIRO"/>
    <s v="ANTONIO ROBEVANIO PINHEIRO"/>
    <s v="JONILSON FELIPE VIEIRA"/>
    <x v="1"/>
    <x v="54"/>
    <x v="17"/>
    <m/>
    <x v="1279"/>
    <x v="1250"/>
    <x v="3"/>
    <x v="1"/>
    <x v="1"/>
    <x v="3"/>
    <x v="0"/>
  </r>
  <r>
    <x v="1279"/>
    <n v="428271"/>
    <s v="RESC DEMIS S/ JC AVISO IND"/>
    <s v="10/06/2019"/>
    <x v="1"/>
    <x v="12"/>
    <x v="10"/>
    <x v="1"/>
    <s v="Regional Ceará"/>
    <s v="Capital Sul Ceará"/>
    <s v="MultiSkill"/>
    <x v="4"/>
    <s v="TEC MULTIFUNCIONAL"/>
    <s v="RESC DEMIS S/ JC AVISO IND"/>
    <s v="GCS"/>
    <s v="03878468326"/>
    <s v="04/09/2019"/>
    <s v="SHEYLA MARIA CALIOPE DE MELO MOURA"/>
    <s v="JEFFERSON OLIVEIRA DA SILVA"/>
    <s v="JONILSON FELIPE VIEIRA"/>
    <x v="1"/>
    <x v="56"/>
    <x v="17"/>
    <m/>
    <x v="1280"/>
    <x v="1250"/>
    <x v="47"/>
    <x v="2"/>
    <x v="1"/>
    <x v="3"/>
    <x v="0"/>
  </r>
  <r>
    <x v="1280"/>
    <n v="109506032"/>
    <s v="RESC DEMIS COM JUSTA CAUSA"/>
    <s v="03/06/2019"/>
    <x v="2"/>
    <x v="15"/>
    <x v="10"/>
    <x v="12"/>
    <s v="Regional Pernambuco"/>
    <s v="João Pessoa"/>
    <s v="MultiSkill"/>
    <x v="4"/>
    <s v="TEC MULTIFUNCIONAL"/>
    <s v="RESC DEMIS COM JUSTA CAUSA"/>
    <s v="JPA"/>
    <s v="02530990484"/>
    <s v="04/09/2019"/>
    <s v="CARLOS REIS GONZAGA"/>
    <s v="DECIO FABIANO LOPES FERREIRA"/>
    <s v="NIVALDO DE OLIVEIRA SOARES"/>
    <x v="1"/>
    <x v="35"/>
    <x v="17"/>
    <m/>
    <x v="1281"/>
    <x v="1250"/>
    <x v="17"/>
    <x v="0"/>
    <x v="0"/>
    <x v="3"/>
    <x v="0"/>
  </r>
  <r>
    <x v="1281"/>
    <n v="428271"/>
    <s v="RESC DEMIS S/ JC AVISO IND"/>
    <s v="05/06/2019"/>
    <x v="1"/>
    <x v="12"/>
    <x v="10"/>
    <x v="1"/>
    <s v="Regional Ceará"/>
    <s v="Capital Sul Ceará"/>
    <s v="MultiSkill"/>
    <x v="4"/>
    <s v="TEC MULTIFUNCIONAL"/>
    <s v="RESC DEMIS S/ JC AVISO IND"/>
    <s v="GCS"/>
    <s v="03102511333"/>
    <s v="04/09/2019"/>
    <s v="SHEYLA MARIA CALIOPE DE MELO MOURA"/>
    <s v="JEFFERSON OLIVEIRA DA SILVA"/>
    <s v="JONILSON FELIPE VIEIRA"/>
    <x v="1"/>
    <x v="56"/>
    <x v="17"/>
    <m/>
    <x v="1282"/>
    <x v="1250"/>
    <x v="47"/>
    <x v="2"/>
    <x v="1"/>
    <x v="3"/>
    <x v="0"/>
  </r>
  <r>
    <x v="1282"/>
    <n v="109000926"/>
    <s v="RESC DEMIS S/ JC AVISO IND"/>
    <s v="10/06/2019"/>
    <x v="0"/>
    <x v="60"/>
    <x v="10"/>
    <x v="14"/>
    <s v="Regional Pernambuco"/>
    <s v="Recife"/>
    <s v="MultiSkill"/>
    <x v="4"/>
    <s v="TEC MULTIFUNCIONAL"/>
    <s v="RESC DEMIS S/ JC AVISO IND"/>
    <s v="NOR"/>
    <s v="73367796468"/>
    <s v="04/09/2019"/>
    <s v="ANTONIO MAGNO DE CASTRO LEAO"/>
    <s v="BRUNO VINICIUS DE ALBERTINS ALVES"/>
    <s v="NIVALDO DE OLIVEIRA SOARES"/>
    <x v="1"/>
    <x v="45"/>
    <x v="17"/>
    <m/>
    <x v="1283"/>
    <x v="1250"/>
    <x v="41"/>
    <x v="9"/>
    <x v="0"/>
    <x v="3"/>
    <x v="0"/>
  </r>
  <r>
    <x v="1283"/>
    <n v="109000943"/>
    <s v="RESC DEMIS S/ JC AVISO IND"/>
    <s v="04/02/2019"/>
    <x v="0"/>
    <x v="60"/>
    <x v="10"/>
    <x v="14"/>
    <s v="Regional Pernambuco"/>
    <s v="Recife"/>
    <s v="MultiSkill"/>
    <x v="4"/>
    <s v="TEC MULTIFUNCIONAL"/>
    <s v="RESC DEMIS S/ JC AVISO IND"/>
    <s v="NOR"/>
    <s v="06172675451"/>
    <s v="04/09/2019"/>
    <s v="MAURO BRAGA RANGEL"/>
    <s v="BRUNO VINICIUS DE ALBERTINS ALVES"/>
    <s v="NIVALDO DE OLIVEIRA SOARES"/>
    <x v="1"/>
    <x v="77"/>
    <x v="17"/>
    <m/>
    <x v="1284"/>
    <x v="1250"/>
    <x v="56"/>
    <x v="9"/>
    <x v="0"/>
    <x v="3"/>
    <x v="0"/>
  </r>
  <r>
    <x v="1284"/>
    <n v="101001488"/>
    <s v="RESC PEDIDO DEMISSAO"/>
    <s v="05/08/2019"/>
    <x v="1"/>
    <x v="4"/>
    <x v="0"/>
    <x v="4"/>
    <s v="Regional Ceará"/>
    <s v="Capital Oeste Ceará"/>
    <s v="Tecnico de campo"/>
    <x v="0"/>
    <s v="TEC MULTIFUNCIONAL"/>
    <s v="RESC PEDIDO DEMISSAO"/>
    <s v="COO"/>
    <s v="90408110325"/>
    <s v="04/09/2019"/>
    <s v="MICHEL SOARES DE OLIVEIRA"/>
    <s v="ANTONIO ROBEVANIO PINHEIRO"/>
    <s v="JONILSON FELIPE VIEIRA"/>
    <x v="1"/>
    <x v="46"/>
    <x v="17"/>
    <m/>
    <x v="1285"/>
    <x v="1250"/>
    <x v="2"/>
    <x v="1"/>
    <x v="1"/>
    <x v="3"/>
    <x v="0"/>
  </r>
  <r>
    <x v="1285"/>
    <n v="101005241"/>
    <s v="RESC DEMIS S/ JC AVISO IND"/>
    <s v="08/04/2019"/>
    <x v="1"/>
    <x v="31"/>
    <x v="26"/>
    <x v="5"/>
    <s v="Regional Ceará"/>
    <s v="Juazeiro"/>
    <s v="Tecnico de campo"/>
    <x v="5"/>
    <s v="TEC MULTIFUNCIONAL"/>
    <s v="RESC DEMIS S/ JC AVISO IND"/>
    <s v="JNE"/>
    <s v="34668128368"/>
    <s v="04/09/2019"/>
    <s v="CLAUDECIR GOMES MACIEL"/>
    <s v="JEFFERSON OLIVEIRA DA SILVA"/>
    <s v="JONILSON FELIPE VIEIRA"/>
    <x v="1"/>
    <x v="5"/>
    <x v="17"/>
    <m/>
    <x v="1286"/>
    <x v="1250"/>
    <x v="6"/>
    <x v="2"/>
    <x v="1"/>
    <x v="3"/>
    <x v="1"/>
  </r>
  <r>
    <x v="1286"/>
    <n v="109000017"/>
    <s v="RESC DEMIS S/ JC AVISO IND"/>
    <s v="10/06/2019"/>
    <x v="0"/>
    <x v="25"/>
    <x v="10"/>
    <x v="10"/>
    <s v="Regional Pernambuco"/>
    <s v="Recife"/>
    <s v="MultiSkill"/>
    <x v="4"/>
    <s v="TEC MULTIFUNCIONAL"/>
    <s v="RESC DEMIS S/ JC AVISO IND"/>
    <s v="PES"/>
    <s v="07516412430"/>
    <s v="04/09/2019"/>
    <s v="AMAURY ASSIS DE LIMA"/>
    <s v="DECIO FABIANO LOPES FERREIRA"/>
    <s v="NIVALDO DE OLIVEIRA SOARES"/>
    <x v="1"/>
    <x v="70"/>
    <x v="17"/>
    <m/>
    <x v="1287"/>
    <x v="1250"/>
    <x v="15"/>
    <x v="0"/>
    <x v="0"/>
    <x v="3"/>
    <x v="0"/>
  </r>
  <r>
    <x v="1287"/>
    <n v="101009488"/>
    <s v="RESC DEMIS S/ JC AVISO IND"/>
    <s v="17/06/2019"/>
    <x v="1"/>
    <x v="11"/>
    <x v="2"/>
    <x v="9"/>
    <s v="Regional Ceará"/>
    <s v="Juazeiro"/>
    <s v="Tecnico de campo"/>
    <x v="1"/>
    <s v="OFICIAL DE REDE"/>
    <s v="RESC DEMIS S/ JC AVISO IND"/>
    <s v="IAU"/>
    <s v="86063600310"/>
    <s v="04/09/2019"/>
    <s v="ROGER DO NASCIMENTO SILVA"/>
    <s v="ROBERTA OLIVEIRA DA SILVA"/>
    <s v="JESSE GONCALVES PASSOS DE LIMA"/>
    <x v="1"/>
    <x v="79"/>
    <x v="17"/>
    <m/>
    <x v="1288"/>
    <x v="1250"/>
    <x v="79"/>
    <x v="15"/>
    <x v="2"/>
    <x v="3"/>
    <x v="1"/>
  </r>
  <r>
    <x v="1288"/>
    <n v="109504012"/>
    <s v="RESC DEMIS S/ JC AVISO IND"/>
    <s v="12/08/2019"/>
    <x v="2"/>
    <x v="54"/>
    <x v="10"/>
    <x v="12"/>
    <s v="Regional Pernambuco"/>
    <s v="João Pessoa"/>
    <s v="MultiSkill"/>
    <x v="4"/>
    <s v="TEC MULTIFUNCIONAL"/>
    <s v="RESC DEMIS S/ JC AVISO IND"/>
    <s v="JPA"/>
    <s v="03341290443"/>
    <s v="04/09/2019"/>
    <s v="FRANCISCO JOSE DIAS DA SILVA"/>
    <s v="WENDELL FRANKLIN VIEIRA MAIA"/>
    <s v="WENDELL FRANKLIN VIEIRA MAIA"/>
    <x v="1"/>
    <x v="36"/>
    <x v="17"/>
    <m/>
    <x v="1289"/>
    <x v="1250"/>
    <x v="25"/>
    <x v="6"/>
    <x v="3"/>
    <x v="3"/>
    <x v="0"/>
  </r>
  <r>
    <x v="1289"/>
    <n v="101005376"/>
    <s v="RESC DEMIS S/ JC AVISO IND"/>
    <s v="17/04/2019"/>
    <x v="1"/>
    <x v="69"/>
    <x v="2"/>
    <x v="3"/>
    <s v="Regional Ceará"/>
    <s v="Capital Oeste Ceará"/>
    <s v="Tecnico de campo"/>
    <x v="1"/>
    <s v="CABISTA I"/>
    <s v="RESC DEMIS S/ JC AVISO IND"/>
    <s v="CNO"/>
    <s v="03842062397"/>
    <s v="04/09/2019"/>
    <s v="JOSE VENILSON DA SILVA"/>
    <s v="VANDERLEI HENZEL CHOLLET"/>
    <s v="JONILSON FELIPE VIEIRA"/>
    <x v="1"/>
    <x v="88"/>
    <x v="17"/>
    <m/>
    <x v="1290"/>
    <x v="1250"/>
    <x v="72"/>
    <x v="8"/>
    <x v="1"/>
    <x v="3"/>
    <x v="1"/>
  </r>
  <r>
    <x v="1290"/>
    <n v="109505049"/>
    <s v="RESC PEDIDO DEMISS AVISO TRAB"/>
    <s v="18/08/2019"/>
    <x v="0"/>
    <x v="51"/>
    <x v="0"/>
    <x v="14"/>
    <s v="Regional Pernambuco"/>
    <s v="Recife"/>
    <s v="MultiSkill"/>
    <x v="0"/>
    <s v="TEC MULTIFUNCIONAL"/>
    <s v="RESC PEDIDO DEMISS AVISO TRAB"/>
    <s v="NOR"/>
    <s v="07881004401"/>
    <s v="04/09/2019"/>
    <s v="RAMSES DE ANDRADE MACHADO RODRIGUES LAVRA"/>
    <s v="BRUNO VINICIUS DE ALBERTINS ALVES"/>
    <s v="NIVALDO DE OLIVEIRA SOARES"/>
    <x v="1"/>
    <x v="57"/>
    <x v="17"/>
    <m/>
    <x v="1291"/>
    <x v="1250"/>
    <x v="48"/>
    <x v="9"/>
    <x v="0"/>
    <x v="3"/>
    <x v="0"/>
  </r>
  <r>
    <x v="1291"/>
    <n v="109000926"/>
    <s v="RESC DEMIS S/ JC AVISO IND"/>
    <s v="08/04/2019"/>
    <x v="0"/>
    <x v="7"/>
    <x v="10"/>
    <x v="7"/>
    <s v="Regional Pernambuco"/>
    <s v="Recife"/>
    <s v="MultiSkill"/>
    <x v="4"/>
    <s v="TEC MULTIFUNCIONAL"/>
    <s v="RESC DEMIS S/ JC AVISO IND"/>
    <s v="LES"/>
    <s v="05987744407"/>
    <s v="04/09/2019"/>
    <s v="ANTONIO MAGNO DE CASTRO LEAO"/>
    <s v="BRUNO VINICIUS DE ALBERTINS ALVES"/>
    <s v="NIVALDO DE OLIVEIRA SOARES"/>
    <x v="1"/>
    <x v="38"/>
    <x v="17"/>
    <m/>
    <x v="1292"/>
    <x v="1250"/>
    <x v="41"/>
    <x v="9"/>
    <x v="0"/>
    <x v="3"/>
    <x v="0"/>
  </r>
  <r>
    <x v="1292"/>
    <n v="102101634"/>
    <s v="RESC DEMIS S/ JC AVISO IND"/>
    <s v="07/08/2019"/>
    <x v="3"/>
    <x v="29"/>
    <x v="14"/>
    <x v="19"/>
    <s v="Regional Pernambuco"/>
    <s v="Natal"/>
    <s v="MultiSkill"/>
    <x v="4"/>
    <s v="TEC MULTIFUNCIONAL"/>
    <s v="RESC DEMIS S/ JC AVISO IND"/>
    <s v="NTN"/>
    <s v="09000502411"/>
    <s v="04/09/2019"/>
    <s v="FABIO BATISTA DA SILVA"/>
    <s v="REINILSON IGLESIAS JUNIOR"/>
    <s v="WENDELL FRANKLIN VIEIRA MAIA"/>
    <x v="1"/>
    <x v="30"/>
    <x v="17"/>
    <m/>
    <x v="1293"/>
    <x v="1250"/>
    <x v="29"/>
    <x v="7"/>
    <x v="3"/>
    <x v="3"/>
    <x v="0"/>
  </r>
  <r>
    <x v="1293"/>
    <n v="109000943"/>
    <s v="RESC DEMIS S/ JC AVISO IND"/>
    <s v="04/02/2019"/>
    <x v="0"/>
    <x v="60"/>
    <x v="10"/>
    <x v="14"/>
    <s v="Regional Pernambuco"/>
    <s v="Recife"/>
    <s v="MultiSkill"/>
    <x v="4"/>
    <s v="TEC MULTIFUNCIONAL"/>
    <s v="RESC DEMIS S/ JC AVISO IND"/>
    <s v="NOR"/>
    <s v="03510267460"/>
    <s v="04/09/2019"/>
    <s v="MAURO BRAGA RANGEL"/>
    <s v="BRUNO VINICIUS DE ALBERTINS ALVES"/>
    <s v="NIVALDO DE OLIVEIRA SOARES"/>
    <x v="1"/>
    <x v="38"/>
    <x v="17"/>
    <m/>
    <x v="1294"/>
    <x v="1250"/>
    <x v="56"/>
    <x v="9"/>
    <x v="0"/>
    <x v="3"/>
    <x v="0"/>
  </r>
  <r>
    <x v="1294"/>
    <n v="101006255"/>
    <s v="RESC DEMIS S/ JC AVISO IND"/>
    <s v="07/08/2019"/>
    <x v="1"/>
    <x v="32"/>
    <x v="2"/>
    <x v="2"/>
    <s v="Regional Ceará"/>
    <s v="Capital Sul Ceará"/>
    <s v="Equipe SWAT"/>
    <x v="1"/>
    <s v="CABISTA I"/>
    <s v="RESC DEMIS S/ JC AVISO IND"/>
    <s v="GCL"/>
    <s v="02981997343"/>
    <s v="04/09/2019"/>
    <s v="FRANCISCO DE ASSIS FILHO"/>
    <s v="JEFFERSON OLIVEIRA DA SILVA"/>
    <s v="JONILSON FELIPE VIEIRA"/>
    <x v="1"/>
    <x v="32"/>
    <x v="17"/>
    <m/>
    <x v="1295"/>
    <x v="1250"/>
    <x v="31"/>
    <x v="2"/>
    <x v="1"/>
    <x v="3"/>
    <x v="1"/>
  </r>
  <r>
    <x v="1295"/>
    <n v="101005456"/>
    <s v="RESC PEDIDO DEMISSAO"/>
    <s v="07/08/2019"/>
    <x v="1"/>
    <x v="11"/>
    <x v="2"/>
    <x v="9"/>
    <s v="Regional Ceará"/>
    <s v="Juazeiro"/>
    <s v="Tecnico de campo"/>
    <x v="1"/>
    <s v="CABISTA I"/>
    <s v="RESC PEDIDO DEMISSAO"/>
    <s v="IAU"/>
    <s v="02369744324"/>
    <s v="04/09/2019"/>
    <s v="MARCOS ALBERTO DOS SANTOS"/>
    <s v="VANDERLEI HENZEL CHOLLET"/>
    <s v="JONILSON FELIPE VIEIRA"/>
    <x v="1"/>
    <x v="93"/>
    <x v="17"/>
    <m/>
    <x v="1296"/>
    <x v="1250"/>
    <x v="62"/>
    <x v="8"/>
    <x v="1"/>
    <x v="3"/>
    <x v="1"/>
  </r>
  <r>
    <x v="1296"/>
    <n v="101006255"/>
    <s v="RESC DEMIS S/ JC AVISO IND"/>
    <s v="06/02/2019"/>
    <x v="1"/>
    <x v="8"/>
    <x v="10"/>
    <x v="2"/>
    <s v="Regional Ceará"/>
    <s v="Capital Sul Ceará"/>
    <s v="MultiSkill"/>
    <x v="4"/>
    <s v="TEC MULTIFUNCIONAL"/>
    <s v="RESC DEMIS S/ JC AVISO IND"/>
    <s v="GCL"/>
    <s v="99702932300"/>
    <s v="04/09/2019"/>
    <s v="FRANCISCO DE ASSIS FILHO"/>
    <s v="JEFFERSON OLIVEIRA DA SILVA"/>
    <s v="JONILSON FELIPE VIEIRA"/>
    <x v="1"/>
    <x v="10"/>
    <x v="17"/>
    <m/>
    <x v="1297"/>
    <x v="1250"/>
    <x v="31"/>
    <x v="2"/>
    <x v="1"/>
    <x v="3"/>
    <x v="0"/>
  </r>
  <r>
    <x v="1297"/>
    <n v="101001670"/>
    <s v="RESC DEMIS S/ JC AVISO IND"/>
    <s v="10/06/2019"/>
    <x v="1"/>
    <x v="8"/>
    <x v="10"/>
    <x v="2"/>
    <s v="Regional Ceará"/>
    <s v="Capital Sul Ceará"/>
    <s v="MultiSkill"/>
    <x v="4"/>
    <s v="TEC MULTIFUNCIONAL"/>
    <s v="RESC DEMIS S/ JC AVISO IND"/>
    <s v="GCL"/>
    <s v="88263665353"/>
    <s v="04/09/2019"/>
    <s v="FRANCISCO MARCOS TEIXEIRA DOS SANTOS"/>
    <s v="JEFFERSON OLIVEIRA DA SILVA"/>
    <s v="JONILSON FELIPE VIEIRA"/>
    <x v="1"/>
    <x v="8"/>
    <x v="17"/>
    <m/>
    <x v="1298"/>
    <x v="1250"/>
    <x v="9"/>
    <x v="2"/>
    <x v="1"/>
    <x v="3"/>
    <x v="0"/>
  </r>
  <r>
    <x v="1298"/>
    <n v="102101642"/>
    <s v="RESC DEMIS COM JUSTA CAUSA"/>
    <s v="08/05/2019"/>
    <x v="3"/>
    <x v="28"/>
    <x v="20"/>
    <x v="21"/>
    <s v="Regional Pernambuco"/>
    <s v="Natal"/>
    <s v="Tecnico de campo"/>
    <x v="7"/>
    <s v="TEC MULTIFUNCIONAL"/>
    <s v="RESC DEMIS COM JUSTA CAUSA"/>
    <s v="NTS"/>
    <s v="09372747475"/>
    <s v="04/09/2019"/>
    <s v="WILSON CARLOS SILVEIRA LEIROS"/>
    <s v="REINILSON IGLESIAS JUNIOR"/>
    <s v="WENDELL FRANKLIN VIEIRA MAIA"/>
    <x v="1"/>
    <x v="29"/>
    <x v="17"/>
    <m/>
    <x v="1299"/>
    <x v="1250"/>
    <x v="28"/>
    <x v="7"/>
    <x v="3"/>
    <x v="3"/>
    <x v="0"/>
  </r>
  <r>
    <x v="1299"/>
    <n v="102101220"/>
    <s v="RESC DEMIS S/ JC AVISO IND"/>
    <s v="07/08/2019"/>
    <x v="3"/>
    <x v="22"/>
    <x v="14"/>
    <x v="18"/>
    <s v="Regional Pernambuco"/>
    <s v="Natal"/>
    <s v="MultiSkill"/>
    <x v="4"/>
    <s v="TEC MULTIFUNCIONAL"/>
    <s v="RESC DEMIS S/ JC AVISO IND"/>
    <s v="RNS"/>
    <s v="79077439404"/>
    <s v="04/09/2019"/>
    <s v="JOSUE MOURA DA SILVA"/>
    <s v="REINILSON IGLESIAS JUNIOR"/>
    <s v="WENDELL FRANKLIN VIEIRA MAIA"/>
    <x v="1"/>
    <x v="22"/>
    <x v="17"/>
    <m/>
    <x v="1300"/>
    <x v="1250"/>
    <x v="23"/>
    <x v="7"/>
    <x v="3"/>
    <x v="3"/>
    <x v="0"/>
  </r>
  <r>
    <x v="1300"/>
    <n v="102101393"/>
    <s v="RESC DEMIS S/ JC AVISO IND"/>
    <s v="10/04/2019"/>
    <x v="3"/>
    <x v="66"/>
    <x v="27"/>
    <x v="21"/>
    <s v="Regional Pernambuco"/>
    <s v="Natal"/>
    <s v="Tecnico de campo"/>
    <x v="7"/>
    <s v="INSTALADOR TUP"/>
    <s v="RESC DEMIS S/ JC AVISO IND"/>
    <s v="NTS"/>
    <s v="07294554404"/>
    <s v="04/09/2019"/>
    <s v="SIDNEY MOURA FREIRE"/>
    <s v="REINILSON IGLESIAS JUNIOR"/>
    <s v="WENDELL FRANKLIN VIEIRA MAIA"/>
    <x v="1"/>
    <x v="62"/>
    <x v="17"/>
    <m/>
    <x v="1301"/>
    <x v="1250"/>
    <x v="24"/>
    <x v="7"/>
    <x v="3"/>
    <x v="3"/>
    <x v="0"/>
  </r>
  <r>
    <x v="1301"/>
    <n v="101005241"/>
    <s v="ATIVIDADE NORMAL"/>
    <s v="19/12/2018"/>
    <x v="1"/>
    <x v="5"/>
    <x v="0"/>
    <x v="5"/>
    <s v="Regional Ceará"/>
    <s v="Juazeiro"/>
    <s v="MultiSkill"/>
    <x v="0"/>
    <s v="TEC MULTIFUNCIONAL"/>
    <s v="ATIVIDADE NORMAL"/>
    <s v="JNE"/>
    <s v="62928295372"/>
    <s v="04/09/2019"/>
    <s v="CLAUDECIR GOMES MACIEL"/>
    <s v="JEFFERSON OLIVEIRA DA SILVA"/>
    <s v="JONILSON FELIPE VIEIRA"/>
    <x v="0"/>
    <x v="5"/>
    <x v="1"/>
    <s v="TECNICO MULTIFUNCIONAL"/>
    <x v="1302"/>
    <x v="1263"/>
    <x v="6"/>
    <x v="2"/>
    <x v="1"/>
    <x v="0"/>
    <x v="0"/>
  </r>
  <r>
    <x v="1302"/>
    <n v="108401409"/>
    <s v="ATIVIDADE NORMAL"/>
    <s v="31/07/2019"/>
    <x v="1"/>
    <x v="32"/>
    <x v="15"/>
    <x v="2"/>
    <s v="Regional Ceará"/>
    <s v="Capital Sul Ceará"/>
    <s v="Tecnico de campo"/>
    <x v="9"/>
    <s v="INSTALADOR DTH"/>
    <s v="ATIVIDADE NORMAL"/>
    <s v="GCL"/>
    <s v="63883031372"/>
    <s v="04/09/2019"/>
    <s v="JOSE NILTON MENDES LIMA"/>
    <s v="VANDERLEI HENZEL CHOLLET"/>
    <s v="JONILSON FELIPE VIEIRA"/>
    <x v="0"/>
    <x v="32"/>
    <x v="11"/>
    <s v="INSTALADOR DTH"/>
    <x v="1303"/>
    <x v="1264"/>
    <x v="32"/>
    <x v="8"/>
    <x v="1"/>
    <x v="0"/>
    <x v="0"/>
  </r>
  <r>
    <x v="1303"/>
    <n v="101005989"/>
    <s v="ATIVIDADE NORMAL"/>
    <s v="13/03/2019"/>
    <x v="1"/>
    <x v="69"/>
    <x v="24"/>
    <x v="3"/>
    <s v="Regional Ceará"/>
    <s v="Capital Oeste Ceará"/>
    <s v="Equipe SWAT"/>
    <x v="7"/>
    <s v="CABISTA I"/>
    <s v="ATIVIDADE NORMAL"/>
    <s v="CNO"/>
    <s v="64529681300"/>
    <s v="04/09/2019"/>
    <s v="JOSENIL GOMES RODRIGUES"/>
    <s v="ALENCAR DE SOUZA SANTOS"/>
    <s v="JONILSON FELIPE VIEIRA"/>
    <x v="0"/>
    <x v="17"/>
    <x v="10"/>
    <s v="CABISTA I"/>
    <x v="1304"/>
    <x v="1265"/>
    <x v="18"/>
    <x v="4"/>
    <x v="1"/>
    <x v="0"/>
    <x v="0"/>
  </r>
  <r>
    <x v="1304"/>
    <n v="109504012"/>
    <s v="ATIVIDADE NORMAL"/>
    <s v="06/03/2019"/>
    <x v="2"/>
    <x v="54"/>
    <x v="14"/>
    <x v="12"/>
    <s v="Regional Pernambuco"/>
    <s v="João Pessoa"/>
    <s v="MultiSkill"/>
    <x v="4"/>
    <s v="TEC MULTIFUNCIONAL"/>
    <s v="ATIVIDADE NORMAL"/>
    <s v="JPA"/>
    <s v="64685217420"/>
    <s v="04/09/2019"/>
    <s v="FRANCISCO JOSE DIAS DA SILVA"/>
    <s v="WENDELL FRANKLIN VIEIRA MAIA"/>
    <s v="WENDELL FRANKLIN VIEIRA MAIA"/>
    <x v="0"/>
    <x v="36"/>
    <x v="2"/>
    <s v="TECNICO MULTIFUNCIONAL"/>
    <x v="1305"/>
    <x v="1266"/>
    <x v="25"/>
    <x v="6"/>
    <x v="3"/>
    <x v="0"/>
    <x v="0"/>
  </r>
  <r>
    <x v="1305"/>
    <n v="101006811"/>
    <s v="ATIVIDADE NORMAL"/>
    <s v="13/04/2019"/>
    <x v="1"/>
    <x v="43"/>
    <x v="14"/>
    <x v="8"/>
    <s v="Regional Ceará"/>
    <s v="Quixadá"/>
    <s v="MultiSkill"/>
    <x v="4"/>
    <s v="TEC MULTIFUNCIONAL"/>
    <s v="ATIVIDADE NORMAL"/>
    <s v="QXA"/>
    <s v="65759036300"/>
    <s v="04/09/2019"/>
    <s v="CARLOS FERNANDES GUIMARAES"/>
    <s v="ALENCAR DE SOUZA SANTOS"/>
    <s v="JONILSON FELIPE VIEIRA"/>
    <x v="0"/>
    <x v="44"/>
    <x v="2"/>
    <s v="TECNICO MULTIFUNCIONAL"/>
    <x v="1306"/>
    <x v="1267"/>
    <x v="40"/>
    <x v="4"/>
    <x v="1"/>
    <x v="0"/>
    <x v="0"/>
  </r>
  <r>
    <x v="1306"/>
    <n v="101008003"/>
    <s v="ATIVIDADE NORMAL"/>
    <s v="25/06/2019"/>
    <x v="1"/>
    <x v="4"/>
    <x v="1"/>
    <x v="4"/>
    <s v="Regional Ceará"/>
    <s v="Capital Oeste Ceará"/>
    <s v="MultiSkill"/>
    <x v="0"/>
    <s v="TEC MULTIFUNCIONAL"/>
    <s v="ATIVIDADE NORMAL"/>
    <s v="COO"/>
    <s v="66432472334"/>
    <s v="04/09/2019"/>
    <s v="NILO WEBER RAMOS RIBEIRO"/>
    <s v="ANTONIO ROBEVANIO PINHEIRO"/>
    <s v="JONILSON FELIPE VIEIRA"/>
    <x v="1"/>
    <x v="54"/>
    <x v="1"/>
    <s v="TECNICO MULTIFUNCIONAL"/>
    <x v="1307"/>
    <x v="1268"/>
    <x v="3"/>
    <x v="1"/>
    <x v="1"/>
    <x v="0"/>
    <x v="0"/>
  </r>
  <r>
    <x v="1307"/>
    <n v="102101587"/>
    <s v="RESC DEMIS S/ JC AVISO IND"/>
    <s v="03/06/2019"/>
    <x v="3"/>
    <x v="23"/>
    <x v="10"/>
    <x v="18"/>
    <s v="Regional Pernambuco"/>
    <s v="Natal"/>
    <s v="MultiSkill"/>
    <x v="4"/>
    <s v="TEC MULTIFUNCIONAL"/>
    <s v="RESC DEMIS S/ JC AVISO IND"/>
    <s v="RNS"/>
    <s v="06757412462"/>
    <s v="04/09/2019"/>
    <s v="AELGRICIO SILVA COSTA"/>
    <s v="REINILSON IGLESIAS JUNIOR"/>
    <s v="WENDELL FRANKLIN VIEIRA MAIA"/>
    <x v="1"/>
    <x v="48"/>
    <x v="17"/>
    <m/>
    <x v="1308"/>
    <x v="1250"/>
    <x v="78"/>
    <x v="7"/>
    <x v="3"/>
    <x v="3"/>
    <x v="0"/>
  </r>
  <r>
    <x v="1308"/>
    <n v="109000926"/>
    <s v="RESC DEMIS S/ JC AVISO IND"/>
    <s v="14/08/2019"/>
    <x v="0"/>
    <x v="44"/>
    <x v="20"/>
    <x v="7"/>
    <s v="Regional Pernambuco"/>
    <s v="Recife"/>
    <s v="Tecnico de campo"/>
    <x v="7"/>
    <s v="INSTALADOR"/>
    <s v="RESC DEMIS S/ JC AVISO IND"/>
    <s v="LES"/>
    <s v="27420310491"/>
    <s v="04/09/2019"/>
    <s v="ANTONIO MAGNO DE CASTRO LEAO"/>
    <s v="BRUNO VINICIUS DE ALBERTINS ALVES"/>
    <s v="NIVALDO DE OLIVEIRA SOARES"/>
    <x v="1"/>
    <x v="45"/>
    <x v="17"/>
    <m/>
    <x v="1309"/>
    <x v="1250"/>
    <x v="41"/>
    <x v="9"/>
    <x v="0"/>
    <x v="3"/>
    <x v="0"/>
  </r>
  <r>
    <x v="1309"/>
    <n v="105303208"/>
    <s v="RESC DEMIS S/ JC AVISO IND"/>
    <s v="06/05/2019"/>
    <x v="2"/>
    <x v="63"/>
    <x v="6"/>
    <x v="12"/>
    <s v="Regional Pernambuco"/>
    <s v="João Pessoa"/>
    <s v="Tecnico de campo"/>
    <x v="5"/>
    <s v="INSTALADOR"/>
    <s v="RESC DEMIS S/ JC AVISO IND"/>
    <s v="JPA"/>
    <s v="04590525194"/>
    <s v="04/09/2019"/>
    <s v="FERNANDO ANTONIO PORTO DE FREITAS"/>
    <s v="WENDELL FRANKLIN VIEIRA MAIA"/>
    <s v="WENDELL FRANKLIN VIEIRA MAIA"/>
    <x v="1"/>
    <x v="25"/>
    <x v="17"/>
    <m/>
    <x v="1310"/>
    <x v="1250"/>
    <x v="16"/>
    <x v="6"/>
    <x v="3"/>
    <x v="3"/>
    <x v="1"/>
  </r>
  <r>
    <x v="1310"/>
    <n v="101005989"/>
    <s v="RESC DEMIS S/ JC AVISO IND"/>
    <s v="12/08/2019"/>
    <x v="1"/>
    <x v="69"/>
    <x v="10"/>
    <x v="3"/>
    <s v="Regional Ceará"/>
    <s v="Capital Oeste Ceará"/>
    <s v="MultiSkill"/>
    <x v="4"/>
    <s v="TEC MULTIFUNCIONAL"/>
    <s v="RESC DEMIS S/ JC AVISO IND"/>
    <s v="CNO"/>
    <s v="00426285395"/>
    <s v="04/09/2019"/>
    <s v="JOSENIL GOMES RODRIGUES"/>
    <s v="ALENCAR DE SOUZA SANTOS"/>
    <s v="JONILSON FELIPE VIEIRA"/>
    <x v="1"/>
    <x v="17"/>
    <x v="17"/>
    <m/>
    <x v="1311"/>
    <x v="1250"/>
    <x v="18"/>
    <x v="4"/>
    <x v="1"/>
    <x v="3"/>
    <x v="0"/>
  </r>
  <r>
    <x v="1311"/>
    <n v="105303134"/>
    <s v="RESC DEMIS S/ JC AVISO IND"/>
    <s v="06/05/2019"/>
    <x v="2"/>
    <x v="34"/>
    <x v="10"/>
    <x v="12"/>
    <s v="Regional Pernambuco"/>
    <s v="João Pessoa"/>
    <s v="MultiSkill"/>
    <x v="4"/>
    <s v="TEC MULTIFUNCIONAL"/>
    <s v="RESC DEMIS S/ JC AVISO IND"/>
    <s v="JPA"/>
    <s v="46838872404"/>
    <s v="04/09/2019"/>
    <s v="GLAUBER JOSE GOMES LEITAO"/>
    <s v="WENDELL FRANKLIN VIEIRA MAIA"/>
    <s v="WENDELL FRANKLIN VIEIRA MAIA"/>
    <x v="1"/>
    <x v="25"/>
    <x v="17"/>
    <m/>
    <x v="1312"/>
    <x v="1250"/>
    <x v="39"/>
    <x v="6"/>
    <x v="3"/>
    <x v="3"/>
    <x v="0"/>
  </r>
  <r>
    <x v="1312"/>
    <n v="413841"/>
    <s v="RESC DEMIS S/ JC AVISO IND"/>
    <s v="13/02/2019"/>
    <x v="0"/>
    <x v="65"/>
    <x v="16"/>
    <x v="7"/>
    <s v="Regional Pernambuco"/>
    <s v="Recife"/>
    <s v="Tecnico de campo"/>
    <x v="9"/>
    <s v="INSTALADOR DTH"/>
    <s v="RESC DEMIS S/ JC AVISO IND"/>
    <s v="LES"/>
    <s v="50152424415"/>
    <s v="04/09/2019"/>
    <s v="ALEXANDRE SEVERINO DA COSTA SILVA"/>
    <s v="DECIO FABIANO LOPES FERREIRA"/>
    <s v="NIVALDO DE OLIVEIRA SOARES"/>
    <x v="1"/>
    <x v="45"/>
    <x v="17"/>
    <m/>
    <x v="1313"/>
    <x v="1250"/>
    <x v="0"/>
    <x v="0"/>
    <x v="0"/>
    <x v="3"/>
    <x v="0"/>
  </r>
  <r>
    <x v="1313"/>
    <n v="102002917"/>
    <s v="ATIVIDADE NORMAL"/>
    <s v="31/07/2019"/>
    <x v="3"/>
    <x v="23"/>
    <x v="13"/>
    <x v="18"/>
    <s v="Regional Pernambuco"/>
    <s v="Natal"/>
    <s v="Tecnico de campo"/>
    <x v="8"/>
    <s v="OP DG"/>
    <s v="ATIVIDADE NORMAL"/>
    <s v="RNS"/>
    <s v="66545978420"/>
    <s v="04/09/2019"/>
    <s v="RICELE DA SILVA NASCIMENTO"/>
    <s v="REINILSON IGLESIAS JUNIOR"/>
    <s v="WENDELL FRANKLIN VIEIRA MAIA"/>
    <x v="1"/>
    <x v="30"/>
    <x v="2"/>
    <s v="OPERADOR"/>
    <x v="1314"/>
    <x v="1269"/>
    <x v="51"/>
    <x v="7"/>
    <x v="3"/>
    <x v="0"/>
    <x v="1"/>
  </r>
  <r>
    <x v="1314"/>
    <n v="109504223"/>
    <s v="ATIVIDADE NORMAL"/>
    <s v="27/03/2019"/>
    <x v="0"/>
    <x v="35"/>
    <x v="2"/>
    <x v="14"/>
    <s v="Regional Pernambuco"/>
    <s v="Recife"/>
    <s v="Tecnico de campo"/>
    <x v="1"/>
    <s v="CABISTA III"/>
    <s v="ATIVIDADE NORMAL"/>
    <s v="NOR"/>
    <s v="66619041434"/>
    <s v="04/09/2019"/>
    <s v="ADENILTON CORREIA DA CRUZ"/>
    <s v="MARCOS DE OLIVEIRA STEHLING"/>
    <s v="NIVALDO DE OLIVEIRA SOARES"/>
    <x v="0"/>
    <x v="83"/>
    <x v="3"/>
    <s v="CABISTA III"/>
    <x v="1315"/>
    <x v="1270"/>
    <x v="69"/>
    <x v="3"/>
    <x v="0"/>
    <x v="0"/>
    <x v="1"/>
  </r>
  <r>
    <x v="1315"/>
    <n v="109000926"/>
    <s v="FERIAS NORMAIS"/>
    <s v="19/08/2019"/>
    <x v="0"/>
    <x v="65"/>
    <x v="10"/>
    <x v="7"/>
    <s v="Regional Pernambuco"/>
    <s v="Recife"/>
    <s v="MultiSkill"/>
    <x v="4"/>
    <s v="TEC MULTIFUNCIONAL"/>
    <s v="FERIAS NORMAIS"/>
    <s v="LES"/>
    <s v="66761964415"/>
    <s v="04/09/2019"/>
    <s v="ANTONIO MAGNO DE CASTRO LEAO"/>
    <s v="BRUNO VINICIUS DE ALBERTINS ALVES"/>
    <s v="NIVALDO DE OLIVEIRA SOARES"/>
    <x v="1"/>
    <x v="45"/>
    <x v="2"/>
    <s v="TECNICO MULTIFUNCIONAL"/>
    <x v="1316"/>
    <x v="1271"/>
    <x v="41"/>
    <x v="9"/>
    <x v="0"/>
    <x v="1"/>
    <x v="0"/>
  </r>
  <r>
    <x v="1316"/>
    <n v="109000427"/>
    <s v="ATIVIDADE NORMAL"/>
    <s v="15/05/2019"/>
    <x v="0"/>
    <x v="35"/>
    <x v="2"/>
    <x v="14"/>
    <s v="Regional Pernambuco"/>
    <s v="Recife"/>
    <s v="Tecnico de campo"/>
    <x v="1"/>
    <s v="OFICIAL DE REDE"/>
    <s v="ATIVIDADE NORMAL"/>
    <s v="NOR"/>
    <s v="66980747134"/>
    <s v="04/09/2019"/>
    <s v="HAMILTON DAVINO DA SILVA"/>
    <s v="MARCOS DE OLIVEIRA STEHLING"/>
    <s v="NIVALDO DE OLIVEIRA SOARES"/>
    <x v="0"/>
    <x v="6"/>
    <x v="3"/>
    <s v="OFICIAL DE REDE"/>
    <x v="1317"/>
    <x v="1272"/>
    <x v="7"/>
    <x v="3"/>
    <x v="0"/>
    <x v="0"/>
    <x v="1"/>
  </r>
  <r>
    <x v="1317"/>
    <n v="101005989"/>
    <s v="ATIVIDADE NORMAL"/>
    <s v="04/06/2019"/>
    <x v="1"/>
    <x v="69"/>
    <x v="13"/>
    <x v="3"/>
    <s v="Regional Ceará"/>
    <s v="Capital Oeste Ceará"/>
    <s v="Tecnico de campo"/>
    <x v="8"/>
    <s v="LIDER DE DG"/>
    <s v="ATIVIDADE NORMAL"/>
    <s v="CNO"/>
    <s v="67065937372"/>
    <s v="04/09/2019"/>
    <s v="JOSENIL GOMES RODRIGUES"/>
    <s v="ALENCAR DE SOUZA SANTOS"/>
    <s v="JONILSON FELIPE VIEIRA"/>
    <x v="1"/>
    <x v="17"/>
    <x v="9"/>
    <s v="SUPERVISOR OPERACIONAL"/>
    <x v="1318"/>
    <x v="1273"/>
    <x v="18"/>
    <x v="4"/>
    <x v="1"/>
    <x v="0"/>
    <x v="1"/>
  </r>
  <r>
    <x v="1318"/>
    <n v="101007665"/>
    <s v="FERIAS NORMAIS"/>
    <s v="19/08/2019"/>
    <x v="1"/>
    <x v="48"/>
    <x v="10"/>
    <x v="3"/>
    <s v="Regional Ceará"/>
    <s v="Capital Oeste Ceará"/>
    <s v="MultiSkill"/>
    <x v="4"/>
    <s v="TEC MULTIFUNCIONAL"/>
    <s v="FERIAS NORMAIS"/>
    <s v="CNO"/>
    <s v="67194125315"/>
    <s v="04/09/2019"/>
    <s v="CARLOS AUGUSTO ALVES DE SOUSA"/>
    <s v="ALENCAR DE SOUZA SANTOS"/>
    <s v="JONILSON FELIPE VIEIRA"/>
    <x v="1"/>
    <x v="33"/>
    <x v="2"/>
    <s v="TECNICO MULTIFUNCIONAL"/>
    <x v="1319"/>
    <x v="1274"/>
    <x v="45"/>
    <x v="4"/>
    <x v="1"/>
    <x v="1"/>
    <x v="0"/>
  </r>
  <r>
    <x v="1319"/>
    <n v="109504012"/>
    <s v="ATIVIDADE NORMAL"/>
    <s v="06/02/2019"/>
    <x v="2"/>
    <x v="54"/>
    <x v="10"/>
    <x v="12"/>
    <s v="Regional Pernambuco"/>
    <s v="João Pessoa"/>
    <s v="MultiSkill"/>
    <x v="4"/>
    <s v="TEC MULTIFUNCIONAL"/>
    <s v="ATIVIDADE NORMAL"/>
    <s v="JPA"/>
    <s v="67453856434"/>
    <s v="04/09/2019"/>
    <s v="FRANCISCO JOSE DIAS DA SILVA"/>
    <s v="WENDELL FRANKLIN VIEIRA MAIA"/>
    <s v="WENDELL FRANKLIN VIEIRA MAIA"/>
    <x v="0"/>
    <x v="36"/>
    <x v="2"/>
    <s v="TECNICO MULTIFUNCIONAL"/>
    <x v="1320"/>
    <x v="1275"/>
    <x v="25"/>
    <x v="6"/>
    <x v="3"/>
    <x v="0"/>
    <x v="0"/>
  </r>
  <r>
    <x v="1320"/>
    <n v="101004033"/>
    <s v="ATIVIDADE NORMAL"/>
    <s v="31/07/2019"/>
    <x v="1"/>
    <x v="58"/>
    <x v="10"/>
    <x v="4"/>
    <s v="Regional Ceará"/>
    <s v="Capital Oeste Ceará"/>
    <s v="MultiSkill"/>
    <x v="4"/>
    <s v="TEC MULTIFUNCIONAL"/>
    <s v="ATIVIDADE NORMAL"/>
    <s v="COO"/>
    <s v="67903495372"/>
    <s v="04/09/2019"/>
    <s v="HENRIQUE OLIVEIRA DO NASCIMENTO"/>
    <s v="ALENCAR DE SOUZA SANTOS"/>
    <s v="JONILSON FELIPE VIEIRA"/>
    <x v="0"/>
    <x v="63"/>
    <x v="2"/>
    <s v="TECNICO MULTIFUNCIONAL"/>
    <x v="1321"/>
    <x v="1276"/>
    <x v="52"/>
    <x v="4"/>
    <x v="1"/>
    <x v="0"/>
    <x v="0"/>
  </r>
  <r>
    <x v="1321"/>
    <n v="109501286"/>
    <s v="ATIVIDADE NORMAL"/>
    <s v="16/06/2019"/>
    <x v="0"/>
    <x v="30"/>
    <x v="2"/>
    <x v="13"/>
    <s v="Regional Pernambuco"/>
    <s v="Recife"/>
    <s v="Tecnico de campo"/>
    <x v="1"/>
    <s v="TEC MULTIFUNCIONAL"/>
    <s v="ATIVIDADE NORMAL"/>
    <s v="OES"/>
    <s v="68403038453"/>
    <s v="04/09/2019"/>
    <s v="JOSE HENRIQUE NEGRAO DE MEDEIROS"/>
    <s v="DECIO FABIANO LOPES FERREIRA"/>
    <s v="NIVALDO DE OLIVEIRA SOARES"/>
    <x v="0"/>
    <x v="31"/>
    <x v="12"/>
    <s v="TECNICO MULTIFUNCIONAL"/>
    <x v="1322"/>
    <x v="1277"/>
    <x v="34"/>
    <x v="0"/>
    <x v="0"/>
    <x v="0"/>
    <x v="1"/>
  </r>
  <r>
    <x v="1322"/>
    <n v="109000340"/>
    <s v="ATIVIDADE NORMAL"/>
    <s v="16/01/2019"/>
    <x v="0"/>
    <x v="21"/>
    <x v="6"/>
    <x v="17"/>
    <s v="Regional Pernambuco"/>
    <s v="Interior"/>
    <s v="Equipe SWAT"/>
    <x v="5"/>
    <s v="TEC MULTIFUNCIONAL"/>
    <s v="ATIVIDADE NORMAL"/>
    <s v="GUS"/>
    <s v="68668970410"/>
    <s v="04/09/2019"/>
    <s v="AILTON JOSE DOS SANTOS"/>
    <s v="DECIO FABIANO LOPES FERREIRA"/>
    <s v="NIVALDO DE OLIVEIRA SOARES"/>
    <x v="0"/>
    <x v="21"/>
    <x v="6"/>
    <s v="TECNICO MULTIFUNCIONAL"/>
    <x v="1323"/>
    <x v="1278"/>
    <x v="22"/>
    <x v="0"/>
    <x v="0"/>
    <x v="0"/>
    <x v="1"/>
  </r>
  <r>
    <x v="1323"/>
    <n v="109501286"/>
    <s v="ATIVIDADE NORMAL"/>
    <s v="30/09/2019"/>
    <x v="0"/>
    <x v="30"/>
    <x v="2"/>
    <x v="13"/>
    <s v="Regional Pernambuco"/>
    <s v="Recife"/>
    <s v="Tecnico de campo"/>
    <x v="1"/>
    <s v="CABISTA III"/>
    <s v="ATIVIDADE NORMAL"/>
    <s v="OES"/>
    <s v="68702515415"/>
    <s v="04/09/2019"/>
    <s v="JOSE HENRIQUE NEGRAO DE MEDEIROS"/>
    <s v="DECIO FABIANO LOPES FERREIRA"/>
    <s v="NIVALDO DE OLIVEIRA SOARES"/>
    <x v="0"/>
    <x v="37"/>
    <x v="2"/>
    <s v="CABISTA III"/>
    <x v="1324"/>
    <x v="1279"/>
    <x v="34"/>
    <x v="0"/>
    <x v="0"/>
    <x v="0"/>
    <x v="1"/>
  </r>
  <r>
    <x v="1324"/>
    <n v="101004033"/>
    <s v="ATIVIDADE NORMAL"/>
    <s v="31/03/2019"/>
    <x v="1"/>
    <x v="58"/>
    <x v="10"/>
    <x v="4"/>
    <s v="Regional Ceará"/>
    <s v="Capital Oeste Ceará"/>
    <s v="MultiSkill"/>
    <x v="4"/>
    <s v="TEC MULTIFUNCIONAL"/>
    <s v="ATIVIDADE NORMAL"/>
    <s v="COO"/>
    <s v="69028133372"/>
    <s v="04/09/2019"/>
    <s v="HENRIQUE OLIVEIRA DO NASCIMENTO"/>
    <s v="ALENCAR DE SOUZA SANTOS"/>
    <s v="JONILSON FELIPE VIEIRA"/>
    <x v="0"/>
    <x v="63"/>
    <x v="2"/>
    <s v="TECNICO MULTIFUNCIONAL"/>
    <x v="1325"/>
    <x v="1280"/>
    <x v="52"/>
    <x v="4"/>
    <x v="1"/>
    <x v="0"/>
    <x v="0"/>
  </r>
  <r>
    <x v="1325"/>
    <n v="101007665"/>
    <s v="ATIVIDADE NORMAL"/>
    <s v="10/04/2019"/>
    <x v="1"/>
    <x v="64"/>
    <x v="2"/>
    <x v="3"/>
    <s v="Regional Ceará"/>
    <s v="Capital Oeste Ceará"/>
    <s v="Tecnico de campo"/>
    <x v="1"/>
    <s v="CABISTA II"/>
    <s v="ATIVIDADE NORMAL"/>
    <s v="CNO"/>
    <s v="69569401320"/>
    <s v="04/09/2019"/>
    <s v="CARLOS AUGUSTO ALVES DE SOUSA"/>
    <s v="ALENCAR DE SOUZA SANTOS"/>
    <s v="JONILSON FELIPE VIEIRA"/>
    <x v="0"/>
    <x v="33"/>
    <x v="10"/>
    <s v="CABISTA II"/>
    <x v="1326"/>
    <x v="1281"/>
    <x v="45"/>
    <x v="4"/>
    <x v="1"/>
    <x v="0"/>
    <x v="1"/>
  </r>
  <r>
    <x v="1326"/>
    <n v="109500177"/>
    <s v="ATIVIDADE NORMAL"/>
    <s v="11/08/2019"/>
    <x v="0"/>
    <x v="60"/>
    <x v="2"/>
    <x v="14"/>
    <s v="Regional Pernambuco"/>
    <s v="Recife"/>
    <s v="Tecnico de campo"/>
    <x v="1"/>
    <s v="CABISTA I"/>
    <s v="ATIVIDADE NORMAL"/>
    <s v="NOR"/>
    <s v="69600112487"/>
    <s v="04/09/2019"/>
    <s v="JOSUEL FERREIRA DE BRITO"/>
    <s v="BRUNO VINICIUS DE ALBERTINS ALVES"/>
    <s v="NIVALDO DE OLIVEIRA SOARES"/>
    <x v="0"/>
    <x v="40"/>
    <x v="10"/>
    <s v="CABISTA I"/>
    <x v="1327"/>
    <x v="1282"/>
    <x v="36"/>
    <x v="9"/>
    <x v="0"/>
    <x v="0"/>
    <x v="1"/>
  </r>
  <r>
    <x v="1327"/>
    <n v="109500038"/>
    <s v="ATIVIDADE NORMAL"/>
    <s v="02/03/2019"/>
    <x v="0"/>
    <x v="60"/>
    <x v="12"/>
    <x v="14"/>
    <s v="Regional Pernambuco"/>
    <s v="Recife"/>
    <s v="Tecnico de campo"/>
    <x v="6"/>
    <s v="INSTALADOR"/>
    <s v="ATIVIDADE NORMAL"/>
    <s v="NOR"/>
    <s v="69815194453"/>
    <s v="04/09/2019"/>
    <s v="PATRICIO MARTINS DE SOUSA"/>
    <s v="MARCOS DE OLIVEIRA STEHLING"/>
    <s v="NIVALDO DE OLIVEIRA SOARES"/>
    <x v="1"/>
    <x v="18"/>
    <x v="3"/>
    <s v="INSTALADOR I"/>
    <x v="1328"/>
    <x v="1283"/>
    <x v="19"/>
    <x v="3"/>
    <x v="0"/>
    <x v="0"/>
    <x v="1"/>
  </r>
  <r>
    <x v="1328"/>
    <n v="101003771"/>
    <s v="ATIVIDADE NORMAL"/>
    <s v="28/11/2018"/>
    <x v="1"/>
    <x v="70"/>
    <x v="6"/>
    <x v="1"/>
    <s v="Regional Ceará"/>
    <s v="Capital Sul Ceará"/>
    <s v="Tecnico de campo"/>
    <x v="5"/>
    <s v="INSTALADOR TUP"/>
    <s v="ATIVIDADE NORMAL"/>
    <s v="GCS"/>
    <s v="69965978387"/>
    <s v="04/09/2019"/>
    <s v="ANA CLAUDIA DE CASTRO DA SILVA"/>
    <s v="ALENCAR DE SOUZA SANTOS"/>
    <s v="JONILSON FELIPE VIEIRA"/>
    <x v="1"/>
    <x v="13"/>
    <x v="6"/>
    <s v="INSTALADOR I"/>
    <x v="1329"/>
    <x v="1284"/>
    <x v="14"/>
    <x v="4"/>
    <x v="1"/>
    <x v="0"/>
    <x v="1"/>
  </r>
  <r>
    <x v="1329"/>
    <n v="102100390"/>
    <s v="ATIVIDADE NORMAL"/>
    <s v="22/10/2018"/>
    <x v="3"/>
    <x v="66"/>
    <x v="10"/>
    <x v="21"/>
    <s v="Regional Pernambuco"/>
    <s v="Natal"/>
    <s v="MultiSkill"/>
    <x v="4"/>
    <s v="TEC MULTIFUNCIONAL"/>
    <s v="ATIVIDADE NORMAL"/>
    <s v="NTS"/>
    <s v="70066534445"/>
    <s v="04/09/2019"/>
    <s v="ANDRIER CARLOS SOARES FERREIRA"/>
    <s v="REINILSON IGLESIAS JUNIOR"/>
    <s v="WENDELL FRANKLIN VIEIRA MAIA"/>
    <x v="0"/>
    <x v="48"/>
    <x v="2"/>
    <s v="TECNICO MULTIFUNCIONAL"/>
    <x v="1330"/>
    <x v="1285"/>
    <x v="43"/>
    <x v="7"/>
    <x v="3"/>
    <x v="0"/>
    <x v="0"/>
  </r>
  <r>
    <x v="1330"/>
    <n v="109506091"/>
    <s v="ATIVIDADE NORMAL"/>
    <s v="16/03/2018"/>
    <x v="0"/>
    <x v="35"/>
    <x v="10"/>
    <x v="14"/>
    <s v="Regional Pernambuco"/>
    <s v="Recife"/>
    <s v="MultiSkill"/>
    <x v="4"/>
    <s v="TEC MULTIFUNCIONAL"/>
    <s v="ATIVIDADE NORMAL"/>
    <s v="NOR"/>
    <s v="70159430429"/>
    <s v="04/09/2019"/>
    <s v="LUIZ RICARDO LIMA DA SILVA"/>
    <s v="BRUNO VINICIUS DE ALBERTINS ALVES"/>
    <s v="NIVALDO DE OLIVEIRA SOARES"/>
    <x v="0"/>
    <x v="38"/>
    <x v="2"/>
    <s v="TECNICO MULTIFUNCIONAL"/>
    <x v="1331"/>
    <x v="1286"/>
    <x v="49"/>
    <x v="9"/>
    <x v="0"/>
    <x v="0"/>
    <x v="0"/>
  </r>
  <r>
    <x v="1331"/>
    <n v="109000340"/>
    <s v="ATIVIDADE NORMAL"/>
    <s v="08/05/2018"/>
    <x v="0"/>
    <x v="0"/>
    <x v="2"/>
    <x v="0"/>
    <s v="Regional Pernambuco"/>
    <s v="Interior"/>
    <s v="Equipe SWAT"/>
    <x v="1"/>
    <s v="CABISTA I"/>
    <s v="ATIVIDADE NORMAL"/>
    <s v="CRU"/>
    <s v="70386793417"/>
    <s v="04/09/2019"/>
    <s v="AILTON JOSE DOS SANTOS"/>
    <s v="DECIO FABIANO LOPES FERREIRA"/>
    <s v="NIVALDO DE OLIVEIRA SOARES"/>
    <x v="0"/>
    <x v="21"/>
    <x v="7"/>
    <s v="CABISTA I"/>
    <x v="1332"/>
    <x v="1287"/>
    <x v="22"/>
    <x v="0"/>
    <x v="0"/>
    <x v="0"/>
    <x v="1"/>
  </r>
  <r>
    <x v="1332"/>
    <n v="102100390"/>
    <s v="ATIVIDADE NORMAL"/>
    <s v="01/05/2019"/>
    <x v="3"/>
    <x v="66"/>
    <x v="10"/>
    <x v="21"/>
    <s v="Regional Pernambuco"/>
    <s v="Natal"/>
    <s v="MultiSkill"/>
    <x v="4"/>
    <s v="TEC MULTIFUNCIONAL"/>
    <s v="ATIVIDADE NORMAL"/>
    <s v="NTS"/>
    <s v="70469340452"/>
    <s v="04/09/2019"/>
    <s v="ANDRIER CARLOS SOARES FERREIRA"/>
    <s v="REINILSON IGLESIAS JUNIOR"/>
    <s v="WENDELL FRANKLIN VIEIRA MAIA"/>
    <x v="0"/>
    <x v="48"/>
    <x v="2"/>
    <s v="TECNICO MULTIFUNCIONAL"/>
    <x v="1333"/>
    <x v="1288"/>
    <x v="43"/>
    <x v="7"/>
    <x v="3"/>
    <x v="0"/>
    <x v="0"/>
  </r>
  <r>
    <x v="1333"/>
    <n v="105303208"/>
    <s v="ATIVIDADE NORMAL"/>
    <s v="17/06/2019"/>
    <x v="2"/>
    <x v="15"/>
    <x v="16"/>
    <x v="12"/>
    <s v="Regional Pernambuco"/>
    <s v="João Pessoa"/>
    <s v="Tecnico de campo"/>
    <x v="9"/>
    <s v="INSTALADOR DTH"/>
    <s v="ATIVIDADE NORMAL"/>
    <s v="JPA"/>
    <s v="70526649410"/>
    <s v="04/09/2019"/>
    <s v="FERNANDO ANTONIO PORTO DE FREITAS"/>
    <s v="WENDELL FRANKLIN VIEIRA MAIA"/>
    <s v="WENDELL FRANKLIN VIEIRA MAIA"/>
    <x v="0"/>
    <x v="72"/>
    <x v="11"/>
    <s v="INSTALADOR DTH"/>
    <x v="1334"/>
    <x v="1289"/>
    <x v="16"/>
    <x v="6"/>
    <x v="3"/>
    <x v="0"/>
    <x v="0"/>
  </r>
  <r>
    <x v="1334"/>
    <n v="109000926"/>
    <s v="ATIVIDADE NORMAL"/>
    <s v="06/02/2019"/>
    <x v="0"/>
    <x v="65"/>
    <x v="12"/>
    <x v="7"/>
    <s v="Regional Pernambuco"/>
    <s v="Recife"/>
    <s v="Tecnico de campo"/>
    <x v="6"/>
    <s v="CABISTA III"/>
    <s v="ATIVIDADE NORMAL"/>
    <s v="LES"/>
    <s v="70921040415"/>
    <s v="04/09/2019"/>
    <s v="ANTONIO MAGNO DE CASTRO LEAO"/>
    <s v="BRUNO VINICIUS DE ALBERTINS ALVES"/>
    <s v="NIVALDO DE OLIVEIRA SOARES"/>
    <x v="0"/>
    <x v="45"/>
    <x v="2"/>
    <s v="CABISTA III"/>
    <x v="1335"/>
    <x v="1290"/>
    <x v="41"/>
    <x v="9"/>
    <x v="0"/>
    <x v="0"/>
    <x v="1"/>
  </r>
  <r>
    <x v="1335"/>
    <n v="109000943"/>
    <s v="ATIVIDADE NORMAL"/>
    <s v="28/11/2018"/>
    <x v="0"/>
    <x v="60"/>
    <x v="10"/>
    <x v="14"/>
    <s v="Regional Pernambuco"/>
    <s v="Recife"/>
    <s v="MultiSkill"/>
    <x v="4"/>
    <s v="TEC MULTIFUNCIONAL"/>
    <s v="ATIVIDADE NORMAL"/>
    <s v="NOR"/>
    <s v="70936560487"/>
    <s v="04/09/2019"/>
    <s v="MAURO BRAGA RANGEL"/>
    <s v="BRUNO VINICIUS DE ALBERTINS ALVES"/>
    <s v="NIVALDO DE OLIVEIRA SOARES"/>
    <x v="0"/>
    <x v="38"/>
    <x v="2"/>
    <s v="TECNICO MULTIFUNCIONAL"/>
    <x v="1336"/>
    <x v="1291"/>
    <x v="56"/>
    <x v="9"/>
    <x v="0"/>
    <x v="0"/>
    <x v="0"/>
  </r>
  <r>
    <x v="1336"/>
    <n v="109505049"/>
    <s v="ATIVIDADE NORMAL"/>
    <s v="24/04/2019"/>
    <x v="0"/>
    <x v="52"/>
    <x v="0"/>
    <x v="7"/>
    <s v="Regional Pernambuco"/>
    <s v="Recife"/>
    <s v="Tecnico de campo"/>
    <x v="0"/>
    <s v="TEC MULTIFUNCIONAL"/>
    <s v="ATIVIDADE NORMAL"/>
    <s v="LES"/>
    <s v="71049421493"/>
    <s v="04/09/2019"/>
    <s v="RAMSES DE ANDRADE MACHADO RODRIGUES LAVRA"/>
    <s v="BRUNO VINICIUS DE ALBERTINS ALVES"/>
    <s v="NIVALDO DE OLIVEIRA SOARES"/>
    <x v="0"/>
    <x v="57"/>
    <x v="1"/>
    <s v="TECNICO MULTIFUNCIONAL"/>
    <x v="1337"/>
    <x v="1292"/>
    <x v="48"/>
    <x v="9"/>
    <x v="0"/>
    <x v="0"/>
    <x v="0"/>
  </r>
  <r>
    <x v="1337"/>
    <n v="108401409"/>
    <s v="ATIVIDADE NORMAL"/>
    <s v="06/02/2019"/>
    <x v="1"/>
    <x v="43"/>
    <x v="15"/>
    <x v="8"/>
    <s v="Regional Ceará"/>
    <s v="Quixadá"/>
    <s v="Tecnico de campo"/>
    <x v="9"/>
    <s v="INSTALADOR DTH"/>
    <s v="ATIVIDADE NORMAL"/>
    <s v="QXA"/>
    <s v="71780483368"/>
    <s v="04/09/2019"/>
    <s v="JOSE NILTON MENDES LIMA"/>
    <s v="VANDERLEI HENZEL CHOLLET"/>
    <s v="JONILSON FELIPE VIEIRA"/>
    <x v="0"/>
    <x v="10"/>
    <x v="11"/>
    <s v="INSTALADOR DTH"/>
    <x v="1338"/>
    <x v="1293"/>
    <x v="32"/>
    <x v="8"/>
    <x v="1"/>
    <x v="0"/>
    <x v="0"/>
  </r>
  <r>
    <x v="1338"/>
    <n v="101007963"/>
    <s v="ATIVIDADE NORMAL"/>
    <s v="25/01/2019"/>
    <x v="1"/>
    <x v="36"/>
    <x v="17"/>
    <x v="4"/>
    <s v="Regional Ceará"/>
    <s v="Capital Oeste Ceará"/>
    <s v="MultiSkill"/>
    <x v="4"/>
    <s v="TEC MULTIFUNCIONAL"/>
    <s v="ATIVIDADE NORMAL"/>
    <s v="COO"/>
    <s v="72046791304"/>
    <s v="04/09/2019"/>
    <s v="JOSEVAN DE SOUSA SILVA"/>
    <s v="ALENCAR DE SOUZA SANTOS"/>
    <s v="JONILSON FELIPE VIEIRA"/>
    <x v="0"/>
    <x v="39"/>
    <x v="2"/>
    <s v="TECNICO MULTIFUNCIONAL"/>
    <x v="1339"/>
    <x v="1294"/>
    <x v="35"/>
    <x v="4"/>
    <x v="1"/>
    <x v="0"/>
    <x v="0"/>
  </r>
  <r>
    <x v="1339"/>
    <n v="101001488"/>
    <s v="ATIVIDADE NORMAL"/>
    <s v="24/04/2019"/>
    <x v="1"/>
    <x v="4"/>
    <x v="18"/>
    <x v="4"/>
    <s v="Regional Ceará"/>
    <s v="Capital Oeste Ceará"/>
    <s v="Tecnico de campo"/>
    <x v="0"/>
    <s v="TEC MULTIFUNCIONAL"/>
    <s v="ATIVIDADE NORMAL"/>
    <s v="COO"/>
    <s v="72184396320"/>
    <s v="04/09/2019"/>
    <s v="MICHEL SOARES DE OLIVEIRA"/>
    <s v="ANTONIO ROBEVANIO PINHEIRO"/>
    <s v="JONILSON FELIPE VIEIRA"/>
    <x v="0"/>
    <x v="46"/>
    <x v="1"/>
    <s v="TECNICO MULTIFUNCIONAL"/>
    <x v="1340"/>
    <x v="1295"/>
    <x v="2"/>
    <x v="1"/>
    <x v="1"/>
    <x v="0"/>
    <x v="0"/>
  </r>
  <r>
    <x v="1340"/>
    <n v="101003771"/>
    <s v="ATIVIDADE NORMAL"/>
    <s v="13/02/2019"/>
    <x v="1"/>
    <x v="47"/>
    <x v="6"/>
    <x v="1"/>
    <s v="Regional Ceará"/>
    <s v="Capital Sul Ceará"/>
    <s v="Tecnico de campo"/>
    <x v="5"/>
    <s v="INSTALADOR"/>
    <s v="ATIVIDADE NORMAL"/>
    <s v="GCS"/>
    <s v="72475161353"/>
    <s v="04/09/2019"/>
    <s v="ANA CLAUDIA DE CASTRO DA SILVA"/>
    <s v="ALENCAR DE SOUZA SANTOS"/>
    <s v="JONILSON FELIPE VIEIRA"/>
    <x v="0"/>
    <x v="65"/>
    <x v="6"/>
    <s v="INSTALADOR I"/>
    <x v="1341"/>
    <x v="1296"/>
    <x v="14"/>
    <x v="4"/>
    <x v="1"/>
    <x v="0"/>
    <x v="1"/>
  </r>
  <r>
    <x v="1341"/>
    <n v="101005380"/>
    <s v="ATIVIDADE NORMAL"/>
    <s v="31/07/2019"/>
    <x v="1"/>
    <x v="19"/>
    <x v="10"/>
    <x v="15"/>
    <s v="Regional Ceará"/>
    <s v="Sobral"/>
    <s v="MultiSkill"/>
    <x v="4"/>
    <s v="TEC MULTIFUNCIONAL"/>
    <s v="ATIVIDADE NORMAL"/>
    <s v="SOL"/>
    <s v="72852593300"/>
    <s v="04/09/2019"/>
    <s v="MARCILIO RIBEIRO DOS SANTOS"/>
    <s v="JEFFERSON OLIVEIRA DA SILVA"/>
    <s v="JONILSON FELIPE VIEIRA"/>
    <x v="0"/>
    <x v="19"/>
    <x v="2"/>
    <s v="TECNICO MULTIFUNCIONAL"/>
    <x v="1342"/>
    <x v="1297"/>
    <x v="20"/>
    <x v="2"/>
    <x v="1"/>
    <x v="0"/>
    <x v="0"/>
  </r>
  <r>
    <x v="1342"/>
    <n v="101008134"/>
    <s v="ATIVIDADE NORMAL"/>
    <s v="31/07/2019"/>
    <x v="1"/>
    <x v="47"/>
    <x v="10"/>
    <x v="1"/>
    <s v="Regional Ceará"/>
    <s v="Capital Sul Ceará"/>
    <s v="MultiSkill"/>
    <x v="4"/>
    <s v="TEC MULTIFUNCIONAL"/>
    <s v="ATIVIDADE NORMAL"/>
    <s v="GCS"/>
    <s v="73260673334"/>
    <s v="04/09/2019"/>
    <s v="BRUNO SAVIO DA SILVA"/>
    <s v="ANTONIO ROBEVANIO PINHEIRO"/>
    <s v="JONILSON FELIPE VIEIRA"/>
    <x v="0"/>
    <x v="53"/>
    <x v="2"/>
    <s v="TECNICO MULTIFUNCIONAL"/>
    <x v="1343"/>
    <x v="1298"/>
    <x v="5"/>
    <x v="1"/>
    <x v="1"/>
    <x v="0"/>
    <x v="0"/>
  </r>
  <r>
    <x v="1343"/>
    <n v="101008134"/>
    <s v="ATIVIDADE NORMAL"/>
    <s v="31/07/2019"/>
    <x v="1"/>
    <x v="47"/>
    <x v="10"/>
    <x v="1"/>
    <s v="Regional Ceará"/>
    <s v="Capital Sul Ceará"/>
    <s v="MultiSkill"/>
    <x v="4"/>
    <s v="TEC MULTIFUNCIONAL"/>
    <s v="ATIVIDADE NORMAL"/>
    <s v="GCS"/>
    <s v="74067265387"/>
    <s v="04/09/2019"/>
    <s v="BRUNO SAVIO DA SILVA"/>
    <s v="ANTONIO ROBEVANIO PINHEIRO"/>
    <s v="JONILSON FELIPE VIEIRA"/>
    <x v="0"/>
    <x v="53"/>
    <x v="2"/>
    <s v="TECNICO MULTIFUNCIONAL"/>
    <x v="1344"/>
    <x v="1299"/>
    <x v="5"/>
    <x v="1"/>
    <x v="1"/>
    <x v="0"/>
    <x v="0"/>
  </r>
  <r>
    <x v="1344"/>
    <n v="109000499"/>
    <s v="ATIVIDADE NORMAL"/>
    <s v="23/05/2019"/>
    <x v="0"/>
    <x v="30"/>
    <x v="13"/>
    <x v="13"/>
    <s v="Regional Pernambuco"/>
    <s v="Recife"/>
    <s v="Tecnico de campo"/>
    <x v="8"/>
    <s v="OP DG"/>
    <s v="ATIVIDADE NORMAL"/>
    <s v="OES"/>
    <s v="74288148472"/>
    <s v="04/09/2019"/>
    <s v="ALTAIR LUIZ DO NASCIMENTO"/>
    <s v="DECIO FABIANO LOPES FERREIRA"/>
    <s v="NIVALDO DE OLIVEIRA SOARES"/>
    <x v="0"/>
    <x v="42"/>
    <x v="9"/>
    <s v="OPERADOR"/>
    <x v="1345"/>
    <x v="1300"/>
    <x v="38"/>
    <x v="0"/>
    <x v="0"/>
    <x v="0"/>
    <x v="1"/>
  </r>
  <r>
    <x v="1345"/>
    <n v="101006811"/>
    <s v="ATIVIDADE NORMAL"/>
    <s v="27/03/2019"/>
    <x v="1"/>
    <x v="43"/>
    <x v="8"/>
    <x v="8"/>
    <s v="Regional Ceará"/>
    <s v="Quixadá"/>
    <s v="Tecnico de campo"/>
    <x v="6"/>
    <s v="CABISTA III"/>
    <s v="ATIVIDADE NORMAL"/>
    <s v="QXA"/>
    <s v="74374125353"/>
    <s v="04/09/2019"/>
    <s v="CARLOS FERNANDES GUIMARAES"/>
    <s v="ALENCAR DE SOUZA SANTOS"/>
    <s v="JONILSON FELIPE VIEIRA"/>
    <x v="0"/>
    <x v="44"/>
    <x v="7"/>
    <s v="CABISTA III"/>
    <x v="1346"/>
    <x v="1301"/>
    <x v="40"/>
    <x v="4"/>
    <x v="1"/>
    <x v="0"/>
    <x v="1"/>
  </r>
  <r>
    <x v="1346"/>
    <n v="101009889"/>
    <s v="ATIVIDADE NORMAL"/>
    <s v="01/05/2019"/>
    <x v="1"/>
    <x v="64"/>
    <x v="2"/>
    <x v="3"/>
    <s v="Regional Ceará"/>
    <s v="Capital Oeste Ceará"/>
    <s v="Tecnico de campo"/>
    <x v="1"/>
    <s v="LIDER DE OBRAS"/>
    <s v="ATIVIDADE NORMAL"/>
    <s v="CNO"/>
    <s v="74771876304"/>
    <s v="04/09/2019"/>
    <s v="ROBERTO CLAUDIO PAIVA CASTRO"/>
    <s v="CRISTIANO ADOLFO TORRES SAMPAIO"/>
    <s v="JESSE GONCALVES PASSOS DE LIMA"/>
    <x v="0"/>
    <x v="81"/>
    <x v="5"/>
    <s v="LIDER DE OBRAS"/>
    <x v="1347"/>
    <x v="1302"/>
    <x v="77"/>
    <x v="5"/>
    <x v="2"/>
    <x v="0"/>
    <x v="1"/>
  </r>
  <r>
    <x v="1347"/>
    <n v="101001488"/>
    <s v="ATIVIDADE NORMAL"/>
    <s v="28/11/2018"/>
    <x v="1"/>
    <x v="2"/>
    <x v="18"/>
    <x v="2"/>
    <s v="Regional Ceará"/>
    <s v="Capital Sul Ceará"/>
    <s v="Tecnico de campo"/>
    <x v="0"/>
    <s v="TEC MULTIFUNCIONAL"/>
    <s v="ATIVIDADE NORMAL"/>
    <s v="GCL"/>
    <s v="74915860310"/>
    <s v="04/09/2019"/>
    <s v="MICHEL SOARES DE OLIVEIRA"/>
    <s v="ANTONIO ROBEVANIO PINHEIRO"/>
    <s v="JONILSON FELIPE VIEIRA"/>
    <x v="0"/>
    <x v="61"/>
    <x v="1"/>
    <s v="TECNICO MULTIFUNCIONAL"/>
    <x v="1348"/>
    <x v="1303"/>
    <x v="2"/>
    <x v="1"/>
    <x v="1"/>
    <x v="0"/>
    <x v="0"/>
  </r>
  <r>
    <x v="1348"/>
    <n v="102101393"/>
    <s v="ATIVIDADE NORMAL"/>
    <s v="17/05/2019"/>
    <x v="3"/>
    <x v="23"/>
    <x v="2"/>
    <x v="18"/>
    <s v="Regional Pernambuco"/>
    <s v="Natal"/>
    <s v="Tecnico de campo"/>
    <x v="1"/>
    <s v="CABISTA I"/>
    <s v="ATIVIDADE NORMAL"/>
    <s v="RNS"/>
    <s v="75205114487"/>
    <s v="04/09/2019"/>
    <s v="SIDNEY MOURA FREIRE"/>
    <s v="REINILSON IGLESIAS JUNIOR"/>
    <s v="WENDELL FRANKLIN VIEIRA MAIA"/>
    <x v="0"/>
    <x v="23"/>
    <x v="7"/>
    <s v="CABISTA I"/>
    <x v="1349"/>
    <x v="1304"/>
    <x v="24"/>
    <x v="7"/>
    <x v="3"/>
    <x v="0"/>
    <x v="1"/>
  </r>
  <r>
    <x v="1349"/>
    <n v="101007963"/>
    <s v="ATIVIDADE NORMAL"/>
    <s v="05/06/2019"/>
    <x v="1"/>
    <x v="36"/>
    <x v="17"/>
    <x v="4"/>
    <s v="Regional Ceará"/>
    <s v="Capital Oeste Ceará"/>
    <s v="MultiSkill"/>
    <x v="4"/>
    <s v="TEC MULTIFUNCIONAL"/>
    <s v="ATIVIDADE NORMAL"/>
    <s v="COO"/>
    <s v="75436370306"/>
    <s v="04/09/2019"/>
    <s v="JOSEVAN DE SOUSA SILVA"/>
    <s v="ALENCAR DE SOUZA SANTOS"/>
    <s v="JONILSON FELIPE VIEIRA"/>
    <x v="0"/>
    <x v="39"/>
    <x v="2"/>
    <s v="TECNICO MULTIFUNCIONAL"/>
    <x v="1350"/>
    <x v="1305"/>
    <x v="35"/>
    <x v="4"/>
    <x v="1"/>
    <x v="0"/>
    <x v="0"/>
  </r>
  <r>
    <x v="1350"/>
    <n v="109505858"/>
    <s v="ATIVIDADE NORMAL"/>
    <s v="04/10/2018"/>
    <x v="0"/>
    <x v="14"/>
    <x v="12"/>
    <x v="11"/>
    <s v="Regional Pernambuco"/>
    <s v="Interior"/>
    <s v="Equipe SWAT"/>
    <x v="6"/>
    <s v="CABISTA I"/>
    <s v="ATIVIDADE NORMAL"/>
    <s v="ACV"/>
    <s v="75688611391"/>
    <s v="04/09/2019"/>
    <s v="THIAGO DE LIMA PIRES RODRIGUES"/>
    <s v="DECIO FABIANO LOPES FERREIRA"/>
    <s v="NIVALDO DE OLIVEIRA SOARES"/>
    <x v="0"/>
    <x v="11"/>
    <x v="7"/>
    <s v="CABISTA I"/>
    <x v="1351"/>
    <x v="1306"/>
    <x v="12"/>
    <x v="0"/>
    <x v="0"/>
    <x v="0"/>
    <x v="1"/>
  </r>
  <r>
    <x v="1351"/>
    <n v="109504012"/>
    <s v="ATIVIDADE NORMAL"/>
    <s v="28/11/2018"/>
    <x v="2"/>
    <x v="54"/>
    <x v="5"/>
    <x v="12"/>
    <s v="Regional Pernambuco"/>
    <s v="João Pessoa"/>
    <s v="MultiSkill"/>
    <x v="4"/>
    <s v="TEC MULTIFUNCIONAL"/>
    <s v="ATIVIDADE NORMAL"/>
    <s v="JPA"/>
    <s v="75947021404"/>
    <s v="04/09/2019"/>
    <s v="FRANCISCO JOSE DIAS DA SILVA"/>
    <s v="WENDELL FRANKLIN VIEIRA MAIA"/>
    <s v="WENDELL FRANKLIN VIEIRA MAIA"/>
    <x v="0"/>
    <x v="36"/>
    <x v="2"/>
    <s v="TECNICO MULTIFUNCIONAL"/>
    <x v="1352"/>
    <x v="1307"/>
    <x v="25"/>
    <x v="6"/>
    <x v="3"/>
    <x v="0"/>
    <x v="0"/>
  </r>
  <r>
    <x v="1352"/>
    <n v="109500315"/>
    <s v="RESC DEMIS S/ JC AVISO IND"/>
    <s v="07/08/2019"/>
    <x v="0"/>
    <x v="44"/>
    <x v="6"/>
    <x v="7"/>
    <s v="Regional Pernambuco"/>
    <s v="Recife"/>
    <s v="Tecnico de campo"/>
    <x v="5"/>
    <s v="INSTALADOR TUP"/>
    <s v="RESC DEMIS S/ JC AVISO IND"/>
    <s v="LES"/>
    <s v="89175140497"/>
    <s v="04/09/2019"/>
    <s v="IVALDO BEZERRA NOVAIS"/>
    <s v="DECIO FABIANO LOPES FERREIRA"/>
    <s v="NIVALDO DE OLIVEIRA SOARES"/>
    <x v="1"/>
    <x v="47"/>
    <x v="17"/>
    <m/>
    <x v="1353"/>
    <x v="1250"/>
    <x v="42"/>
    <x v="0"/>
    <x v="0"/>
    <x v="3"/>
    <x v="1"/>
  </r>
  <r>
    <x v="1353"/>
    <m/>
    <s v="RESC DEMIS S/ JC AVISO IND"/>
    <s v="10/06/2019"/>
    <x v="0"/>
    <x v="60"/>
    <x v="10"/>
    <x v="14"/>
    <s v="Regional Pernambuco"/>
    <s v="Recife"/>
    <s v="MultiSkill"/>
    <x v="4"/>
    <s v="TEC MULTIFUNCIONAL"/>
    <s v="RESC DEMIS S/ JC AVISO IND"/>
    <s v="NOR"/>
    <s v="01013031490"/>
    <s v="04/09/2019"/>
    <m/>
    <m/>
    <m/>
    <x v="1"/>
    <x v="40"/>
    <x v="17"/>
    <m/>
    <x v="1354"/>
    <x v="1250"/>
    <x v="80"/>
    <x v="16"/>
    <x v="6"/>
    <x v="3"/>
    <x v="0"/>
  </r>
  <r>
    <x v="1354"/>
    <n v="109000393"/>
    <s v="RESC DEMIS S/ JC AVISO IND"/>
    <s v="08/05/2019"/>
    <x v="0"/>
    <x v="46"/>
    <x v="14"/>
    <x v="11"/>
    <s v="Regional Pernambuco"/>
    <s v="Interior"/>
    <s v="MultiSkill"/>
    <x v="4"/>
    <s v="TEC MULTIFUNCIONAL"/>
    <s v="RESC DEMIS S/ JC AVISO IND"/>
    <s v="ACV"/>
    <s v="08900157400"/>
    <s v="04/09/2019"/>
    <s v="MARCELO JOSE DA SILVA"/>
    <s v="DECIO FABIANO LOPES FERREIRA"/>
    <s v="NIVALDO DE OLIVEIRA SOARES"/>
    <x v="1"/>
    <x v="11"/>
    <x v="17"/>
    <m/>
    <x v="1355"/>
    <x v="1250"/>
    <x v="81"/>
    <x v="0"/>
    <x v="0"/>
    <x v="3"/>
    <x v="0"/>
  </r>
  <r>
    <x v="1355"/>
    <n v="109000340"/>
    <s v="RESC DEMIS S/ JC AVISO IND"/>
    <s v="17/04/2019"/>
    <x v="0"/>
    <x v="21"/>
    <x v="28"/>
    <x v="17"/>
    <s v="Regional Pernambuco"/>
    <s v="Interior"/>
    <s v="Tecnico de campo"/>
    <x v="4"/>
    <s v="TEC MULTIFUNCIONAL"/>
    <s v="RESC DEMIS S/ JC AVISO IND"/>
    <s v="GUS"/>
    <s v="02841597431"/>
    <s v="04/09/2019"/>
    <s v="AILTON JOSE DOS SANTOS"/>
    <s v="DECIO FABIANO LOPES FERREIRA"/>
    <s v="NIVALDO DE OLIVEIRA SOARES"/>
    <x v="1"/>
    <x v="21"/>
    <x v="17"/>
    <m/>
    <x v="1356"/>
    <x v="1250"/>
    <x v="22"/>
    <x v="0"/>
    <x v="0"/>
    <x v="3"/>
    <x v="0"/>
  </r>
  <r>
    <x v="1356"/>
    <n v="109000340"/>
    <s v="RESC DEMIS S/ JC AVISO IND"/>
    <s v="17/06/2019"/>
    <x v="0"/>
    <x v="50"/>
    <x v="6"/>
    <x v="17"/>
    <s v="Regional Pernambuco"/>
    <s v="Interior"/>
    <s v="Tecnico de campo"/>
    <x v="5"/>
    <s v="INSTALADOR TUP"/>
    <s v="RESC DEMIS S/ JC AVISO IND"/>
    <s v="GUS"/>
    <s v="01394873441"/>
    <s v="04/09/2019"/>
    <s v="AILTON JOSE DOS SANTOS"/>
    <s v="DECIO FABIANO LOPES FERREIRA"/>
    <s v="NIVALDO DE OLIVEIRA SOARES"/>
    <x v="1"/>
    <x v="21"/>
    <x v="17"/>
    <m/>
    <x v="1357"/>
    <x v="1250"/>
    <x v="22"/>
    <x v="0"/>
    <x v="0"/>
    <x v="3"/>
    <x v="1"/>
  </r>
  <r>
    <x v="1357"/>
    <n v="101005241"/>
    <s v="ATIVIDADE NORMAL"/>
    <s v="31/07/2019"/>
    <x v="1"/>
    <x v="31"/>
    <x v="8"/>
    <x v="5"/>
    <s v="Regional Ceará"/>
    <s v="Juazeiro"/>
    <s v="Tecnico de campo"/>
    <x v="6"/>
    <s v="CABISTA III"/>
    <s v="ATIVIDADE NORMAL"/>
    <s v="JNE"/>
    <s v="76033309391"/>
    <s v="04/09/2019"/>
    <s v="CLAUDECIR GOMES MACIEL"/>
    <s v="JEFFERSON OLIVEIRA DA SILVA"/>
    <s v="JONILSON FELIPE VIEIRA"/>
    <x v="0"/>
    <x v="5"/>
    <x v="2"/>
    <s v="CABISTA III"/>
    <x v="1358"/>
    <x v="1308"/>
    <x v="6"/>
    <x v="2"/>
    <x v="1"/>
    <x v="0"/>
    <x v="1"/>
  </r>
  <r>
    <x v="1358"/>
    <n v="109506091"/>
    <s v="ATIVIDADE NORMAL"/>
    <s v="31/07/2019"/>
    <x v="0"/>
    <x v="35"/>
    <x v="10"/>
    <x v="14"/>
    <s v="Regional Pernambuco"/>
    <s v="Recife"/>
    <s v="MultiSkill"/>
    <x v="4"/>
    <s v="TEC MULTIFUNCIONAL"/>
    <s v="ATIVIDADE NORMAL"/>
    <s v="NOR"/>
    <s v="76654761472"/>
    <s v="04/09/2019"/>
    <s v="LUIZ RICARDO LIMA DA SILVA"/>
    <s v="BRUNO VINICIUS DE ALBERTINS ALVES"/>
    <s v="NIVALDO DE OLIVEIRA SOARES"/>
    <x v="0"/>
    <x v="38"/>
    <x v="2"/>
    <s v="TECNICO MULTIFUNCIONAL"/>
    <x v="1359"/>
    <x v="1309"/>
    <x v="49"/>
    <x v="9"/>
    <x v="0"/>
    <x v="0"/>
    <x v="0"/>
  </r>
  <r>
    <x v="1359"/>
    <n v="101005241"/>
    <s v="FERIAS NORMAIS"/>
    <s v="02/09/2019"/>
    <x v="1"/>
    <x v="5"/>
    <x v="0"/>
    <x v="5"/>
    <s v="Regional Ceará"/>
    <s v="Juazeiro"/>
    <s v="Tecnico de campo"/>
    <x v="0"/>
    <s v="TEC MULTIFUNCIONAL"/>
    <s v="FERIAS NORMAIS"/>
    <s v="JNE"/>
    <s v="76677753387"/>
    <s v="04/09/2019"/>
    <s v="CLAUDECIR GOMES MACIEL"/>
    <s v="JEFFERSON OLIVEIRA DA SILVA"/>
    <s v="JONILSON FELIPE VIEIRA"/>
    <x v="1"/>
    <x v="5"/>
    <x v="1"/>
    <s v="TECNICO MULTIFUNCIONAL"/>
    <x v="1360"/>
    <x v="1310"/>
    <x v="6"/>
    <x v="2"/>
    <x v="1"/>
    <x v="1"/>
    <x v="0"/>
  </r>
  <r>
    <x v="1360"/>
    <n v="101005989"/>
    <s v="ATIVIDADE NORMAL"/>
    <s v="16/01/2019"/>
    <x v="1"/>
    <x v="69"/>
    <x v="5"/>
    <x v="3"/>
    <s v="Regional Ceará"/>
    <s v="Capital Oeste Ceará"/>
    <s v="MultiSkill"/>
    <x v="4"/>
    <s v="TEC MULTIFUNCIONAL"/>
    <s v="ATIVIDADE NORMAL"/>
    <s v="CNO"/>
    <s v="76900606334"/>
    <s v="04/09/2019"/>
    <s v="JOSENIL GOMES RODRIGUES"/>
    <s v="ALENCAR DE SOUZA SANTOS"/>
    <s v="JONILSON FELIPE VIEIRA"/>
    <x v="0"/>
    <x v="17"/>
    <x v="2"/>
    <s v="TECNICO MULTIFUNCIONAL"/>
    <x v="1361"/>
    <x v="1311"/>
    <x v="18"/>
    <x v="4"/>
    <x v="1"/>
    <x v="0"/>
    <x v="0"/>
  </r>
  <r>
    <x v="1361"/>
    <n v="101005241"/>
    <s v="FERIAS NORMAIS"/>
    <s v="19/08/2019"/>
    <x v="1"/>
    <x v="5"/>
    <x v="0"/>
    <x v="5"/>
    <s v="Regional Ceará"/>
    <s v="Juazeiro"/>
    <s v="MultiSkill"/>
    <x v="0"/>
    <s v="TEC MULTIFUNCIONAL"/>
    <s v="FERIAS NORMAIS"/>
    <s v="JNE"/>
    <s v="76979989391"/>
    <s v="04/09/2019"/>
    <s v="CLAUDECIR GOMES MACIEL"/>
    <s v="JEFFERSON OLIVEIRA DA SILVA"/>
    <s v="JONILSON FELIPE VIEIRA"/>
    <x v="1"/>
    <x v="5"/>
    <x v="1"/>
    <s v="TECNICO MULTIFUNCIONAL"/>
    <x v="1362"/>
    <x v="1312"/>
    <x v="6"/>
    <x v="2"/>
    <x v="1"/>
    <x v="1"/>
    <x v="0"/>
  </r>
  <r>
    <x v="1362"/>
    <n v="101008003"/>
    <s v="ATIVIDADE NORMAL"/>
    <s v="25/06/2019"/>
    <x v="1"/>
    <x v="4"/>
    <x v="0"/>
    <x v="4"/>
    <s v="Regional Ceará"/>
    <s v="Capital Oeste Ceará"/>
    <s v="MultiSkill"/>
    <x v="0"/>
    <s v="TEC MULTIFUNCIONAL"/>
    <s v="ATIVIDADE NORMAL"/>
    <s v="COO"/>
    <s v="76988775315"/>
    <s v="04/09/2019"/>
    <s v="NILO WEBER RAMOS RIBEIRO"/>
    <s v="ANTONIO ROBEVANIO PINHEIRO"/>
    <s v="JONILSON FELIPE VIEIRA"/>
    <x v="0"/>
    <x v="54"/>
    <x v="1"/>
    <s v="TECNICO MULTIFUNCIONAL"/>
    <x v="1363"/>
    <x v="1313"/>
    <x v="3"/>
    <x v="1"/>
    <x v="1"/>
    <x v="0"/>
    <x v="0"/>
  </r>
  <r>
    <x v="1363"/>
    <n v="101001670"/>
    <s v="FERIAS NORMAIS"/>
    <s v="19/08/2019"/>
    <x v="1"/>
    <x v="8"/>
    <x v="10"/>
    <x v="2"/>
    <s v="Regional Ceará"/>
    <s v="Capital Sul Ceará"/>
    <s v="MultiSkill"/>
    <x v="4"/>
    <s v="TEC MULTIFUNCIONAL"/>
    <s v="FERIAS NORMAIS"/>
    <s v="GCL"/>
    <s v="77258738304"/>
    <s v="04/09/2019"/>
    <s v="FRANCISCO MARCOS TEIXEIRA DOS SANTOS"/>
    <s v="JEFFERSON OLIVEIRA DA SILVA"/>
    <s v="JONILSON FELIPE VIEIRA"/>
    <x v="1"/>
    <x v="32"/>
    <x v="2"/>
    <s v="TECNICO MULTIFUNCIONAL"/>
    <x v="1364"/>
    <x v="1314"/>
    <x v="9"/>
    <x v="2"/>
    <x v="1"/>
    <x v="1"/>
    <x v="0"/>
  </r>
  <r>
    <x v="1364"/>
    <n v="109000119"/>
    <s v="ATIVIDADE NORMAL"/>
    <s v="27/02/2019"/>
    <x v="0"/>
    <x v="39"/>
    <x v="2"/>
    <x v="13"/>
    <s v="Regional Pernambuco"/>
    <s v="Recife"/>
    <s v="Tecnico de campo"/>
    <x v="1"/>
    <s v="CABISTA III"/>
    <s v="ATIVIDADE NORMAL"/>
    <s v="OES"/>
    <s v="77999843415"/>
    <s v="04/09/2019"/>
    <s v="AMARILDO GOMES DE MELO"/>
    <s v="MARCOS DE OLIVEIRA STEHLING"/>
    <s v="NIVALDO DE OLIVEIRA SOARES"/>
    <x v="0"/>
    <x v="71"/>
    <x v="3"/>
    <s v="CABISTA III"/>
    <x v="1365"/>
    <x v="1315"/>
    <x v="60"/>
    <x v="3"/>
    <x v="0"/>
    <x v="0"/>
    <x v="1"/>
  </r>
  <r>
    <x v="1365"/>
    <n v="101005989"/>
    <s v="ATIVIDADE NORMAL"/>
    <s v="22/03/2019"/>
    <x v="1"/>
    <x v="69"/>
    <x v="10"/>
    <x v="3"/>
    <s v="Regional Ceará"/>
    <s v="Capital Oeste Ceará"/>
    <s v="MultiSkill"/>
    <x v="4"/>
    <s v="TEC MULTIFUNCIONAL"/>
    <s v="ATIVIDADE NORMAL"/>
    <s v="CNO"/>
    <s v="78291984387"/>
    <s v="04/09/2019"/>
    <s v="JOSENIL GOMES RODRIGUES"/>
    <s v="ALENCAR DE SOUZA SANTOS"/>
    <s v="JONILSON FELIPE VIEIRA"/>
    <x v="0"/>
    <x v="17"/>
    <x v="2"/>
    <s v="TECNICO MULTIFUNCIONAL"/>
    <x v="1366"/>
    <x v="1316"/>
    <x v="18"/>
    <x v="4"/>
    <x v="1"/>
    <x v="0"/>
    <x v="0"/>
  </r>
  <r>
    <x v="1366"/>
    <n v="101010062"/>
    <s v="ATIVIDADE NORMAL"/>
    <s v="09/09/2019"/>
    <x v="1"/>
    <x v="26"/>
    <x v="8"/>
    <x v="15"/>
    <s v="Regional Ceará"/>
    <s v="Sobral"/>
    <s v="Tecnico de campo"/>
    <x v="6"/>
    <s v="CABISTA III"/>
    <s v="ATIVIDADE NORMAL"/>
    <s v="SOL"/>
    <s v="78999120325"/>
    <s v="04/09/2019"/>
    <s v="ANTONIO ERINEUDES CAVALCANTE FEIJAO"/>
    <s v="JEFFERSON OLIVEIRA DA SILVA"/>
    <s v="JONILSON FELIPE VIEIRA"/>
    <x v="0"/>
    <x v="26"/>
    <x v="7"/>
    <s v="CABISTA III"/>
    <x v="1367"/>
    <x v="1317"/>
    <x v="26"/>
    <x v="2"/>
    <x v="1"/>
    <x v="0"/>
    <x v="1"/>
  </r>
  <r>
    <x v="1367"/>
    <n v="109000499"/>
    <s v="ATIVIDADE NORMAL"/>
    <s v="30/09/2019"/>
    <x v="0"/>
    <x v="13"/>
    <x v="13"/>
    <x v="10"/>
    <s v="Regional Pernambuco"/>
    <s v="Recife"/>
    <s v="Tecnico de campo"/>
    <x v="8"/>
    <s v="OP DG"/>
    <s v="ATIVIDADE NORMAL"/>
    <s v="PES"/>
    <s v="79415997400"/>
    <s v="04/09/2019"/>
    <s v="ALTAIR LUIZ DO NASCIMENTO"/>
    <s v="DECIO FABIANO LOPES FERREIRA"/>
    <s v="NIVALDO DE OLIVEIRA SOARES"/>
    <x v="0"/>
    <x v="42"/>
    <x v="9"/>
    <s v="OPERADOR"/>
    <x v="1368"/>
    <x v="1318"/>
    <x v="38"/>
    <x v="0"/>
    <x v="0"/>
    <x v="0"/>
    <x v="1"/>
  </r>
  <r>
    <x v="1368"/>
    <n v="109000926"/>
    <s v="ATIVIDADE NORMAL"/>
    <s v="31/07/2019"/>
    <x v="0"/>
    <x v="65"/>
    <x v="12"/>
    <x v="7"/>
    <s v="Regional Pernambuco"/>
    <s v="Recife"/>
    <s v="Tecnico de campo"/>
    <x v="6"/>
    <s v="CABISTA I"/>
    <s v="ATIVIDADE NORMAL"/>
    <s v="LES"/>
    <s v="79664717487"/>
    <s v="04/09/2019"/>
    <s v="ANTONIO MAGNO DE CASTRO LEAO"/>
    <s v="BRUNO VINICIUS DE ALBERTINS ALVES"/>
    <s v="NIVALDO DE OLIVEIRA SOARES"/>
    <x v="0"/>
    <x v="45"/>
    <x v="7"/>
    <s v="CABISTA I"/>
    <x v="1369"/>
    <x v="1319"/>
    <x v="41"/>
    <x v="9"/>
    <x v="0"/>
    <x v="0"/>
    <x v="1"/>
  </r>
  <r>
    <x v="1369"/>
    <n v="109000943"/>
    <s v="ATIVIDADE NORMAL"/>
    <s v="19/12/2018"/>
    <x v="0"/>
    <x v="60"/>
    <x v="11"/>
    <x v="14"/>
    <s v="Regional Pernambuco"/>
    <s v="Recife"/>
    <s v="MultiSkill"/>
    <x v="1"/>
    <s v="TEC MULTIFUNCIONAL"/>
    <s v="ATIVIDADE NORMAL"/>
    <s v="NOR"/>
    <s v="80098908472"/>
    <s v="04/09/2019"/>
    <s v="MAURO BRAGA RANGEL"/>
    <s v="BRUNO VINICIUS DE ALBERTINS ALVES"/>
    <s v="NIVALDO DE OLIVEIRA SOARES"/>
    <x v="0"/>
    <x v="77"/>
    <x v="2"/>
    <s v="TECNICO MULTIFUNCIONAL"/>
    <x v="1370"/>
    <x v="1320"/>
    <x v="56"/>
    <x v="9"/>
    <x v="0"/>
    <x v="0"/>
    <x v="1"/>
  </r>
  <r>
    <x v="1370"/>
    <n v="101010062"/>
    <s v="ATIVIDADE NORMAL"/>
    <s v="21/05/2019"/>
    <x v="1"/>
    <x v="26"/>
    <x v="4"/>
    <x v="15"/>
    <s v="Regional Ceará"/>
    <s v="Sobral"/>
    <s v="MultiSkill"/>
    <x v="3"/>
    <s v="TEC MULTIFUNCIONAL"/>
    <s v="ATIVIDADE NORMAL"/>
    <s v="SOL"/>
    <s v="81070322334"/>
    <s v="04/09/2019"/>
    <s v="ANTONIO ERINEUDES CAVALCANTE FEIJAO"/>
    <s v="JEFFERSON OLIVEIRA DA SILVA"/>
    <s v="JONILSON FELIPE VIEIRA"/>
    <x v="0"/>
    <x v="26"/>
    <x v="2"/>
    <s v="TECNICO MULTIFUNCIONAL"/>
    <x v="1371"/>
    <x v="1321"/>
    <x v="26"/>
    <x v="2"/>
    <x v="1"/>
    <x v="0"/>
    <x v="0"/>
  </r>
  <r>
    <x v="1371"/>
    <n v="109000340"/>
    <s v="ATIVIDADE NORMAL"/>
    <s v="13/02/2019"/>
    <x v="0"/>
    <x v="0"/>
    <x v="6"/>
    <x v="0"/>
    <s v="Regional Pernambuco"/>
    <s v="Interior"/>
    <s v="Tecnico de campo"/>
    <x v="5"/>
    <s v="TEC MULTIFUNCIONAL"/>
    <s v="ATIVIDADE NORMAL"/>
    <s v="CRU"/>
    <s v="81141998491"/>
    <s v="04/09/2019"/>
    <s v="AILTON JOSE DOS SANTOS"/>
    <s v="DECIO FABIANO LOPES FERREIRA"/>
    <s v="NIVALDO DE OLIVEIRA SOARES"/>
    <x v="0"/>
    <x v="21"/>
    <x v="6"/>
    <s v="TECNICO MULTIFUNCIONAL"/>
    <x v="1372"/>
    <x v="1322"/>
    <x v="22"/>
    <x v="0"/>
    <x v="0"/>
    <x v="0"/>
    <x v="1"/>
  </r>
  <r>
    <x v="1372"/>
    <n v="102101220"/>
    <s v="ATIVIDADE NORMAL"/>
    <s v="31/07/2019"/>
    <x v="3"/>
    <x v="22"/>
    <x v="2"/>
    <x v="18"/>
    <s v="Regional Pernambuco"/>
    <s v="Natal"/>
    <s v="Tecnico de campo"/>
    <x v="1"/>
    <s v="CABISTA I"/>
    <s v="ATIVIDADE NORMAL"/>
    <s v="RNS"/>
    <s v="81309724415"/>
    <s v="04/09/2019"/>
    <s v="JOSUE MOURA DA SILVA"/>
    <s v="REINILSON IGLESIAS JUNIOR"/>
    <s v="WENDELL FRANKLIN VIEIRA MAIA"/>
    <x v="0"/>
    <x v="76"/>
    <x v="7"/>
    <s v="CABISTA I"/>
    <x v="1373"/>
    <x v="1323"/>
    <x v="23"/>
    <x v="7"/>
    <x v="3"/>
    <x v="0"/>
    <x v="1"/>
  </r>
  <r>
    <x v="1373"/>
    <n v="101005241"/>
    <s v="FERIAS NORMAIS"/>
    <s v="02/09/2019"/>
    <x v="1"/>
    <x v="11"/>
    <x v="6"/>
    <x v="9"/>
    <s v="Regional Ceará"/>
    <s v="Juazeiro"/>
    <s v="MultiSkill"/>
    <x v="5"/>
    <s v="TEC MULTIFUNCIONAL"/>
    <s v="FERIAS NORMAIS"/>
    <s v="IAU"/>
    <s v="81749244853"/>
    <s v="04/09/2019"/>
    <s v="CLAUDECIR GOMES MACIEL"/>
    <s v="JEFFERSON OLIVEIRA DA SILVA"/>
    <s v="JONILSON FELIPE VIEIRA"/>
    <x v="1"/>
    <x v="5"/>
    <x v="6"/>
    <s v="TECNICO MULTIFUNCIONAL"/>
    <x v="1374"/>
    <x v="1324"/>
    <x v="6"/>
    <x v="2"/>
    <x v="1"/>
    <x v="1"/>
    <x v="1"/>
  </r>
  <r>
    <x v="1374"/>
    <n v="101005241"/>
    <s v="ATIVIDADE NORMAL"/>
    <s v="28/11/2018"/>
    <x v="1"/>
    <x v="5"/>
    <x v="0"/>
    <x v="5"/>
    <s v="Regional Ceará"/>
    <s v="Juazeiro"/>
    <s v="MultiSkill"/>
    <x v="0"/>
    <s v="TEC MULTIFUNCIONAL"/>
    <s v="ATIVIDADE NORMAL"/>
    <s v="JNE"/>
    <s v="82199957349"/>
    <s v="04/09/2019"/>
    <s v="CLAUDECIR GOMES MACIEL"/>
    <s v="JEFFERSON OLIVEIRA DA SILVA"/>
    <s v="JONILSON FELIPE VIEIRA"/>
    <x v="0"/>
    <x v="5"/>
    <x v="1"/>
    <s v="TECNICO MULTIFUNCIONAL"/>
    <x v="1375"/>
    <x v="1325"/>
    <x v="6"/>
    <x v="2"/>
    <x v="1"/>
    <x v="0"/>
    <x v="0"/>
  </r>
  <r>
    <x v="1375"/>
    <n v="109506174"/>
    <s v="ATIVIDADE NORMAL"/>
    <s v="14/02/2019"/>
    <x v="0"/>
    <x v="53"/>
    <x v="14"/>
    <x v="23"/>
    <s v="Regional Pernambuco"/>
    <s v="Interior"/>
    <s v="MultiSkill"/>
    <x v="4"/>
    <s v="TEC MULTIFUNCIONAL"/>
    <s v="ATIVIDADE NORMAL"/>
    <s v="CBO"/>
    <s v="82432260449"/>
    <s v="04/09/2019"/>
    <s v="ALYSSON HENRIQUE FERREIRA DE LUCENA"/>
    <s v="DECIO FABIANO LOPES FERREIRA"/>
    <s v="NIVALDO DE OLIVEIRA SOARES"/>
    <x v="0"/>
    <x v="21"/>
    <x v="2"/>
    <s v="TECNICO MULTIFUNCIONAL"/>
    <x v="1376"/>
    <x v="1326"/>
    <x v="55"/>
    <x v="0"/>
    <x v="0"/>
    <x v="0"/>
    <x v="0"/>
  </r>
  <r>
    <x v="1376"/>
    <n v="109504012"/>
    <s v="ATIVIDADE NORMAL"/>
    <s v="24/04/2019"/>
    <x v="2"/>
    <x v="63"/>
    <x v="6"/>
    <x v="12"/>
    <s v="Regional Pernambuco"/>
    <s v="João Pessoa"/>
    <s v="Tecnico de campo"/>
    <x v="5"/>
    <s v="TEC MULTIFUNCIONAL"/>
    <s v="ATIVIDADE NORMAL"/>
    <s v="JPA"/>
    <s v="82665168472"/>
    <s v="04/09/2019"/>
    <s v="FRANCISCO JOSE DIAS DA SILVA"/>
    <s v="WENDELL FRANKLIN VIEIRA MAIA"/>
    <s v="WENDELL FRANKLIN VIEIRA MAIA"/>
    <x v="0"/>
    <x v="59"/>
    <x v="11"/>
    <s v="TECNICO MULTIFUNCIONAL"/>
    <x v="1377"/>
    <x v="1327"/>
    <x v="25"/>
    <x v="6"/>
    <x v="3"/>
    <x v="0"/>
    <x v="1"/>
  </r>
  <r>
    <x v="1377"/>
    <n v="109500177"/>
    <s v="ATIVIDADE NORMAL"/>
    <s v="10/04/2019"/>
    <x v="0"/>
    <x v="67"/>
    <x v="10"/>
    <x v="14"/>
    <s v="Regional Pernambuco"/>
    <s v="Recife"/>
    <s v="MultiSkill"/>
    <x v="4"/>
    <s v="TEC MULTIFUNCIONAL"/>
    <s v="ATIVIDADE NORMAL"/>
    <s v="NOR"/>
    <s v="03577632461"/>
    <s v="04/09/2019"/>
    <s v="JOSUEL FERREIRA DE BRITO"/>
    <s v="BRUNO VINICIUS DE ALBERTINS ALVES"/>
    <s v="NIVALDO DE OLIVEIRA SOARES"/>
    <x v="0"/>
    <x v="38"/>
    <x v="2"/>
    <s v="TECNICO MULTIFUNCIONAL"/>
    <x v="1378"/>
    <x v="1328"/>
    <x v="36"/>
    <x v="9"/>
    <x v="0"/>
    <x v="0"/>
    <x v="0"/>
  </r>
  <r>
    <x v="1378"/>
    <n v="109506091"/>
    <s v="ATIVIDADE NORMAL"/>
    <s v="06/03/2019"/>
    <x v="0"/>
    <x v="35"/>
    <x v="10"/>
    <x v="14"/>
    <s v="Regional Pernambuco"/>
    <s v="Recife"/>
    <s v="MultiSkill"/>
    <x v="4"/>
    <s v="TEC MULTIFUNCIONAL"/>
    <s v="ATIVIDADE NORMAL"/>
    <s v="NOR"/>
    <s v="05671654424"/>
    <s v="04/09/2019"/>
    <s v="LUIZ RICARDO LIMA DA SILVA"/>
    <s v="BRUNO VINICIUS DE ALBERTINS ALVES"/>
    <s v="NIVALDO DE OLIVEIRA SOARES"/>
    <x v="0"/>
    <x v="38"/>
    <x v="2"/>
    <s v="TECNICO MULTIFUNCIONAL"/>
    <x v="1379"/>
    <x v="1329"/>
    <x v="49"/>
    <x v="9"/>
    <x v="0"/>
    <x v="0"/>
    <x v="0"/>
  </r>
  <r>
    <x v="1379"/>
    <n v="109505819"/>
    <s v="ATIVIDADE NORMAL"/>
    <s v="02/01/2019"/>
    <x v="0"/>
    <x v="39"/>
    <x v="12"/>
    <x v="13"/>
    <s v="Regional Pernambuco"/>
    <s v="Recife"/>
    <s v="Tecnico de campo"/>
    <x v="6"/>
    <s v="CABISTA III"/>
    <s v="ATIVIDADE NORMAL"/>
    <s v="OES"/>
    <s v="68840438491"/>
    <s v="04/09/2019"/>
    <s v="ALESSANDRO DIONISIO DE FRANCA"/>
    <s v="DECIO FABIANO LOPES FERREIRA"/>
    <s v="NIVALDO DE OLIVEIRA SOARES"/>
    <x v="0"/>
    <x v="16"/>
    <x v="10"/>
    <s v="CABISTA III"/>
    <x v="1380"/>
    <x v="1330"/>
    <x v="37"/>
    <x v="0"/>
    <x v="0"/>
    <x v="0"/>
    <x v="1"/>
  </r>
  <r>
    <x v="1380"/>
    <n v="109506032"/>
    <s v="ATIVIDADE NORMAL"/>
    <s v="05/06/2019"/>
    <x v="0"/>
    <x v="49"/>
    <x v="10"/>
    <x v="13"/>
    <s v="Regional Pernambuco"/>
    <s v="Recife"/>
    <s v="MultiSkill"/>
    <x v="4"/>
    <s v="TEC MULTIFUNCIONAL"/>
    <s v="ATIVIDADE NORMAL"/>
    <s v="OES"/>
    <s v="98792040420"/>
    <s v="04/09/2019"/>
    <s v="CARLOS REIS GONZAGA"/>
    <s v="DECIO FABIANO LOPES FERREIRA"/>
    <s v="NIVALDO DE OLIVEIRA SOARES"/>
    <x v="0"/>
    <x v="16"/>
    <x v="2"/>
    <s v="TECNICO MULTIFUNCIONAL"/>
    <x v="1381"/>
    <x v="1331"/>
    <x v="17"/>
    <x v="0"/>
    <x v="0"/>
    <x v="0"/>
    <x v="0"/>
  </r>
  <r>
    <x v="1381"/>
    <n v="109505049"/>
    <s v="ATIVIDADE NORMAL"/>
    <s v="02/01/2019"/>
    <x v="0"/>
    <x v="52"/>
    <x v="0"/>
    <x v="7"/>
    <s v="Regional Pernambuco"/>
    <s v="Recife"/>
    <s v="MultiSkill"/>
    <x v="0"/>
    <s v="TEC MULTIFUNCIONAL"/>
    <s v="ATIVIDADE NORMAL"/>
    <s v="LES"/>
    <s v="06431643402"/>
    <s v="04/09/2019"/>
    <s v="RAMSES DE ANDRADE MACHADO RODRIGUES LAVRA"/>
    <s v="BRUNO VINICIUS DE ALBERTINS ALVES"/>
    <s v="NIVALDO DE OLIVEIRA SOARES"/>
    <x v="0"/>
    <x v="57"/>
    <x v="1"/>
    <s v="TECNICO MULTIFUNCIONAL"/>
    <x v="1382"/>
    <x v="1332"/>
    <x v="48"/>
    <x v="9"/>
    <x v="0"/>
    <x v="0"/>
    <x v="0"/>
  </r>
  <r>
    <x v="1382"/>
    <n v="109506172"/>
    <s v="ATIVIDADE NORMAL"/>
    <s v="08/05/2019"/>
    <x v="0"/>
    <x v="59"/>
    <x v="12"/>
    <x v="13"/>
    <s v="Regional Pernambuco"/>
    <s v="Recife"/>
    <s v="Equipe SWAT"/>
    <x v="6"/>
    <s v="CABISTA III"/>
    <s v="ATIVIDADE NORMAL"/>
    <s v="OES"/>
    <s v="50984896449"/>
    <s v="04/09/2019"/>
    <s v="MARCUS VINICIUS NEVES DE BRITO"/>
    <s v="DECIO FABIANO LOPES FERREIRA"/>
    <s v="NIVALDO DE OLIVEIRA SOARES"/>
    <x v="0"/>
    <x v="64"/>
    <x v="7"/>
    <s v="CABISTA III"/>
    <x v="1383"/>
    <x v="1333"/>
    <x v="54"/>
    <x v="0"/>
    <x v="0"/>
    <x v="0"/>
    <x v="1"/>
  </r>
  <r>
    <x v="1383"/>
    <n v="109506172"/>
    <s v="ATIVIDADE NORMAL"/>
    <s v="06/03/2019"/>
    <x v="0"/>
    <x v="59"/>
    <x v="10"/>
    <x v="13"/>
    <s v="Regional Pernambuco"/>
    <s v="Recife"/>
    <s v="MultiSkill"/>
    <x v="4"/>
    <s v="TEC MULTIFUNCIONAL"/>
    <s v="ATIVIDADE NORMAL"/>
    <s v="OES"/>
    <s v="02161914405"/>
    <s v="04/09/2019"/>
    <s v="MARCUS VINICIUS NEVES DE BRITO"/>
    <s v="DECIO FABIANO LOPES FERREIRA"/>
    <s v="NIVALDO DE OLIVEIRA SOARES"/>
    <x v="0"/>
    <x v="64"/>
    <x v="2"/>
    <s v="TECNICO MULTIFUNCIONAL"/>
    <x v="1384"/>
    <x v="1334"/>
    <x v="54"/>
    <x v="0"/>
    <x v="0"/>
    <x v="0"/>
    <x v="0"/>
  </r>
  <r>
    <x v="1384"/>
    <n v="109506172"/>
    <s v="ATIVIDADE NORMAL"/>
    <s v="25/04/2019"/>
    <x v="0"/>
    <x v="59"/>
    <x v="10"/>
    <x v="13"/>
    <s v="Regional Pernambuco"/>
    <s v="Recife"/>
    <s v="MultiSkill"/>
    <x v="4"/>
    <s v="TEC MULTIFUNCIONAL"/>
    <s v="ATIVIDADE NORMAL"/>
    <s v="OES"/>
    <s v="08592308488"/>
    <s v="04/09/2019"/>
    <s v="MARCUS VINICIUS NEVES DE BRITO"/>
    <s v="DECIO FABIANO LOPES FERREIRA"/>
    <s v="NIVALDO DE OLIVEIRA SOARES"/>
    <x v="0"/>
    <x v="64"/>
    <x v="2"/>
    <s v="TECNICO MULTIFUNCIONAL"/>
    <x v="1385"/>
    <x v="1335"/>
    <x v="54"/>
    <x v="0"/>
    <x v="0"/>
    <x v="0"/>
    <x v="0"/>
  </r>
  <r>
    <x v="1385"/>
    <n v="109505049"/>
    <s v="ATIVIDADE NORMAL"/>
    <s v="06/03/2019"/>
    <x v="0"/>
    <x v="52"/>
    <x v="0"/>
    <x v="7"/>
    <s v="Regional Pernambuco"/>
    <s v="Recife"/>
    <s v="MultiSkill"/>
    <x v="0"/>
    <s v="TEC MULTIFUNCIONAL"/>
    <s v="ATIVIDADE NORMAL"/>
    <s v="LES"/>
    <s v="09734586408"/>
    <s v="04/09/2019"/>
    <s v="RAMSES DE ANDRADE MACHADO RODRIGUES LAVRA"/>
    <s v="BRUNO VINICIUS DE ALBERTINS ALVES"/>
    <s v="NIVALDO DE OLIVEIRA SOARES"/>
    <x v="0"/>
    <x v="57"/>
    <x v="1"/>
    <s v="TECNICO MULTIFUNCIONAL"/>
    <x v="1386"/>
    <x v="1336"/>
    <x v="48"/>
    <x v="9"/>
    <x v="0"/>
    <x v="0"/>
    <x v="0"/>
  </r>
  <r>
    <x v="1386"/>
    <n v="101001782"/>
    <s v="RESC DEMIS S/ JC AVISO IND"/>
    <s v="05/06/2019"/>
    <x v="1"/>
    <x v="9"/>
    <x v="14"/>
    <x v="8"/>
    <s v="Regional Ceará"/>
    <s v="Quixadá"/>
    <s v="MultiSkill"/>
    <x v="4"/>
    <s v="TEC MULTIFUNCIONAL"/>
    <s v="RESC DEMIS S/ JC AVISO IND"/>
    <s v="QXA"/>
    <s v="36800040363"/>
    <s v="04/09/2019"/>
    <s v="LYNDON JONHSON SILVA LIMA"/>
    <s v="ALENCAR DE SOUZA SANTOS"/>
    <s v="JONILSON FELIPE VIEIRA"/>
    <x v="1"/>
    <x v="65"/>
    <x v="17"/>
    <m/>
    <x v="1387"/>
    <x v="1250"/>
    <x v="10"/>
    <x v="4"/>
    <x v="1"/>
    <x v="3"/>
    <x v="0"/>
  </r>
  <r>
    <x v="1387"/>
    <n v="102100917"/>
    <s v="RESC DEMIS S/ JC AVISO IND"/>
    <s v="09/01/2019"/>
    <x v="3"/>
    <x v="45"/>
    <x v="29"/>
    <x v="21"/>
    <s v="Regional Pernambuco"/>
    <s v="Natal"/>
    <s v="MultiSkill"/>
    <x v="4"/>
    <s v="TEC MULTIFUNCIONAL"/>
    <s v="RESC DEMIS S/ JC AVISO IND"/>
    <s v="NTS"/>
    <s v="02910545440"/>
    <s v="04/09/2019"/>
    <s v="FERNANDO FREITAS ALMEIDA DOS SANTOS"/>
    <s v="REINILSON IGLESIAS JUNIOR"/>
    <s v="WENDELL FRANKLIN VIEIRA MAIA"/>
    <x v="1"/>
    <x v="27"/>
    <x v="17"/>
    <m/>
    <x v="1388"/>
    <x v="1250"/>
    <x v="27"/>
    <x v="7"/>
    <x v="3"/>
    <x v="3"/>
    <x v="0"/>
  </r>
  <r>
    <x v="1388"/>
    <n v="101006857"/>
    <s v="RESC DEMIS S/ JC AVISO IND"/>
    <s v="17/06/2019"/>
    <x v="1"/>
    <x v="31"/>
    <x v="7"/>
    <x v="5"/>
    <s v="Regional Ceará"/>
    <s v="Juazeiro"/>
    <s v="Tecnico de campo"/>
    <x v="1"/>
    <s v="LIDER DE OBRAS"/>
    <s v="RESC DEMIS S/ JC AVISO IND"/>
    <s v="JNE"/>
    <s v="41434692353"/>
    <s v="04/09/2019"/>
    <s v="DJAIR DE SOUSA BEZERRA"/>
    <s v="ROBERTA OLIVEIRA DA SILVA"/>
    <s v="JESSE GONCALVES PASSOS DE LIMA"/>
    <x v="1"/>
    <x v="60"/>
    <x v="17"/>
    <m/>
    <x v="1389"/>
    <x v="1250"/>
    <x v="82"/>
    <x v="15"/>
    <x v="2"/>
    <x v="3"/>
    <x v="1"/>
  </r>
  <r>
    <x v="1389"/>
    <n v="101001929"/>
    <s v="RESC PEDIDO DEMISS NA EXP"/>
    <s v="12/08/2019"/>
    <x v="1"/>
    <x v="3"/>
    <x v="0"/>
    <x v="3"/>
    <s v="Regional Ceará"/>
    <s v="Capital Oeste Ceará"/>
    <s v="Tecnico de campo"/>
    <x v="0"/>
    <s v="TEC MULTIFUNCIONAL"/>
    <s v="RESC PEDIDO DEMISS NA EXP"/>
    <s v="CNO"/>
    <s v="02861337338"/>
    <s v="04/09/2019"/>
    <s v="ANTONIO ROBEVANIO PINHEIRO"/>
    <s v="ANTONIO ROBEVANIO PINHEIRO"/>
    <s v="JONILSON FELIPE VIEIRA"/>
    <x v="1"/>
    <x v="3"/>
    <x v="17"/>
    <m/>
    <x v="1390"/>
    <x v="1250"/>
    <x v="83"/>
    <x v="1"/>
    <x v="1"/>
    <x v="3"/>
    <x v="0"/>
  </r>
  <r>
    <x v="1390"/>
    <n v="102101634"/>
    <s v="RESC DEMIS S/ JC AVISO IND"/>
    <s v="08/05/2019"/>
    <x v="3"/>
    <x v="62"/>
    <x v="10"/>
    <x v="19"/>
    <s v="Regional Pernambuco"/>
    <s v="Natal"/>
    <s v="MultiSkill"/>
    <x v="4"/>
    <s v="TEC MULTIFUNCIONAL"/>
    <s v="RESC DEMIS S/ JC AVISO IND"/>
    <s v="NTN"/>
    <s v="02641581485"/>
    <s v="04/09/2019"/>
    <s v="FABIO BATISTA DA SILVA"/>
    <s v="REINILSON IGLESIAS JUNIOR"/>
    <s v="WENDELL FRANKLIN VIEIRA MAIA"/>
    <x v="1"/>
    <x v="51"/>
    <x v="17"/>
    <m/>
    <x v="1391"/>
    <x v="1250"/>
    <x v="29"/>
    <x v="7"/>
    <x v="3"/>
    <x v="3"/>
    <x v="0"/>
  </r>
  <r>
    <x v="1391"/>
    <n v="109500315"/>
    <s v="RESC DEMIS COM JUSTA CAUSA"/>
    <s v="06/05/2019"/>
    <x v="0"/>
    <x v="18"/>
    <x v="6"/>
    <x v="14"/>
    <s v="Regional Pernambuco"/>
    <s v="Recife"/>
    <s v="Tecnico de campo"/>
    <x v="5"/>
    <s v="INSTALADOR TUP"/>
    <s v="RESC DEMIS COM JUSTA CAUSA"/>
    <s v="NOR"/>
    <s v="07947699429"/>
    <s v="04/09/2019"/>
    <s v="IVALDO BEZERRA NOVAIS"/>
    <s v="DECIO FABIANO LOPES FERREIRA"/>
    <s v="NIVALDO DE OLIVEIRA SOARES"/>
    <x v="1"/>
    <x v="47"/>
    <x v="17"/>
    <m/>
    <x v="1392"/>
    <x v="1250"/>
    <x v="42"/>
    <x v="0"/>
    <x v="0"/>
    <x v="3"/>
    <x v="1"/>
  </r>
  <r>
    <x v="1392"/>
    <n v="101010210"/>
    <s v="RESC DEMIS COM JUSTA CAUSA"/>
    <s v="21/06/2019"/>
    <x v="1"/>
    <x v="4"/>
    <x v="0"/>
    <x v="4"/>
    <s v="Regional Ceará"/>
    <s v="Capital Oeste Ceará"/>
    <s v="Tecnico de campo"/>
    <x v="0"/>
    <s v="TEC MULTIFUNCIONAL"/>
    <s v="RESC DEMIS COM JUSTA CAUSA"/>
    <s v="COO"/>
    <s v="60018250335"/>
    <s v="04/09/2019"/>
    <s v="ANTONIO FABIO DOS SANTOS LIMA"/>
    <s v="ANTONIO ROBEVANIO PINHEIRO"/>
    <s v="JONILSON FELIPE VIEIRA"/>
    <x v="1"/>
    <x v="61"/>
    <x v="17"/>
    <m/>
    <x v="1393"/>
    <x v="1250"/>
    <x v="1"/>
    <x v="1"/>
    <x v="1"/>
    <x v="3"/>
    <x v="0"/>
  </r>
  <r>
    <x v="1393"/>
    <n v="101010210"/>
    <s v="RESC PEDIDO DEMISS AVISO IND"/>
    <s v="03/06/2019"/>
    <x v="1"/>
    <x v="4"/>
    <x v="0"/>
    <x v="4"/>
    <s v="Regional Ceará"/>
    <s v="Capital Oeste Ceará"/>
    <s v="Tecnico de campo"/>
    <x v="0"/>
    <s v="TEC MULTIFUNCIONAL"/>
    <s v="RESC PEDIDO DEMISS AVISO IND"/>
    <s v="COO"/>
    <s v="04220448306"/>
    <s v="04/09/2019"/>
    <s v="ANTONIO FABIO DOS SANTOS LIMA"/>
    <s v="ANTONIO ROBEVANIO PINHEIRO"/>
    <s v="JONILSON FELIPE VIEIRA"/>
    <x v="1"/>
    <x v="52"/>
    <x v="17"/>
    <m/>
    <x v="1394"/>
    <x v="1250"/>
    <x v="1"/>
    <x v="1"/>
    <x v="1"/>
    <x v="3"/>
    <x v="0"/>
  </r>
  <r>
    <x v="1394"/>
    <n v="101001929"/>
    <s v="RESC PEDIDO DEMISS NA EXP"/>
    <s v="05/08/2019"/>
    <x v="1"/>
    <x v="1"/>
    <x v="1"/>
    <x v="1"/>
    <s v="Regional Ceará"/>
    <s v="Capital Sul Ceará"/>
    <s v="MultiSkill"/>
    <x v="0"/>
    <s v="TEC MULTIFUNCIONAL"/>
    <s v="RESC PEDIDO DEMISS NA EXP"/>
    <s v="GCS - FTTH"/>
    <s v="04770225377"/>
    <s v="04/09/2019"/>
    <s v="ANTONIO ROBEVANIO PINHEIRO"/>
    <s v="ANTONIO ROBEVANIO PINHEIRO"/>
    <s v="JONILSON FELIPE VIEIRA"/>
    <x v="1"/>
    <x v="61"/>
    <x v="17"/>
    <m/>
    <x v="1395"/>
    <x v="1250"/>
    <x v="83"/>
    <x v="1"/>
    <x v="1"/>
    <x v="3"/>
    <x v="0"/>
  </r>
  <r>
    <x v="1395"/>
    <n v="101005241"/>
    <s v="RESC DEMIS S/ JC AVISO IND"/>
    <s v="15/04/2019"/>
    <x v="1"/>
    <x v="11"/>
    <x v="10"/>
    <x v="9"/>
    <s v="Regional Ceará"/>
    <s v="Juazeiro"/>
    <s v="MultiSkill"/>
    <x v="4"/>
    <s v="TEC MULTIFUNCIONAL"/>
    <s v="RESC DEMIS S/ JC AVISO IND"/>
    <s v="IAU"/>
    <s v="66860660368"/>
    <s v="04/09/2019"/>
    <s v="CLAUDECIR GOMES MACIEL"/>
    <s v="JEFFERSON OLIVEIRA DA SILVA"/>
    <s v="JONILSON FELIPE VIEIRA"/>
    <x v="1"/>
    <x v="5"/>
    <x v="17"/>
    <m/>
    <x v="1396"/>
    <x v="1250"/>
    <x v="6"/>
    <x v="2"/>
    <x v="1"/>
    <x v="3"/>
    <x v="0"/>
  </r>
  <r>
    <x v="1396"/>
    <n v="109000017"/>
    <s v="RESC DEMIS S/ JC AVISO IND"/>
    <s v="10/06/2019"/>
    <x v="0"/>
    <x v="56"/>
    <x v="10"/>
    <x v="10"/>
    <s v="Regional Pernambuco"/>
    <s v="Recife"/>
    <s v="MultiSkill"/>
    <x v="4"/>
    <s v="TEC MULTIFUNCIONAL"/>
    <s v="RESC DEMIS S/ JC AVISO IND"/>
    <s v="PES"/>
    <s v="06469559425"/>
    <s v="04/09/2019"/>
    <s v="AMAURY ASSIS DE LIMA"/>
    <s v="DECIO FABIANO LOPES FERREIRA"/>
    <s v="NIVALDO DE OLIVEIRA SOARES"/>
    <x v="1"/>
    <x v="70"/>
    <x v="17"/>
    <m/>
    <x v="1397"/>
    <x v="1250"/>
    <x v="15"/>
    <x v="0"/>
    <x v="0"/>
    <x v="3"/>
    <x v="0"/>
  </r>
  <r>
    <x v="1397"/>
    <n v="413841"/>
    <s v="RESC DEMIS S/ JC AVISO IND"/>
    <s v="08/04/2019"/>
    <x v="0"/>
    <x v="65"/>
    <x v="19"/>
    <x v="7"/>
    <s v="Regional Pernambuco"/>
    <s v="Recife"/>
    <s v="Tecnico de campo"/>
    <x v="8"/>
    <s v="INSTALADOR DTH"/>
    <s v="RESC DEMIS S/ JC AVISO IND"/>
    <s v="LES"/>
    <s v="55110878404"/>
    <s v="04/09/2019"/>
    <s v="ALEXANDRE SEVERINO DA COSTA SILVA"/>
    <s v="DECIO FABIANO LOPES FERREIRA"/>
    <s v="NIVALDO DE OLIVEIRA SOARES"/>
    <x v="1"/>
    <x v="45"/>
    <x v="17"/>
    <m/>
    <x v="1398"/>
    <x v="1250"/>
    <x v="0"/>
    <x v="0"/>
    <x v="0"/>
    <x v="3"/>
    <x v="1"/>
  </r>
  <r>
    <x v="1398"/>
    <m/>
    <m/>
    <m/>
    <x v="0"/>
    <x v="0"/>
    <x v="30"/>
    <x v="0"/>
    <s v="Regional Pernambuco"/>
    <s v="Interior"/>
    <s v="Tecnico de campo"/>
    <x v="10"/>
    <m/>
    <m/>
    <s v="CRU"/>
    <m/>
    <s v="04/09/2019"/>
    <m/>
    <m/>
    <m/>
    <x v="1"/>
    <x v="96"/>
    <x v="17"/>
    <m/>
    <x v="1399"/>
    <x v="1250"/>
    <x v="80"/>
    <x v="16"/>
    <x v="6"/>
    <x v="4"/>
    <x v="1"/>
  </r>
  <r>
    <x v="1399"/>
    <m/>
    <m/>
    <m/>
    <x v="0"/>
    <x v="53"/>
    <x v="31"/>
    <x v="23"/>
    <s v="Regional Pernambuco"/>
    <s v="Interior"/>
    <s v="Tecnico de campo"/>
    <x v="2"/>
    <m/>
    <m/>
    <s v="CBO"/>
    <m/>
    <s v="04/09/2019"/>
    <m/>
    <m/>
    <m/>
    <x v="1"/>
    <x v="11"/>
    <x v="17"/>
    <m/>
    <x v="1400"/>
    <x v="1250"/>
    <x v="80"/>
    <x v="16"/>
    <x v="6"/>
    <x v="4"/>
    <x v="0"/>
  </r>
  <r>
    <x v="1400"/>
    <m/>
    <m/>
    <m/>
    <x v="0"/>
    <x v="65"/>
    <x v="32"/>
    <x v="7"/>
    <s v="Regional Pernambuco"/>
    <s v="Recife"/>
    <s v="MultiSkill"/>
    <x v="4"/>
    <m/>
    <m/>
    <s v="LES"/>
    <m/>
    <s v="04/09/2019"/>
    <m/>
    <m/>
    <m/>
    <x v="1"/>
    <x v="45"/>
    <x v="17"/>
    <m/>
    <x v="1401"/>
    <x v="1250"/>
    <x v="80"/>
    <x v="16"/>
    <x v="6"/>
    <x v="4"/>
    <x v="0"/>
  </r>
  <r>
    <x v="1401"/>
    <n v="101001488"/>
    <s v="RESC PEDIDO DEMISS AVISO IND"/>
    <s v="05/06/2019"/>
    <x v="1"/>
    <x v="1"/>
    <x v="0"/>
    <x v="1"/>
    <s v="Regional Ceará"/>
    <s v="Capital Sul Ceará"/>
    <s v="Tecnico de campo"/>
    <x v="0"/>
    <s v="TEC MULTIFUNCIONAL"/>
    <s v="RESC PEDIDO DEMISS AVISO IND"/>
    <s v="GCS - FTTH"/>
    <s v="00961314389"/>
    <s v="04/09/2019"/>
    <s v="MICHEL SOARES DE OLIVEIRA"/>
    <s v="ANTONIO ROBEVANIO PINHEIRO"/>
    <s v="JONILSON FELIPE VIEIRA"/>
    <x v="1"/>
    <x v="53"/>
    <x v="17"/>
    <m/>
    <x v="1402"/>
    <x v="1250"/>
    <x v="2"/>
    <x v="1"/>
    <x v="1"/>
    <x v="3"/>
    <x v="0"/>
  </r>
  <r>
    <x v="1402"/>
    <n v="101007963"/>
    <s v="RESC PEDIDO DEMISS AVISO IND"/>
    <s v="10/04/2019"/>
    <x v="1"/>
    <x v="41"/>
    <x v="10"/>
    <x v="4"/>
    <s v="Regional Ceará"/>
    <s v="Capital Oeste Ceará"/>
    <s v="MultiSkill"/>
    <x v="4"/>
    <s v="TEC MULTIFUNCIONAL"/>
    <s v="RESC PEDIDO DEMISS AVISO IND"/>
    <s v="COO"/>
    <s v="65070089315"/>
    <s v="04/09/2019"/>
    <s v="JOSEVAN DE SOUSA SILVA"/>
    <s v="ALENCAR DE SOUZA SANTOS"/>
    <s v="JONILSON FELIPE VIEIRA"/>
    <x v="1"/>
    <x v="39"/>
    <x v="17"/>
    <m/>
    <x v="1403"/>
    <x v="1250"/>
    <x v="35"/>
    <x v="4"/>
    <x v="1"/>
    <x v="3"/>
    <x v="0"/>
  </r>
  <r>
    <x v="1403"/>
    <n v="109000926"/>
    <s v="RESC DEMIS S/ JC AVISO IND"/>
    <s v="14/08/2019"/>
    <x v="0"/>
    <x v="44"/>
    <x v="12"/>
    <x v="7"/>
    <s v="Regional Pernambuco"/>
    <s v="Recife"/>
    <s v="Tecnico de campo"/>
    <x v="6"/>
    <s v="CABISTA I"/>
    <s v="RESC DEMIS S/ JC AVISO IND"/>
    <s v="LES"/>
    <s v="02686731443"/>
    <s v="04/09/2019"/>
    <s v="ANTONIO MAGNO DE CASTRO LEAO"/>
    <s v="BRUNO VINICIUS DE ALBERTINS ALVES"/>
    <s v="NIVALDO DE OLIVEIRA SOARES"/>
    <x v="1"/>
    <x v="45"/>
    <x v="17"/>
    <m/>
    <x v="1404"/>
    <x v="1250"/>
    <x v="41"/>
    <x v="9"/>
    <x v="0"/>
    <x v="3"/>
    <x v="1"/>
  </r>
  <r>
    <x v="1404"/>
    <n v="101004033"/>
    <s v="RESC PEDIDO DEMISS AVISO IND"/>
    <s v="10/04/2019"/>
    <x v="1"/>
    <x v="58"/>
    <x v="10"/>
    <x v="4"/>
    <s v="Regional Ceará"/>
    <s v="Capital Oeste Ceará"/>
    <s v="MultiSkill"/>
    <x v="4"/>
    <s v="TEC MULTIFUNCIONAL"/>
    <s v="RESC PEDIDO DEMISS AVISO IND"/>
    <s v="COO"/>
    <s v="55869963320"/>
    <s v="04/09/2019"/>
    <s v="HENRIQUE OLIVEIRA DO NASCIMENTO"/>
    <s v="ALENCAR DE SOUZA SANTOS"/>
    <s v="JONILSON FELIPE VIEIRA"/>
    <x v="1"/>
    <x v="39"/>
    <x v="17"/>
    <m/>
    <x v="1405"/>
    <x v="1250"/>
    <x v="52"/>
    <x v="4"/>
    <x v="1"/>
    <x v="3"/>
    <x v="0"/>
  </r>
  <r>
    <x v="1405"/>
    <m/>
    <s v="RESC DEMIS S/ JC AVISO IND"/>
    <s v="14/01/2019"/>
    <x v="0"/>
    <x v="30"/>
    <x v="33"/>
    <x v="13"/>
    <s v="Regional Pernambuco"/>
    <s v="Recife"/>
    <s v="MultiSkill"/>
    <x v="4"/>
    <s v="TEC MULTIFUNCIONAL"/>
    <s v="RESC DEMIS S/ JC AVISO IND"/>
    <s v="OES"/>
    <s v="05260480422"/>
    <s v="04/09/2019"/>
    <m/>
    <m/>
    <m/>
    <x v="1"/>
    <x v="37"/>
    <x v="17"/>
    <m/>
    <x v="1406"/>
    <x v="1250"/>
    <x v="80"/>
    <x v="16"/>
    <x v="6"/>
    <x v="3"/>
    <x v="0"/>
  </r>
  <r>
    <x v="1406"/>
    <n v="109000943"/>
    <s v="RESC DEMIS S/ JC AVISO IND"/>
    <s v="08/04/2019"/>
    <x v="0"/>
    <x v="60"/>
    <x v="10"/>
    <x v="14"/>
    <s v="Regional Pernambuco"/>
    <s v="Recife"/>
    <s v="MultiSkill"/>
    <x v="4"/>
    <s v="TEC MULTIFUNCIONAL"/>
    <s v="RESC DEMIS S/ JC AVISO IND"/>
    <s v="NOR"/>
    <s v="04708346417"/>
    <s v="04/09/2019"/>
    <s v="MAURO BRAGA RANGEL"/>
    <s v="BRUNO VINICIUS DE ALBERTINS ALVES"/>
    <s v="NIVALDO DE OLIVEIRA SOARES"/>
    <x v="1"/>
    <x v="40"/>
    <x v="17"/>
    <m/>
    <x v="1407"/>
    <x v="1250"/>
    <x v="56"/>
    <x v="9"/>
    <x v="0"/>
    <x v="3"/>
    <x v="0"/>
  </r>
  <r>
    <x v="1407"/>
    <n v="105303208"/>
    <s v="RESC DEMIS S/ JC AVISO IND"/>
    <s v="17/04/2019"/>
    <x v="2"/>
    <x v="34"/>
    <x v="26"/>
    <x v="12"/>
    <s v="Regional Pernambuco"/>
    <s v="João Pessoa"/>
    <s v="Tecnico de campo"/>
    <x v="5"/>
    <s v="INSTALADOR"/>
    <s v="RESC DEMIS S/ JC AVISO IND"/>
    <s v="JPA"/>
    <s v="01151289485"/>
    <s v="04/09/2019"/>
    <s v="FERNANDO ANTONIO PORTO DE FREITAS"/>
    <s v="WENDELL FRANKLIN VIEIRA MAIA"/>
    <s v="WENDELL FRANKLIN VIEIRA MAIA"/>
    <x v="1"/>
    <x v="25"/>
    <x v="17"/>
    <m/>
    <x v="1408"/>
    <x v="1250"/>
    <x v="16"/>
    <x v="6"/>
    <x v="3"/>
    <x v="3"/>
    <x v="1"/>
  </r>
  <r>
    <x v="1408"/>
    <n v="101007963"/>
    <s v="RESC DEMIS S/ JC AVISO IND"/>
    <s v="12/08/2019"/>
    <x v="1"/>
    <x v="36"/>
    <x v="5"/>
    <x v="4"/>
    <s v="Regional Ceará"/>
    <s v="Capital Oeste Ceará"/>
    <s v="MultiSkill"/>
    <x v="4"/>
    <s v="TEC MULTIFUNCIONAL"/>
    <s v="RESC DEMIS S/ JC AVISO IND"/>
    <s v="COO"/>
    <s v="01255163399"/>
    <s v="04/09/2019"/>
    <s v="JOSEVAN DE SOUSA SILVA"/>
    <s v="ALENCAR DE SOUZA SANTOS"/>
    <s v="JONILSON FELIPE VIEIRA"/>
    <x v="1"/>
    <x v="39"/>
    <x v="17"/>
    <m/>
    <x v="1409"/>
    <x v="1250"/>
    <x v="35"/>
    <x v="4"/>
    <x v="1"/>
    <x v="3"/>
    <x v="0"/>
  </r>
  <r>
    <x v="1409"/>
    <n v="105303208"/>
    <s v="RESC DEMIS S/ JC AVISO IND"/>
    <s v="12/08/2019"/>
    <x v="2"/>
    <x v="15"/>
    <x v="10"/>
    <x v="12"/>
    <s v="Regional Pernambuco"/>
    <s v="João Pessoa"/>
    <s v="MultiSkill"/>
    <x v="4"/>
    <s v="TEC MULTIFUNCIONAL"/>
    <s v="RESC DEMIS S/ JC AVISO IND"/>
    <s v="JPA"/>
    <s v="08133864461"/>
    <s v="04/09/2019"/>
    <s v="FERNANDO ANTONIO PORTO DE FREITAS"/>
    <s v="WENDELL FRANKLIN VIEIRA MAIA"/>
    <s v="WENDELL FRANKLIN VIEIRA MAIA"/>
    <x v="1"/>
    <x v="72"/>
    <x v="17"/>
    <m/>
    <x v="1410"/>
    <x v="1250"/>
    <x v="16"/>
    <x v="6"/>
    <x v="3"/>
    <x v="3"/>
    <x v="0"/>
  </r>
  <r>
    <x v="1410"/>
    <n v="102101642"/>
    <s v="RESC DEMIS S/ JC AVISO IND"/>
    <s v="03/06/2019"/>
    <x v="3"/>
    <x v="28"/>
    <x v="10"/>
    <x v="21"/>
    <s v="Regional Pernambuco"/>
    <s v="Natal"/>
    <s v="MultiSkill"/>
    <x v="4"/>
    <s v="TEC MULTIFUNCIONAL"/>
    <s v="RESC DEMIS S/ JC AVISO IND"/>
    <s v="NTS"/>
    <s v="05181928498"/>
    <s v="04/09/2019"/>
    <s v="WILSON CARLOS SILVEIRA LEIROS"/>
    <s v="REINILSON IGLESIAS JUNIOR"/>
    <s v="WENDELL FRANKLIN VIEIRA MAIA"/>
    <x v="1"/>
    <x v="51"/>
    <x v="17"/>
    <m/>
    <x v="1411"/>
    <x v="1250"/>
    <x v="28"/>
    <x v="7"/>
    <x v="3"/>
    <x v="3"/>
    <x v="0"/>
  </r>
  <r>
    <x v="1411"/>
    <n v="102101634"/>
    <s v="RESC DEMIS S/ JC AVISO IND"/>
    <s v="07/08/2019"/>
    <x v="3"/>
    <x v="62"/>
    <x v="10"/>
    <x v="19"/>
    <s v="Regional Pernambuco"/>
    <s v="Natal"/>
    <s v="MultiSkill"/>
    <x v="4"/>
    <s v="TEC MULTIFUNCIONAL"/>
    <s v="RESC DEMIS S/ JC AVISO IND"/>
    <s v="NTN"/>
    <s v="05515581482"/>
    <s v="04/09/2019"/>
    <s v="FABIO BATISTA DA SILVA"/>
    <s v="REINILSON IGLESIAS JUNIOR"/>
    <s v="WENDELL FRANKLIN VIEIRA MAIA"/>
    <x v="1"/>
    <x v="30"/>
    <x v="17"/>
    <m/>
    <x v="1412"/>
    <x v="1250"/>
    <x v="29"/>
    <x v="7"/>
    <x v="3"/>
    <x v="3"/>
    <x v="0"/>
  </r>
  <r>
    <x v="1412"/>
    <n v="109000393"/>
    <s v="RESC DEMIS S/ JC AVISO IND"/>
    <s v="08/05/2019"/>
    <x v="0"/>
    <x v="46"/>
    <x v="6"/>
    <x v="11"/>
    <s v="Regional Pernambuco"/>
    <s v="Interior"/>
    <s v="MultiSkill"/>
    <x v="5"/>
    <s v="TEC MULTIFUNCIONAL"/>
    <s v="RESC DEMIS S/ JC AVISO IND"/>
    <s v="ACV"/>
    <s v="07777137484"/>
    <s v="04/09/2019"/>
    <s v="MARCELO JOSE DA SILVA"/>
    <s v="DECIO FABIANO LOPES FERREIRA"/>
    <s v="NIVALDO DE OLIVEIRA SOARES"/>
    <x v="1"/>
    <x v="11"/>
    <x v="17"/>
    <m/>
    <x v="1413"/>
    <x v="1250"/>
    <x v="81"/>
    <x v="0"/>
    <x v="0"/>
    <x v="3"/>
    <x v="1"/>
  </r>
  <r>
    <x v="1413"/>
    <n v="109505336"/>
    <s v="RESC DEMIS COM JUSTA CAUSA"/>
    <s v="01/04/2019"/>
    <x v="0"/>
    <x v="60"/>
    <x v="16"/>
    <x v="14"/>
    <s v="Regional Pernambuco"/>
    <s v="Recife"/>
    <s v="Tecnico de campo"/>
    <x v="9"/>
    <s v="INSTALADOR DTH"/>
    <s v="RESC DEMIS COM JUSTA CAUSA"/>
    <s v="NOR"/>
    <s v="01377206459"/>
    <s v="04/09/2019"/>
    <s v="LEANDRO COUTINHO FREITAS"/>
    <s v="BRUNO VINICIUS DE ALBERTINS ALVES"/>
    <s v="NIVALDO DE OLIVEIRA SOARES"/>
    <x v="1"/>
    <x v="40"/>
    <x v="17"/>
    <m/>
    <x v="1414"/>
    <x v="1250"/>
    <x v="84"/>
    <x v="9"/>
    <x v="0"/>
    <x v="3"/>
    <x v="0"/>
  </r>
  <r>
    <x v="1414"/>
    <n v="109504012"/>
    <s v="RESC DEMIS S/ JC AVISO IND"/>
    <s v="12/08/2019"/>
    <x v="2"/>
    <x v="33"/>
    <x v="6"/>
    <x v="16"/>
    <s v="Regional Pernambuco"/>
    <s v="João Pessoa"/>
    <s v="Tecnico de campo"/>
    <x v="5"/>
    <s v="INSTALADOR TUP"/>
    <s v="RESC DEMIS S/ JC AVISO IND"/>
    <s v="CGE"/>
    <s v="21359696806"/>
    <s v="04/09/2019"/>
    <s v="FRANCISCO JOSE DIAS DA SILVA"/>
    <s v="WENDELL FRANKLIN VIEIRA MAIA"/>
    <s v="WENDELL FRANKLIN VIEIRA MAIA"/>
    <x v="1"/>
    <x v="35"/>
    <x v="17"/>
    <m/>
    <x v="1415"/>
    <x v="1250"/>
    <x v="25"/>
    <x v="6"/>
    <x v="3"/>
    <x v="3"/>
    <x v="1"/>
  </r>
  <r>
    <x v="1415"/>
    <n v="109000017"/>
    <s v="RESC DEMIS COM JUSTA CAUSA"/>
    <s v="06/05/2019"/>
    <x v="0"/>
    <x v="56"/>
    <x v="16"/>
    <x v="10"/>
    <s v="Regional Pernambuco"/>
    <s v="Recife"/>
    <s v="Tecnico de campo"/>
    <x v="9"/>
    <s v="INSTALADOR DTH"/>
    <s v="RESC DEMIS COM JUSTA CAUSA"/>
    <s v="PES"/>
    <s v="85752797420"/>
    <s v="04/09/2019"/>
    <s v="AMAURY ASSIS DE LIMA"/>
    <s v="DECIO FABIANO LOPES FERREIRA"/>
    <s v="NIVALDO DE OLIVEIRA SOARES"/>
    <x v="1"/>
    <x v="24"/>
    <x v="17"/>
    <m/>
    <x v="1416"/>
    <x v="1250"/>
    <x v="15"/>
    <x v="0"/>
    <x v="0"/>
    <x v="3"/>
    <x v="0"/>
  </r>
  <r>
    <x v="1416"/>
    <n v="109000081"/>
    <s v="RESC DEMIS S/ JC AVISO IND"/>
    <s v="04/04/2019"/>
    <x v="0"/>
    <x v="56"/>
    <x v="10"/>
    <x v="10"/>
    <s v="Regional Pernambuco"/>
    <s v="Recife"/>
    <s v="MultiSkill"/>
    <x v="4"/>
    <s v="TEC MULTIFUNCIONAL"/>
    <s v="RESC DEMIS S/ JC AVISO IND"/>
    <s v="PES"/>
    <s v="90633962449"/>
    <s v="04/09/2019"/>
    <s v="ALDO GOMES PEDROSA"/>
    <s v="DECIO FABIANO LOPES FERREIRA"/>
    <s v="NIVALDO DE OLIVEIRA SOARES"/>
    <x v="1"/>
    <x v="70"/>
    <x v="17"/>
    <m/>
    <x v="1417"/>
    <x v="1250"/>
    <x v="85"/>
    <x v="0"/>
    <x v="0"/>
    <x v="3"/>
    <x v="0"/>
  </r>
  <r>
    <x v="1417"/>
    <n v="109000340"/>
    <s v="RESC DEMIS S/ JC AVISO IND"/>
    <s v="10/06/2019"/>
    <x v="0"/>
    <x v="0"/>
    <x v="15"/>
    <x v="0"/>
    <s v="Regional Pernambuco"/>
    <s v="Interior"/>
    <s v="Tecnico de campo"/>
    <x v="9"/>
    <s v="INSTALADOR DTH"/>
    <s v="RESC DEMIS S/ JC AVISO IND"/>
    <s v="CRU"/>
    <s v="11586560417"/>
    <s v="04/09/2019"/>
    <s v="AILTON JOSE DOS SANTOS"/>
    <s v="DECIO FABIANO LOPES FERREIRA"/>
    <s v="NIVALDO DE OLIVEIRA SOARES"/>
    <x v="1"/>
    <x v="21"/>
    <x v="17"/>
    <m/>
    <x v="1418"/>
    <x v="1250"/>
    <x v="22"/>
    <x v="0"/>
    <x v="0"/>
    <x v="3"/>
    <x v="0"/>
  </r>
  <r>
    <x v="1418"/>
    <n v="101010210"/>
    <s v="RESC PEDIDO DEMISSAO"/>
    <s v="05/08/2019"/>
    <x v="1"/>
    <x v="4"/>
    <x v="0"/>
    <x v="4"/>
    <s v="Regional Ceará"/>
    <s v="Capital Oeste Ceará"/>
    <s v="Tecnico de campo"/>
    <x v="0"/>
    <s v="TEC MULTIFUNCIONAL"/>
    <s v="RESC PEDIDO DEMISSAO"/>
    <s v="COO"/>
    <s v="02767926376"/>
    <s v="04/09/2019"/>
    <s v="ANTONIO FABIO DOS SANTOS LIMA"/>
    <s v="ANTONIO ROBEVANIO PINHEIRO"/>
    <s v="JONILSON FELIPE VIEIRA"/>
    <x v="1"/>
    <x v="52"/>
    <x v="17"/>
    <m/>
    <x v="1419"/>
    <x v="1250"/>
    <x v="1"/>
    <x v="1"/>
    <x v="1"/>
    <x v="3"/>
    <x v="0"/>
  </r>
  <r>
    <x v="1419"/>
    <n v="102101642"/>
    <s v="RESC DEMIS COM JUSTA CAUSA"/>
    <s v="08/05/2019"/>
    <x v="3"/>
    <x v="28"/>
    <x v="8"/>
    <x v="21"/>
    <s v="Regional Pernambuco"/>
    <s v="Natal"/>
    <s v="Tecnico de campo"/>
    <x v="6"/>
    <s v="CABISTA I"/>
    <s v="RESC DEMIS COM JUSTA CAUSA"/>
    <s v="NTS"/>
    <s v="07203855473"/>
    <s v="04/09/2019"/>
    <s v="WILSON CARLOS SILVEIRA LEIROS"/>
    <s v="REINILSON IGLESIAS JUNIOR"/>
    <s v="WENDELL FRANKLIN VIEIRA MAIA"/>
    <x v="1"/>
    <x v="29"/>
    <x v="17"/>
    <m/>
    <x v="1420"/>
    <x v="1250"/>
    <x v="28"/>
    <x v="7"/>
    <x v="3"/>
    <x v="3"/>
    <x v="1"/>
  </r>
  <r>
    <x v="1420"/>
    <n v="109000943"/>
    <s v="RESC DEMIS S/ JC AVISO IND"/>
    <s v="10/04/2019"/>
    <x v="0"/>
    <x v="60"/>
    <x v="34"/>
    <x v="14"/>
    <s v="Regional Pernambuco"/>
    <s v="Recife"/>
    <s v="MultiSkill"/>
    <x v="4"/>
    <s v="TEC MULTIFUNCIONAL"/>
    <s v="RESC DEMIS S/ JC AVISO IND"/>
    <s v="NOR"/>
    <s v="06871419403"/>
    <s v="04/09/2019"/>
    <s v="MAURO BRAGA RANGEL"/>
    <s v="BRUNO VINICIUS DE ALBERTINS ALVES"/>
    <s v="NIVALDO DE OLIVEIRA SOARES"/>
    <x v="1"/>
    <x v="40"/>
    <x v="17"/>
    <m/>
    <x v="1421"/>
    <x v="1250"/>
    <x v="56"/>
    <x v="9"/>
    <x v="0"/>
    <x v="3"/>
    <x v="0"/>
  </r>
  <r>
    <x v="1421"/>
    <n v="109000943"/>
    <s v="RESC FALECIMENTO"/>
    <s v="19/08/2019"/>
    <x v="0"/>
    <x v="60"/>
    <x v="2"/>
    <x v="14"/>
    <s v="Regional Pernambuco"/>
    <s v="Recife"/>
    <s v="Tecnico de campo"/>
    <x v="1"/>
    <s v="CABISTA I"/>
    <s v="RESC FALECIMENTO"/>
    <s v="NOR"/>
    <s v="75639122404"/>
    <s v="04/09/2019"/>
    <s v="MAURO BRAGA RANGEL"/>
    <s v="BRUNO VINICIUS DE ALBERTINS ALVES"/>
    <s v="NIVALDO DE OLIVEIRA SOARES"/>
    <x v="1"/>
    <x v="77"/>
    <x v="17"/>
    <m/>
    <x v="1422"/>
    <x v="1250"/>
    <x v="56"/>
    <x v="9"/>
    <x v="0"/>
    <x v="3"/>
    <x v="1"/>
  </r>
  <r>
    <x v="1422"/>
    <n v="102101634"/>
    <s v="RESC DEMIS S/ JC AVISO IND"/>
    <s v="10/04/2019"/>
    <x v="3"/>
    <x v="29"/>
    <x v="35"/>
    <x v="19"/>
    <s v="Regional Pernambuco"/>
    <s v="Natal"/>
    <s v="MultiSkill"/>
    <x v="4"/>
    <s v="TEC MULTIFUNCIONAL"/>
    <s v="RESC DEMIS S/ JC AVISO IND"/>
    <s v="NTN"/>
    <s v="66362377400"/>
    <s v="04/09/2019"/>
    <s v="FABIO BATISTA DA SILVA"/>
    <s v="REINILSON IGLESIAS JUNIOR"/>
    <s v="WENDELL FRANKLIN VIEIRA MAIA"/>
    <x v="1"/>
    <x v="97"/>
    <x v="17"/>
    <m/>
    <x v="1423"/>
    <x v="1250"/>
    <x v="29"/>
    <x v="7"/>
    <x v="3"/>
    <x v="3"/>
    <x v="0"/>
  </r>
  <r>
    <x v="1423"/>
    <n v="105301785"/>
    <s v="RESC DEMIS COM JUSTA CAUSA"/>
    <s v="08/04/2019"/>
    <x v="2"/>
    <x v="34"/>
    <x v="2"/>
    <x v="12"/>
    <s v="Regional Pernambuco"/>
    <s v="João Pessoa"/>
    <s v="Tecnico de campo"/>
    <x v="1"/>
    <s v="CABISTA I"/>
    <s v="RESC DEMIS COM JUSTA CAUSA"/>
    <s v="JPA"/>
    <s v="07426783421"/>
    <s v="04/09/2019"/>
    <s v="FERNANDO TOSCANO ALVES"/>
    <s v="ANDRE LUIS SOARES DE FARIAS"/>
    <s v="HEBERT JONES SOUTO ARAUJO"/>
    <x v="1"/>
    <x v="98"/>
    <x v="17"/>
    <m/>
    <x v="1424"/>
    <x v="1250"/>
    <x v="65"/>
    <x v="13"/>
    <x v="5"/>
    <x v="3"/>
    <x v="1"/>
  </r>
  <r>
    <x v="1424"/>
    <n v="109500315"/>
    <s v="RESC DEMIS COM JUSTA CAUSA"/>
    <s v="06/05/2019"/>
    <x v="0"/>
    <x v="18"/>
    <x v="6"/>
    <x v="14"/>
    <s v="Regional Pernambuco"/>
    <s v="Recife"/>
    <s v="Tecnico de campo"/>
    <x v="5"/>
    <s v="INSTALADOR TUP"/>
    <s v="RESC DEMIS COM JUSTA CAUSA"/>
    <s v="NOR"/>
    <s v="05092773499"/>
    <s v="04/09/2019"/>
    <s v="IVALDO BEZERRA NOVAIS"/>
    <s v="DECIO FABIANO LOPES FERREIRA"/>
    <s v="NIVALDO DE OLIVEIRA SOARES"/>
    <x v="1"/>
    <x v="47"/>
    <x v="17"/>
    <m/>
    <x v="1425"/>
    <x v="1250"/>
    <x v="42"/>
    <x v="0"/>
    <x v="0"/>
    <x v="3"/>
    <x v="1"/>
  </r>
  <r>
    <x v="1425"/>
    <n v="101001670"/>
    <s v="RESC DEMIS S/ JC AVISO IND"/>
    <s v="05/06/2019"/>
    <x v="1"/>
    <x v="8"/>
    <x v="10"/>
    <x v="2"/>
    <s v="Regional Ceará"/>
    <s v="Capital Sul Ceará"/>
    <s v="MultiSkill"/>
    <x v="4"/>
    <s v="TEC MULTIFUNCIONAL"/>
    <s v="RESC DEMIS S/ JC AVISO IND"/>
    <s v="GCL"/>
    <s v="05161557338"/>
    <s v="04/09/2019"/>
    <s v="FRANCISCO MARCOS TEIXEIRA DOS SANTOS"/>
    <s v="JEFFERSON OLIVEIRA DA SILVA"/>
    <s v="JONILSON FELIPE VIEIRA"/>
    <x v="1"/>
    <x v="8"/>
    <x v="17"/>
    <m/>
    <x v="1426"/>
    <x v="1250"/>
    <x v="9"/>
    <x v="2"/>
    <x v="1"/>
    <x v="3"/>
    <x v="0"/>
  </r>
  <r>
    <x v="1426"/>
    <n v="102101187"/>
    <s v="RESC DEMIS COM JUSTA CAUSA"/>
    <s v="10/06/2019"/>
    <x v="3"/>
    <x v="29"/>
    <x v="2"/>
    <x v="19"/>
    <s v="Regional Pernambuco"/>
    <s v="Natal"/>
    <s v="Equipe SWAT"/>
    <x v="1"/>
    <s v="CABISTA I"/>
    <s v="RESC DEMIS COM JUSTA CAUSA"/>
    <s v="NTN"/>
    <s v="07757124425"/>
    <s v="04/09/2019"/>
    <s v="ALEXANDRE ONASSIS BATISTA DE ANDRADE"/>
    <s v="EDERLINDO GONCALVES SOARES"/>
    <s v="WENDELL FRANKLIN VIEIRA MAIA"/>
    <x v="1"/>
    <x v="27"/>
    <x v="17"/>
    <m/>
    <x v="1427"/>
    <x v="1250"/>
    <x v="68"/>
    <x v="10"/>
    <x v="3"/>
    <x v="3"/>
    <x v="1"/>
  </r>
  <r>
    <x v="1427"/>
    <n v="102101642"/>
    <s v="RESC DEMIS COM JUSTA CAUSA"/>
    <s v="08/05/2019"/>
    <x v="3"/>
    <x v="28"/>
    <x v="10"/>
    <x v="21"/>
    <s v="Regional Pernambuco"/>
    <s v="Natal"/>
    <s v="MultiSkill"/>
    <x v="4"/>
    <s v="TEC MULTIFUNCIONAL"/>
    <s v="RESC DEMIS COM JUSTA CAUSA"/>
    <s v="NTS"/>
    <s v="03397003431"/>
    <s v="04/09/2019"/>
    <s v="WILSON CARLOS SILVEIRA LEIROS"/>
    <s v="REINILSON IGLESIAS JUNIOR"/>
    <s v="WENDELL FRANKLIN VIEIRA MAIA"/>
    <x v="1"/>
    <x v="29"/>
    <x v="17"/>
    <m/>
    <x v="1428"/>
    <x v="1250"/>
    <x v="28"/>
    <x v="7"/>
    <x v="3"/>
    <x v="3"/>
    <x v="0"/>
  </r>
  <r>
    <x v="1428"/>
    <n v="105303134"/>
    <s v="RESC DEMIS S/ JC AVISO IND"/>
    <s v="06/05/2019"/>
    <x v="2"/>
    <x v="34"/>
    <x v="10"/>
    <x v="12"/>
    <s v="Regional Pernambuco"/>
    <s v="João Pessoa"/>
    <s v="MultiSkill"/>
    <x v="4"/>
    <s v="TEC MULTIFUNCIONAL"/>
    <s v="RESC DEMIS S/ JC AVISO IND"/>
    <s v="JPA"/>
    <s v="49880357434"/>
    <s v="04/09/2019"/>
    <s v="GLAUBER JOSE GOMES LEITAO"/>
    <s v="WENDELL FRANKLIN VIEIRA MAIA"/>
    <s v="WENDELL FRANKLIN VIEIRA MAIA"/>
    <x v="1"/>
    <x v="25"/>
    <x v="17"/>
    <m/>
    <x v="1429"/>
    <x v="1250"/>
    <x v="39"/>
    <x v="6"/>
    <x v="3"/>
    <x v="3"/>
    <x v="0"/>
  </r>
  <r>
    <x v="1429"/>
    <n v="428271"/>
    <s v="RESC DEMIS S/ JC AVISO IND"/>
    <s v="13/05/2019"/>
    <x v="1"/>
    <x v="12"/>
    <x v="10"/>
    <x v="1"/>
    <s v="Regional Ceará"/>
    <s v="Capital Sul Ceará"/>
    <s v="MultiSkill"/>
    <x v="4"/>
    <s v="TEC MULTIFUNCIONAL"/>
    <s v="RESC DEMIS S/ JC AVISO IND"/>
    <s v="GCS"/>
    <s v="03757090373"/>
    <s v="04/09/2019"/>
    <s v="SHEYLA MARIA CALIOPE DE MELO MOURA"/>
    <s v="JEFFERSON OLIVEIRA DA SILVA"/>
    <s v="JONILSON FELIPE VIEIRA"/>
    <x v="1"/>
    <x v="99"/>
    <x v="17"/>
    <m/>
    <x v="1430"/>
    <x v="1250"/>
    <x v="47"/>
    <x v="2"/>
    <x v="1"/>
    <x v="3"/>
    <x v="0"/>
  </r>
  <r>
    <x v="1430"/>
    <n v="105303134"/>
    <s v="RESC DEMIS S/ JC AVISO IND"/>
    <s v="06/05/2019"/>
    <x v="2"/>
    <x v="63"/>
    <x v="6"/>
    <x v="12"/>
    <s v="Regional Pernambuco"/>
    <s v="João Pessoa"/>
    <s v="Tecnico de campo"/>
    <x v="5"/>
    <s v="INSTALADOR TUP"/>
    <s v="RESC DEMIS S/ JC AVISO IND"/>
    <s v="JPA"/>
    <s v="06391476403"/>
    <s v="04/09/2019"/>
    <s v="GLAUBER JOSE GOMES LEITAO"/>
    <s v="WENDELL FRANKLIN VIEIRA MAIA"/>
    <s v="WENDELL FRANKLIN VIEIRA MAIA"/>
    <x v="1"/>
    <x v="35"/>
    <x v="17"/>
    <m/>
    <x v="1431"/>
    <x v="1250"/>
    <x v="39"/>
    <x v="6"/>
    <x v="3"/>
    <x v="3"/>
    <x v="1"/>
  </r>
  <r>
    <x v="1431"/>
    <n v="101005989"/>
    <s v="RESC DEMIS S/ JC AVISO IND"/>
    <s v="12/06/2019"/>
    <x v="1"/>
    <x v="17"/>
    <x v="5"/>
    <x v="3"/>
    <s v="Regional Ceará"/>
    <s v="Capital Oeste Ceará"/>
    <s v="MultiSkill"/>
    <x v="4"/>
    <s v="TEC MULTIFUNCIONAL"/>
    <s v="RESC DEMIS S/ JC AVISO IND"/>
    <s v="CNO"/>
    <s v="01049297318"/>
    <s v="04/09/2019"/>
    <s v="JOSENIL GOMES RODRIGUES"/>
    <s v="ALENCAR DE SOUZA SANTOS"/>
    <s v="JONILSON FELIPE VIEIRA"/>
    <x v="1"/>
    <x v="17"/>
    <x v="17"/>
    <m/>
    <x v="1432"/>
    <x v="1250"/>
    <x v="18"/>
    <x v="4"/>
    <x v="1"/>
    <x v="3"/>
    <x v="0"/>
  </r>
  <r>
    <x v="1432"/>
    <n v="108401409"/>
    <s v="RESC DEMIS COM JUSTA CAUSA"/>
    <s v="05/08/2019"/>
    <x v="1"/>
    <x v="47"/>
    <x v="15"/>
    <x v="1"/>
    <s v="Regional Ceará"/>
    <s v="Capital Sul Ceará"/>
    <s v="Tecnico de campo"/>
    <x v="9"/>
    <s v="INSTALADOR DTH"/>
    <s v="RESC DEMIS COM JUSTA CAUSA"/>
    <s v="GCS"/>
    <s v="02983846393"/>
    <s v="04/09/2019"/>
    <s v="JOSE NILTON MENDES LIMA"/>
    <s v="VANDERLEI HENZEL CHOLLET"/>
    <s v="JONILSON FELIPE VIEIRA"/>
    <x v="1"/>
    <x v="39"/>
    <x v="17"/>
    <m/>
    <x v="1433"/>
    <x v="1250"/>
    <x v="32"/>
    <x v="8"/>
    <x v="1"/>
    <x v="3"/>
    <x v="0"/>
  </r>
  <r>
    <x v="1433"/>
    <n v="101007665"/>
    <s v="RESC DEMIS S/ JC AVISO IND"/>
    <s v="05/06/2019"/>
    <x v="1"/>
    <x v="64"/>
    <x v="10"/>
    <x v="3"/>
    <s v="Regional Ceará"/>
    <s v="Capital Oeste Ceará"/>
    <s v="MultiSkill"/>
    <x v="4"/>
    <s v="TEC MULTIFUNCIONAL"/>
    <s v="RESC DEMIS S/ JC AVISO IND"/>
    <s v="CNO"/>
    <s v="69539022304"/>
    <s v="04/09/2019"/>
    <s v="CARLOS AUGUSTO ALVES DE SOUSA"/>
    <s v="ALENCAR DE SOUZA SANTOS"/>
    <s v="JONILSON FELIPE VIEIRA"/>
    <x v="1"/>
    <x v="33"/>
    <x v="17"/>
    <m/>
    <x v="1434"/>
    <x v="1250"/>
    <x v="45"/>
    <x v="4"/>
    <x v="1"/>
    <x v="3"/>
    <x v="0"/>
  </r>
  <r>
    <x v="1434"/>
    <n v="101001782"/>
    <s v="RESC DEMIS S/ JC AVISO IND"/>
    <s v="12/08/2019"/>
    <x v="1"/>
    <x v="40"/>
    <x v="14"/>
    <x v="8"/>
    <s v="Regional Ceará"/>
    <s v="Quixadá"/>
    <s v="MultiSkill"/>
    <x v="4"/>
    <s v="TEC MULTIFUNCIONAL"/>
    <s v="RESC DEMIS S/ JC AVISO IND"/>
    <s v="QXA"/>
    <s v="03425515314"/>
    <s v="04/09/2019"/>
    <s v="LYNDON JONHSON SILVA LIMA"/>
    <s v="ALENCAR DE SOUZA SANTOS"/>
    <s v="JONILSON FELIPE VIEIRA"/>
    <x v="1"/>
    <x v="9"/>
    <x v="17"/>
    <m/>
    <x v="1435"/>
    <x v="1250"/>
    <x v="10"/>
    <x v="4"/>
    <x v="1"/>
    <x v="3"/>
    <x v="0"/>
  </r>
  <r>
    <x v="1435"/>
    <n v="101007963"/>
    <s v="RESC DEMIS S/ JC AVISO IND"/>
    <s v="12/08/2019"/>
    <x v="1"/>
    <x v="41"/>
    <x v="5"/>
    <x v="4"/>
    <s v="Regional Ceará"/>
    <s v="Capital Oeste Ceará"/>
    <s v="MultiSkill"/>
    <x v="4"/>
    <s v="TEC MULTIFUNCIONAL"/>
    <s v="RESC DEMIS S/ JC AVISO IND"/>
    <s v="COO"/>
    <s v="03882672323"/>
    <s v="04/09/2019"/>
    <s v="JOSEVAN DE SOUSA SILVA"/>
    <s v="ALENCAR DE SOUZA SANTOS"/>
    <s v="JONILSON FELIPE VIEIRA"/>
    <x v="1"/>
    <x v="39"/>
    <x v="17"/>
    <m/>
    <x v="1436"/>
    <x v="1250"/>
    <x v="35"/>
    <x v="4"/>
    <x v="1"/>
    <x v="3"/>
    <x v="0"/>
  </r>
  <r>
    <x v="1436"/>
    <n v="101008134"/>
    <s v="RESC DEMIS COM JUSTA CAUSA"/>
    <s v="05/08/2019"/>
    <x v="1"/>
    <x v="47"/>
    <x v="10"/>
    <x v="1"/>
    <s v="Regional Ceará"/>
    <s v="Capital Sul Ceará"/>
    <s v="MultiSkill"/>
    <x v="4"/>
    <s v="TEC MULTIFUNCIONAL"/>
    <s v="RESC DEMIS COM JUSTA CAUSA"/>
    <s v="GCS"/>
    <s v="48001554368"/>
    <s v="04/09/2019"/>
    <s v="BRUNO SAVIO DA SILVA"/>
    <s v="ANTONIO ROBEVANIO PINHEIRO"/>
    <s v="JONILSON FELIPE VIEIRA"/>
    <x v="1"/>
    <x v="53"/>
    <x v="17"/>
    <m/>
    <x v="1437"/>
    <x v="1250"/>
    <x v="5"/>
    <x v="1"/>
    <x v="1"/>
    <x v="3"/>
    <x v="0"/>
  </r>
  <r>
    <x v="1437"/>
    <n v="109000926"/>
    <s v="RESC DEMIS S/ JC AVISO IND"/>
    <s v="10/06/2019"/>
    <x v="0"/>
    <x v="7"/>
    <x v="20"/>
    <x v="7"/>
    <s v="Regional Pernambuco"/>
    <s v="Recife"/>
    <s v="MultiSkill"/>
    <x v="7"/>
    <s v="TEC MULTIFUNCIONAL"/>
    <s v="RESC DEMIS S/ JC AVISO IND"/>
    <s v="LES"/>
    <s v="81725086468"/>
    <s v="04/09/2019"/>
    <s v="ANTONIO MAGNO DE CASTRO LEAO"/>
    <s v="BRUNO VINICIUS DE ALBERTINS ALVES"/>
    <s v="NIVALDO DE OLIVEIRA SOARES"/>
    <x v="1"/>
    <x v="45"/>
    <x v="17"/>
    <m/>
    <x v="1438"/>
    <x v="1250"/>
    <x v="41"/>
    <x v="9"/>
    <x v="0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2" cacheId="833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5" indent="0" compact="0" compactData="0" multipleFieldFilters="0">
  <location ref="A14:N1453" firstHeaderRow="1" firstDataRow="1" firstDataCol="14"/>
  <pivotFields count="31">
    <pivotField axis="axisRow" compact="0" outline="0" showAll="0" defaultSubtotal="0">
      <items count="1442">
        <item x="351"/>
        <item x="899"/>
        <item x="493"/>
        <item x="1339"/>
        <item x="40"/>
        <item x="1099"/>
        <item x="177"/>
        <item x="358"/>
        <item x="438"/>
        <item x="446"/>
        <item x="1095"/>
        <item x="464"/>
        <item x="1023"/>
        <item x="1207"/>
        <item x="466"/>
        <item x="382"/>
        <item x="773"/>
        <item x="1055"/>
        <item x="1308"/>
        <item x="565"/>
        <item x="1193"/>
        <item x="1026"/>
        <item x="401"/>
        <item x="514"/>
        <item x="970"/>
        <item x="978"/>
        <item x="422"/>
        <item x="461"/>
        <item x="1306"/>
        <item x="58"/>
        <item x="1056"/>
        <item x="1319"/>
        <item x="965"/>
        <item x="548"/>
        <item x="505"/>
        <item x="81"/>
        <item x="873"/>
        <item x="813"/>
        <item x="184"/>
        <item x="796"/>
        <item x="243"/>
        <item x="43"/>
        <item x="1388"/>
        <item x="1274"/>
        <item x="960"/>
        <item x="449"/>
        <item x="356"/>
        <item x="678"/>
        <item x="879"/>
        <item x="923"/>
        <item x="1059"/>
        <item x="997"/>
        <item x="1195"/>
        <item x="117"/>
        <item x="396"/>
        <item x="845"/>
        <item x="1406"/>
        <item x="1335"/>
        <item x="106"/>
        <item x="1223"/>
        <item x="774"/>
        <item x="127"/>
        <item x="933"/>
        <item x="279"/>
        <item x="950"/>
        <item x="297"/>
        <item x="559"/>
        <item x="240"/>
        <item x="613"/>
        <item x="883"/>
        <item x="1342"/>
        <item x="924"/>
        <item x="1412"/>
        <item x="606"/>
        <item x="167"/>
        <item x="1358"/>
        <item x="1132"/>
        <item x="1368"/>
        <item x="1363"/>
        <item x="249"/>
        <item x="91"/>
        <item x="810"/>
        <item x="702"/>
        <item x="1429"/>
        <item x="1332"/>
        <item x="482"/>
        <item x="677"/>
        <item x="1240"/>
        <item x="1204"/>
        <item x="1293"/>
        <item x="674"/>
        <item x="552"/>
        <item x="1247"/>
        <item x="416"/>
        <item x="622"/>
        <item x="1329"/>
        <item x="1272"/>
        <item x="530"/>
        <item x="1255"/>
        <item x="715"/>
        <item x="545"/>
        <item x="321"/>
        <item x="533"/>
        <item x="62"/>
        <item x="616"/>
        <item x="255"/>
        <item x="1180"/>
        <item x="806"/>
        <item x="315"/>
        <item x="1022"/>
        <item x="898"/>
        <item x="1211"/>
        <item x="1437"/>
        <item x="948"/>
        <item x="986"/>
        <item x="1186"/>
        <item x="719"/>
        <item x="460"/>
        <item x="1291"/>
        <item x="57"/>
        <item x="1031"/>
        <item x="166"/>
        <item x="1393"/>
        <item x="1118"/>
        <item x="1126"/>
        <item x="1140"/>
        <item x="61"/>
        <item x="1208"/>
        <item x="862"/>
        <item x="611"/>
        <item x="1155"/>
        <item x="157"/>
        <item x="517"/>
        <item x="338"/>
        <item x="698"/>
        <item x="609"/>
        <item x="26"/>
        <item x="1239"/>
        <item x="772"/>
        <item x="312"/>
        <item x="991"/>
        <item x="33"/>
        <item x="850"/>
        <item x="1433"/>
        <item x="375"/>
        <item x="1370"/>
        <item x="1434"/>
        <item x="363"/>
        <item x="904"/>
        <item x="1110"/>
        <item x="113"/>
        <item x="1135"/>
        <item x="871"/>
        <item x="820"/>
        <item x="143"/>
        <item x="751"/>
        <item x="395"/>
        <item x="835"/>
        <item x="882"/>
        <item x="68"/>
        <item x="1202"/>
        <item x="549"/>
        <item x="854"/>
        <item x="1016"/>
        <item x="1018"/>
        <item x="388"/>
        <item x="625"/>
        <item x="90"/>
        <item x="1297"/>
        <item x="515"/>
        <item x="913"/>
        <item x="868"/>
        <item x="518"/>
        <item x="419"/>
        <item x="656"/>
        <item x="260"/>
        <item x="132"/>
        <item x="932"/>
        <item x="1424"/>
        <item x="314"/>
        <item x="1170"/>
        <item x="1420"/>
        <item x="250"/>
        <item x="1164"/>
        <item x="1310"/>
        <item x="658"/>
        <item m="1" x="1438"/>
        <item x="182"/>
        <item x="455"/>
        <item x="69"/>
        <item x="861"/>
        <item x="148"/>
        <item x="1262"/>
        <item x="756"/>
        <item x="450"/>
        <item x="374"/>
        <item x="1314"/>
        <item x="50"/>
        <item x="405"/>
        <item x="1281"/>
        <item x="1027"/>
        <item x="1386"/>
        <item x="394"/>
        <item x="1290"/>
        <item x="320"/>
        <item x="306"/>
        <item x="1354"/>
        <item x="1035"/>
        <item x="36"/>
        <item x="1349"/>
        <item x="1212"/>
        <item x="1050"/>
        <item x="651"/>
        <item x="38"/>
        <item x="94"/>
        <item x="570"/>
        <item x="800"/>
        <item x="1231"/>
        <item x="362"/>
        <item x="209"/>
        <item x="369"/>
        <item x="135"/>
        <item x="952"/>
        <item x="215"/>
        <item x="977"/>
        <item x="78"/>
        <item x="154"/>
        <item x="1301"/>
        <item x="627"/>
        <item x="1206"/>
        <item x="242"/>
        <item x="1068"/>
        <item x="1196"/>
        <item x="380"/>
        <item x="906"/>
        <item x="145"/>
        <item x="112"/>
        <item x="1210"/>
        <item x="269"/>
        <item x="957"/>
        <item x="115"/>
        <item x="176"/>
        <item x="519"/>
        <item x="1166"/>
        <item x="402"/>
        <item x="323"/>
        <item x="131"/>
        <item x="714"/>
        <item x="593"/>
        <item x="938"/>
        <item x="1033"/>
        <item x="1270"/>
        <item x="783"/>
        <item x="352"/>
        <item x="878"/>
        <item x="340"/>
        <item x="1415"/>
        <item x="672"/>
        <item x="125"/>
        <item x="253"/>
        <item x="647"/>
        <item x="1071"/>
        <item x="210"/>
        <item x="262"/>
        <item x="447"/>
        <item x="1378"/>
        <item x="621"/>
        <item x="234"/>
        <item x="303"/>
        <item x="487"/>
        <item x="569"/>
        <item x="254"/>
        <item m="1" x="1439"/>
        <item x="574"/>
        <item x="486"/>
        <item x="566"/>
        <item x="587"/>
        <item x="539"/>
        <item x="1238"/>
        <item x="540"/>
        <item x="560"/>
        <item x="575"/>
        <item x="72"/>
        <item x="257"/>
        <item x="1385"/>
        <item x="258"/>
        <item x="93"/>
        <item x="551"/>
        <item x="318"/>
        <item x="462"/>
        <item x="631"/>
        <item x="720"/>
        <item x="597"/>
        <item x="423"/>
        <item x="807"/>
        <item x="87"/>
        <item x="1104"/>
        <item x="586"/>
        <item x="717"/>
        <item x="236"/>
        <item x="780"/>
        <item x="309"/>
        <item x="108"/>
        <item x="1380"/>
        <item x="30"/>
        <item x="604"/>
        <item x="384"/>
        <item x="496"/>
        <item x="1114"/>
        <item x="912"/>
        <item x="670"/>
        <item x="1046"/>
        <item x="288"/>
        <item x="261"/>
        <item x="1040"/>
        <item x="229"/>
        <item x="699"/>
        <item x="310"/>
        <item x="409"/>
        <item x="385"/>
        <item x="498"/>
        <item x="763"/>
        <item x="984"/>
        <item x="994"/>
        <item x="178"/>
        <item x="332"/>
        <item x="327"/>
        <item x="708"/>
        <item x="1227"/>
        <item x="1230"/>
        <item x="1162"/>
        <item x="454"/>
        <item x="1233"/>
        <item x="502"/>
        <item x="581"/>
        <item x="1143"/>
        <item x="654"/>
        <item x="203"/>
        <item x="1381"/>
        <item x="367"/>
        <item x="556"/>
        <item x="1209"/>
        <item x="111"/>
        <item x="465"/>
        <item x="768"/>
        <item x="1245"/>
        <item x="1327"/>
        <item x="343"/>
        <item x="808"/>
        <item x="662"/>
        <item x="652"/>
        <item x="1169"/>
        <item x="673"/>
        <item x="557"/>
        <item x="885"/>
        <item x="1086"/>
        <item x="1334"/>
        <item x="840"/>
        <item x="1229"/>
        <item x="1054"/>
        <item x="1241"/>
        <item x="895"/>
        <item x="1288"/>
        <item x="1377"/>
        <item x="407"/>
        <item x="692"/>
        <item x="42"/>
        <item x="650"/>
        <item x="949"/>
        <item x="667"/>
        <item x="920"/>
        <item x="585"/>
        <item x="778"/>
        <item x="1232"/>
        <item x="126"/>
        <item x="1084"/>
        <item x="415"/>
        <item x="1151"/>
        <item x="360"/>
        <item x="546"/>
        <item x="973"/>
        <item x="614"/>
        <item x="83"/>
        <item x="433"/>
        <item x="1165"/>
        <item x="981"/>
        <item x="936"/>
        <item x="259"/>
        <item x="1"/>
        <item x="1075"/>
        <item x="700"/>
        <item x="219"/>
        <item x="158"/>
        <item x="1081"/>
        <item x="1361"/>
        <item x="197"/>
        <item x="660"/>
        <item x="1020"/>
        <item x="1225"/>
        <item x="1366"/>
        <item x="1094"/>
        <item x="1249"/>
        <item x="495"/>
        <item x="1172"/>
        <item x="599"/>
        <item x="729"/>
        <item x="635"/>
        <item x="896"/>
        <item x="53"/>
        <item x="155"/>
        <item x="299"/>
        <item x="615"/>
        <item x="572"/>
        <item x="1399"/>
        <item x="1039"/>
        <item x="60"/>
        <item x="1003"/>
        <item x="1215"/>
        <item x="927"/>
        <item x="77"/>
        <item x="1052"/>
        <item x="390"/>
        <item x="1246"/>
        <item x="626"/>
        <item x="1235"/>
        <item x="213"/>
        <item x="1302"/>
        <item x="969"/>
        <item x="109"/>
        <item x="119"/>
        <item x="1414"/>
        <item x="105"/>
        <item x="830"/>
        <item x="265"/>
        <item x="1060"/>
        <item x="151"/>
        <item x="1213"/>
        <item x="771"/>
        <item x="1394"/>
        <item x="563"/>
        <item x="227"/>
        <item x="1417"/>
        <item x="594"/>
        <item x="1409"/>
        <item x="468"/>
        <item x="634"/>
        <item x="165"/>
        <item x="28"/>
        <item x="1080"/>
        <item x="598"/>
        <item x="418"/>
        <item x="350"/>
        <item x="748"/>
        <item x="278"/>
        <item x="1156"/>
        <item x="32"/>
        <item x="1395"/>
        <item x="937"/>
        <item x="889"/>
        <item x="865"/>
        <item x="1057"/>
        <item x="37"/>
        <item x="1346"/>
        <item x="1089"/>
        <item x="1168"/>
        <item x="1146"/>
        <item x="1200"/>
        <item x="1337"/>
        <item x="961"/>
        <item x="339"/>
        <item x="1243"/>
        <item x="499"/>
        <item x="802"/>
        <item x="848"/>
        <item x="1299"/>
        <item x="860"/>
        <item x="1260"/>
        <item x="1343"/>
        <item x="787"/>
        <item x="1188"/>
        <item x="222"/>
        <item x="200"/>
        <item x="172"/>
        <item x="897"/>
        <item x="230"/>
        <item x="705"/>
        <item x="901"/>
        <item x="492"/>
        <item x="173"/>
        <item x="411"/>
        <item x="74"/>
        <item x="54"/>
        <item x="1203"/>
        <item x="121"/>
        <item x="334"/>
        <item x="1318"/>
        <item x="1348"/>
        <item x="1102"/>
        <item x="137"/>
        <item x="194"/>
        <item x="1224"/>
        <item x="267"/>
        <item x="199"/>
        <item x="856"/>
        <item x="958"/>
        <item x="764"/>
        <item x="953"/>
        <item x="863"/>
        <item x="959"/>
        <item x="917"/>
        <item x="1257"/>
        <item x="328"/>
        <item x="507"/>
        <item x="1256"/>
        <item x="788"/>
        <item x="79"/>
        <item x="987"/>
        <item x="386"/>
        <item x="337"/>
        <item x="1029"/>
        <item x="812"/>
        <item x="1191"/>
        <item x="993"/>
        <item x="817"/>
        <item x="1122"/>
        <item x="1279"/>
        <item x="218"/>
        <item x="1287"/>
        <item x="971"/>
        <item x="1161"/>
        <item x="979"/>
        <item x="1082"/>
        <item x="1325"/>
        <item x="346"/>
        <item x="1002"/>
        <item x="709"/>
        <item x="1285"/>
        <item x="847"/>
        <item x="1113"/>
        <item x="1119"/>
        <item x="1184"/>
        <item x="1101"/>
        <item x="23"/>
        <item x="235"/>
        <item x="942"/>
        <item x="1431"/>
        <item x="139"/>
        <item x="440"/>
        <item x="1419"/>
        <item x="1058"/>
        <item x="846"/>
        <item x="876"/>
        <item x="345"/>
        <item x="643"/>
        <item x="1138"/>
        <item x="884"/>
        <item x="1254"/>
        <item x="1014"/>
        <item x="1259"/>
        <item x="1357"/>
        <item x="911"/>
        <item x="1220"/>
        <item x="370"/>
        <item x="795"/>
        <item x="100"/>
        <item x="1028"/>
        <item x="990"/>
        <item x="737"/>
        <item x="1111"/>
        <item x="34"/>
        <item x="147"/>
        <item x="393"/>
        <item x="295"/>
        <item x="1116"/>
        <item x="1112"/>
        <item x="1428"/>
        <item x="84"/>
        <item x="1315"/>
        <item x="1098"/>
        <item x="286"/>
        <item x="372"/>
        <item x="947"/>
        <item x="554"/>
        <item x="1298"/>
        <item x="326"/>
        <item x="976"/>
        <item x="999"/>
        <item x="975"/>
        <item x="1362"/>
        <item x="940"/>
        <item x="744"/>
        <item x="1344"/>
        <item x="457"/>
        <item x="497"/>
        <item x="508"/>
        <item x="1076"/>
        <item x="293"/>
        <item x="272"/>
        <item x="1405"/>
        <item x="275"/>
        <item x="1128"/>
        <item x="1141"/>
        <item x="71"/>
        <item x="142"/>
        <item x="308"/>
        <item x="0"/>
        <item x="809"/>
        <item x="331"/>
        <item x="534"/>
        <item x="757"/>
        <item x="590"/>
        <item x="770"/>
        <item x="248"/>
        <item x="160"/>
        <item x="1244"/>
        <item x="571"/>
        <item x="668"/>
        <item x="1228"/>
        <item x="472"/>
        <item x="607"/>
        <item x="646"/>
        <item x="989"/>
        <item x="728"/>
        <item x="494"/>
        <item x="562"/>
        <item x="785"/>
        <item x="1083"/>
        <item x="1139"/>
        <item x="682"/>
        <item x="789"/>
        <item x="803"/>
        <item x="1177"/>
        <item x="962"/>
        <item x="573"/>
        <item x="983"/>
        <item x="941"/>
        <item x="1353"/>
        <item x="823"/>
        <item x="305"/>
        <item x="97"/>
        <item x="1330"/>
        <item x="1351"/>
        <item x="478"/>
        <item x="211"/>
        <item x="1030"/>
        <item x="134"/>
        <item x="376"/>
        <item x="880"/>
        <item x="475"/>
        <item x="1012"/>
        <item x="988"/>
        <item x="25"/>
        <item x="881"/>
        <item x="161"/>
        <item x="1133"/>
        <item x="1323"/>
        <item x="992"/>
        <item x="469"/>
        <item x="89"/>
        <item x="755"/>
        <item x="935"/>
        <item x="1402"/>
        <item x="877"/>
        <item x="624"/>
        <item x="48"/>
        <item x="731"/>
        <item x="1365"/>
        <item x="171"/>
        <item x="436"/>
        <item x="477"/>
        <item x="1400"/>
        <item x="281"/>
        <item x="1258"/>
        <item x="1383"/>
        <item x="516"/>
        <item x="273"/>
        <item x="841"/>
        <item x="966"/>
        <item x="1292"/>
        <item x="174"/>
        <item x="608"/>
        <item x="541"/>
        <item x="427"/>
        <item x="364"/>
        <item x="1286"/>
        <item x="638"/>
        <item x="579"/>
        <item x="645"/>
        <item x="164"/>
        <item x="577"/>
        <item x="931"/>
        <item x="256"/>
        <item x="681"/>
        <item x="397"/>
        <item x="371"/>
        <item x="45"/>
        <item x="1320"/>
        <item x="133"/>
        <item x="1205"/>
        <item x="1175"/>
        <item x="226"/>
        <item x="694"/>
        <item x="805"/>
        <item x="1333"/>
        <item x="285"/>
        <item x="793"/>
        <item x="1107"/>
        <item x="1374"/>
        <item x="934"/>
        <item x="1421"/>
        <item x="1435"/>
        <item x="280"/>
        <item x="1148"/>
        <item x="198"/>
        <item x="504"/>
        <item x="46"/>
        <item x="329"/>
        <item x="196"/>
        <item x="437"/>
        <item x="1130"/>
        <item x="555"/>
        <item x="829"/>
        <item x="429"/>
        <item x="628"/>
        <item x="430"/>
        <item x="580"/>
        <item x="538"/>
        <item x="592"/>
        <item x="727"/>
        <item x="914"/>
        <item x="644"/>
        <item x="543"/>
        <item x="1064"/>
        <item x="907"/>
        <item x="1326"/>
        <item x="1296"/>
        <item x="1178"/>
        <item x="1008"/>
        <item x="838"/>
        <item x="721"/>
        <item x="612"/>
        <item x="1036"/>
        <item x="170"/>
        <item x="916"/>
        <item m="1" x="1441"/>
        <item x="1313"/>
        <item x="1091"/>
        <item x="123"/>
        <item x="623"/>
        <item x="864"/>
        <item x="759"/>
        <item x="458"/>
        <item x="144"/>
        <item x="1053"/>
        <item x="641"/>
        <item x="24"/>
        <item x="490"/>
        <item x="361"/>
        <item x="47"/>
        <item x="765"/>
        <item x="1124"/>
        <item x="1379"/>
        <item x="319"/>
        <item x="730"/>
        <item x="1159"/>
        <item x="797"/>
        <item x="1384"/>
        <item x="799"/>
        <item x="818"/>
        <item x="588"/>
        <item x="723"/>
        <item x="1085"/>
        <item x="900"/>
        <item x="183"/>
        <item x="444"/>
        <item x="120"/>
        <item x="1088"/>
        <item x="749"/>
        <item x="1051"/>
        <item x="5"/>
        <item x="228"/>
        <item x="1011"/>
        <item x="202"/>
        <item x="1252"/>
        <item x="1108"/>
        <item x="738"/>
        <item x="1065"/>
        <item x="1019"/>
        <item x="1131"/>
        <item x="377"/>
        <item x="798"/>
        <item x="1340"/>
        <item x="1234"/>
        <item x="842"/>
        <item x="827"/>
        <item x="1392"/>
        <item x="266"/>
        <item x="1371"/>
        <item x="335"/>
        <item x="1189"/>
        <item x="1096"/>
        <item x="290"/>
        <item x="558"/>
        <item x="1322"/>
        <item x="866"/>
        <item x="1217"/>
        <item x="732"/>
        <item x="733"/>
        <item x="760"/>
        <item x="1273"/>
        <item x="1007"/>
        <item x="1218"/>
        <item x="1403"/>
        <item x="964"/>
        <item x="834"/>
        <item x="1401"/>
        <item x="204"/>
        <item x="1278"/>
        <item x="1001"/>
        <item x="1199"/>
        <item x="1269"/>
        <item x="398"/>
        <item x="292"/>
        <item x="967"/>
        <item x="779"/>
        <item x="298"/>
        <item x="522"/>
        <item x="859"/>
        <item x="102"/>
        <item x="1127"/>
        <item x="467"/>
        <item x="212"/>
        <item x="902"/>
        <item x="742"/>
        <item x="1153"/>
        <item x="1283"/>
        <item x="905"/>
        <item x="186"/>
        <item x="107"/>
        <item x="1372"/>
        <item x="251"/>
        <item x="1103"/>
        <item x="908"/>
        <item x="918"/>
        <item x="355"/>
        <item x="996"/>
        <item x="49"/>
        <item x="283"/>
        <item x="707"/>
        <item x="1214"/>
        <item x="822"/>
        <item x="122"/>
        <item x="118"/>
        <item x="239"/>
        <item x="185"/>
        <item x="1197"/>
        <item x="16"/>
        <item x="639"/>
        <item x="41"/>
        <item x="1359"/>
        <item x="1364"/>
        <item x="1309"/>
        <item x="1049"/>
        <item x="128"/>
        <item x="245"/>
        <item x="513"/>
        <item x="1387"/>
        <item x="929"/>
        <item x="179"/>
        <item x="1276"/>
        <item x="767"/>
        <item x="453"/>
        <item x="1174"/>
        <item x="421"/>
        <item x="886"/>
        <item x="745"/>
        <item x="1376"/>
        <item x="724"/>
        <item x="1219"/>
        <item x="655"/>
        <item x="1305"/>
        <item x="70"/>
        <item x="1355"/>
        <item x="1390"/>
        <item x="1264"/>
        <item x="531"/>
        <item x="322"/>
        <item x="149"/>
        <item x="451"/>
        <item x="1271"/>
        <item x="536"/>
        <item x="722"/>
        <item x="86"/>
        <item x="480"/>
        <item x="1005"/>
        <item x="633"/>
        <item x="1413"/>
        <item x="237"/>
        <item x="632"/>
        <item x="804"/>
        <item x="828"/>
        <item x="618"/>
        <item x="1025"/>
        <item x="35"/>
        <item x="378"/>
        <item x="671"/>
        <item x="75"/>
        <item x="1147"/>
        <item x="392"/>
        <item x="666"/>
        <item x="544"/>
        <item x="669"/>
        <item x="391"/>
        <item x="63"/>
        <item x="874"/>
        <item x="156"/>
        <item x="1294"/>
        <item x="1216"/>
        <item x="1253"/>
        <item x="426"/>
        <item x="247"/>
        <item x="365"/>
        <item x="1280"/>
        <item x="387"/>
        <item x="776"/>
        <item x="790"/>
        <item x="688"/>
        <item x="752"/>
        <item x="1171"/>
        <item x="1074"/>
        <item x="420"/>
        <item x="1411"/>
        <item x="368"/>
        <item x="1010"/>
        <item x="1316"/>
        <item x="529"/>
        <item x="1160"/>
        <item x="601"/>
        <item x="1397"/>
        <item x="1000"/>
        <item x="1425"/>
        <item x="777"/>
        <item x="526"/>
        <item x="746"/>
        <item x="435"/>
        <item x="816"/>
        <item x="974"/>
        <item x="1295"/>
        <item x="287"/>
        <item x="712"/>
        <item x="716"/>
        <item x="945"/>
        <item x="690"/>
        <item x="381"/>
        <item x="605"/>
        <item x="919"/>
        <item x="1145"/>
        <item x="1182"/>
        <item x="892"/>
        <item x="955"/>
        <item x="336"/>
        <item x="56"/>
        <item x="665"/>
        <item x="359"/>
        <item x="1070"/>
        <item x="232"/>
        <item x="441"/>
        <item x="481"/>
        <item x="205"/>
        <item x="1047"/>
        <item x="277"/>
        <item x="1328"/>
        <item x="849"/>
        <item x="124"/>
        <item x="1167"/>
        <item x="1311"/>
        <item x="463"/>
        <item x="73"/>
        <item x="428"/>
        <item x="413"/>
        <item x="1408"/>
        <item x="1041"/>
        <item x="1237"/>
        <item x="511"/>
        <item x="224"/>
        <item x="1044"/>
        <item x="342"/>
        <item x="1154"/>
        <item x="1150"/>
        <item x="150"/>
        <item x="221"/>
        <item x="821"/>
        <item x="1250"/>
        <item x="159"/>
        <item x="434"/>
        <item x="476"/>
        <item x="857"/>
        <item x="180"/>
        <item x="735"/>
        <item x="890"/>
        <item x="76"/>
        <item x="169"/>
        <item x="1436"/>
        <item x="325"/>
        <item x="782"/>
        <item x="1015"/>
        <item x="1158"/>
        <item x="659"/>
        <item x="1134"/>
        <item x="686"/>
        <item x="858"/>
        <item x="852"/>
        <item x="101"/>
        <item x="271"/>
        <item x="483"/>
        <item m="1" x="1440"/>
        <item x="1129"/>
        <item x="484"/>
        <item x="1418"/>
        <item x="893"/>
        <item x="553"/>
        <item x="603"/>
        <item x="104"/>
        <item x="383"/>
        <item x="747"/>
        <item x="711"/>
        <item x="1142"/>
        <item x="1157"/>
        <item x="736"/>
        <item x="241"/>
        <item x="1198"/>
        <item x="561"/>
        <item x="1136"/>
        <item x="1317"/>
        <item x="972"/>
        <item x="252"/>
        <item x="470"/>
        <item x="998"/>
        <item x="349"/>
        <item x="843"/>
        <item x="691"/>
        <item x="675"/>
        <item x="824"/>
        <item x="316"/>
        <item x="1120"/>
        <item x="894"/>
        <item x="718"/>
        <item x="595"/>
        <item x="867"/>
        <item x="138"/>
        <item x="459"/>
        <item x="853"/>
        <item x="915"/>
        <item x="64"/>
        <item x="1338"/>
        <item x="657"/>
        <item x="1187"/>
        <item x="1367"/>
        <item x="567"/>
        <item x="1034"/>
        <item x="1289"/>
        <item x="1324"/>
        <item x="223"/>
        <item x="792"/>
        <item x="685"/>
        <item x="1137"/>
        <item x="701"/>
        <item x="403"/>
        <item x="357"/>
        <item x="1013"/>
        <item x="304"/>
        <item x="1430"/>
        <item x="855"/>
        <item x="1163"/>
        <item x="642"/>
        <item x="661"/>
        <item x="687"/>
        <item x="130"/>
        <item x="921"/>
        <item x="231"/>
        <item x="909"/>
        <item x="146"/>
        <item x="348"/>
        <item x="794"/>
        <item x="1149"/>
        <item x="207"/>
        <item x="1100"/>
        <item x="206"/>
        <item x="619"/>
        <item x="750"/>
        <item x="1067"/>
        <item x="946"/>
        <item x="456"/>
        <item x="851"/>
        <item x="399"/>
        <item x="110"/>
        <item x="1312"/>
        <item x="1017"/>
        <item x="95"/>
        <item x="814"/>
        <item x="951"/>
        <item x="1181"/>
        <item x="59"/>
        <item x="264"/>
        <item x="1242"/>
        <item x="630"/>
        <item x="1009"/>
        <item x="491"/>
        <item x="347"/>
        <item x="1077"/>
        <item x="311"/>
        <item x="1284"/>
        <item x="564"/>
        <item x="1382"/>
        <item x="995"/>
        <item x="300"/>
        <item x="1090"/>
        <item x="80"/>
        <item x="1251"/>
        <item x="1121"/>
        <item x="636"/>
        <item x="1410"/>
        <item x="1236"/>
        <item x="1079"/>
        <item x="831"/>
        <item x="1048"/>
        <item x="1350"/>
        <item x="1300"/>
        <item x="1226"/>
        <item x="872"/>
        <item x="532"/>
        <item x="400"/>
        <item x="620"/>
        <item x="82"/>
        <item x="324"/>
        <item x="1396"/>
        <item x="683"/>
        <item x="726"/>
        <item x="1398"/>
        <item x="1432"/>
        <item x="523"/>
        <item x="201"/>
        <item x="65"/>
        <item x="891"/>
        <item x="291"/>
        <item x="542"/>
        <item x="689"/>
        <item x="1373"/>
        <item x="1045"/>
        <item x="39"/>
        <item x="1304"/>
        <item x="710"/>
        <item x="741"/>
        <item x="1194"/>
        <item x="317"/>
        <item x="506"/>
        <item x="408"/>
        <item x="344"/>
        <item x="216"/>
        <item x="302"/>
        <item x="576"/>
        <item x="754"/>
        <item x="887"/>
        <item x="1192"/>
        <item x="713"/>
        <item x="501"/>
        <item x="963"/>
        <item x="693"/>
        <item x="1282"/>
        <item x="697"/>
        <item x="1360"/>
        <item x="208"/>
        <item x="116"/>
        <item x="602"/>
        <item x="500"/>
        <item x="801"/>
        <item x="341"/>
        <item x="503"/>
        <item x="1037"/>
        <item x="617"/>
        <item x="99"/>
        <item x="833"/>
        <item x="640"/>
        <item x="704"/>
        <item x="282"/>
        <item x="1004"/>
        <item x="296"/>
        <item x="811"/>
        <item x="1369"/>
        <item x="527"/>
        <item x="1201"/>
        <item x="1043"/>
        <item x="1042"/>
        <item x="610"/>
        <item x="406"/>
        <item x="510"/>
        <item x="270"/>
        <item x="758"/>
        <item x="1038"/>
        <item x="1261"/>
        <item x="129"/>
        <item x="568"/>
        <item x="1375"/>
        <item x="153"/>
        <item x="442"/>
        <item x="353"/>
        <item x="980"/>
        <item x="844"/>
        <item x="443"/>
        <item x="1125"/>
        <item x="425"/>
        <item x="313"/>
        <item x="284"/>
        <item x="410"/>
        <item x="664"/>
        <item x="268"/>
        <item x="703"/>
        <item x="136"/>
        <item x="954"/>
        <item x="982"/>
        <item x="473"/>
        <item x="479"/>
        <item x="784"/>
        <item x="489"/>
        <item x="214"/>
        <item x="1006"/>
        <item x="1341"/>
        <item x="424"/>
        <item x="525"/>
        <item x="488"/>
        <item x="791"/>
        <item x="474"/>
        <item x="583"/>
        <item x="1266"/>
        <item x="1105"/>
        <item x="1062"/>
        <item x="301"/>
        <item x="88"/>
        <item x="869"/>
        <item x="930"/>
        <item x="1426"/>
        <item x="333"/>
        <item x="51"/>
        <item x="307"/>
        <item x="412"/>
        <item x="1024"/>
        <item x="740"/>
        <item x="786"/>
        <item x="888"/>
        <item x="1407"/>
        <item x="766"/>
        <item x="1248"/>
        <item x="1183"/>
        <item x="684"/>
        <item x="550"/>
        <item x="85"/>
        <item x="753"/>
        <item x="1097"/>
        <item x="1423"/>
        <item x="330"/>
        <item x="92"/>
        <item x="910"/>
        <item x="1190"/>
        <item x="826"/>
        <item x="163"/>
        <item x="152"/>
        <item x="739"/>
        <item x="445"/>
        <item x="600"/>
        <item x="244"/>
        <item x="1222"/>
        <item x="1275"/>
        <item x="233"/>
        <item x="870"/>
        <item x="629"/>
        <item x="1277"/>
        <item x="431"/>
        <item x="379"/>
        <item x="968"/>
        <item x="903"/>
        <item x="1427"/>
        <item x="926"/>
        <item x="1404"/>
        <item x="928"/>
        <item x="1115"/>
        <item x="98"/>
        <item x="743"/>
        <item x="1073"/>
        <item x="537"/>
        <item x="596"/>
        <item x="66"/>
        <item x="943"/>
        <item x="354"/>
        <item x="582"/>
        <item x="168"/>
        <item x="1391"/>
        <item x="520"/>
        <item x="939"/>
        <item x="653"/>
        <item x="141"/>
        <item x="528"/>
        <item x="263"/>
        <item x="637"/>
        <item x="832"/>
        <item x="589"/>
        <item x="1069"/>
        <item x="696"/>
        <item x="1263"/>
        <item x="509"/>
        <item x="1106"/>
        <item x="1072"/>
        <item x="448"/>
        <item x="432"/>
        <item x="1356"/>
        <item x="1078"/>
        <item x="1221"/>
        <item x="535"/>
        <item x="1336"/>
        <item x="648"/>
        <item x="1389"/>
        <item x="195"/>
        <item x="1093"/>
        <item x="175"/>
        <item x="1352"/>
        <item x="1117"/>
        <item x="1345"/>
        <item x="547"/>
        <item x="524"/>
        <item x="734"/>
        <item x="956"/>
        <item x="815"/>
        <item x="762"/>
        <item x="837"/>
        <item x="725"/>
        <item x="695"/>
        <item x="663"/>
        <item x="679"/>
        <item x="1066"/>
        <item x="775"/>
        <item x="512"/>
        <item x="96"/>
        <item x="1176"/>
        <item x="922"/>
        <item x="220"/>
        <item x="414"/>
        <item x="439"/>
        <item x="1185"/>
        <item x="875"/>
        <item x="1265"/>
        <item x="162"/>
        <item x="985"/>
        <item x="471"/>
        <item x="649"/>
        <item x="294"/>
        <item x="1321"/>
        <item x="680"/>
        <item x="825"/>
        <item x="769"/>
        <item x="67"/>
        <item x="1063"/>
        <item x="289"/>
        <item x="238"/>
        <item x="1173"/>
        <item x="1416"/>
        <item x="1422"/>
        <item x="521"/>
        <item x="140"/>
        <item x="44"/>
        <item x="1109"/>
        <item x="591"/>
        <item x="52"/>
        <item x="181"/>
        <item x="578"/>
        <item x="584"/>
        <item x="1307"/>
        <item x="417"/>
        <item x="1303"/>
        <item x="404"/>
        <item x="1123"/>
        <item x="1347"/>
        <item x="676"/>
        <item x="1331"/>
        <item x="366"/>
        <item x="452"/>
        <item x="1061"/>
        <item x="836"/>
        <item x="1032"/>
        <item x="944"/>
        <item x="55"/>
        <item x="1152"/>
        <item x="819"/>
        <item x="217"/>
        <item x="839"/>
        <item x="246"/>
        <item x="276"/>
        <item x="103"/>
        <item x="706"/>
        <item x="761"/>
        <item x="389"/>
        <item x="925"/>
        <item x="274"/>
        <item x="1092"/>
        <item x="1087"/>
        <item x="114"/>
        <item x="1144"/>
        <item x="781"/>
        <item x="373"/>
        <item x="1179"/>
        <item x="1267"/>
        <item x="1268"/>
        <item x="1021"/>
        <item x="13"/>
        <item x="14"/>
        <item x="15"/>
        <item x="17"/>
        <item x="18"/>
        <item x="19"/>
        <item x="27"/>
        <item x="29"/>
        <item x="31"/>
        <item x="187"/>
        <item x="188"/>
        <item x="189"/>
        <item x="190"/>
        <item x="191"/>
        <item x="192"/>
        <item x="193"/>
        <item x="2"/>
        <item x="3"/>
        <item x="4"/>
        <item x="225"/>
        <item x="6"/>
        <item x="7"/>
        <item x="8"/>
        <item x="9"/>
        <item x="10"/>
        <item x="11"/>
        <item x="12"/>
        <item x="20"/>
        <item x="21"/>
        <item x="22"/>
        <item x="48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2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3">
        <item x="64"/>
        <item x="48"/>
        <item x="69"/>
        <item x="17"/>
        <item x="3"/>
        <item x="58"/>
        <item x="57"/>
        <item x="10"/>
        <item x="41"/>
        <item x="36"/>
        <item x="4"/>
        <item x="32"/>
        <item x="8"/>
        <item x="2"/>
        <item x="55"/>
        <item x="12"/>
        <item x="47"/>
        <item x="70"/>
        <item x="1"/>
        <item x="11"/>
        <item x="31"/>
        <item x="5"/>
        <item x="40"/>
        <item x="9"/>
        <item x="43"/>
        <item x="26"/>
        <item x="19"/>
        <item x="20"/>
        <item x="33"/>
        <item x="42"/>
        <item x="34"/>
        <item x="63"/>
        <item x="15"/>
        <item x="54"/>
        <item x="61"/>
        <item x="14"/>
        <item x="46"/>
        <item x="38"/>
        <item x="53"/>
        <item x="0"/>
        <item x="21"/>
        <item x="50"/>
        <item x="6"/>
        <item x="7"/>
        <item x="44"/>
        <item x="65"/>
        <item x="71"/>
        <item x="52"/>
        <item x="35"/>
        <item x="60"/>
        <item x="37"/>
        <item x="18"/>
        <item x="67"/>
        <item x="51"/>
        <item x="30"/>
        <item x="59"/>
        <item x="39"/>
        <item m="1" x="72"/>
        <item x="16"/>
        <item x="49"/>
        <item x="56"/>
        <item x="25"/>
        <item x="68"/>
        <item x="13"/>
        <item x="27"/>
        <item x="24"/>
        <item x="29"/>
        <item x="62"/>
        <item x="66"/>
        <item x="45"/>
        <item x="28"/>
        <item x="23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7">
        <item x="35"/>
        <item m="1" x="42"/>
        <item x="33"/>
        <item x="10"/>
        <item m="1" x="40"/>
        <item x="4"/>
        <item x="5"/>
        <item x="22"/>
        <item x="14"/>
        <item m="1" x="39"/>
        <item x="29"/>
        <item x="28"/>
        <item x="34"/>
        <item m="1" x="46"/>
        <item x="17"/>
        <item x="23"/>
        <item x="3"/>
        <item x="13"/>
        <item x="31"/>
        <item x="32"/>
        <item x="30"/>
        <item x="11"/>
        <item x="20"/>
        <item x="9"/>
        <item x="27"/>
        <item x="12"/>
        <item x="2"/>
        <item m="1" x="37"/>
        <item x="15"/>
        <item x="16"/>
        <item x="19"/>
        <item x="0"/>
        <item x="18"/>
        <item x="1"/>
        <item x="8"/>
        <item x="7"/>
        <item x="26"/>
        <item x="6"/>
        <item m="1" x="45"/>
        <item m="1" x="41"/>
        <item x="21"/>
        <item m="1" x="43"/>
        <item m="1" x="36"/>
        <item x="25"/>
        <item m="1" x="44"/>
        <item m="1" x="38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5">
        <item x="11"/>
        <item x="23"/>
        <item x="16"/>
        <item x="2"/>
        <item x="3"/>
        <item x="4"/>
        <item x="1"/>
        <item x="22"/>
        <item x="0"/>
        <item x="17"/>
        <item x="9"/>
        <item x="12"/>
        <item x="5"/>
        <item x="7"/>
        <item x="20"/>
        <item x="19"/>
        <item x="21"/>
        <item x="14"/>
        <item x="13"/>
        <item x="24"/>
        <item x="6"/>
        <item x="8"/>
        <item x="18"/>
        <item x="15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m="1" x="12"/>
        <item x="6"/>
        <item x="1"/>
        <item x="8"/>
        <item x="9"/>
        <item x="7"/>
        <item x="0"/>
        <item m="1" x="11"/>
        <item x="4"/>
        <item x="10"/>
        <item x="3"/>
        <item x="5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0">
        <item x="96"/>
        <item x="36"/>
        <item x="59"/>
        <item x="0"/>
        <item x="84"/>
        <item x="57"/>
        <item x="24"/>
        <item x="85"/>
        <item x="16"/>
        <item x="89"/>
        <item x="58"/>
        <item x="12"/>
        <item x="71"/>
        <item x="18"/>
        <item x="11"/>
        <item x="55"/>
        <item x="34"/>
        <item x="38"/>
        <item x="83"/>
        <item x="40"/>
        <item x="42"/>
        <item x="21"/>
        <item x="70"/>
        <item x="77"/>
        <item x="41"/>
        <item x="47"/>
        <item x="14"/>
        <item x="87"/>
        <item x="73"/>
        <item x="6"/>
        <item x="45"/>
        <item x="7"/>
        <item x="92"/>
        <item x="64"/>
        <item x="37"/>
        <item x="72"/>
        <item x="49"/>
        <item x="20"/>
        <item x="15"/>
        <item x="43"/>
        <item x="31"/>
        <item x="66"/>
        <item x="35"/>
        <item x="95"/>
        <item x="82"/>
        <item x="67"/>
        <item x="69"/>
        <item x="98"/>
        <item x="25"/>
        <item x="23"/>
        <item x="22"/>
        <item x="97"/>
        <item x="28"/>
        <item x="74"/>
        <item x="48"/>
        <item x="76"/>
        <item x="51"/>
        <item x="27"/>
        <item x="80"/>
        <item x="30"/>
        <item x="91"/>
        <item x="86"/>
        <item x="2"/>
        <item x="4"/>
        <item x="3"/>
        <item x="1"/>
        <item x="75"/>
        <item x="29"/>
        <item x="13"/>
        <item x="10"/>
        <item x="93"/>
        <item x="17"/>
        <item x="46"/>
        <item x="50"/>
        <item x="44"/>
        <item x="63"/>
        <item x="56"/>
        <item x="99"/>
        <item x="39"/>
        <item x="52"/>
        <item x="88"/>
        <item x="81"/>
        <item x="53"/>
        <item x="33"/>
        <item x="32"/>
        <item x="60"/>
        <item x="62"/>
        <item x="54"/>
        <item x="79"/>
        <item x="61"/>
        <item x="5"/>
        <item x="94"/>
        <item x="65"/>
        <item x="90"/>
        <item x="8"/>
        <item x="9"/>
        <item x="26"/>
        <item x="19"/>
        <item x="68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18">
        <item x="4"/>
        <item x="7"/>
        <item x="15"/>
        <item x="9"/>
        <item x="11"/>
        <item x="12"/>
        <item x="5"/>
        <item x="0"/>
        <item x="1"/>
        <item x="10"/>
        <item x="13"/>
        <item x="2"/>
        <item x="3"/>
        <item x="16"/>
        <item x="8"/>
        <item x="14"/>
        <item x="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39">
        <item x="1180"/>
        <item x="274"/>
        <item x="1318"/>
        <item x="1125"/>
        <item x="1368"/>
        <item x="1173"/>
        <item x="391"/>
        <item x="1259"/>
        <item x="1257"/>
        <item x="1093"/>
        <item x="1268"/>
        <item x="1088"/>
        <item x="332"/>
        <item x="1071"/>
        <item x="1153"/>
        <item x="890"/>
        <item x="1249"/>
        <item x="1166"/>
        <item x="1278"/>
        <item x="1269"/>
        <item x="484"/>
        <item x="101"/>
        <item x="1038"/>
        <item x="105"/>
        <item x="1137"/>
        <item x="1049"/>
        <item x="820"/>
        <item x="1194"/>
        <item x="1151"/>
        <item x="261"/>
        <item x="855"/>
        <item x="346"/>
        <item x="706"/>
        <item x="1375"/>
        <item x="472"/>
        <item x="971"/>
        <item x="768"/>
        <item x="1022"/>
        <item x="1285"/>
        <item x="264"/>
        <item x="399"/>
        <item x="1040"/>
        <item x="83"/>
        <item x="1254"/>
        <item x="107"/>
        <item x="74"/>
        <item x="244"/>
        <item x="793"/>
        <item x="931"/>
        <item x="632"/>
        <item x="448"/>
        <item x="1044"/>
        <item x="1266"/>
        <item x="1054"/>
        <item x="1145"/>
        <item x="518"/>
        <item x="1018"/>
        <item x="857"/>
        <item x="1119"/>
        <item x="467"/>
        <item x="832"/>
        <item x="148"/>
        <item x="26"/>
        <item x="482"/>
        <item x="1193"/>
        <item x="822"/>
        <item x="126"/>
        <item x="422"/>
        <item x="99"/>
        <item x="348"/>
        <item x="1177"/>
        <item x="1148"/>
        <item x="814"/>
        <item x="1100"/>
        <item x="1023"/>
        <item x="1141"/>
        <item x="609"/>
        <item x="1371"/>
        <item x="1203"/>
        <item x="1263"/>
        <item x="1232"/>
        <item x="1302"/>
        <item x="1169"/>
        <item x="1244"/>
        <item x="1189"/>
        <item x="1204"/>
        <item x="1103"/>
        <item x="1387"/>
        <item x="36"/>
        <item x="789"/>
        <item x="972"/>
        <item x="1162"/>
        <item x="709"/>
        <item x="1286"/>
        <item x="1260"/>
        <item x="202"/>
        <item x="732"/>
        <item x="1360"/>
        <item x="1161"/>
        <item x="1122"/>
        <item x="1227"/>
        <item x="1342"/>
        <item x="1184"/>
        <item x="816"/>
        <item x="1164"/>
        <item x="1101"/>
        <item x="1326"/>
        <item x="734"/>
        <item x="815"/>
        <item x="35"/>
        <item x="1167"/>
        <item x="670"/>
        <item x="1082"/>
        <item x="1201"/>
        <item x="468"/>
        <item x="1258"/>
        <item x="1084"/>
        <item x="1140"/>
        <item x="1206"/>
        <item x="1358"/>
        <item x="794"/>
        <item x="1179"/>
        <item x="721"/>
        <item x="723"/>
        <item x="1341"/>
        <item x="1235"/>
        <item x="1097"/>
        <item x="860"/>
        <item x="1006"/>
        <item x="411"/>
        <item x="795"/>
        <item x="1374"/>
        <item x="741"/>
        <item x="1024"/>
        <item x="216"/>
        <item x="1361"/>
        <item x="1267"/>
        <item x="754"/>
        <item x="1107"/>
        <item x="1094"/>
        <item x="851"/>
        <item x="1306"/>
        <item x="785"/>
        <item x="950"/>
        <item x="207"/>
        <item x="825"/>
        <item x="1351"/>
        <item x="309"/>
        <item x="1208"/>
        <item x="708"/>
        <item x="1228"/>
        <item x="1226"/>
        <item x="1221"/>
        <item x="416"/>
        <item x="1212"/>
        <item x="949"/>
        <item x="992"/>
        <item x="388"/>
        <item x="1213"/>
        <item x="1072"/>
        <item x="423"/>
        <item x="1381"/>
        <item x="1210"/>
        <item x="817"/>
        <item x="428"/>
        <item x="1359"/>
        <item x="360"/>
        <item x="701"/>
        <item x="737"/>
        <item x="1126"/>
        <item x="88"/>
        <item x="1353"/>
        <item x="204"/>
        <item x="562"/>
        <item x="824"/>
        <item x="434"/>
        <item x="1384"/>
        <item x="694"/>
        <item x="1130"/>
        <item x="1066"/>
        <item x="1002"/>
        <item x="1270"/>
        <item x="1104"/>
        <item x="812"/>
        <item x="792"/>
        <item x="365"/>
        <item x="747"/>
        <item x="381"/>
        <item x="152"/>
        <item x="432"/>
        <item x="289"/>
        <item x="1115"/>
        <item x="1095"/>
        <item x="1365"/>
        <item x="1391"/>
        <item x="271"/>
        <item x="970"/>
        <item x="1242"/>
        <item x="1111"/>
        <item x="1092"/>
        <item x="1298"/>
        <item x="493"/>
        <item x="90"/>
        <item x="299"/>
        <item x="978"/>
        <item x="158"/>
        <item x="1231"/>
        <item x="995"/>
        <item x="259"/>
        <item x="200"/>
        <item x="151"/>
        <item x="1388"/>
        <item x="1149"/>
        <item x="167"/>
        <item x="1032"/>
        <item x="49"/>
        <item x="753"/>
        <item x="1155"/>
        <item x="1182"/>
        <item x="693"/>
        <item x="801"/>
        <item x="176"/>
        <item x="740"/>
        <item x="1033"/>
        <item x="384"/>
        <item x="1289"/>
        <item x="407"/>
        <item x="1417"/>
        <item x="1087"/>
        <item x="174"/>
        <item x="1057"/>
        <item x="809"/>
        <item x="746"/>
        <item x="183"/>
        <item x="760"/>
        <item x="480"/>
        <item x="146"/>
        <item x="1223"/>
        <item x="55"/>
        <item x="199"/>
        <item x="1187"/>
        <item x="1152"/>
        <item x="898"/>
        <item x="1429"/>
        <item x="976"/>
        <item x="534"/>
        <item x="1229"/>
        <item x="481"/>
        <item x="1352"/>
        <item x="273"/>
        <item x="798"/>
        <item x="440"/>
        <item x="1086"/>
        <item x="1134"/>
        <item x="1314"/>
        <item x="382"/>
        <item x="986"/>
        <item x="1377"/>
        <item x="1256"/>
        <item x="1156"/>
        <item x="1114"/>
        <item x="1001"/>
        <item x="1143"/>
        <item x="705"/>
        <item x="743"/>
        <item x="813"/>
        <item x="1321"/>
        <item x="1316"/>
        <item x="429"/>
        <item x="108"/>
        <item x="952"/>
        <item x="1128"/>
        <item x="963"/>
        <item x="456"/>
        <item x="205"/>
        <item x="938"/>
        <item x="1036"/>
        <item x="1183"/>
        <item x="697"/>
        <item x="1117"/>
        <item x="327"/>
        <item x="247"/>
        <item x="1281"/>
        <item x="1312"/>
        <item x="1383"/>
        <item x="122"/>
        <item x="433"/>
        <item x="408"/>
        <item x="964"/>
        <item x="39"/>
        <item x="751"/>
        <item x="24"/>
        <item x="165"/>
        <item x="1178"/>
        <item x="92"/>
        <item x="1113"/>
        <item x="911"/>
        <item x="770"/>
        <item x="1222"/>
        <item x="1324"/>
        <item x="48"/>
        <item x="1218"/>
        <item x="800"/>
        <item x="194"/>
        <item x="91"/>
        <item x="914"/>
        <item x="733"/>
        <item x="739"/>
        <item x="401"/>
        <item x="1000"/>
        <item x="457"/>
        <item x="160"/>
        <item x="990"/>
        <item x="195"/>
        <item x="444"/>
        <item x="761"/>
        <item x="1004"/>
        <item x="221"/>
        <item x="325"/>
        <item x="1199"/>
        <item x="425"/>
        <item x="479"/>
        <item x="45"/>
        <item x="1335"/>
        <item x="1243"/>
        <item x="1158"/>
        <item x="1136"/>
        <item x="1376"/>
        <item x="876"/>
        <item x="935"/>
        <item x="282"/>
        <item x="878"/>
        <item x="1112"/>
        <item x="756"/>
        <item x="1323"/>
        <item x="960"/>
        <item x="1435"/>
        <item x="1116"/>
        <item x="436"/>
        <item x="849"/>
        <item x="281"/>
        <item x="1037"/>
        <item x="1425"/>
        <item x="1415"/>
        <item x="1191"/>
        <item x="54"/>
        <item x="316"/>
        <item x="1190"/>
        <item x="1362"/>
        <item x="1320"/>
        <item x="110"/>
        <item x="1372"/>
        <item x="1123"/>
        <item x="315"/>
        <item x="394"/>
        <item x="226"/>
        <item x="1305"/>
        <item x="1121"/>
        <item x="1261"/>
        <item x="862"/>
        <item x="1031"/>
        <item x="1135"/>
        <item x="1315"/>
        <item x="1317"/>
        <item x="275"/>
        <item x="1380"/>
        <item x="738"/>
        <item x="977"/>
        <item x="128"/>
        <item x="1034"/>
        <item x="1159"/>
        <item x="1102"/>
        <item x="335"/>
        <item x="536"/>
        <item x="490"/>
        <item x="333"/>
        <item x="828"/>
        <item x="1211"/>
        <item x="56"/>
        <item x="973"/>
        <item x="279"/>
        <item x="1133"/>
        <item x="445"/>
        <item x="707"/>
        <item x="956"/>
        <item x="1096"/>
        <item x="1215"/>
        <item x="1322"/>
        <item x="1294"/>
        <item x="442"/>
        <item x="308"/>
        <item x="301"/>
        <item x="58"/>
        <item x="1301"/>
        <item x="1401"/>
        <item x="1098"/>
        <item x="1185"/>
        <item x="967"/>
        <item x="1144"/>
        <item x="1076"/>
        <item x="742"/>
        <item x="1219"/>
        <item x="1176"/>
        <item x="469"/>
        <item x="771"/>
        <item x="443"/>
        <item x="475"/>
        <item x="372"/>
        <item x="1200"/>
        <item x="267"/>
        <item x="1434"/>
        <item x="1090"/>
        <item x="116"/>
        <item x="28"/>
        <item x="1346"/>
        <item x="1132"/>
        <item x="1035"/>
        <item x="211"/>
        <item x="1274"/>
        <item x="922"/>
        <item x="710"/>
        <item x="757"/>
        <item x="455"/>
        <item x="998"/>
        <item x="965"/>
        <item x="944"/>
        <item x="426"/>
        <item x="337"/>
        <item x="509"/>
        <item x="25"/>
        <item x="752"/>
        <item x="839"/>
        <item x="46"/>
        <item x="1011"/>
        <item x="206"/>
        <item x="578"/>
        <item x="40"/>
        <item x="980"/>
        <item x="486"/>
        <item x="1297"/>
        <item x="184"/>
        <item x="829"/>
        <item x="81"/>
        <item x="62"/>
        <item x="870"/>
        <item x="1165"/>
        <item x="796"/>
        <item x="236"/>
        <item x="286"/>
        <item x="583"/>
        <item x="369"/>
        <item x="821"/>
        <item x="270"/>
        <item x="966"/>
        <item x="863"/>
        <item x="720"/>
        <item x="1157"/>
        <item x="953"/>
        <item x="1379"/>
        <item x="249"/>
        <item x="1083"/>
        <item x="1309"/>
        <item x="353"/>
        <item x="1139"/>
        <item x="1099"/>
        <item x="380"/>
        <item x="699"/>
        <item x="435"/>
        <item x="799"/>
        <item x="262"/>
        <item x="811"/>
        <item x="1056"/>
        <item x="255"/>
        <item x="869"/>
        <item x="1048"/>
        <item x="345"/>
        <item x="1198"/>
        <item x="1344"/>
        <item x="1064"/>
        <item x="398"/>
        <item x="755"/>
        <item x="776"/>
        <item x="948"/>
        <item x="123"/>
        <item x="1378"/>
        <item x="1230"/>
        <item x="1089"/>
        <item x="1245"/>
        <item x="1207"/>
        <item x="285"/>
        <item x="991"/>
        <item x="102"/>
        <item x="103"/>
        <item x="1091"/>
        <item x="993"/>
        <item x="161"/>
        <item x="390"/>
        <item x="951"/>
        <item x="550"/>
        <item x="368"/>
        <item x="1045"/>
        <item x="387"/>
        <item x="619"/>
        <item x="901"/>
        <item x="76"/>
        <item x="903"/>
        <item x="1412"/>
        <item x="1105"/>
        <item x="154"/>
        <item x="208"/>
        <item x="806"/>
        <item x="1085"/>
        <item x="415"/>
        <item x="33"/>
        <item x="779"/>
        <item x="570"/>
        <item x="831"/>
        <item x="700"/>
        <item x="810"/>
        <item x="245"/>
        <item x="925"/>
        <item x="1339"/>
        <item x="987"/>
        <item x="748"/>
        <item x="254"/>
        <item x="1234"/>
        <item x="1246"/>
        <item x="1389"/>
        <item x="1253"/>
        <item x="310"/>
        <item x="385"/>
        <item x="155"/>
        <item x="1196"/>
        <item x="784"/>
        <item x="724"/>
        <item x="231"/>
        <item x="1052"/>
        <item x="248"/>
        <item x="887"/>
        <item x="1062"/>
        <item x="781"/>
        <item x="597"/>
        <item x="527"/>
        <item x="82"/>
        <item x="859"/>
        <item x="67"/>
        <item x="402"/>
        <item x="1313"/>
        <item x="891"/>
        <item x="1336"/>
        <item x="904"/>
        <item x="544"/>
        <item x="276"/>
        <item x="362"/>
        <item x="413"/>
        <item x="421"/>
        <item x="661"/>
        <item x="531"/>
        <item x="603"/>
        <item x="466"/>
        <item x="80"/>
        <item x="882"/>
        <item x="664"/>
        <item x="124"/>
        <item x="627"/>
        <item x="764"/>
        <item x="774"/>
        <item x="331"/>
        <item x="617"/>
        <item x="197"/>
        <item x="649"/>
        <item x="791"/>
        <item x="321"/>
        <item x="144"/>
        <item x="447"/>
        <item x="600"/>
        <item x="311"/>
        <item x="582"/>
        <item x="224"/>
        <item x="778"/>
        <item x="1343"/>
        <item x="1364"/>
        <item x="1437"/>
        <item x="834"/>
        <item x="1181"/>
        <item x="996"/>
        <item x="1061"/>
        <item x="125"/>
        <item x="42"/>
        <item x="883"/>
        <item x="243"/>
        <item x="1168"/>
        <item x="238"/>
        <item x="1120"/>
        <item x="1147"/>
        <item x="526"/>
        <item x="476"/>
        <item x="1265"/>
        <item x="446"/>
        <item x="400"/>
        <item x="307"/>
        <item x="979"/>
        <item x="818"/>
        <item x="460"/>
        <item x="230"/>
        <item x="641"/>
        <item x="698"/>
        <item x="1131"/>
        <item x="981"/>
        <item x="945"/>
        <item x="759"/>
        <item x="846"/>
        <item x="598"/>
        <item x="644"/>
        <item x="23"/>
        <item x="1348"/>
        <item x="1017"/>
        <item x="340"/>
        <item x="454"/>
        <item x="772"/>
        <item x="1347"/>
        <item x="984"/>
        <item x="623"/>
        <item x="868"/>
        <item x="292"/>
        <item x="326"/>
        <item x="294"/>
        <item x="437"/>
        <item x="835"/>
        <item x="458"/>
        <item x="1046"/>
        <item x="1262"/>
        <item x="504"/>
        <item x="894"/>
        <item x="1065"/>
        <item x="131"/>
        <item x="177"/>
        <item x="498"/>
        <item x="937"/>
        <item x="227"/>
        <item x="830"/>
        <item x="523"/>
        <item x="687"/>
        <item x="969"/>
        <item x="618"/>
        <item x="943"/>
        <item x="1050"/>
        <item x="392"/>
        <item x="290"/>
        <item x="251"/>
        <item x="783"/>
        <item x="137"/>
        <item x="1367"/>
        <item x="358"/>
        <item x="1047"/>
        <item x="673"/>
        <item x="546"/>
        <item x="120"/>
        <item x="1300"/>
        <item x="1010"/>
        <item x="291"/>
        <item x="492"/>
        <item x="118"/>
        <item x="232"/>
        <item x="488"/>
        <item x="1357"/>
        <item x="1013"/>
        <item x="397"/>
        <item x="1410"/>
        <item x="621"/>
        <item x="78"/>
        <item x="328"/>
        <item x="1005"/>
        <item x="463"/>
        <item x="616"/>
        <item x="32"/>
        <item x="666"/>
        <item x="762"/>
        <item x="312"/>
        <item x="491"/>
        <item x="912"/>
        <item x="1406"/>
        <item x="892"/>
        <item x="658"/>
        <item x="626"/>
        <item x="689"/>
        <item x="1039"/>
        <item x="1016"/>
        <item x="884"/>
        <item x="461"/>
        <item x="591"/>
        <item x="1247"/>
        <item x="823"/>
        <item x="343"/>
        <item x="1067"/>
        <item x="538"/>
        <item x="1373"/>
        <item x="642"/>
        <item x="782"/>
        <item x="636"/>
        <item x="203"/>
        <item x="121"/>
        <item x="168"/>
        <item x="1400"/>
        <item x="185"/>
        <item x="864"/>
        <item x="164"/>
        <item x="314"/>
        <item x="1295"/>
        <item x="44"/>
        <item x="489"/>
        <item x="910"/>
        <item x="143"/>
        <item x="68"/>
        <item x="1311"/>
        <item x="1160"/>
        <item x="1154"/>
        <item x="239"/>
        <item x="773"/>
        <item x="139"/>
        <item x="1142"/>
        <item x="1146"/>
        <item x="213"/>
        <item x="196"/>
        <item x="119"/>
        <item x="853"/>
        <item x="714"/>
        <item x="1109"/>
        <item x="716"/>
        <item x="1398"/>
        <item x="1186"/>
        <item x="826"/>
        <item x="109"/>
        <item x="178"/>
        <item x="827"/>
        <item x="677"/>
        <item x="53"/>
        <item x="111"/>
        <item x="322"/>
        <item x="866"/>
        <item x="1338"/>
        <item x="295"/>
        <item x="138"/>
        <item x="1303"/>
        <item x="1026"/>
        <item x="357"/>
        <item x="630"/>
        <item x="899"/>
        <item x="804"/>
        <item x="77"/>
        <item x="1416"/>
        <item x="680"/>
        <item x="1015"/>
        <item x="501"/>
        <item x="579"/>
        <item x="361"/>
        <item x="873"/>
        <item x="166"/>
        <item x="788"/>
        <item x="607"/>
        <item x="371"/>
        <item x="587"/>
        <item x="637"/>
        <item x="604"/>
        <item x="451"/>
        <item x="220"/>
        <item x="840"/>
        <item x="553"/>
        <item x="669"/>
        <item x="674"/>
        <item x="916"/>
        <item x="351"/>
        <item x="726"/>
        <item x="1293"/>
        <item x="926"/>
        <item x="654"/>
        <item x="1328"/>
        <item x="928"/>
        <item x="278"/>
        <item x="303"/>
        <item x="1248"/>
        <item x="452"/>
        <item x="338"/>
        <item x="1396"/>
        <item x="43"/>
        <item x="1385"/>
        <item x="997"/>
        <item x="1386"/>
        <item x="170"/>
        <item x="958"/>
        <item x="47"/>
        <item x="595"/>
        <item x="52"/>
        <item x="535"/>
        <item x="336"/>
        <item x="431"/>
        <item x="652"/>
        <item x="268"/>
        <item x="763"/>
        <item x="1068"/>
        <item x="1063"/>
        <item x="373"/>
        <item x="635"/>
        <item x="129"/>
        <item x="1433"/>
        <item x="1216"/>
        <item x="1356"/>
        <item x="718"/>
        <item x="875"/>
        <item x="885"/>
        <item x="681"/>
        <item x="1069"/>
        <item x="1354"/>
        <item x="182"/>
        <item x="370"/>
        <item x="786"/>
        <item x="653"/>
        <item x="424"/>
        <item x="1077"/>
        <item x="1078"/>
        <item x="1080"/>
        <item x="1397"/>
        <item x="1070"/>
        <item x="1079"/>
        <item x="1214"/>
        <item x="179"/>
        <item x="1350"/>
        <item x="347"/>
        <item x="620"/>
        <item x="427"/>
        <item x="97"/>
        <item x="1124"/>
        <item x="647"/>
        <item x="684"/>
        <item x="1081"/>
        <item x="865"/>
        <item x="672"/>
        <item x="554"/>
        <item x="567"/>
        <item x="1392"/>
        <item x="573"/>
        <item x="306"/>
        <item x="909"/>
        <item x="557"/>
        <item x="787"/>
        <item x="1029"/>
        <item x="135"/>
        <item x="65"/>
        <item x="215"/>
        <item x="1277"/>
        <item x="287"/>
        <item x="663"/>
        <item x="650"/>
        <item x="765"/>
        <item x="580"/>
        <item x="470"/>
        <item x="1382"/>
        <item x="217"/>
        <item x="252"/>
        <item x="622"/>
        <item x="999"/>
        <item x="539"/>
        <item x="985"/>
        <item x="64"/>
        <item x="1411"/>
        <item x="592"/>
        <item x="568"/>
        <item x="130"/>
        <item x="767"/>
        <item x="1074"/>
        <item x="288"/>
        <item x="942"/>
        <item x="516"/>
        <item x="608"/>
        <item x="727"/>
        <item x="655"/>
        <item x="237"/>
        <item x="657"/>
        <item x="713"/>
        <item x="330"/>
        <item x="1280"/>
        <item x="628"/>
        <item x="934"/>
        <item x="564"/>
        <item x="1290"/>
        <item x="305"/>
        <item x="548"/>
        <item x="1009"/>
        <item x="1432"/>
        <item x="430"/>
        <item x="85"/>
        <item x="715"/>
        <item x="605"/>
        <item x="57"/>
        <item x="613"/>
        <item x="1224"/>
        <item x="355"/>
        <item x="438"/>
        <item x="1327"/>
        <item x="631"/>
        <item x="63"/>
        <item x="1240"/>
        <item x="250"/>
        <item x="1053"/>
        <item x="902"/>
        <item x="848"/>
        <item x="147"/>
        <item x="198"/>
        <item x="114"/>
        <item x="920"/>
        <item x="1195"/>
        <item x="802"/>
        <item x="1019"/>
        <item x="181"/>
        <item x="1427"/>
        <item x="593"/>
        <item x="1021"/>
        <item x="142"/>
        <item x="1237"/>
        <item x="1299"/>
        <item x="246"/>
        <item x="149"/>
        <item x="927"/>
        <item x="1304"/>
        <item x="69"/>
        <item x="1310"/>
        <item x="686"/>
        <item x="736"/>
        <item x="640"/>
        <item x="589"/>
        <item x="735"/>
        <item x="906"/>
        <item x="1275"/>
        <item x="651"/>
        <item x="575"/>
        <item x="1043"/>
        <item x="696"/>
        <item x="1239"/>
        <item x="379"/>
        <item x="403"/>
        <item x="302"/>
        <item x="51"/>
        <item x="520"/>
        <item x="266"/>
        <item x="659"/>
        <item x="172"/>
        <item x="1197"/>
        <item x="974"/>
        <item x="1369"/>
        <item x="478"/>
        <item x="555"/>
        <item x="561"/>
        <item x="510"/>
        <item x="269"/>
        <item x="982"/>
        <item x="256"/>
        <item x="1399"/>
        <item x="354"/>
        <item x="1127"/>
        <item x="395"/>
        <item x="1225"/>
        <item x="79"/>
        <item x="994"/>
        <item x="150"/>
        <item x="1150"/>
        <item x="946"/>
        <item x="662"/>
        <item x="300"/>
        <item x="625"/>
        <item x="668"/>
        <item x="645"/>
        <item x="955"/>
        <item x="153"/>
        <item x="1438"/>
        <item x="487"/>
        <item x="560"/>
        <item x="660"/>
        <item x="917"/>
        <item x="349"/>
        <item x="439"/>
        <item x="962"/>
        <item x="41"/>
        <item x="70"/>
        <item x="547"/>
        <item x="272"/>
        <item x="1325"/>
        <item x="219"/>
        <item x="854"/>
        <item x="156"/>
        <item x="861"/>
        <item x="921"/>
        <item x="134"/>
        <item x="1252"/>
        <item x="218"/>
        <item x="329"/>
        <item x="1202"/>
        <item x="100"/>
        <item x="1110"/>
        <item x="209"/>
        <item x="186"/>
        <item x="918"/>
        <item x="731"/>
        <item x="856"/>
        <item x="136"/>
        <item x="319"/>
        <item x="678"/>
        <item x="656"/>
        <item x="112"/>
        <item x="886"/>
        <item x="86"/>
        <item x="893"/>
        <item x="558"/>
        <item x="722"/>
        <item x="503"/>
        <item x="1408"/>
        <item x="682"/>
        <item x="574"/>
        <item x="367"/>
        <item x="293"/>
        <item x="449"/>
        <item x="924"/>
        <item x="833"/>
        <item x="356"/>
        <item x="954"/>
        <item x="494"/>
        <item x="936"/>
        <item x="159"/>
        <item x="324"/>
        <item x="1366"/>
        <item x="66"/>
        <item x="404"/>
        <item x="703"/>
        <item x="283"/>
        <item x="615"/>
        <item x="612"/>
        <item x="552"/>
        <item x="253"/>
        <item x="989"/>
        <item x="296"/>
        <item x="263"/>
        <item x="1418"/>
        <item x="639"/>
        <item x="464"/>
        <item x="750"/>
        <item x="758"/>
        <item x="569"/>
        <item x="524"/>
        <item x="508"/>
        <item x="334"/>
        <item x="229"/>
        <item x="214"/>
        <item x="646"/>
        <item x="836"/>
        <item x="1329"/>
        <item x="363"/>
        <item x="1058"/>
        <item x="1236"/>
        <item x="317"/>
        <item x="842"/>
        <item x="858"/>
        <item x="173"/>
        <item x="702"/>
        <item x="803"/>
        <item x="602"/>
        <item x="106"/>
        <item x="1041"/>
        <item x="364"/>
        <item x="522"/>
        <item x="877"/>
        <item x="777"/>
        <item x="212"/>
        <item x="500"/>
        <item x="797"/>
        <item x="519"/>
        <item x="590"/>
        <item x="1106"/>
        <item x="260"/>
        <item x="393"/>
        <item x="342"/>
        <item x="1319"/>
        <item x="599"/>
        <item x="84"/>
        <item x="72"/>
        <item x="769"/>
        <item x="1209"/>
        <item x="1404"/>
        <item x="947"/>
        <item x="1073"/>
        <item x="414"/>
        <item x="676"/>
        <item x="532"/>
        <item x="805"/>
        <item x="441"/>
        <item x="1420"/>
        <item x="545"/>
        <item x="611"/>
        <item x="1330"/>
        <item x="280"/>
        <item x="1334"/>
        <item x="1008"/>
        <item x="959"/>
        <item x="867"/>
        <item x="1059"/>
        <item x="61"/>
        <item x="1170"/>
        <item x="1251"/>
        <item x="565"/>
        <item x="485"/>
        <item x="257"/>
        <item x="350"/>
        <item x="145"/>
        <item x="1138"/>
        <item x="171"/>
        <item x="594"/>
        <item x="1283"/>
        <item x="93"/>
        <item x="297"/>
        <item x="566"/>
        <item x="717"/>
        <item x="496"/>
        <item x="1055"/>
        <item x="585"/>
        <item x="729"/>
        <item x="418"/>
        <item x="728"/>
        <item x="790"/>
        <item x="932"/>
        <item x="780"/>
        <item x="919"/>
        <item x="453"/>
        <item x="1172"/>
        <item x="601"/>
        <item x="712"/>
        <item x="1007"/>
        <item x="889"/>
        <item x="744"/>
        <item x="939"/>
        <item x="719"/>
        <item x="1238"/>
        <item x="38"/>
        <item x="852"/>
        <item x="1028"/>
        <item x="1042"/>
        <item x="880"/>
        <item x="807"/>
        <item x="318"/>
        <item x="961"/>
        <item x="223"/>
        <item x="940"/>
        <item x="581"/>
        <item x="685"/>
        <item x="571"/>
        <item x="648"/>
        <item x="614"/>
        <item x="1345"/>
        <item x="495"/>
        <item x="933"/>
        <item x="872"/>
        <item x="511"/>
        <item x="691"/>
        <item x="895"/>
        <item x="410"/>
        <item x="1424"/>
        <item x="537"/>
        <item x="1422"/>
        <item x="610"/>
        <item x="588"/>
        <item x="988"/>
        <item x="376"/>
        <item x="1020"/>
        <item x="389"/>
        <item x="50"/>
        <item x="233"/>
        <item x="521"/>
        <item x="505"/>
        <item x="127"/>
        <item x="1288"/>
        <item x="1414"/>
        <item x="412"/>
        <item x="1171"/>
        <item x="643"/>
        <item x="1349"/>
        <item x="629"/>
        <item x="766"/>
        <item x="298"/>
        <item x="284"/>
        <item x="1129"/>
        <item x="1296"/>
        <item x="847"/>
        <item x="845"/>
        <item x="844"/>
        <item x="542"/>
        <item x="1333"/>
        <item x="665"/>
        <item x="530"/>
        <item x="1163"/>
        <item x="502"/>
        <item x="667"/>
        <item x="60"/>
        <item x="477"/>
        <item x="483"/>
        <item x="304"/>
        <item x="556"/>
        <item x="71"/>
        <item x="1284"/>
        <item x="234"/>
        <item x="957"/>
        <item x="704"/>
        <item x="1205"/>
        <item x="240"/>
        <item x="577"/>
        <item x="1014"/>
        <item x="683"/>
        <item x="533"/>
        <item x="406"/>
        <item x="228"/>
        <item x="514"/>
        <item x="1331"/>
        <item x="277"/>
        <item x="1025"/>
        <item x="540"/>
        <item x="1413"/>
        <item x="471"/>
        <item x="258"/>
        <item x="1355"/>
        <item x="242"/>
        <item x="323"/>
        <item x="409"/>
        <item x="692"/>
        <item x="634"/>
        <item x="730"/>
        <item x="1075"/>
        <item x="695"/>
        <item x="1332"/>
        <item x="462"/>
        <item x="679"/>
        <item x="383"/>
        <item x="638"/>
        <item x="1012"/>
        <item x="1402"/>
        <item x="688"/>
        <item x="1431"/>
        <item x="871"/>
        <item x="913"/>
        <item x="929"/>
        <item x="1407"/>
        <item x="1027"/>
        <item x="874"/>
        <item x="375"/>
        <item x="352"/>
        <item x="551"/>
        <item x="1192"/>
        <item x="819"/>
        <item x="1393"/>
        <item x="75"/>
        <item x="690"/>
        <item x="1292"/>
        <item x="1421"/>
        <item x="907"/>
        <item x="1287"/>
        <item x="1264"/>
        <item x="378"/>
        <item x="420"/>
        <item x="73"/>
        <item x="1426"/>
        <item x="1282"/>
        <item x="104"/>
        <item x="525"/>
        <item x="725"/>
        <item x="596"/>
        <item x="515"/>
        <item x="1428"/>
        <item x="140"/>
        <item x="89"/>
        <item x="1273"/>
        <item x="95"/>
        <item x="572"/>
        <item x="513"/>
        <item x="563"/>
        <item x="1291"/>
        <item x="1175"/>
        <item x="633"/>
        <item x="900"/>
        <item x="529"/>
        <item x="115"/>
        <item x="879"/>
        <item x="180"/>
        <item x="1436"/>
        <item x="1430"/>
        <item x="975"/>
        <item x="1409"/>
        <item x="1403"/>
        <item x="113"/>
        <item x="711"/>
        <item x="34"/>
        <item x="1217"/>
        <item x="1250"/>
        <item x="201"/>
        <item x="1405"/>
        <item x="512"/>
        <item x="162"/>
        <item x="417"/>
        <item x="549"/>
        <item x="606"/>
        <item x="132"/>
        <item x="405"/>
        <item x="210"/>
        <item x="586"/>
        <item x="749"/>
        <item x="543"/>
        <item x="359"/>
        <item x="675"/>
        <item x="459"/>
        <item x="1370"/>
        <item x="313"/>
        <item x="163"/>
        <item x="1276"/>
        <item x="1423"/>
        <item x="584"/>
        <item x="888"/>
        <item x="1279"/>
        <item x="1255"/>
        <item x="386"/>
        <item x="1118"/>
        <item x="377"/>
        <item x="968"/>
        <item x="1108"/>
        <item x="1241"/>
        <item x="850"/>
        <item x="838"/>
        <item x="624"/>
        <item x="1174"/>
        <item x="908"/>
        <item x="576"/>
        <item x="341"/>
        <item x="1308"/>
        <item x="775"/>
        <item x="1340"/>
        <item x="1060"/>
        <item x="905"/>
        <item x="1051"/>
        <item x="87"/>
        <item x="1272"/>
        <item x="983"/>
        <item x="923"/>
        <item x="837"/>
        <item x="1394"/>
        <item x="808"/>
        <item x="841"/>
        <item x="339"/>
        <item x="1003"/>
        <item x="133"/>
        <item x="465"/>
        <item x="1419"/>
        <item x="474"/>
        <item x="98"/>
        <item x="117"/>
        <item x="517"/>
        <item x="265"/>
        <item x="941"/>
        <item x="881"/>
        <item x="541"/>
        <item x="671"/>
        <item x="473"/>
        <item x="528"/>
        <item x="1337"/>
        <item x="175"/>
        <item x="366"/>
        <item x="157"/>
        <item x="1188"/>
        <item x="497"/>
        <item x="896"/>
        <item x="1233"/>
        <item x="59"/>
        <item x="396"/>
        <item x="169"/>
        <item x="897"/>
        <item x="559"/>
        <item x="450"/>
        <item x="374"/>
        <item x="96"/>
        <item x="225"/>
        <item x="930"/>
        <item x="1307"/>
        <item x="419"/>
        <item x="1271"/>
        <item x="37"/>
        <item x="507"/>
        <item x="1030"/>
        <item x="241"/>
        <item x="1390"/>
        <item x="320"/>
        <item x="94"/>
        <item x="499"/>
        <item x="1220"/>
        <item x="506"/>
        <item x="344"/>
        <item x="141"/>
        <item x="1395"/>
        <item x="222"/>
        <item x="235"/>
        <item x="1363"/>
        <item x="915"/>
        <item x="843"/>
        <item x="745"/>
        <item x="22"/>
        <item x="190"/>
        <item x="188"/>
        <item x="1"/>
        <item x="14"/>
        <item x="12"/>
        <item x="0"/>
        <item x="29"/>
        <item x="5"/>
        <item x="16"/>
        <item x="9"/>
        <item x="11"/>
        <item x="193"/>
        <item x="31"/>
        <item x="10"/>
        <item x="18"/>
        <item x="3"/>
        <item x="30"/>
        <item x="8"/>
        <item x="189"/>
        <item x="21"/>
        <item x="17"/>
        <item x="2"/>
        <item x="7"/>
        <item x="191"/>
        <item x="6"/>
        <item x="27"/>
        <item x="20"/>
        <item x="4"/>
        <item x="19"/>
        <item x="187"/>
        <item x="192"/>
        <item x="15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37">
        <item x="1247"/>
        <item x="1328"/>
        <item x="1248"/>
        <item x="1333"/>
        <item x="1334"/>
        <item x="1335"/>
        <item x="1336"/>
        <item x="1249"/>
        <item x="1062"/>
        <item x="1066"/>
        <item x="1067"/>
        <item x="1063"/>
        <item x="1068"/>
        <item x="1069"/>
        <item x="1076"/>
        <item x="1077"/>
        <item x="1078"/>
        <item x="1079"/>
        <item x="1080"/>
        <item x="1070"/>
        <item x="1071"/>
        <item x="1081"/>
        <item x="1072"/>
        <item x="1131"/>
        <item x="1329"/>
        <item x="1330"/>
        <item x="1132"/>
        <item x="1133"/>
        <item x="1331"/>
        <item x="1134"/>
        <item x="1332"/>
        <item x="1065"/>
        <item x="13"/>
        <item x="14"/>
        <item x="15"/>
        <item x="0"/>
        <item x="1"/>
        <item x="16"/>
        <item x="2"/>
        <item x="3"/>
        <item x="17"/>
        <item x="4"/>
        <item x="5"/>
        <item x="6"/>
        <item x="18"/>
        <item x="19"/>
        <item x="27"/>
        <item x="28"/>
        <item x="7"/>
        <item x="29"/>
        <item x="8"/>
        <item x="30"/>
        <item x="31"/>
        <item x="32"/>
        <item x="9"/>
        <item x="10"/>
        <item x="187"/>
        <item x="188"/>
        <item x="189"/>
        <item x="190"/>
        <item x="191"/>
        <item x="192"/>
        <item x="11"/>
        <item x="12"/>
        <item x="193"/>
        <item x="20"/>
        <item x="21"/>
        <item x="22"/>
        <item x="194"/>
        <item x="195"/>
        <item x="23"/>
        <item x="196"/>
        <item x="197"/>
        <item x="198"/>
        <item x="199"/>
        <item x="24"/>
        <item x="212"/>
        <item x="25"/>
        <item x="213"/>
        <item x="26"/>
        <item x="33"/>
        <item x="34"/>
        <item x="35"/>
        <item x="36"/>
        <item x="37"/>
        <item x="214"/>
        <item x="215"/>
        <item x="38"/>
        <item x="216"/>
        <item x="217"/>
        <item x="218"/>
        <item x="39"/>
        <item x="219"/>
        <item x="40"/>
        <item x="41"/>
        <item x="42"/>
        <item x="43"/>
        <item x="44"/>
        <item x="220"/>
        <item x="221"/>
        <item x="45"/>
        <item x="46"/>
        <item x="222"/>
        <item x="47"/>
        <item x="48"/>
        <item x="49"/>
        <item x="223"/>
        <item x="50"/>
        <item x="51"/>
        <item x="224"/>
        <item x="225"/>
        <item x="226"/>
        <item x="52"/>
        <item x="227"/>
        <item x="228"/>
        <item x="53"/>
        <item x="54"/>
        <item x="55"/>
        <item x="229"/>
        <item x="230"/>
        <item x="56"/>
        <item x="57"/>
        <item x="231"/>
        <item x="58"/>
        <item x="59"/>
        <item x="232"/>
        <item x="60"/>
        <item x="233"/>
        <item x="234"/>
        <item x="61"/>
        <item x="235"/>
        <item x="62"/>
        <item x="236"/>
        <item x="237"/>
        <item x="238"/>
        <item x="63"/>
        <item x="239"/>
        <item x="64"/>
        <item x="240"/>
        <item x="241"/>
        <item x="242"/>
        <item x="249"/>
        <item x="65"/>
        <item x="250"/>
        <item x="66"/>
        <item x="67"/>
        <item x="68"/>
        <item x="251"/>
        <item x="252"/>
        <item x="69"/>
        <item x="253"/>
        <item x="254"/>
        <item x="261"/>
        <item x="262"/>
        <item x="70"/>
        <item x="263"/>
        <item x="264"/>
        <item x="265"/>
        <item x="71"/>
        <item x="266"/>
        <item x="72"/>
        <item x="73"/>
        <item x="267"/>
        <item x="74"/>
        <item x="268"/>
        <item x="75"/>
        <item x="269"/>
        <item x="270"/>
        <item x="76"/>
        <item x="131"/>
        <item x="132"/>
        <item x="133"/>
        <item x="335"/>
        <item x="134"/>
        <item x="336"/>
        <item x="135"/>
        <item x="136"/>
        <item x="337"/>
        <item x="137"/>
        <item x="338"/>
        <item x="339"/>
        <item x="340"/>
        <item x="138"/>
        <item x="139"/>
        <item x="341"/>
        <item x="140"/>
        <item x="342"/>
        <item x="141"/>
        <item x="142"/>
        <item x="343"/>
        <item x="344"/>
        <item x="143"/>
        <item x="144"/>
        <item x="145"/>
        <item x="146"/>
        <item x="147"/>
        <item x="148"/>
        <item x="345"/>
        <item x="149"/>
        <item x="150"/>
        <item x="151"/>
        <item x="346"/>
        <item x="347"/>
        <item x="348"/>
        <item x="152"/>
        <item x="349"/>
        <item x="153"/>
        <item x="350"/>
        <item x="351"/>
        <item x="352"/>
        <item x="353"/>
        <item x="154"/>
        <item x="155"/>
        <item x="360"/>
        <item x="361"/>
        <item x="362"/>
        <item x="156"/>
        <item x="363"/>
        <item x="364"/>
        <item x="157"/>
        <item x="365"/>
        <item x="158"/>
        <item x="159"/>
        <item x="366"/>
        <item x="379"/>
        <item x="160"/>
        <item x="380"/>
        <item x="381"/>
        <item x="161"/>
        <item x="162"/>
        <item x="382"/>
        <item x="383"/>
        <item x="384"/>
        <item x="163"/>
        <item x="385"/>
        <item x="164"/>
        <item x="165"/>
        <item x="386"/>
        <item x="166"/>
        <item x="167"/>
        <item x="168"/>
        <item x="387"/>
        <item x="388"/>
        <item x="389"/>
        <item x="390"/>
        <item x="391"/>
        <item x="398"/>
        <item x="169"/>
        <item x="170"/>
        <item x="171"/>
        <item x="399"/>
        <item x="400"/>
        <item x="401"/>
        <item x="172"/>
        <item x="173"/>
        <item x="174"/>
        <item x="175"/>
        <item x="176"/>
        <item x="177"/>
        <item x="402"/>
        <item x="178"/>
        <item x="403"/>
        <item x="179"/>
        <item x="404"/>
        <item x="180"/>
        <item x="405"/>
        <item x="406"/>
        <item x="407"/>
        <item x="181"/>
        <item x="408"/>
        <item x="182"/>
        <item x="409"/>
        <item x="183"/>
        <item x="416"/>
        <item x="184"/>
        <item x="185"/>
        <item x="186"/>
        <item x="417"/>
        <item x="418"/>
        <item x="419"/>
        <item x="420"/>
        <item x="200"/>
        <item x="421"/>
        <item x="422"/>
        <item x="423"/>
        <item x="201"/>
        <item x="424"/>
        <item x="202"/>
        <item x="425"/>
        <item x="426"/>
        <item x="427"/>
        <item x="428"/>
        <item x="203"/>
        <item x="429"/>
        <item x="430"/>
        <item x="431"/>
        <item x="204"/>
        <item x="205"/>
        <item x="206"/>
        <item x="432"/>
        <item x="433"/>
        <item x="434"/>
        <item x="435"/>
        <item x="207"/>
        <item x="436"/>
        <item x="208"/>
        <item x="209"/>
        <item x="210"/>
        <item x="211"/>
        <item x="437"/>
        <item x="438"/>
        <item x="439"/>
        <item x="440"/>
        <item x="243"/>
        <item x="244"/>
        <item x="245"/>
        <item x="441"/>
        <item x="442"/>
        <item x="246"/>
        <item x="443"/>
        <item x="444"/>
        <item x="247"/>
        <item x="445"/>
        <item x="248"/>
        <item x="255"/>
        <item x="446"/>
        <item x="256"/>
        <item x="453"/>
        <item x="257"/>
        <item x="454"/>
        <item x="258"/>
        <item x="259"/>
        <item x="260"/>
        <item x="286"/>
        <item x="455"/>
        <item x="456"/>
        <item x="457"/>
        <item x="287"/>
        <item x="458"/>
        <item x="478"/>
        <item x="479"/>
        <item x="480"/>
        <item x="481"/>
        <item x="288"/>
        <item x="482"/>
        <item x="483"/>
        <item x="484"/>
        <item x="289"/>
        <item x="290"/>
        <item x="291"/>
        <item x="299"/>
        <item x="300"/>
        <item x="491"/>
        <item x="492"/>
        <item x="493"/>
        <item x="77"/>
        <item x="271"/>
        <item x="272"/>
        <item x="273"/>
        <item x="274"/>
        <item x="275"/>
        <item x="276"/>
        <item x="277"/>
        <item x="78"/>
        <item x="79"/>
        <item x="278"/>
        <item x="80"/>
        <item x="81"/>
        <item x="82"/>
        <item x="279"/>
        <item x="280"/>
        <item x="281"/>
        <item x="282"/>
        <item x="283"/>
        <item x="284"/>
        <item x="83"/>
        <item x="285"/>
        <item x="292"/>
        <item x="293"/>
        <item x="84"/>
        <item x="85"/>
        <item x="86"/>
        <item x="294"/>
        <item x="295"/>
        <item x="87"/>
        <item x="296"/>
        <item x="88"/>
        <item x="89"/>
        <item x="90"/>
        <item x="91"/>
        <item x="92"/>
        <item x="297"/>
        <item x="298"/>
        <item x="305"/>
        <item x="93"/>
        <item x="94"/>
        <item x="95"/>
        <item x="96"/>
        <item x="306"/>
        <item x="97"/>
        <item x="307"/>
        <item x="308"/>
        <item x="98"/>
        <item x="309"/>
        <item x="99"/>
        <item x="310"/>
        <item x="311"/>
        <item x="100"/>
        <item x="312"/>
        <item x="313"/>
        <item x="314"/>
        <item x="101"/>
        <item x="315"/>
        <item x="316"/>
        <item x="102"/>
        <item x="103"/>
        <item x="104"/>
        <item x="105"/>
        <item x="106"/>
        <item x="323"/>
        <item x="107"/>
        <item x="108"/>
        <item x="324"/>
        <item x="109"/>
        <item x="110"/>
        <item x="325"/>
        <item x="326"/>
        <item x="111"/>
        <item x="112"/>
        <item x="327"/>
        <item x="113"/>
        <item x="114"/>
        <item x="328"/>
        <item x="329"/>
        <item x="330"/>
        <item x="115"/>
        <item x="331"/>
        <item x="116"/>
        <item x="117"/>
        <item x="332"/>
        <item x="118"/>
        <item x="333"/>
        <item x="334"/>
        <item x="119"/>
        <item x="120"/>
        <item x="872"/>
        <item x="121"/>
        <item x="873"/>
        <item x="874"/>
        <item x="122"/>
        <item x="875"/>
        <item x="123"/>
        <item x="876"/>
        <item x="877"/>
        <item x="878"/>
        <item x="124"/>
        <item x="125"/>
        <item x="126"/>
        <item x="127"/>
        <item x="879"/>
        <item x="880"/>
        <item x="881"/>
        <item x="128"/>
        <item x="129"/>
        <item x="130"/>
        <item x="882"/>
        <item x="883"/>
        <item x="758"/>
        <item x="890"/>
        <item x="759"/>
        <item x="891"/>
        <item x="892"/>
        <item x="893"/>
        <item x="760"/>
        <item x="894"/>
        <item x="761"/>
        <item x="895"/>
        <item x="762"/>
        <item x="902"/>
        <item x="903"/>
        <item x="904"/>
        <item x="763"/>
        <item x="764"/>
        <item x="905"/>
        <item x="765"/>
        <item x="906"/>
        <item x="907"/>
        <item x="908"/>
        <item x="909"/>
        <item x="766"/>
        <item x="767"/>
        <item x="910"/>
        <item x="768"/>
        <item x="911"/>
        <item x="769"/>
        <item x="912"/>
        <item x="913"/>
        <item x="777"/>
        <item x="914"/>
        <item x="921"/>
        <item x="922"/>
        <item x="778"/>
        <item x="923"/>
        <item x="779"/>
        <item x="780"/>
        <item x="781"/>
        <item x="782"/>
        <item x="783"/>
        <item x="924"/>
        <item x="802"/>
        <item x="803"/>
        <item x="925"/>
        <item x="926"/>
        <item x="804"/>
        <item x="805"/>
        <item x="806"/>
        <item x="927"/>
        <item x="807"/>
        <item x="808"/>
        <item x="828"/>
        <item x="829"/>
        <item x="830"/>
        <item x="831"/>
        <item x="928"/>
        <item x="929"/>
        <item x="832"/>
        <item x="833"/>
        <item x="884"/>
        <item x="885"/>
        <item x="886"/>
        <item x="930"/>
        <item x="887"/>
        <item x="931"/>
        <item x="932"/>
        <item x="888"/>
        <item x="939"/>
        <item x="889"/>
        <item x="896"/>
        <item x="897"/>
        <item x="940"/>
        <item x="898"/>
        <item x="899"/>
        <item x="900"/>
        <item x="901"/>
        <item x="915"/>
        <item x="916"/>
        <item x="917"/>
        <item x="918"/>
        <item x="941"/>
        <item x="942"/>
        <item x="919"/>
        <item x="920"/>
        <item x="943"/>
        <item x="944"/>
        <item x="945"/>
        <item x="933"/>
        <item x="934"/>
        <item x="935"/>
        <item x="946"/>
        <item x="936"/>
        <item x="937"/>
        <item x="494"/>
        <item x="301"/>
        <item x="302"/>
        <item x="303"/>
        <item x="304"/>
        <item x="495"/>
        <item x="317"/>
        <item x="496"/>
        <item x="318"/>
        <item x="497"/>
        <item x="504"/>
        <item x="319"/>
        <item x="505"/>
        <item x="320"/>
        <item x="321"/>
        <item x="322"/>
        <item x="506"/>
        <item x="507"/>
        <item x="354"/>
        <item x="508"/>
        <item x="355"/>
        <item x="509"/>
        <item x="356"/>
        <item x="357"/>
        <item x="358"/>
        <item x="359"/>
        <item x="367"/>
        <item x="368"/>
        <item x="369"/>
        <item x="516"/>
        <item x="370"/>
        <item x="517"/>
        <item x="518"/>
        <item x="371"/>
        <item x="372"/>
        <item x="373"/>
        <item x="519"/>
        <item x="374"/>
        <item x="375"/>
        <item x="376"/>
        <item x="377"/>
        <item x="378"/>
        <item x="520"/>
        <item x="521"/>
        <item x="522"/>
        <item x="523"/>
        <item x="392"/>
        <item x="393"/>
        <item x="394"/>
        <item x="395"/>
        <item x="524"/>
        <item x="396"/>
        <item x="525"/>
        <item x="526"/>
        <item x="397"/>
        <item x="527"/>
        <item x="410"/>
        <item x="411"/>
        <item x="528"/>
        <item x="529"/>
        <item x="412"/>
        <item x="530"/>
        <item x="413"/>
        <item x="531"/>
        <item x="532"/>
        <item x="414"/>
        <item x="533"/>
        <item x="534"/>
        <item x="535"/>
        <item x="415"/>
        <item x="536"/>
        <item x="537"/>
        <item x="538"/>
        <item x="447"/>
        <item x="448"/>
        <item x="449"/>
        <item x="539"/>
        <item x="450"/>
        <item x="451"/>
        <item x="452"/>
        <item x="540"/>
        <item x="459"/>
        <item x="541"/>
        <item x="460"/>
        <item x="461"/>
        <item x="542"/>
        <item x="462"/>
        <item x="463"/>
        <item x="549"/>
        <item x="464"/>
        <item x="465"/>
        <item x="550"/>
        <item x="551"/>
        <item x="466"/>
        <item x="467"/>
        <item x="552"/>
        <item x="468"/>
        <item x="469"/>
        <item x="470"/>
        <item x="553"/>
        <item x="554"/>
        <item x="471"/>
        <item x="555"/>
        <item x="556"/>
        <item x="557"/>
        <item x="472"/>
        <item x="473"/>
        <item x="474"/>
        <item x="558"/>
        <item x="559"/>
        <item x="560"/>
        <item x="574"/>
        <item x="475"/>
        <item x="476"/>
        <item x="477"/>
        <item x="575"/>
        <item x="576"/>
        <item x="485"/>
        <item x="577"/>
        <item x="486"/>
        <item x="487"/>
        <item x="578"/>
        <item x="579"/>
        <item x="488"/>
        <item x="489"/>
        <item x="580"/>
        <item x="581"/>
        <item x="490"/>
        <item x="498"/>
        <item x="582"/>
        <item x="583"/>
        <item x="499"/>
        <item x="500"/>
        <item x="584"/>
        <item x="501"/>
        <item x="585"/>
        <item x="586"/>
        <item x="599"/>
        <item x="502"/>
        <item x="503"/>
        <item x="600"/>
        <item x="510"/>
        <item x="511"/>
        <item x="601"/>
        <item x="602"/>
        <item x="512"/>
        <item x="603"/>
        <item x="513"/>
        <item x="514"/>
        <item x="604"/>
        <item x="515"/>
        <item x="605"/>
        <item x="543"/>
        <item x="544"/>
        <item x="545"/>
        <item x="606"/>
        <item x="546"/>
        <item x="547"/>
        <item x="548"/>
        <item x="561"/>
        <item x="607"/>
        <item x="608"/>
        <item x="609"/>
        <item x="562"/>
        <item x="610"/>
        <item x="563"/>
        <item x="611"/>
        <item x="564"/>
        <item x="565"/>
        <item x="566"/>
        <item x="612"/>
        <item x="567"/>
        <item x="613"/>
        <item x="568"/>
        <item x="569"/>
        <item x="570"/>
        <item x="614"/>
        <item x="615"/>
        <item x="571"/>
        <item x="616"/>
        <item x="572"/>
        <item x="617"/>
        <item x="618"/>
        <item x="619"/>
        <item x="573"/>
        <item x="587"/>
        <item x="620"/>
        <item x="621"/>
        <item x="622"/>
        <item x="588"/>
        <item x="589"/>
        <item x="590"/>
        <item x="623"/>
        <item x="591"/>
        <item x="630"/>
        <item x="592"/>
        <item x="593"/>
        <item x="631"/>
        <item x="632"/>
        <item x="633"/>
        <item x="634"/>
        <item x="635"/>
        <item x="636"/>
        <item x="637"/>
        <item x="638"/>
        <item x="594"/>
        <item x="595"/>
        <item x="639"/>
        <item x="640"/>
        <item x="641"/>
        <item x="596"/>
        <item x="642"/>
        <item x="597"/>
        <item x="598"/>
        <item x="624"/>
        <item x="625"/>
        <item x="626"/>
        <item x="627"/>
        <item x="628"/>
        <item x="649"/>
        <item x="650"/>
        <item x="651"/>
        <item x="652"/>
        <item x="629"/>
        <item x="643"/>
        <item x="644"/>
        <item x="653"/>
        <item x="654"/>
        <item x="645"/>
        <item x="646"/>
        <item x="647"/>
        <item x="648"/>
        <item x="662"/>
        <item x="663"/>
        <item x="664"/>
        <item x="655"/>
        <item x="656"/>
        <item x="657"/>
        <item x="665"/>
        <item x="658"/>
        <item x="659"/>
        <item x="660"/>
        <item x="666"/>
        <item x="667"/>
        <item x="661"/>
        <item x="680"/>
        <item x="668"/>
        <item x="669"/>
        <item x="681"/>
        <item x="682"/>
        <item x="683"/>
        <item x="684"/>
        <item x="670"/>
        <item x="685"/>
        <item x="671"/>
        <item x="712"/>
        <item x="713"/>
        <item x="714"/>
        <item x="715"/>
        <item x="672"/>
        <item x="716"/>
        <item x="673"/>
        <item x="717"/>
        <item x="718"/>
        <item x="725"/>
        <item x="674"/>
        <item x="726"/>
        <item x="675"/>
        <item x="676"/>
        <item x="727"/>
        <item x="728"/>
        <item x="729"/>
        <item x="677"/>
        <item x="678"/>
        <item x="730"/>
        <item x="679"/>
        <item x="686"/>
        <item x="687"/>
        <item x="688"/>
        <item x="731"/>
        <item x="1073"/>
        <item x="1074"/>
        <item x="689"/>
        <item x="690"/>
        <item x="1075"/>
        <item x="691"/>
        <item x="692"/>
        <item x="693"/>
        <item x="694"/>
        <item x="695"/>
        <item x="1082"/>
        <item x="1083"/>
        <item x="1084"/>
        <item x="1085"/>
        <item x="1086"/>
        <item x="696"/>
        <item x="697"/>
        <item x="1087"/>
        <item x="698"/>
        <item x="699"/>
        <item x="1088"/>
        <item x="700"/>
        <item x="701"/>
        <item x="1089"/>
        <item x="1090"/>
        <item x="702"/>
        <item x="703"/>
        <item x="704"/>
        <item x="705"/>
        <item x="706"/>
        <item x="1091"/>
        <item x="1092"/>
        <item x="1093"/>
        <item x="1094"/>
        <item x="1095"/>
        <item x="707"/>
        <item x="1096"/>
        <item x="708"/>
        <item x="1097"/>
        <item x="1098"/>
        <item x="709"/>
        <item x="1099"/>
        <item x="710"/>
        <item x="711"/>
        <item x="1100"/>
        <item x="719"/>
        <item x="1101"/>
        <item x="720"/>
        <item x="1102"/>
        <item x="1103"/>
        <item x="721"/>
        <item x="722"/>
        <item x="1104"/>
        <item x="1105"/>
        <item x="1106"/>
        <item x="1107"/>
        <item x="723"/>
        <item x="1108"/>
        <item x="724"/>
        <item x="732"/>
        <item x="733"/>
        <item x="734"/>
        <item x="735"/>
        <item x="1109"/>
        <item x="1110"/>
        <item x="736"/>
        <item x="1111"/>
        <item x="737"/>
        <item x="738"/>
        <item x="1112"/>
        <item x="1113"/>
        <item x="1114"/>
        <item x="1115"/>
        <item x="1116"/>
        <item x="1117"/>
        <item x="1118"/>
        <item x="739"/>
        <item x="1119"/>
        <item x="740"/>
        <item x="1120"/>
        <item x="1121"/>
        <item x="741"/>
        <item x="742"/>
        <item x="1122"/>
        <item x="743"/>
        <item x="744"/>
        <item x="1123"/>
        <item x="1124"/>
        <item x="745"/>
        <item x="746"/>
        <item x="747"/>
        <item x="1125"/>
        <item x="748"/>
        <item x="1126"/>
        <item x="1127"/>
        <item x="1128"/>
        <item x="1129"/>
        <item x="749"/>
        <item x="750"/>
        <item x="751"/>
        <item x="752"/>
        <item x="1130"/>
        <item x="753"/>
        <item x="1137"/>
        <item x="1138"/>
        <item x="754"/>
        <item x="1139"/>
        <item x="1140"/>
        <item x="755"/>
        <item x="756"/>
        <item x="1141"/>
        <item x="1142"/>
        <item x="1143"/>
        <item x="757"/>
        <item x="1144"/>
        <item x="770"/>
        <item x="771"/>
        <item x="772"/>
        <item x="1145"/>
        <item x="1146"/>
        <item x="773"/>
        <item x="1147"/>
        <item x="774"/>
        <item x="775"/>
        <item x="1148"/>
        <item x="1155"/>
        <item x="1156"/>
        <item x="1157"/>
        <item x="1158"/>
        <item x="776"/>
        <item x="1159"/>
        <item x="784"/>
        <item x="785"/>
        <item x="1160"/>
        <item x="1161"/>
        <item x="1162"/>
        <item x="786"/>
        <item x="1163"/>
        <item x="787"/>
        <item x="788"/>
        <item x="789"/>
        <item x="1164"/>
        <item x="1165"/>
        <item x="790"/>
        <item x="791"/>
        <item x="1166"/>
        <item x="1181"/>
        <item x="792"/>
        <item x="1182"/>
        <item x="793"/>
        <item x="794"/>
        <item x="1183"/>
        <item x="795"/>
        <item x="1184"/>
        <item x="1185"/>
        <item x="796"/>
        <item x="797"/>
        <item x="1186"/>
        <item x="798"/>
        <item x="799"/>
        <item x="800"/>
        <item x="1193"/>
        <item x="801"/>
        <item x="1194"/>
        <item x="1195"/>
        <item x="809"/>
        <item x="810"/>
        <item x="1196"/>
        <item x="1197"/>
        <item x="811"/>
        <item x="812"/>
        <item x="813"/>
        <item x="814"/>
        <item x="1198"/>
        <item x="815"/>
        <item x="816"/>
        <item x="817"/>
        <item x="1199"/>
        <item x="818"/>
        <item x="819"/>
        <item x="820"/>
        <item x="821"/>
        <item x="1212"/>
        <item x="1213"/>
        <item x="822"/>
        <item x="823"/>
        <item x="824"/>
        <item x="825"/>
        <item x="826"/>
        <item x="827"/>
        <item x="1214"/>
        <item x="834"/>
        <item x="1215"/>
        <item x="835"/>
        <item x="1216"/>
        <item x="1217"/>
        <item x="1236"/>
        <item x="1237"/>
        <item x="836"/>
        <item x="1238"/>
        <item x="837"/>
        <item x="1239"/>
        <item x="838"/>
        <item x="839"/>
        <item x="1240"/>
        <item x="840"/>
        <item x="841"/>
        <item x="842"/>
        <item x="1241"/>
        <item x="1251"/>
        <item x="843"/>
        <item x="1252"/>
        <item x="1253"/>
        <item x="844"/>
        <item x="1254"/>
        <item x="845"/>
        <item x="1255"/>
        <item x="1256"/>
        <item x="1257"/>
        <item x="1258"/>
        <item x="1259"/>
        <item x="1260"/>
        <item x="846"/>
        <item x="1261"/>
        <item x="847"/>
        <item x="848"/>
        <item x="849"/>
        <item x="1262"/>
        <item x="850"/>
        <item x="851"/>
        <item x="852"/>
        <item x="853"/>
        <item x="854"/>
        <item x="1263"/>
        <item x="855"/>
        <item x="856"/>
        <item x="857"/>
        <item x="858"/>
        <item x="859"/>
        <item x="1264"/>
        <item x="860"/>
        <item x="861"/>
        <item x="862"/>
        <item x="863"/>
        <item x="864"/>
        <item x="1265"/>
        <item x="1266"/>
        <item x="865"/>
        <item x="1267"/>
        <item x="866"/>
        <item x="867"/>
        <item x="868"/>
        <item x="869"/>
        <item x="1268"/>
        <item x="870"/>
        <item x="1269"/>
        <item x="871"/>
        <item x="1270"/>
        <item x="1135"/>
        <item x="1271"/>
        <item x="1272"/>
        <item x="1136"/>
        <item x="1273"/>
        <item x="1274"/>
        <item x="1149"/>
        <item x="1275"/>
        <item x="1276"/>
        <item x="1277"/>
        <item x="1150"/>
        <item x="1278"/>
        <item x="1151"/>
        <item x="1279"/>
        <item x="1152"/>
        <item x="1153"/>
        <item x="1154"/>
        <item x="1280"/>
        <item x="1167"/>
        <item x="1168"/>
        <item x="1281"/>
        <item x="1282"/>
        <item x="1283"/>
        <item x="1169"/>
        <item x="1284"/>
        <item x="1285"/>
        <item x="1170"/>
        <item x="1286"/>
        <item x="1171"/>
        <item x="1172"/>
        <item x="1173"/>
        <item x="1174"/>
        <item x="1287"/>
        <item x="1175"/>
        <item x="1288"/>
        <item x="1289"/>
        <item x="1290"/>
        <item x="1291"/>
        <item x="1292"/>
        <item x="1176"/>
        <item x="1177"/>
        <item x="1178"/>
        <item x="1179"/>
        <item x="1293"/>
        <item x="1294"/>
        <item x="1295"/>
        <item x="1180"/>
        <item x="1296"/>
        <item x="1297"/>
        <item x="1187"/>
        <item x="1188"/>
        <item x="1298"/>
        <item x="1189"/>
        <item x="1190"/>
        <item x="1191"/>
        <item x="1299"/>
        <item x="1192"/>
        <item x="1200"/>
        <item x="1300"/>
        <item x="1301"/>
        <item x="1201"/>
        <item x="1302"/>
        <item x="1303"/>
        <item x="1304"/>
        <item x="1202"/>
        <item x="1305"/>
        <item x="1203"/>
        <item x="1306"/>
        <item x="1204"/>
        <item x="1307"/>
        <item x="1205"/>
        <item x="1308"/>
        <item x="1206"/>
        <item x="1207"/>
        <item x="1208"/>
        <item x="1309"/>
        <item x="1310"/>
        <item x="1209"/>
        <item x="1210"/>
        <item x="1211"/>
        <item x="1218"/>
        <item x="1311"/>
        <item x="1312"/>
        <item x="1313"/>
        <item x="1314"/>
        <item x="1219"/>
        <item x="1220"/>
        <item x="1221"/>
        <item x="1315"/>
        <item x="1316"/>
        <item x="1222"/>
        <item x="1223"/>
        <item x="1224"/>
        <item x="1225"/>
        <item x="1317"/>
        <item x="1226"/>
        <item x="1318"/>
        <item x="1319"/>
        <item x="1320"/>
        <item x="1227"/>
        <item x="1228"/>
        <item x="1229"/>
        <item x="1230"/>
        <item x="1231"/>
        <item x="1232"/>
        <item x="1233"/>
        <item x="1234"/>
        <item x="1235"/>
        <item x="1321"/>
        <item x="1322"/>
        <item x="1242"/>
        <item x="1323"/>
        <item x="1243"/>
        <item x="1324"/>
        <item x="1244"/>
        <item x="1245"/>
        <item x="1246"/>
        <item x="1325"/>
        <item x="1326"/>
        <item x="1327"/>
        <item x="938"/>
        <item x="951"/>
        <item x="952"/>
        <item x="953"/>
        <item x="954"/>
        <item x="947"/>
        <item x="948"/>
        <item x="949"/>
        <item x="950"/>
        <item x="957"/>
        <item x="955"/>
        <item x="958"/>
        <item x="959"/>
        <item x="956"/>
        <item x="960"/>
        <item x="961"/>
        <item x="962"/>
        <item x="964"/>
        <item x="965"/>
        <item x="963"/>
        <item x="982"/>
        <item x="966"/>
        <item x="967"/>
        <item x="983"/>
        <item x="984"/>
        <item x="968"/>
        <item x="985"/>
        <item x="986"/>
        <item x="969"/>
        <item x="987"/>
        <item x="1013"/>
        <item x="1014"/>
        <item x="1015"/>
        <item x="970"/>
        <item x="1016"/>
        <item x="971"/>
        <item x="1017"/>
        <item x="972"/>
        <item x="1018"/>
        <item x="973"/>
        <item x="974"/>
        <item x="1019"/>
        <item x="975"/>
        <item x="976"/>
        <item x="1020"/>
        <item x="977"/>
        <item x="978"/>
        <item x="1021"/>
        <item x="979"/>
        <item x="1022"/>
        <item x="980"/>
        <item x="1023"/>
        <item x="1024"/>
        <item x="1025"/>
        <item x="981"/>
        <item x="988"/>
        <item x="989"/>
        <item x="990"/>
        <item x="991"/>
        <item x="992"/>
        <item x="993"/>
        <item x="994"/>
        <item x="1033"/>
        <item x="1034"/>
        <item x="1035"/>
        <item x="1036"/>
        <item x="995"/>
        <item x="996"/>
        <item x="1037"/>
        <item x="997"/>
        <item x="1038"/>
        <item x="998"/>
        <item x="1039"/>
        <item x="999"/>
        <item x="1040"/>
        <item x="1041"/>
        <item x="1042"/>
        <item x="1000"/>
        <item x="1043"/>
        <item x="1001"/>
        <item x="1002"/>
        <item x="1003"/>
        <item x="1044"/>
        <item x="1004"/>
        <item x="1005"/>
        <item x="1006"/>
        <item x="1007"/>
        <item x="1008"/>
        <item x="1009"/>
        <item x="1010"/>
        <item x="1011"/>
        <item x="1012"/>
        <item x="1045"/>
        <item x="1046"/>
        <item x="1026"/>
        <item x="1047"/>
        <item x="1048"/>
        <item x="1027"/>
        <item x="1049"/>
        <item x="1028"/>
        <item x="1050"/>
        <item x="1051"/>
        <item x="1029"/>
        <item x="1030"/>
        <item x="1031"/>
        <item x="1032"/>
        <item x="1052"/>
        <item x="1053"/>
        <item x="1054"/>
        <item x="1055"/>
        <item x="1058"/>
        <item x="1056"/>
        <item x="1057"/>
        <item x="1064"/>
        <item x="1059"/>
        <item x="1060"/>
        <item x="1061"/>
        <item x="125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m="1" x="86"/>
        <item x="69"/>
        <item x="61"/>
        <item x="78"/>
        <item x="22"/>
        <item x="85"/>
        <item x="37"/>
        <item x="68"/>
        <item x="0"/>
        <item x="38"/>
        <item x="55"/>
        <item x="60"/>
        <item x="15"/>
        <item x="14"/>
        <item m="1" x="88"/>
        <item x="70"/>
        <item x="43"/>
        <item x="26"/>
        <item x="1"/>
        <item x="41"/>
        <item x="83"/>
        <item x="33"/>
        <item x="5"/>
        <item x="53"/>
        <item x="45"/>
        <item x="40"/>
        <item x="17"/>
        <item x="6"/>
        <item x="13"/>
        <item x="75"/>
        <item x="74"/>
        <item x="82"/>
        <item m="1" x="87"/>
        <item x="8"/>
        <item x="29"/>
        <item x="16"/>
        <item x="27"/>
        <item x="65"/>
        <item x="31"/>
        <item x="25"/>
        <item x="9"/>
        <item x="63"/>
        <item x="39"/>
        <item x="7"/>
        <item x="52"/>
        <item x="42"/>
        <item x="46"/>
        <item x="34"/>
        <item x="67"/>
        <item x="32"/>
        <item x="72"/>
        <item x="18"/>
        <item x="35"/>
        <item x="21"/>
        <item x="23"/>
        <item x="36"/>
        <item x="76"/>
        <item x="11"/>
        <item x="84"/>
        <item x="71"/>
        <item x="49"/>
        <item x="10"/>
        <item x="81"/>
        <item x="20"/>
        <item x="62"/>
        <item x="54"/>
        <item x="56"/>
        <item x="2"/>
        <item x="3"/>
        <item x="19"/>
        <item x="30"/>
        <item x="57"/>
        <item x="44"/>
        <item x="48"/>
        <item x="64"/>
        <item x="77"/>
        <item x="59"/>
        <item x="73"/>
        <item x="79"/>
        <item x="24"/>
        <item x="58"/>
        <item x="12"/>
        <item x="28"/>
        <item x="80"/>
        <item x="47"/>
        <item x="4"/>
        <item x="50"/>
        <item x="51"/>
        <item x="6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m="1" x="17"/>
        <item x="4"/>
        <item x="13"/>
        <item x="1"/>
        <item x="9"/>
        <item x="12"/>
        <item x="5"/>
        <item x="14"/>
        <item x="0"/>
        <item x="10"/>
        <item x="2"/>
        <item x="3"/>
        <item x="7"/>
        <item x="15"/>
        <item x="11"/>
        <item x="8"/>
        <item x="6"/>
        <item x="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m="1" x="7"/>
        <item x="5"/>
        <item x="2"/>
        <item x="1"/>
        <item x="0"/>
        <item x="4"/>
        <item x="3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m="1" x="5"/>
        <item x="2"/>
        <item x="0"/>
        <item x="3"/>
        <item x="1"/>
        <item x="4"/>
        <item m="1"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4"/>
    <field x="25"/>
    <field x="24"/>
    <field x="0"/>
    <field x="5"/>
    <field x="26"/>
    <field x="27"/>
    <field x="28"/>
    <field x="29"/>
    <field x="20"/>
    <field x="21"/>
    <field x="7"/>
    <field x="6"/>
    <field x="11"/>
  </rowFields>
  <rowItems count="1439">
    <i>
      <x/>
      <x v="32"/>
      <x v="1438"/>
      <x v="1411"/>
      <x v="18"/>
      <x v="18"/>
      <x v="3"/>
      <x v="3"/>
      <x v="2"/>
      <x/>
      <x v="65"/>
      <x v="6"/>
      <x v="33"/>
      <x v="6"/>
    </i>
    <i r="1">
      <x v="33"/>
      <x v="1409"/>
      <x v="1412"/>
      <x v="18"/>
      <x v="68"/>
      <x v="3"/>
      <x v="3"/>
      <x v="2"/>
      <x/>
      <x v="65"/>
      <x v="6"/>
      <x v="33"/>
      <x v="6"/>
    </i>
    <i r="1">
      <x v="34"/>
      <x v="1437"/>
      <x v="1413"/>
      <x v="4"/>
      <x v="22"/>
      <x v="3"/>
      <x v="3"/>
      <x v="2"/>
      <x/>
      <x v="64"/>
      <x v="4"/>
      <x v="33"/>
      <x v="6"/>
    </i>
    <i r="1">
      <x v="38"/>
      <x v="1427"/>
      <x v="1427"/>
      <x v="18"/>
      <x v="18"/>
      <x v="3"/>
      <x v="3"/>
      <x v="2"/>
      <x/>
      <x v="65"/>
      <x v="6"/>
      <x v="33"/>
      <x v="6"/>
    </i>
    <i r="1">
      <x v="39"/>
      <x v="1421"/>
      <x v="1428"/>
      <x v="13"/>
      <x v="67"/>
      <x v="3"/>
      <x v="3"/>
      <x v="2"/>
      <x/>
      <x v="62"/>
      <x v="3"/>
      <x v="33"/>
      <x v="6"/>
    </i>
    <i r="1">
      <x v="40"/>
      <x v="1426"/>
      <x v="1414"/>
      <x v="18"/>
      <x v="68"/>
      <x v="3"/>
      <x v="3"/>
      <x v="2"/>
      <x/>
      <x v="65"/>
      <x v="6"/>
      <x v="33"/>
      <x v="6"/>
    </i>
    <i r="1">
      <x v="41"/>
      <x v="1433"/>
      <x v="1429"/>
      <x v="4"/>
      <x v="68"/>
      <x v="3"/>
      <x v="3"/>
      <x v="2"/>
      <x/>
      <x v="64"/>
      <x v="4"/>
      <x v="33"/>
      <x v="6"/>
    </i>
    <i r="1">
      <x v="43"/>
      <x v="1430"/>
      <x v="1431"/>
      <x v="13"/>
      <x v="85"/>
      <x v="3"/>
      <x v="3"/>
      <x v="2"/>
      <x/>
      <x v="65"/>
      <x v="3"/>
      <x v="33"/>
      <x v="6"/>
    </i>
    <i r="1">
      <x v="44"/>
      <x v="1420"/>
      <x v="1415"/>
      <x v="18"/>
      <x v="67"/>
      <x v="3"/>
      <x v="3"/>
      <x v="2"/>
      <x/>
      <x v="65"/>
      <x v="6"/>
      <x v="33"/>
      <x v="6"/>
    </i>
    <i r="1">
      <x v="45"/>
      <x v="1434"/>
      <x v="1416"/>
      <x v="4"/>
      <x v="22"/>
      <x v="3"/>
      <x v="3"/>
      <x v="2"/>
      <x/>
      <x v="64"/>
      <x v="4"/>
      <x v="33"/>
      <x v="6"/>
    </i>
    <i r="1">
      <x v="46"/>
      <x v="1431"/>
      <x v="1417"/>
      <x v="10"/>
      <x v="85"/>
      <x v="3"/>
      <x v="3"/>
      <x v="2"/>
      <x/>
      <x v="62"/>
      <x v="5"/>
      <x v="33"/>
      <x v="6"/>
    </i>
    <i r="1">
      <x v="48"/>
      <x v="1428"/>
      <x v="1432"/>
      <x v="13"/>
      <x v="85"/>
      <x v="3"/>
      <x v="3"/>
      <x v="2"/>
      <x/>
      <x v="62"/>
      <x v="3"/>
      <x v="33"/>
      <x v="6"/>
    </i>
    <i r="1">
      <x v="49"/>
      <x v="1412"/>
      <x v="1418"/>
      <x v="13"/>
      <x v="67"/>
      <x v="3"/>
      <x v="3"/>
      <x v="2"/>
      <x/>
      <x v="62"/>
      <x v="3"/>
      <x v="33"/>
      <x v="6"/>
    </i>
    <i r="1">
      <x v="50"/>
      <x v="1423"/>
      <x v="1433"/>
      <x v="18"/>
      <x v="18"/>
      <x v="3"/>
      <x v="3"/>
      <x v="2"/>
      <x/>
      <x v="65"/>
      <x v="6"/>
      <x v="33"/>
      <x v="6"/>
    </i>
    <i r="1">
      <x v="52"/>
      <x v="1418"/>
      <x v="1419"/>
      <x v="10"/>
      <x v="22"/>
      <x v="3"/>
      <x v="3"/>
      <x v="2"/>
      <x/>
      <x v="63"/>
      <x v="5"/>
      <x v="33"/>
      <x v="6"/>
    </i>
    <i r="1">
      <x v="54"/>
      <x v="1415"/>
      <x v="1434"/>
      <x v="10"/>
      <x v="22"/>
      <x v="3"/>
      <x v="3"/>
      <x v="2"/>
      <x/>
      <x v="63"/>
      <x v="5"/>
      <x v="33"/>
      <x v="6"/>
    </i>
    <i r="1">
      <x v="55"/>
      <x v="1419"/>
      <x v="1435"/>
      <x v="4"/>
      <x v="67"/>
      <x v="3"/>
      <x v="3"/>
      <x v="2"/>
      <x/>
      <x v="64"/>
      <x v="4"/>
      <x v="33"/>
      <x v="6"/>
    </i>
    <i r="1">
      <x v="56"/>
      <x v="1435"/>
      <x v="1420"/>
      <x v="4"/>
      <x v="22"/>
      <x v="3"/>
      <x v="3"/>
      <x v="2"/>
      <x/>
      <x v="64"/>
      <x v="4"/>
      <x v="33"/>
      <x v="6"/>
    </i>
    <i r="1">
      <x v="57"/>
      <x v="1407"/>
      <x v="1421"/>
      <x v="18"/>
      <x v="18"/>
      <x v="3"/>
      <x v="3"/>
      <x v="2"/>
      <x/>
      <x v="65"/>
      <x v="6"/>
      <x v="33"/>
      <x v="6"/>
    </i>
    <i r="1">
      <x v="58"/>
      <x v="1424"/>
      <x v="1422"/>
      <x v="18"/>
      <x v="18"/>
      <x v="3"/>
      <x v="3"/>
      <x v="2"/>
      <x/>
      <x v="65"/>
      <x v="6"/>
      <x v="33"/>
      <x v="6"/>
    </i>
    <i r="1">
      <x v="59"/>
      <x v="1406"/>
      <x v="1423"/>
      <x v="13"/>
      <x v="85"/>
      <x v="3"/>
      <x v="3"/>
      <x v="2"/>
      <x/>
      <x v="62"/>
      <x v="3"/>
      <x v="33"/>
      <x v="6"/>
    </i>
    <i r="1">
      <x v="60"/>
      <x v="1429"/>
      <x v="1424"/>
      <x v="18"/>
      <x v="85"/>
      <x v="3"/>
      <x v="3"/>
      <x v="2"/>
      <x/>
      <x v="65"/>
      <x v="6"/>
      <x v="33"/>
      <x v="6"/>
    </i>
    <i r="1">
      <x v="61"/>
      <x v="1436"/>
      <x v="1425"/>
      <x v="4"/>
      <x v="22"/>
      <x v="3"/>
      <x v="3"/>
      <x v="2"/>
      <x/>
      <x v="64"/>
      <x v="4"/>
      <x v="33"/>
      <x v="6"/>
    </i>
    <i r="1">
      <x v="62"/>
      <x v="1416"/>
      <x v="1436"/>
      <x v="10"/>
      <x v="67"/>
      <x v="3"/>
      <x v="3"/>
      <x v="2"/>
      <x/>
      <x v="63"/>
      <x v="5"/>
      <x v="33"/>
      <x v="6"/>
    </i>
    <i r="1">
      <x v="63"/>
      <x v="1410"/>
      <x v="1437"/>
      <x v="18"/>
      <x v="68"/>
      <x v="3"/>
      <x v="3"/>
      <x v="2"/>
      <x/>
      <x v="65"/>
      <x v="6"/>
      <x v="33"/>
      <x v="6"/>
    </i>
    <i r="1">
      <x v="64"/>
      <x v="1417"/>
      <x v="1426"/>
      <x v="10"/>
      <x v="22"/>
      <x v="3"/>
      <x v="3"/>
      <x v="2"/>
      <x/>
      <x v="63"/>
      <x v="5"/>
      <x v="33"/>
      <x v="6"/>
    </i>
    <i r="1">
      <x v="65"/>
      <x v="1432"/>
      <x v="1438"/>
      <x v="10"/>
      <x v="67"/>
      <x v="3"/>
      <x v="3"/>
      <x v="2"/>
      <x/>
      <x v="63"/>
      <x v="5"/>
      <x v="33"/>
      <x v="6"/>
    </i>
    <i r="1">
      <x v="66"/>
      <x v="1425"/>
      <x v="1439"/>
      <x v="18"/>
      <x v="18"/>
      <x v="3"/>
      <x v="3"/>
      <x v="2"/>
      <x/>
      <x v="65"/>
      <x v="6"/>
      <x v="33"/>
      <x v="6"/>
    </i>
    <i r="1">
      <x v="67"/>
      <x v="1405"/>
      <x v="1440"/>
      <x v="10"/>
      <x v="85"/>
      <x v="3"/>
      <x v="3"/>
      <x v="2"/>
      <x/>
      <x v="63"/>
      <x v="5"/>
      <x v="33"/>
      <x v="6"/>
    </i>
    <i r="1">
      <x v="68"/>
      <x v="303"/>
      <x v="499"/>
      <x v="25"/>
      <x v="17"/>
      <x v="10"/>
      <x v="3"/>
      <x v="2"/>
      <x/>
      <x v="96"/>
      <x v="23"/>
      <x v="3"/>
      <x v="8"/>
    </i>
    <i r="1">
      <x v="70"/>
      <x v="614"/>
      <x v="542"/>
      <x v="21"/>
      <x v="27"/>
      <x v="10"/>
      <x v="3"/>
      <x v="4"/>
      <x v="1"/>
      <x v="90"/>
      <x v="12"/>
      <x v="31"/>
      <x v="6"/>
    </i>
    <i r="1">
      <x v="71"/>
      <x v="723"/>
      <x v="717"/>
      <x v="6"/>
      <x v="44"/>
      <x v="1"/>
      <x v="3"/>
      <x v="2"/>
      <x/>
      <x v="75"/>
      <x v="5"/>
      <x v="3"/>
      <x v="8"/>
    </i>
    <i r="1">
      <x v="73"/>
      <x v="907"/>
      <x v="713"/>
      <x v="23"/>
      <x v="61"/>
      <x v="1"/>
      <x v="3"/>
      <x v="2"/>
      <x/>
      <x v="95"/>
      <x v="21"/>
      <x v="8"/>
      <x v="8"/>
    </i>
    <i r="1">
      <x v="76"/>
      <x v="1070"/>
      <x v="831"/>
      <x v="25"/>
      <x v="17"/>
      <x v="10"/>
      <x v="3"/>
      <x v="2"/>
      <x/>
      <x v="96"/>
      <x v="23"/>
      <x v="26"/>
      <x v="2"/>
    </i>
    <i r="1">
      <x v="78"/>
      <x v="722"/>
      <x v="425"/>
      <x v="12"/>
      <x v="40"/>
      <x v="10"/>
      <x v="3"/>
      <x v="2"/>
      <x/>
      <x v="94"/>
      <x v="3"/>
      <x v="3"/>
      <x v="8"/>
    </i>
    <i r="1">
      <x v="79"/>
      <x v="62"/>
      <x v="136"/>
      <x v="12"/>
      <x v="40"/>
      <x v="10"/>
      <x v="3"/>
      <x v="2"/>
      <x/>
      <x v="94"/>
      <x v="3"/>
      <x v="16"/>
      <x v="12"/>
    </i>
    <i r="1">
      <x v="80"/>
      <x v="513"/>
      <x v="141"/>
      <x v="23"/>
      <x v="61"/>
      <x v="1"/>
      <x v="3"/>
      <x v="2"/>
      <x/>
      <x v="95"/>
      <x v="21"/>
      <x v="5"/>
      <x v="10"/>
    </i>
    <i r="1">
      <x v="81"/>
      <x v="1294"/>
      <x v="569"/>
      <x v="7"/>
      <x v="57"/>
      <x v="1"/>
      <x v="3"/>
      <x v="2"/>
      <x/>
      <x v="69"/>
      <x v="5"/>
      <x v="6"/>
      <x v="8"/>
    </i>
    <i r="1">
      <x v="83"/>
      <x v="88"/>
      <x v="208"/>
      <x v="19"/>
      <x v="28"/>
      <x v="6"/>
      <x v="2"/>
      <x v="4"/>
      <x v="1"/>
      <x v="11"/>
      <x v="10"/>
      <x v="35"/>
      <x v="2"/>
    </i>
    <i r="1">
      <x v="84"/>
      <x v="1386"/>
      <x v="461"/>
      <x v="18"/>
      <x v="18"/>
      <x v="3"/>
      <x v="3"/>
      <x v="2"/>
      <x/>
      <x v="65"/>
      <x v="6"/>
      <x v="33"/>
      <x v="6"/>
    </i>
    <i r="1">
      <x v="85"/>
      <x v="1050"/>
      <x v="1224"/>
      <x v="8"/>
      <x v="13"/>
      <x v="1"/>
      <x v="3"/>
      <x v="2"/>
      <x/>
      <x v="68"/>
      <x v="5"/>
      <x v="37"/>
      <x v="11"/>
    </i>
    <i r="1">
      <x v="86"/>
      <x v="848"/>
      <x v="223"/>
      <x v="24"/>
      <x v="25"/>
      <x v="1"/>
      <x v="3"/>
      <x v="2"/>
      <x/>
      <x v="74"/>
      <x v="21"/>
      <x v="8"/>
      <x v="8"/>
    </i>
    <i r="1">
      <x v="87"/>
      <x v="1139"/>
      <x v="213"/>
      <x v="15"/>
      <x v="13"/>
      <x v="1"/>
      <x v="3"/>
      <x v="2"/>
      <x/>
      <x v="68"/>
      <x v="6"/>
      <x v="37"/>
      <x v="11"/>
    </i>
    <i r="1">
      <x v="88"/>
      <x v="134"/>
      <x v="1158"/>
      <x v="24"/>
      <x v="25"/>
      <x v="1"/>
      <x v="3"/>
      <x v="2"/>
      <x/>
      <x v="74"/>
      <x v="21"/>
      <x v="34"/>
      <x v="1"/>
    </i>
    <i r="1">
      <x v="89"/>
      <x v="857"/>
      <x v="1391"/>
      <x v="9"/>
      <x v="52"/>
      <x v="1"/>
      <x v="3"/>
      <x v="2"/>
      <x v="1"/>
      <x v="78"/>
      <x v="5"/>
      <x v="17"/>
      <x v="3"/>
    </i>
    <i r="1">
      <x v="90"/>
      <x v="993"/>
      <x v="526"/>
      <x v="9"/>
      <x v="52"/>
      <x v="1"/>
      <x v="3"/>
      <x v="2"/>
      <x/>
      <x v="78"/>
      <x v="5"/>
      <x v="14"/>
      <x v="8"/>
    </i>
    <i r="1">
      <x v="92"/>
      <x v="986"/>
      <x v="391"/>
      <x v="14"/>
      <x v="84"/>
      <x v="10"/>
      <x v="3"/>
      <x v="2"/>
      <x/>
      <x v="76"/>
      <x v="6"/>
      <x v="3"/>
      <x v="8"/>
    </i>
    <i r="1">
      <x v="97"/>
      <x v="709"/>
      <x v="1367"/>
      <x v="3"/>
      <x v="51"/>
      <x v="1"/>
      <x v="3"/>
      <x v="2"/>
      <x/>
      <x v="71"/>
      <x v="4"/>
      <x v="26"/>
      <x v="2"/>
    </i>
    <i r="1">
      <x v="101"/>
      <x v="432"/>
      <x v="715"/>
      <x v="26"/>
      <x v="63"/>
      <x v="10"/>
      <x v="3"/>
      <x v="4"/>
      <x v="1"/>
      <x v="97"/>
      <x v="23"/>
      <x v="6"/>
      <x v="8"/>
    </i>
    <i r="1">
      <x v="102"/>
      <x v="1399"/>
      <x v="480"/>
      <x v="10"/>
      <x v="18"/>
      <x v="3"/>
      <x v="3"/>
      <x v="2"/>
      <x/>
      <x v="89"/>
      <x v="5"/>
      <x v="31"/>
      <x v="6"/>
    </i>
    <i r="1">
      <x v="116"/>
      <x v="345"/>
      <x v="491"/>
      <x v="25"/>
      <x v="17"/>
      <x v="10"/>
      <x v="3"/>
      <x v="2"/>
      <x/>
      <x v="96"/>
      <x v="23"/>
      <x v="3"/>
      <x v="8"/>
    </i>
    <i r="1">
      <x v="118"/>
      <x v="1049"/>
      <x v="315"/>
      <x v="12"/>
      <x v="40"/>
      <x v="10"/>
      <x v="3"/>
      <x v="1"/>
      <x v="1"/>
      <x v="94"/>
      <x v="3"/>
      <x v="3"/>
      <x v="8"/>
    </i>
    <i r="1">
      <x v="129"/>
      <x v="1103"/>
      <x v="126"/>
      <x v="20"/>
      <x v="27"/>
      <x v="10"/>
      <x v="3"/>
      <x v="2"/>
      <x/>
      <x v="90"/>
      <x v="12"/>
      <x v="26"/>
      <x v="2"/>
    </i>
    <i r="1">
      <x v="130"/>
      <x v="1400"/>
      <x v="543"/>
      <x v="10"/>
      <x v="18"/>
      <x v="3"/>
      <x v="3"/>
      <x v="2"/>
      <x/>
      <x v="89"/>
      <x v="5"/>
      <x v="31"/>
      <x v="6"/>
    </i>
    <i r="1">
      <x v="131"/>
      <x v="443"/>
      <x v="103"/>
      <x v="11"/>
      <x v="38"/>
      <x v="10"/>
      <x v="3"/>
      <x v="2"/>
      <x/>
      <x v="84"/>
      <x v="3"/>
      <x v="6"/>
      <x v="8"/>
    </i>
    <i r="1">
      <x v="139"/>
      <x v="1389"/>
      <x v="1029"/>
      <x v="10"/>
      <x v="18"/>
      <x v="3"/>
      <x v="3"/>
      <x v="2"/>
      <x/>
      <x v="89"/>
      <x v="5"/>
      <x v="31"/>
      <x v="6"/>
    </i>
    <i r="1">
      <x v="142"/>
      <x v="847"/>
      <x v="1142"/>
      <x v="12"/>
      <x v="49"/>
      <x v="15"/>
      <x v="3"/>
      <x v="2"/>
      <x/>
      <x v="83"/>
      <x v="3"/>
      <x v="28"/>
      <x v="4"/>
    </i>
    <i r="1">
      <x v="143"/>
      <x v="902"/>
      <x v="182"/>
      <x v="8"/>
      <x v="52"/>
      <x v="1"/>
      <x v="3"/>
      <x v="2"/>
      <x/>
      <x v="78"/>
      <x v="5"/>
      <x v="14"/>
      <x v="8"/>
    </i>
    <i r="1">
      <x v="146"/>
      <x v="713"/>
      <x v="159"/>
      <x v="23"/>
      <x v="61"/>
      <x v="1"/>
      <x v="3"/>
      <x v="2"/>
      <x/>
      <x v="95"/>
      <x v="21"/>
      <x v="5"/>
      <x v="10"/>
    </i>
    <i r="1">
      <x v="152"/>
      <x v="29"/>
      <x v="313"/>
      <x/>
      <x v="24"/>
      <x v="1"/>
      <x v="3"/>
      <x v="2"/>
      <x v="1"/>
      <x v="83"/>
      <x v="4"/>
      <x v="17"/>
      <x v="3"/>
    </i>
    <i r="1">
      <x v="159"/>
      <x v="943"/>
      <x v="796"/>
      <x v="20"/>
      <x v="49"/>
      <x v="15"/>
      <x v="3"/>
      <x v="2"/>
      <x/>
      <x v="90"/>
      <x v="12"/>
      <x v="28"/>
      <x v="4"/>
    </i>
    <i r="1">
      <x v="161"/>
      <x v="1263"/>
      <x v="977"/>
      <x v="9"/>
      <x v="52"/>
      <x v="1"/>
      <x v="3"/>
      <x v="2"/>
      <x/>
      <x v="78"/>
      <x v="5"/>
      <x v="6"/>
      <x v="8"/>
    </i>
    <i r="1">
      <x v="162"/>
      <x v="409"/>
      <x v="501"/>
      <x v="22"/>
      <x v="61"/>
      <x v="1"/>
      <x v="3"/>
      <x v="2"/>
      <x/>
      <x v="95"/>
      <x v="21"/>
      <x v="40"/>
      <x v="10"/>
    </i>
    <i r="1">
      <x v="163"/>
      <x v="45"/>
      <x v="490"/>
      <x v="21"/>
      <x v="27"/>
      <x v="10"/>
      <x v="3"/>
      <x v="4"/>
      <x v="1"/>
      <x v="90"/>
      <x v="12"/>
      <x v="31"/>
      <x v="6"/>
    </i>
    <i r="1">
      <x v="168"/>
      <x v="504"/>
      <x v="1000"/>
      <x v="23"/>
      <x v="61"/>
      <x v="1"/>
      <x v="3"/>
      <x v="2"/>
      <x/>
      <x v="95"/>
      <x v="21"/>
      <x v="5"/>
      <x v="10"/>
    </i>
    <i r="1">
      <x v="172"/>
      <x v="372"/>
      <x v="798"/>
      <x v="22"/>
      <x v="61"/>
      <x v="1"/>
      <x v="3"/>
      <x v="2"/>
      <x/>
      <x v="95"/>
      <x v="21"/>
      <x v="40"/>
      <x v="10"/>
    </i>
    <i r="1">
      <x v="173"/>
      <x v="991"/>
      <x v="645"/>
      <x v="9"/>
      <x v="86"/>
      <x v="6"/>
      <x v="2"/>
      <x v="2"/>
      <x v="1"/>
      <x v="85"/>
      <x v="5"/>
      <x v="21"/>
      <x v="2"/>
    </i>
    <i r="1">
      <x v="176"/>
      <x v="1003"/>
      <x v="1217"/>
      <x v="14"/>
      <x v="49"/>
      <x v="15"/>
      <x v="3"/>
      <x v="2"/>
      <x/>
      <x v="94"/>
      <x v="6"/>
      <x v="28"/>
      <x v="4"/>
    </i>
    <i r="1">
      <x v="177"/>
      <x v="427"/>
      <x v="518"/>
      <x v="19"/>
      <x v="27"/>
      <x v="10"/>
      <x v="3"/>
      <x v="4"/>
      <x v="1"/>
      <x v="90"/>
      <x v="10"/>
      <x v="6"/>
      <x v="8"/>
    </i>
    <i r="1">
      <x v="178"/>
      <x v="651"/>
      <x v="498"/>
      <x v="19"/>
      <x v="27"/>
      <x v="10"/>
      <x v="3"/>
      <x v="2"/>
      <x/>
      <x v="90"/>
      <x v="10"/>
      <x v="6"/>
      <x v="8"/>
    </i>
    <i r="1">
      <x v="179"/>
      <x v="782"/>
      <x v="133"/>
      <x v="16"/>
      <x v="22"/>
      <x v="3"/>
      <x v="3"/>
      <x v="2"/>
      <x/>
      <x v="84"/>
      <x v="6"/>
      <x v="3"/>
      <x v="8"/>
    </i>
    <i r="1">
      <x v="180"/>
      <x v="1349"/>
      <x v="469"/>
      <x v="10"/>
      <x v="68"/>
      <x v="3"/>
      <x v="3"/>
      <x v="2"/>
      <x/>
      <x v="66"/>
      <x v="5"/>
      <x v="31"/>
      <x v="6"/>
    </i>
    <i r="1">
      <x v="181"/>
      <x v="617"/>
      <x v="255"/>
      <x v="22"/>
      <x v="13"/>
      <x v="1"/>
      <x v="3"/>
      <x v="2"/>
      <x/>
      <x v="92"/>
      <x v="21"/>
      <x v="37"/>
      <x v="11"/>
    </i>
    <i r="1">
      <x v="182"/>
      <x v="742"/>
      <x v="1049"/>
      <x v="24"/>
      <x v="49"/>
      <x v="15"/>
      <x v="3"/>
      <x v="2"/>
      <x/>
      <x v="74"/>
      <x v="21"/>
      <x v="28"/>
      <x v="4"/>
    </i>
    <i r="1">
      <x v="183"/>
      <x v="719"/>
      <x v="546"/>
      <x v="24"/>
      <x v="25"/>
      <x v="1"/>
      <x v="3"/>
      <x v="2"/>
      <x/>
      <x v="74"/>
      <x v="21"/>
      <x v="5"/>
      <x v="10"/>
    </i>
    <i r="1">
      <x v="186"/>
      <x v="1078"/>
      <x v="986"/>
      <x v="5"/>
      <x v="44"/>
      <x v="1"/>
      <x v="3"/>
      <x v="4"/>
      <x v="1"/>
      <x v="75"/>
      <x v="5"/>
      <x v="3"/>
      <x v="8"/>
    </i>
    <i r="1">
      <x v="187"/>
      <x v="1397"/>
      <x v="1299"/>
      <x v="4"/>
      <x v="18"/>
      <x v="3"/>
      <x v="3"/>
      <x v="2"/>
      <x/>
      <x v="89"/>
      <x v="4"/>
      <x v="33"/>
      <x v="6"/>
    </i>
    <i r="1">
      <x v="188"/>
      <x v="917"/>
      <x v="603"/>
      <x v="1"/>
      <x v="24"/>
      <x v="1"/>
      <x v="3"/>
      <x v="2"/>
      <x/>
      <x v="83"/>
      <x v="4"/>
      <x v="26"/>
      <x v="2"/>
    </i>
    <i r="1">
      <x v="190"/>
      <x v="1396"/>
      <x v="1157"/>
      <x v="10"/>
      <x v="18"/>
      <x v="3"/>
      <x v="3"/>
      <x v="2"/>
      <x/>
      <x v="89"/>
      <x v="5"/>
      <x v="31"/>
      <x v="6"/>
    </i>
    <i r="1">
      <x v="191"/>
      <x v="712"/>
      <x v="154"/>
      <x v="18"/>
      <x v="18"/>
      <x v="3"/>
      <x v="3"/>
      <x v="2"/>
      <x/>
      <x v="87"/>
      <x v="6"/>
      <x v="32"/>
      <x v="6"/>
    </i>
    <i r="1">
      <x v="193"/>
      <x v="1110"/>
      <x v="235"/>
      <x v="15"/>
      <x v="84"/>
      <x v="10"/>
      <x v="3"/>
      <x v="2"/>
      <x/>
      <x v="76"/>
      <x v="6"/>
      <x v="26"/>
      <x v="2"/>
    </i>
    <i r="1">
      <x v="195"/>
      <x v="906"/>
      <x v="570"/>
      <x v="13"/>
      <x v="67"/>
      <x v="3"/>
      <x v="3"/>
      <x v="2"/>
      <x/>
      <x v="72"/>
      <x v="3"/>
      <x v="32"/>
      <x v="6"/>
    </i>
    <i r="1">
      <x v="196"/>
      <x v="61"/>
      <x v="191"/>
      <x v="16"/>
      <x v="22"/>
      <x v="3"/>
      <x v="3"/>
      <x v="2"/>
      <x/>
      <x v="63"/>
      <x v="6"/>
      <x v="30"/>
      <x v="3"/>
    </i>
    <i r="1">
      <x v="198"/>
      <x v="921"/>
      <x v="887"/>
      <x v="8"/>
      <x v="52"/>
      <x v="1"/>
      <x v="3"/>
      <x v="2"/>
      <x/>
      <x v="78"/>
      <x v="5"/>
      <x v="26"/>
      <x v="2"/>
    </i>
    <i r="1">
      <x v="199"/>
      <x v="963"/>
      <x v="989"/>
      <x v="12"/>
      <x v="13"/>
      <x v="1"/>
      <x v="3"/>
      <x v="2"/>
      <x/>
      <x v="68"/>
      <x v="3"/>
      <x v="37"/>
      <x v="11"/>
    </i>
    <i r="1">
      <x v="201"/>
      <x v="31"/>
      <x v="533"/>
      <x v="16"/>
      <x v="22"/>
      <x v="3"/>
      <x v="3"/>
      <x v="2"/>
      <x v="1"/>
      <x v="82"/>
      <x v="6"/>
      <x v="17"/>
      <x v="3"/>
    </i>
    <i r="1">
      <x v="203"/>
      <x v="69"/>
      <x v="1082"/>
      <x v="20"/>
      <x v="27"/>
      <x v="10"/>
      <x v="3"/>
      <x v="2"/>
      <x/>
      <x v="90"/>
      <x v="12"/>
      <x v="15"/>
      <x v="12"/>
    </i>
    <i r="1">
      <x v="206"/>
      <x v="972"/>
      <x v="1203"/>
      <x v="19"/>
      <x v="27"/>
      <x v="10"/>
      <x v="3"/>
      <x v="4"/>
      <x v="1"/>
      <x v="94"/>
      <x v="10"/>
      <x v="26"/>
      <x v="2"/>
    </i>
    <i r="1">
      <x v="207"/>
      <x v="1109"/>
      <x v="451"/>
      <x v="3"/>
      <x v="51"/>
      <x v="1"/>
      <x v="3"/>
      <x v="2"/>
      <x/>
      <x v="71"/>
      <x v="4"/>
      <x v="46"/>
      <x v="5"/>
    </i>
    <i r="1">
      <x v="208"/>
      <x v="771"/>
      <x/>
      <x v="24"/>
      <x v="25"/>
      <x v="1"/>
      <x v="3"/>
      <x v="2"/>
      <x/>
      <x v="74"/>
      <x v="21"/>
      <x v="8"/>
      <x v="8"/>
    </i>
    <i r="1">
      <x v="209"/>
      <x v="1249"/>
      <x v="253"/>
      <x v="18"/>
      <x v="18"/>
      <x v="3"/>
      <x v="3"/>
      <x v="2"/>
      <x/>
      <x v="89"/>
      <x v="6"/>
      <x v="32"/>
      <x v="6"/>
    </i>
    <i r="1">
      <x v="216"/>
      <x v="988"/>
      <x v="915"/>
      <x v="8"/>
      <x v="52"/>
      <x v="1"/>
      <x v="3"/>
      <x v="2"/>
      <x/>
      <x v="71"/>
      <x v="5"/>
      <x v="8"/>
      <x v="8"/>
    </i>
    <i r="1">
      <x v="217"/>
      <x v="1054"/>
      <x v="147"/>
      <x v="25"/>
      <x v="17"/>
      <x v="10"/>
      <x v="3"/>
      <x v="2"/>
      <x v="1"/>
      <x v="96"/>
      <x v="23"/>
      <x v="37"/>
      <x v="11"/>
    </i>
    <i r="1">
      <x v="218"/>
      <x v="1066"/>
      <x v="683"/>
      <x v="11"/>
      <x v="38"/>
      <x v="10"/>
      <x v="3"/>
      <x v="2"/>
      <x/>
      <x v="84"/>
      <x v="3"/>
      <x v="25"/>
      <x v="1"/>
    </i>
    <i r="1">
      <x v="222"/>
      <x v="1026"/>
      <x v="993"/>
      <x v="23"/>
      <x v="13"/>
      <x v="1"/>
      <x v="3"/>
      <x v="2"/>
      <x/>
      <x v="68"/>
      <x v="21"/>
      <x v="37"/>
      <x v="11"/>
    </i>
    <i r="1">
      <x v="224"/>
      <x v="938"/>
      <x v="1277"/>
      <x v="2"/>
      <x v="49"/>
      <x v="15"/>
      <x v="3"/>
      <x v="2"/>
      <x/>
      <x v="69"/>
      <x v="4"/>
      <x v="28"/>
      <x v="4"/>
    </i>
    <i r="1">
      <x v="231"/>
      <x v="1236"/>
      <x v="1023"/>
      <x v="12"/>
      <x v="38"/>
      <x v="10"/>
      <x v="3"/>
      <x v="2"/>
      <x/>
      <x v="84"/>
      <x v="3"/>
      <x v="6"/>
      <x v="8"/>
    </i>
    <i r="1">
      <x v="235"/>
      <x v="706"/>
      <x v="688"/>
      <x v="7"/>
      <x v="57"/>
      <x v="1"/>
      <x v="3"/>
      <x v="4"/>
      <x v="1"/>
      <x v="69"/>
      <x v="5"/>
      <x v="3"/>
      <x v="8"/>
    </i>
    <i r="1">
      <x v="237"/>
      <x v="1322"/>
      <x v="517"/>
      <x v="10"/>
      <x v="68"/>
      <x v="3"/>
      <x v="3"/>
      <x v="2"/>
      <x/>
      <x v="87"/>
      <x v="5"/>
      <x v="31"/>
      <x v="6"/>
    </i>
    <i r="1">
      <x v="238"/>
      <x v="757"/>
      <x v="121"/>
      <x v="13"/>
      <x v="68"/>
      <x v="3"/>
      <x v="3"/>
      <x v="2"/>
      <x/>
      <x v="87"/>
      <x v="3"/>
      <x v="32"/>
      <x v="6"/>
    </i>
    <i r="1">
      <x v="240"/>
      <x v="702"/>
      <x v="1294"/>
      <x v="6"/>
      <x v="44"/>
      <x v="1"/>
      <x v="3"/>
      <x v="2"/>
      <x/>
      <x v="75"/>
      <x v="5"/>
      <x v="25"/>
      <x v="1"/>
    </i>
    <i r="1">
      <x v="243"/>
      <x v="1170"/>
      <x v="1398"/>
      <x v="11"/>
      <x v="38"/>
      <x v="10"/>
      <x v="3"/>
      <x v="2"/>
      <x v="1"/>
      <x v="84"/>
      <x v="3"/>
      <x v="17"/>
      <x v="3"/>
    </i>
    <i r="1">
      <x v="248"/>
      <x v="788"/>
      <x v="742"/>
      <x v="9"/>
      <x v="52"/>
      <x v="1"/>
      <x v="3"/>
      <x v="4"/>
      <x v="1"/>
      <x v="78"/>
      <x v="5"/>
      <x v="14"/>
      <x v="8"/>
    </i>
    <i r="1">
      <x v="249"/>
      <x v="1112"/>
      <x v="667"/>
      <x v="5"/>
      <x v="44"/>
      <x v="1"/>
      <x v="3"/>
      <x v="2"/>
      <x/>
      <x v="75"/>
      <x v="5"/>
      <x v="26"/>
      <x v="2"/>
    </i>
    <i r="1">
      <x v="253"/>
      <x v="945"/>
      <x v="482"/>
      <x v="12"/>
      <x v="49"/>
      <x v="15"/>
      <x v="3"/>
      <x v="2"/>
      <x/>
      <x v="84"/>
      <x v="3"/>
      <x v="28"/>
      <x v="4"/>
    </i>
    <i r="1">
      <x v="254"/>
      <x v="1060"/>
      <x v="488"/>
      <x v="24"/>
      <x v="25"/>
      <x v="1"/>
      <x v="3"/>
      <x v="4"/>
      <x v="1"/>
      <x v="74"/>
      <x v="21"/>
      <x v="6"/>
      <x v="8"/>
    </i>
    <i r="1">
      <x v="263"/>
      <x v="1030"/>
      <x v="1377"/>
      <x v="26"/>
      <x v="63"/>
      <x v="10"/>
      <x v="3"/>
      <x v="2"/>
      <x v="1"/>
      <x v="97"/>
      <x v="23"/>
      <x v="37"/>
      <x v="11"/>
    </i>
    <i r="1">
      <x v="265"/>
      <x v="1305"/>
      <x v="198"/>
      <x v="10"/>
      <x v="18"/>
      <x v="3"/>
      <x v="3"/>
      <x v="2"/>
      <x/>
      <x v="65"/>
      <x v="5"/>
      <x v="31"/>
      <x v="6"/>
    </i>
    <i r="1">
      <x v="268"/>
      <x v="913"/>
      <x v="1371"/>
      <x v="6"/>
      <x v="17"/>
      <x v="10"/>
      <x v="3"/>
      <x v="2"/>
      <x/>
      <x v="92"/>
      <x v="5"/>
      <x v="6"/>
      <x v="8"/>
    </i>
    <i r="1">
      <x v="276"/>
      <x v="999"/>
      <x v="837"/>
      <x v="25"/>
      <x v="17"/>
      <x v="10"/>
      <x v="3"/>
      <x v="4"/>
      <x v="1"/>
      <x v="96"/>
      <x v="23"/>
      <x v="8"/>
      <x v="8"/>
    </i>
    <i r="1">
      <x v="277"/>
      <x v="1301"/>
      <x v="1375"/>
      <x v="24"/>
      <x v="25"/>
      <x v="1"/>
      <x v="3"/>
      <x v="2"/>
      <x/>
      <x v="74"/>
      <x v="21"/>
      <x v="3"/>
      <x v="8"/>
    </i>
    <i r="1">
      <x v="279"/>
      <x v="1384"/>
      <x v="173"/>
      <x v="10"/>
      <x v="68"/>
      <x v="3"/>
      <x v="3"/>
      <x v="2"/>
      <x/>
      <x v="64"/>
      <x v="5"/>
      <x v="31"/>
      <x v="6"/>
    </i>
    <i r="1">
      <x v="280"/>
      <x v="1262"/>
      <x v="930"/>
      <x v="10"/>
      <x v="18"/>
      <x v="3"/>
      <x v="3"/>
      <x v="2"/>
      <x/>
      <x v="89"/>
      <x v="5"/>
      <x v="31"/>
      <x v="6"/>
    </i>
    <i r="1">
      <x v="285"/>
      <x v="1297"/>
      <x v="1141"/>
      <x v="3"/>
      <x v="25"/>
      <x v="1"/>
      <x v="3"/>
      <x v="2"/>
      <x/>
      <x v="74"/>
      <x v="4"/>
      <x v="6"/>
      <x v="8"/>
    </i>
    <i r="1">
      <x v="287"/>
      <x v="95"/>
      <x v="782"/>
      <x v="20"/>
      <x v="27"/>
      <x v="10"/>
      <x v="3"/>
      <x v="2"/>
      <x/>
      <x v="90"/>
      <x v="12"/>
      <x v="5"/>
      <x v="10"/>
    </i>
    <i r="1">
      <x v="294"/>
      <x v="889"/>
      <x v="724"/>
      <x v="4"/>
      <x v="68"/>
      <x v="3"/>
      <x v="3"/>
      <x v="2"/>
      <x/>
      <x v="87"/>
      <x v="4"/>
      <x v="32"/>
      <x v="6"/>
    </i>
    <i r="1">
      <x v="295"/>
      <x v="795"/>
      <x v="1276"/>
      <x v="22"/>
      <x v="13"/>
      <x v="1"/>
      <x v="3"/>
      <x v="2"/>
      <x v="1"/>
      <x v="68"/>
      <x v="21"/>
      <x v="37"/>
      <x v="11"/>
    </i>
    <i r="1">
      <x v="306"/>
      <x v="998"/>
      <x v="219"/>
      <x v="21"/>
      <x v="27"/>
      <x v="10"/>
      <x v="3"/>
      <x v="2"/>
      <x/>
      <x v="90"/>
      <x v="12"/>
      <x v="31"/>
      <x v="6"/>
    </i>
    <i r="1">
      <x v="309"/>
      <x v="627"/>
      <x v="718"/>
      <x v="22"/>
      <x v="13"/>
      <x v="1"/>
      <x v="3"/>
      <x v="2"/>
      <x/>
      <x v="68"/>
      <x v="21"/>
      <x v="37"/>
      <x v="11"/>
    </i>
    <i r="1">
      <x v="315"/>
      <x v="519"/>
      <x v="864"/>
      <x v="12"/>
      <x v="38"/>
      <x v="10"/>
      <x v="3"/>
      <x v="2"/>
      <x/>
      <x v="84"/>
      <x v="3"/>
      <x v="6"/>
      <x v="8"/>
    </i>
    <i r="1">
      <x v="318"/>
      <x v="920"/>
      <x v="1393"/>
      <x v="24"/>
      <x v="25"/>
      <x v="1"/>
      <x v="3"/>
      <x v="2"/>
      <x v="1"/>
      <x v="74"/>
      <x v="21"/>
      <x v="17"/>
      <x v="3"/>
    </i>
    <i r="1">
      <x v="328"/>
      <x v="1108"/>
      <x v="283"/>
      <x v="12"/>
      <x v="40"/>
      <x v="10"/>
      <x v="3"/>
      <x v="2"/>
      <x/>
      <x v="83"/>
      <x v="3"/>
      <x v="26"/>
      <x v="2"/>
    </i>
    <i r="1">
      <x v="329"/>
      <x v="618"/>
      <x v="331"/>
      <x v="20"/>
      <x v="27"/>
      <x v="10"/>
      <x v="3"/>
      <x v="2"/>
      <x/>
      <x v="90"/>
      <x v="12"/>
      <x v="6"/>
      <x v="8"/>
    </i>
    <i r="1">
      <x v="333"/>
      <x v="448"/>
      <x v="579"/>
      <x v="22"/>
      <x v="61"/>
      <x v="1"/>
      <x v="3"/>
      <x v="4"/>
      <x v="1"/>
      <x v="95"/>
      <x v="21"/>
      <x v="7"/>
      <x v="8"/>
    </i>
    <i r="1">
      <x v="338"/>
      <x v="629"/>
      <x v="751"/>
      <x v="20"/>
      <x v="27"/>
      <x v="10"/>
      <x v="3"/>
      <x v="4"/>
      <x v="1"/>
      <x v="90"/>
      <x v="12"/>
      <x v="26"/>
      <x v="2"/>
    </i>
    <i r="1">
      <x v="343"/>
      <x v="870"/>
      <x v="312"/>
      <x v="25"/>
      <x v="63"/>
      <x v="10"/>
      <x v="3"/>
      <x v="2"/>
      <x/>
      <x v="97"/>
      <x v="23"/>
      <x v="28"/>
      <x v="4"/>
    </i>
    <i r="1">
      <x v="348"/>
      <x v="648"/>
      <x v="801"/>
      <x v="25"/>
      <x v="17"/>
      <x v="10"/>
      <x v="3"/>
      <x v="2"/>
      <x v="1"/>
      <x v="96"/>
      <x v="23"/>
      <x v="17"/>
      <x v="3"/>
    </i>
    <i r="1">
      <x v="352"/>
      <x v="679"/>
      <x v="1107"/>
      <x/>
      <x v="17"/>
      <x v="10"/>
      <x v="3"/>
      <x v="2"/>
      <x/>
      <x v="96"/>
      <x v="4"/>
      <x v="28"/>
      <x v="4"/>
    </i>
    <i r="1">
      <x v="357"/>
      <x v="984"/>
      <x v="597"/>
      <x v="24"/>
      <x v="25"/>
      <x v="1"/>
      <x v="3"/>
      <x v="2"/>
      <x/>
      <x v="74"/>
      <x v="21"/>
      <x v="8"/>
      <x v="8"/>
    </i>
    <i r="1">
      <x v="359"/>
      <x v="1"/>
      <x v="1400"/>
      <x v="5"/>
      <x v="57"/>
      <x v="1"/>
      <x v="3"/>
      <x v="2"/>
      <x v="1"/>
      <x v="69"/>
      <x v="5"/>
      <x v="17"/>
      <x v="3"/>
    </i>
    <i r="1">
      <x v="364"/>
      <x v="961"/>
      <x v="515"/>
      <x v="3"/>
      <x v="51"/>
      <x v="1"/>
      <x v="3"/>
      <x v="2"/>
      <x/>
      <x v="68"/>
      <x v="4"/>
      <x v="14"/>
      <x v="8"/>
    </i>
    <i r="1">
      <x v="366"/>
      <x v="560"/>
      <x v="1117"/>
      <x v="22"/>
      <x v="61"/>
      <x v="1"/>
      <x v="3"/>
      <x v="2"/>
      <x/>
      <x v="95"/>
      <x v="21"/>
      <x v="34"/>
      <x v="1"/>
    </i>
    <i r="1">
      <x v="367"/>
      <x v="442"/>
      <x v="35"/>
      <x v="8"/>
      <x v="52"/>
      <x v="1"/>
      <x v="3"/>
      <x v="4"/>
      <x v="1"/>
      <x v="78"/>
      <x v="5"/>
      <x v="6"/>
      <x v="8"/>
    </i>
    <i r="1">
      <x v="374"/>
      <x v="1185"/>
      <x v="1212"/>
      <x v="6"/>
      <x v="44"/>
      <x v="1"/>
      <x v="3"/>
      <x v="2"/>
      <x/>
      <x v="75"/>
      <x v="5"/>
      <x v="26"/>
      <x v="2"/>
    </i>
    <i r="1">
      <x v="378"/>
      <x v="1018"/>
      <x v="596"/>
      <x v="9"/>
      <x v="49"/>
      <x v="15"/>
      <x v="3"/>
      <x v="2"/>
      <x/>
      <x v="69"/>
      <x v="5"/>
      <x v="28"/>
      <x v="4"/>
    </i>
    <i r="1">
      <x v="380"/>
      <x v="890"/>
      <x v="1255"/>
      <x v="24"/>
      <x v="25"/>
      <x v="1"/>
      <x v="3"/>
      <x v="4"/>
      <x v="1"/>
      <x v="74"/>
      <x v="21"/>
      <x v="8"/>
      <x v="8"/>
    </i>
    <i r="1">
      <x v="382"/>
      <x v="626"/>
      <x v="1353"/>
      <x v="25"/>
      <x v="17"/>
      <x v="10"/>
      <x v="3"/>
      <x v="2"/>
      <x/>
      <x v="96"/>
      <x v="23"/>
      <x v="37"/>
      <x v="11"/>
    </i>
    <i r="1">
      <x v="383"/>
      <x v="741"/>
      <x v="572"/>
      <x v="4"/>
      <x v="68"/>
      <x v="3"/>
      <x v="3"/>
      <x v="2"/>
      <x/>
      <x v="87"/>
      <x v="4"/>
      <x v="32"/>
      <x v="6"/>
    </i>
    <i r="1">
      <x v="384"/>
      <x v="1341"/>
      <x v="295"/>
      <x v="13"/>
      <x v="67"/>
      <x v="3"/>
      <x v="3"/>
      <x v="2"/>
      <x/>
      <x v="72"/>
      <x v="3"/>
      <x v="32"/>
      <x v="6"/>
    </i>
    <i r="1">
      <x v="393"/>
      <x v="885"/>
      <x v="638"/>
      <x v="9"/>
      <x v="22"/>
      <x v="3"/>
      <x v="3"/>
      <x v="2"/>
      <x/>
      <x v="78"/>
      <x v="5"/>
      <x v="14"/>
      <x v="8"/>
    </i>
    <i r="1">
      <x v="395"/>
      <x v="1392"/>
      <x v="214"/>
      <x v="4"/>
      <x v="67"/>
      <x v="3"/>
      <x v="3"/>
      <x v="2"/>
      <x/>
      <x v="73"/>
      <x v="4"/>
      <x v="33"/>
      <x v="6"/>
    </i>
    <i r="1">
      <x v="399"/>
      <x v="830"/>
      <x v="639"/>
      <x v="9"/>
      <x v="52"/>
      <x v="1"/>
      <x v="3"/>
      <x v="1"/>
      <x v="1"/>
      <x v="78"/>
      <x v="5"/>
      <x v="6"/>
      <x v="8"/>
    </i>
    <i r="1">
      <x v="402"/>
      <x v="1355"/>
      <x v="1285"/>
      <x v="10"/>
      <x v="18"/>
      <x v="3"/>
      <x v="3"/>
      <x v="2"/>
      <x/>
      <x v="79"/>
      <x v="5"/>
      <x v="31"/>
      <x v="6"/>
    </i>
    <i r="1">
      <x v="404"/>
      <x v="68"/>
      <x v="1180"/>
      <x v="16"/>
      <x v="22"/>
      <x v="3"/>
      <x v="3"/>
      <x v="2"/>
      <x/>
      <x v="82"/>
      <x v="6"/>
      <x v="3"/>
      <x v="8"/>
    </i>
    <i r="1">
      <x v="408"/>
      <x v="678"/>
      <x v="139"/>
      <x v="19"/>
      <x v="27"/>
      <x v="10"/>
      <x v="3"/>
      <x v="2"/>
      <x/>
      <x v="90"/>
      <x v="10"/>
      <x v="8"/>
      <x v="8"/>
    </i>
    <i r="1">
      <x v="410"/>
      <x v="707"/>
      <x v="179"/>
      <x v="1"/>
      <x v="24"/>
      <x v="1"/>
      <x v="3"/>
      <x v="2"/>
      <x/>
      <x v="83"/>
      <x v="4"/>
      <x v="3"/>
      <x v="8"/>
    </i>
    <i r="1">
      <x v="416"/>
      <x v="1266"/>
      <x v="1022"/>
      <x v="10"/>
      <x v="68"/>
      <x v="3"/>
      <x v="3"/>
      <x v="2"/>
      <x/>
      <x v="87"/>
      <x v="5"/>
      <x v="31"/>
      <x v="6"/>
    </i>
    <i r="1">
      <x v="418"/>
      <x v="1064"/>
      <x v="58"/>
      <x v="1"/>
      <x v="24"/>
      <x v="1"/>
      <x v="3"/>
      <x v="2"/>
      <x/>
      <x v="83"/>
      <x v="4"/>
      <x v="6"/>
      <x v="8"/>
    </i>
    <i r="1">
      <x v="420"/>
      <x v="44"/>
      <x v="838"/>
      <x v="23"/>
      <x v="61"/>
      <x v="1"/>
      <x v="3"/>
      <x v="2"/>
      <x v="1"/>
      <x v="95"/>
      <x v="21"/>
      <x v="17"/>
      <x v="3"/>
    </i>
    <i r="1">
      <x v="422"/>
      <x v="1027"/>
      <x v="1134"/>
      <x v="22"/>
      <x v="13"/>
      <x v="1"/>
      <x v="3"/>
      <x v="2"/>
      <x v="1"/>
      <x v="68"/>
      <x v="21"/>
      <x v="37"/>
      <x v="11"/>
    </i>
    <i r="1">
      <x v="426"/>
      <x v="625"/>
      <x v="584"/>
      <x v="22"/>
      <x v="13"/>
      <x v="1"/>
      <x v="3"/>
      <x v="2"/>
      <x/>
      <x v="68"/>
      <x v="21"/>
      <x v="22"/>
      <x v="5"/>
    </i>
    <i r="1">
      <x v="430"/>
      <x v="1292"/>
      <x v="150"/>
      <x v="15"/>
      <x v="84"/>
      <x v="10"/>
      <x v="3"/>
      <x v="2"/>
      <x/>
      <x v="76"/>
      <x v="6"/>
      <x v="3"/>
      <x v="8"/>
    </i>
    <i r="1">
      <x v="431"/>
      <x v="908"/>
      <x v="1403"/>
      <x v="12"/>
      <x v="40"/>
      <x v="10"/>
      <x v="3"/>
      <x v="2"/>
      <x v="1"/>
      <x v="94"/>
      <x v="3"/>
      <x v="17"/>
      <x v="3"/>
    </i>
    <i r="1">
      <x v="432"/>
      <x v="671"/>
      <x v="511"/>
      <x v="20"/>
      <x v="64"/>
      <x v="15"/>
      <x v="3"/>
      <x v="2"/>
      <x/>
      <x v="90"/>
      <x v="12"/>
      <x v="21"/>
      <x v="2"/>
    </i>
    <i r="1">
      <x v="433"/>
      <x v="994"/>
      <x v="716"/>
      <x v="22"/>
      <x v="13"/>
      <x v="1"/>
      <x v="3"/>
      <x v="2"/>
      <x v="1"/>
      <x v="68"/>
      <x v="21"/>
      <x v="37"/>
      <x v="11"/>
    </i>
    <i r="1">
      <x v="437"/>
      <x v="412"/>
      <x v="1172"/>
      <x v="19"/>
      <x v="27"/>
      <x v="10"/>
      <x v="3"/>
      <x v="4"/>
      <x v="1"/>
      <x v="90"/>
      <x v="10"/>
      <x v="25"/>
      <x v="1"/>
    </i>
    <i r="1">
      <x v="441"/>
      <x v="375"/>
      <x v="1241"/>
      <x v="22"/>
      <x v="61"/>
      <x v="1"/>
      <x v="3"/>
      <x v="2"/>
      <x/>
      <x v="95"/>
      <x v="21"/>
      <x v="3"/>
      <x v="8"/>
    </i>
    <i r="1">
      <x v="442"/>
      <x v="1048"/>
      <x v="494"/>
      <x/>
      <x v="49"/>
      <x v="15"/>
      <x v="3"/>
      <x v="2"/>
      <x v="1"/>
      <x v="71"/>
      <x v="4"/>
      <x v="29"/>
      <x v="4"/>
    </i>
    <i r="1">
      <x v="443"/>
      <x v="724"/>
      <x v="429"/>
      <x v="7"/>
      <x v="49"/>
      <x v="15"/>
      <x v="3"/>
      <x v="2"/>
      <x/>
      <x v="78"/>
      <x v="5"/>
      <x v="28"/>
      <x v="4"/>
    </i>
    <i r="1">
      <x v="446"/>
      <x v="701"/>
      <x v="493"/>
      <x v="9"/>
      <x v="52"/>
      <x v="1"/>
      <x v="3"/>
      <x v="2"/>
      <x/>
      <x v="78"/>
      <x v="5"/>
      <x v="34"/>
      <x v="1"/>
    </i>
    <i r="1">
      <x v="448"/>
      <x v="1247"/>
      <x v="36"/>
      <x v="5"/>
      <x v="44"/>
      <x v="1"/>
      <x v="3"/>
      <x v="2"/>
      <x/>
      <x v="75"/>
      <x v="5"/>
      <x v="6"/>
      <x v="8"/>
    </i>
    <i r="1">
      <x v="453"/>
      <x v="1068"/>
      <x v="551"/>
      <x v="25"/>
      <x v="63"/>
      <x v="10"/>
      <x v="3"/>
      <x v="2"/>
      <x/>
      <x v="93"/>
      <x v="23"/>
      <x v="37"/>
      <x v="11"/>
    </i>
    <i r="1">
      <x v="457"/>
      <x v="66"/>
      <x v="374"/>
      <x v="22"/>
      <x v="61"/>
      <x v="1"/>
      <x v="3"/>
      <x v="2"/>
      <x/>
      <x v="95"/>
      <x v="21"/>
      <x v="17"/>
      <x v="3"/>
    </i>
    <i r="1">
      <x v="463"/>
      <x v="803"/>
      <x v="1200"/>
      <x v="22"/>
      <x v="61"/>
      <x v="1"/>
      <x v="3"/>
      <x v="2"/>
      <x/>
      <x v="95"/>
      <x v="21"/>
      <x v="3"/>
      <x v="8"/>
    </i>
    <i r="1">
      <x v="477"/>
      <x v="677"/>
      <x v="1397"/>
      <x v="5"/>
      <x v="44"/>
      <x v="1"/>
      <x v="3"/>
      <x v="2"/>
      <x v="1"/>
      <x v="75"/>
      <x v="5"/>
      <x v="17"/>
      <x v="3"/>
    </i>
    <i r="1">
      <x v="478"/>
      <x v="904"/>
      <x v="486"/>
      <x v="12"/>
      <x v="40"/>
      <x v="10"/>
      <x v="3"/>
      <x v="2"/>
      <x/>
      <x v="94"/>
      <x v="3"/>
      <x v="3"/>
      <x v="8"/>
    </i>
    <i r="1">
      <x v="479"/>
      <x v="505"/>
      <x v="832"/>
      <x v="22"/>
      <x v="61"/>
      <x v="1"/>
      <x v="3"/>
      <x v="2"/>
      <x/>
      <x v="95"/>
      <x v="21"/>
      <x v="5"/>
      <x v="10"/>
    </i>
    <i r="1">
      <x v="483"/>
      <x v="1339"/>
      <x v="148"/>
      <x v="18"/>
      <x v="67"/>
      <x v="3"/>
      <x v="3"/>
      <x v="2"/>
      <x/>
      <x v="72"/>
      <x v="6"/>
      <x v="32"/>
      <x v="6"/>
    </i>
    <i r="1">
      <x v="485"/>
      <x v="931"/>
      <x v="836"/>
      <x v="23"/>
      <x v="61"/>
      <x v="1"/>
      <x v="3"/>
      <x v="2"/>
      <x/>
      <x v="95"/>
      <x v="21"/>
      <x v="5"/>
      <x v="10"/>
    </i>
    <i r="1">
      <x v="491"/>
      <x v="711"/>
      <x v="1080"/>
      <x v="24"/>
      <x v="25"/>
      <x v="1"/>
      <x v="3"/>
      <x v="2"/>
      <x/>
      <x v="74"/>
      <x v="21"/>
      <x v="26"/>
      <x v="2"/>
    </i>
    <i r="1">
      <x v="497"/>
      <x v="1069"/>
      <x v="924"/>
      <x v="25"/>
      <x v="17"/>
      <x v="10"/>
      <x v="3"/>
      <x v="4"/>
      <x v="1"/>
      <x v="96"/>
      <x v="23"/>
      <x v="6"/>
      <x v="8"/>
    </i>
    <i r="1">
      <x v="499"/>
      <x v="990"/>
      <x v="370"/>
      <x v="10"/>
      <x v="68"/>
      <x v="3"/>
      <x v="3"/>
      <x v="2"/>
      <x/>
      <x v="87"/>
      <x v="5"/>
      <x v="31"/>
      <x v="6"/>
    </i>
    <i r="1">
      <x v="502"/>
      <x v="1344"/>
      <x v="1342"/>
      <x v="4"/>
      <x v="67"/>
      <x v="3"/>
      <x v="3"/>
      <x v="2"/>
      <x/>
      <x v="72"/>
      <x v="4"/>
      <x v="32"/>
      <x v="6"/>
    </i>
    <i r="1">
      <x v="506"/>
      <x v="698"/>
      <x v="1405"/>
      <x v="5"/>
      <x v="44"/>
      <x v="1"/>
      <x v="3"/>
      <x v="2"/>
      <x v="1"/>
      <x v="75"/>
      <x v="5"/>
      <x v="17"/>
      <x v="3"/>
    </i>
    <i r="1">
      <x v="509"/>
      <x v="911"/>
      <x v="1175"/>
      <x v="5"/>
      <x v="13"/>
      <x v="1"/>
      <x v="3"/>
      <x v="2"/>
      <x/>
      <x v="68"/>
      <x v="5"/>
      <x v="37"/>
      <x v="11"/>
    </i>
    <i r="1">
      <x v="512"/>
      <x v="774"/>
      <x v="1399"/>
      <x v="11"/>
      <x v="38"/>
      <x v="10"/>
      <x v="3"/>
      <x v="4"/>
      <x v="1"/>
      <x v="84"/>
      <x v="3"/>
      <x v="17"/>
      <x v="3"/>
    </i>
    <i r="1">
      <x v="513"/>
      <x v="748"/>
      <x v="630"/>
      <x v="26"/>
      <x v="63"/>
      <x v="10"/>
      <x v="3"/>
      <x v="2"/>
      <x/>
      <x v="97"/>
      <x v="23"/>
      <x v="34"/>
      <x v="1"/>
    </i>
    <i r="1">
      <x v="514"/>
      <x v="1091"/>
      <x v="899"/>
      <x v="12"/>
      <x v="49"/>
      <x v="15"/>
      <x v="3"/>
      <x v="2"/>
      <x/>
      <x v="94"/>
      <x v="3"/>
      <x v="30"/>
      <x v="3"/>
    </i>
    <i r="1">
      <x v="516"/>
      <x v="922"/>
      <x v="1281"/>
      <x v="10"/>
      <x v="68"/>
      <x v="3"/>
      <x v="3"/>
      <x v="2"/>
      <x/>
      <x v="87"/>
      <x v="5"/>
      <x v="31"/>
      <x v="6"/>
    </i>
    <i r="1">
      <x v="522"/>
      <x v="516"/>
      <x v="432"/>
      <x v="24"/>
      <x v="25"/>
      <x v="1"/>
      <x v="3"/>
      <x v="2"/>
      <x/>
      <x v="74"/>
      <x v="21"/>
      <x v="8"/>
      <x v="8"/>
    </i>
    <i r="1">
      <x v="534"/>
      <x v="1319"/>
      <x v="1162"/>
      <x v="18"/>
      <x v="18"/>
      <x v="3"/>
      <x v="3"/>
      <x v="2"/>
      <x/>
      <x v="89"/>
      <x v="6"/>
      <x v="32"/>
      <x v="6"/>
    </i>
    <i r="1">
      <x v="544"/>
      <x v="1402"/>
      <x v="729"/>
      <x v="10"/>
      <x v="18"/>
      <x v="3"/>
      <x v="3"/>
      <x v="2"/>
      <x/>
      <x v="89"/>
      <x v="5"/>
      <x v="31"/>
      <x v="6"/>
    </i>
    <i r="1">
      <x v="547"/>
      <x v="1000"/>
      <x v="509"/>
      <x v="26"/>
      <x v="63"/>
      <x v="10"/>
      <x v="3"/>
      <x v="2"/>
      <x/>
      <x v="97"/>
      <x v="23"/>
      <x v="26"/>
      <x v="2"/>
    </i>
    <i r="1">
      <x v="551"/>
      <x v="909"/>
      <x v="955"/>
      <x v="17"/>
      <x v="22"/>
      <x v="3"/>
      <x v="3"/>
      <x v="2"/>
      <x/>
      <x v="82"/>
      <x v="6"/>
      <x v="3"/>
      <x v="8"/>
    </i>
    <i r="1">
      <x v="552"/>
      <x v="645"/>
      <x v="544"/>
      <x v="22"/>
      <x v="61"/>
      <x v="1"/>
      <x v="3"/>
      <x v="2"/>
      <x/>
      <x v="95"/>
      <x v="21"/>
      <x v="6"/>
      <x v="8"/>
    </i>
    <i r="1">
      <x v="556"/>
      <x v="882"/>
      <x v="62"/>
      <x v="15"/>
      <x v="84"/>
      <x v="10"/>
      <x v="3"/>
      <x v="2"/>
      <x/>
      <x v="76"/>
      <x v="6"/>
      <x v="3"/>
      <x v="8"/>
    </i>
    <i r="1">
      <x v="558"/>
      <x v="965"/>
      <x v="951"/>
      <x v="19"/>
      <x v="27"/>
      <x v="10"/>
      <x v="3"/>
      <x v="2"/>
      <x v="1"/>
      <x v="90"/>
      <x v="10"/>
      <x v="37"/>
      <x v="11"/>
    </i>
    <i r="1">
      <x v="559"/>
      <x v="1025"/>
      <x v="660"/>
      <x v="2"/>
      <x v="51"/>
      <x v="1"/>
      <x v="3"/>
      <x v="4"/>
      <x v="1"/>
      <x v="71"/>
      <x v="4"/>
      <x v="3"/>
      <x v="8"/>
    </i>
    <i r="1">
      <x v="561"/>
      <x v="1024"/>
      <x v="623"/>
      <x v="26"/>
      <x v="63"/>
      <x v="10"/>
      <x v="3"/>
      <x v="2"/>
      <x/>
      <x v="97"/>
      <x v="23"/>
      <x v="37"/>
      <x v="11"/>
    </i>
    <i r="1">
      <x v="567"/>
      <x v="1057"/>
      <x v="1154"/>
      <x v="7"/>
      <x v="57"/>
      <x v="1"/>
      <x v="3"/>
      <x v="2"/>
      <x/>
      <x v="69"/>
      <x v="5"/>
      <x v="26"/>
      <x v="2"/>
    </i>
    <i r="1">
      <x v="573"/>
      <x v="1174"/>
      <x v="34"/>
      <x/>
      <x v="48"/>
      <x v="6"/>
      <x v="2"/>
      <x v="2"/>
      <x/>
      <x v="88"/>
      <x v="4"/>
      <x v="26"/>
      <x v="2"/>
    </i>
    <i r="1">
      <x v="574"/>
      <x v="1391"/>
      <x v="204"/>
      <x v="18"/>
      <x v="68"/>
      <x v="3"/>
      <x v="3"/>
      <x v="2"/>
      <x/>
      <x v="89"/>
      <x v="6"/>
      <x v="33"/>
      <x v="6"/>
    </i>
    <i r="1">
      <x v="577"/>
      <x v="1395"/>
      <x v="1155"/>
      <x v="4"/>
      <x v="85"/>
      <x v="3"/>
      <x v="3"/>
      <x v="2"/>
      <x/>
      <x v="64"/>
      <x v="4"/>
      <x v="33"/>
      <x v="6"/>
    </i>
    <i r="1">
      <x v="578"/>
      <x v="1387"/>
      <x v="512"/>
      <x v="18"/>
      <x v="68"/>
      <x v="3"/>
      <x v="3"/>
      <x v="2"/>
      <x/>
      <x v="89"/>
      <x v="6"/>
      <x v="33"/>
      <x v="6"/>
    </i>
    <i r="1">
      <x v="596"/>
      <x v="801"/>
      <x v="1406"/>
      <x v="11"/>
      <x v="38"/>
      <x v="10"/>
      <x v="3"/>
      <x v="2"/>
      <x v="1"/>
      <x v="84"/>
      <x v="3"/>
      <x v="17"/>
      <x v="3"/>
    </i>
    <i r="1">
      <x v="599"/>
      <x v="1248"/>
      <x v="144"/>
      <x v="4"/>
      <x v="68"/>
      <x v="3"/>
      <x v="3"/>
      <x v="2"/>
      <x/>
      <x v="87"/>
      <x v="4"/>
      <x v="32"/>
      <x v="6"/>
    </i>
    <i r="1">
      <x v="601"/>
      <x v="1324"/>
      <x v="789"/>
      <x v="18"/>
      <x v="18"/>
      <x v="3"/>
      <x v="3"/>
      <x v="2"/>
      <x/>
      <x v="89"/>
      <x v="6"/>
      <x v="32"/>
      <x v="6"/>
    </i>
    <i r="1">
      <x v="602"/>
      <x v="1261"/>
      <x v="904"/>
      <x v="13"/>
      <x v="67"/>
      <x v="3"/>
      <x v="3"/>
      <x v="2"/>
      <x/>
      <x v="62"/>
      <x v="3"/>
      <x v="32"/>
      <x v="6"/>
    </i>
    <i r="1">
      <x v="605"/>
      <x v="1067"/>
      <x v="826"/>
      <x v="6"/>
      <x v="48"/>
      <x v="6"/>
      <x v="2"/>
      <x v="2"/>
      <x/>
      <x v="81"/>
      <x v="5"/>
      <x v="26"/>
      <x v="2"/>
    </i>
    <i r="1">
      <x v="608"/>
      <x v="1077"/>
      <x v="571"/>
      <x v="4"/>
      <x v="68"/>
      <x v="3"/>
      <x v="3"/>
      <x v="2"/>
      <x/>
      <x v="87"/>
      <x v="4"/>
      <x v="32"/>
      <x v="6"/>
    </i>
    <i r="1">
      <x v="610"/>
      <x v="959"/>
      <x v="156"/>
      <x v="11"/>
      <x v="13"/>
      <x v="1"/>
      <x v="3"/>
      <x v="2"/>
      <x/>
      <x v="68"/>
      <x v="3"/>
      <x v="37"/>
      <x v="11"/>
    </i>
    <i r="1">
      <x v="613"/>
      <x v="1267"/>
      <x v="1228"/>
      <x v="10"/>
      <x v="68"/>
      <x v="3"/>
      <x v="3"/>
      <x v="2"/>
      <x/>
      <x v="87"/>
      <x v="5"/>
      <x v="31"/>
      <x v="6"/>
    </i>
    <i r="1">
      <x v="618"/>
      <x v="129"/>
      <x v="489"/>
      <x v="25"/>
      <x v="17"/>
      <x v="10"/>
      <x v="3"/>
      <x v="2"/>
      <x/>
      <x v="96"/>
      <x v="23"/>
      <x v="37"/>
      <x v="11"/>
    </i>
    <i r="1">
      <x v="621"/>
      <x v="1178"/>
      <x v="1244"/>
      <x v="5"/>
      <x v="44"/>
      <x v="1"/>
      <x v="3"/>
      <x v="4"/>
      <x v="1"/>
      <x v="75"/>
      <x v="5"/>
      <x v="26"/>
      <x v="2"/>
    </i>
    <i r="1">
      <x v="640"/>
      <x v="781"/>
      <x v="1383"/>
      <x v="4"/>
      <x v="68"/>
      <x v="3"/>
      <x v="3"/>
      <x v="2"/>
      <x/>
      <x v="87"/>
      <x v="4"/>
      <x v="32"/>
      <x v="6"/>
    </i>
    <i r="1">
      <x v="657"/>
      <x v="114"/>
      <x v="444"/>
      <x v="11"/>
      <x v="38"/>
      <x v="10"/>
      <x v="3"/>
      <x v="2"/>
      <x/>
      <x v="84"/>
      <x v="3"/>
      <x v="22"/>
      <x v="5"/>
    </i>
    <i r="1">
      <x v="692"/>
      <x v="1393"/>
      <x v="471"/>
      <x v="13"/>
      <x v="67"/>
      <x v="3"/>
      <x v="3"/>
      <x v="2"/>
      <x/>
      <x v="73"/>
      <x v="3"/>
      <x v="33"/>
      <x v="6"/>
    </i>
    <i r="1">
      <x v="697"/>
      <x v="1307"/>
      <x v="297"/>
      <x v="13"/>
      <x v="67"/>
      <x v="3"/>
      <x v="3"/>
      <x v="2"/>
      <x/>
      <x v="73"/>
      <x v="3"/>
      <x v="32"/>
      <x v="6"/>
    </i>
    <i r="1">
      <x v="719"/>
      <x v="886"/>
      <x v="33"/>
      <x/>
      <x v="24"/>
      <x v="1"/>
      <x v="3"/>
      <x v="4"/>
      <x v="1"/>
      <x v="83"/>
      <x v="4"/>
      <x v="3"/>
      <x v="8"/>
    </i>
    <i r="1">
      <x v="723"/>
      <x v="76"/>
      <x v="135"/>
      <x v="26"/>
      <x v="63"/>
      <x v="10"/>
      <x v="3"/>
      <x v="2"/>
      <x/>
      <x v="92"/>
      <x v="23"/>
      <x v="6"/>
      <x v="8"/>
    </i>
    <i r="1">
      <x v="753"/>
      <x v="622"/>
      <x v="748"/>
      <x v="26"/>
      <x v="63"/>
      <x v="10"/>
      <x v="3"/>
      <x v="4"/>
      <x v="1"/>
      <x v="97"/>
      <x v="23"/>
      <x v="37"/>
      <x v="11"/>
    </i>
    <i r="1">
      <x v="813"/>
      <x v="111"/>
      <x v="310"/>
      <x v="11"/>
      <x v="38"/>
      <x v="10"/>
      <x v="3"/>
      <x v="2"/>
      <x v="1"/>
      <x v="84"/>
      <x v="3"/>
      <x v="21"/>
      <x v="2"/>
    </i>
    <i r="1">
      <x v="851"/>
      <x v="112"/>
      <x v="393"/>
      <x v="19"/>
      <x v="27"/>
      <x v="10"/>
      <x v="3"/>
      <x v="4"/>
      <x v="1"/>
      <x v="90"/>
      <x v="10"/>
      <x v="34"/>
      <x v="1"/>
    </i>
    <i r="1">
      <x v="852"/>
      <x v="460"/>
      <x v="531"/>
      <x v="6"/>
      <x v="44"/>
      <x v="1"/>
      <x v="3"/>
      <x v="4"/>
      <x v="1"/>
      <x v="75"/>
      <x v="5"/>
      <x v="17"/>
      <x v="3"/>
    </i>
    <i r="1">
      <x v="853"/>
      <x v="116"/>
      <x v="626"/>
      <x v="19"/>
      <x v="27"/>
      <x v="10"/>
      <x v="3"/>
      <x v="4"/>
      <x v="1"/>
      <x v="90"/>
      <x v="10"/>
      <x v="6"/>
      <x v="8"/>
    </i>
    <i r="1">
      <x v="854"/>
      <x v="511"/>
      <x v="375"/>
      <x/>
      <x v="13"/>
      <x v="1"/>
      <x v="3"/>
      <x v="2"/>
      <x/>
      <x v="68"/>
      <x v="4"/>
      <x v="37"/>
      <x v="11"/>
    </i>
    <i r="1">
      <x v="861"/>
      <x v="11"/>
      <x v="1402"/>
      <x v="12"/>
      <x v="40"/>
      <x v="10"/>
      <x v="3"/>
      <x v="2"/>
      <x v="1"/>
      <x v="94"/>
      <x v="3"/>
      <x v="17"/>
      <x v="3"/>
    </i>
    <i r="1">
      <x v="862"/>
      <x v="517"/>
      <x v="390"/>
      <x v="11"/>
      <x v="38"/>
      <x v="10"/>
      <x v="3"/>
      <x v="2"/>
      <x/>
      <x v="84"/>
      <x v="3"/>
      <x v="25"/>
      <x v="1"/>
    </i>
    <i r="1">
      <x v="864"/>
      <x v="486"/>
      <x v="776"/>
      <x v="6"/>
      <x v="13"/>
      <x v="1"/>
      <x v="3"/>
      <x v="2"/>
      <x v="1"/>
      <x v="68"/>
      <x v="5"/>
      <x v="37"/>
      <x v="11"/>
    </i>
    <i r="1">
      <x v="865"/>
      <x v="411"/>
      <x v="463"/>
      <x v="13"/>
      <x v="67"/>
      <x v="3"/>
      <x v="3"/>
      <x v="2"/>
      <x/>
      <x v="87"/>
      <x v="3"/>
      <x v="32"/>
      <x v="6"/>
    </i>
    <i r="1">
      <x v="866"/>
      <x v="1061"/>
      <x v="82"/>
      <x v="17"/>
      <x v="22"/>
      <x v="3"/>
      <x v="3"/>
      <x v="2"/>
      <x/>
      <x v="82"/>
      <x v="6"/>
      <x v="3"/>
      <x v="8"/>
    </i>
    <i r="1">
      <x v="868"/>
      <x v="1207"/>
      <x v="1183"/>
      <x v="22"/>
      <x v="61"/>
      <x v="1"/>
      <x v="3"/>
      <x v="2"/>
      <x/>
      <x v="95"/>
      <x v="21"/>
      <x v="34"/>
      <x v="1"/>
    </i>
    <i r="1">
      <x v="869"/>
      <x v="263"/>
      <x v="485"/>
      <x v="11"/>
      <x v="38"/>
      <x v="10"/>
      <x v="3"/>
      <x v="2"/>
      <x/>
      <x v="84"/>
      <x v="3"/>
      <x v="3"/>
      <x v="8"/>
    </i>
    <i r="1">
      <x v="870"/>
      <x v="32"/>
      <x v="1396"/>
      <x v="25"/>
      <x v="63"/>
      <x v="10"/>
      <x v="3"/>
      <x v="2"/>
      <x v="1"/>
      <x v="96"/>
      <x v="23"/>
      <x v="17"/>
      <x v="3"/>
    </i>
    <i r="1">
      <x v="871"/>
      <x v="493"/>
      <x v="1116"/>
      <x v="19"/>
      <x v="27"/>
      <x v="10"/>
      <x v="3"/>
      <x v="2"/>
      <x/>
      <x v="90"/>
      <x v="10"/>
      <x v="6"/>
      <x v="8"/>
    </i>
    <i r="1">
      <x v="872"/>
      <x v="199"/>
      <x v="746"/>
      <x v="6"/>
      <x v="44"/>
      <x v="1"/>
      <x v="3"/>
      <x v="2"/>
      <x/>
      <x v="75"/>
      <x v="5"/>
      <x v="3"/>
      <x v="8"/>
    </i>
    <i r="1">
      <x v="873"/>
      <x v="9"/>
      <x v="1401"/>
      <x v="14"/>
      <x v="84"/>
      <x v="10"/>
      <x v="3"/>
      <x v="2"/>
      <x v="1"/>
      <x v="76"/>
      <x v="6"/>
      <x v="17"/>
      <x v="3"/>
    </i>
    <i r="1">
      <x v="874"/>
      <x v="139"/>
      <x v="1321"/>
      <x v="11"/>
      <x v="75"/>
      <x v="6"/>
      <x v="2"/>
      <x v="2"/>
      <x v="1"/>
      <x v="88"/>
      <x v="3"/>
      <x v="35"/>
      <x v="2"/>
    </i>
    <i r="1">
      <x v="876"/>
      <x v="383"/>
      <x v="848"/>
      <x v="24"/>
      <x v="25"/>
      <x v="1"/>
      <x v="3"/>
      <x v="2"/>
      <x/>
      <x v="74"/>
      <x v="21"/>
      <x v="8"/>
      <x v="8"/>
    </i>
    <i r="1">
      <x v="879"/>
      <x v="126"/>
      <x v="800"/>
      <x v="13"/>
      <x v="67"/>
      <x v="3"/>
      <x v="3"/>
      <x v="2"/>
      <x/>
      <x v="87"/>
      <x v="3"/>
      <x v="32"/>
      <x v="6"/>
    </i>
    <i r="1">
      <x v="881"/>
      <x v="92"/>
      <x v="535"/>
      <x v="20"/>
      <x v="27"/>
      <x v="10"/>
      <x v="3"/>
      <x v="2"/>
      <x v="1"/>
      <x v="90"/>
      <x v="12"/>
      <x v="37"/>
      <x v="11"/>
    </i>
    <i r="1">
      <x v="882"/>
      <x v="464"/>
      <x v="578"/>
      <x v="22"/>
      <x v="61"/>
      <x v="1"/>
      <x v="3"/>
      <x v="4"/>
      <x v="1"/>
      <x v="95"/>
      <x v="21"/>
      <x v="5"/>
      <x v="10"/>
    </i>
    <i r="1">
      <x v="883"/>
      <x v="420"/>
      <x v="1151"/>
      <x v="26"/>
      <x v="63"/>
      <x v="10"/>
      <x v="3"/>
      <x v="2"/>
      <x/>
      <x v="92"/>
      <x v="23"/>
      <x v="3"/>
      <x v="8"/>
    </i>
    <i r="1">
      <x v="884"/>
      <x v="1293"/>
      <x v="1025"/>
      <x v="15"/>
      <x v="22"/>
      <x v="3"/>
      <x v="3"/>
      <x v="2"/>
      <x/>
      <x v="82"/>
      <x v="6"/>
      <x v="8"/>
      <x v="8"/>
    </i>
    <i r="1">
      <x v="885"/>
      <x v="73"/>
      <x v="5"/>
      <x v="19"/>
      <x v="27"/>
      <x v="10"/>
      <x v="3"/>
      <x v="2"/>
      <x/>
      <x v="90"/>
      <x v="10"/>
      <x v="5"/>
      <x v="10"/>
    </i>
    <i r="1">
      <x v="887"/>
      <x v="105"/>
      <x v="1086"/>
      <x v="25"/>
      <x v="64"/>
      <x v="15"/>
      <x v="3"/>
      <x v="2"/>
      <x/>
      <x v="70"/>
      <x v="23"/>
      <x v="26"/>
      <x v="2"/>
    </i>
    <i r="1">
      <x v="888"/>
      <x v="455"/>
      <x v="291"/>
      <x v="3"/>
      <x v="51"/>
      <x v="1"/>
      <x v="3"/>
      <x v="2"/>
      <x/>
      <x v="71"/>
      <x v="4"/>
      <x v="14"/>
      <x v="8"/>
    </i>
    <i r="1">
      <x v="889"/>
      <x v="371"/>
      <x v="541"/>
      <x v="20"/>
      <x v="27"/>
      <x v="10"/>
      <x v="3"/>
      <x v="2"/>
      <x/>
      <x v="90"/>
      <x v="12"/>
      <x v="37"/>
      <x v="11"/>
    </i>
    <i r="1">
      <x v="890"/>
      <x v="86"/>
      <x v="497"/>
      <x v="15"/>
      <x v="84"/>
      <x v="10"/>
      <x v="3"/>
      <x v="2"/>
      <x/>
      <x v="76"/>
      <x v="6"/>
      <x v="3"/>
      <x v="8"/>
    </i>
    <i r="1">
      <x v="891"/>
      <x v="122"/>
      <x v="739"/>
      <x v="8"/>
      <x v="52"/>
      <x v="1"/>
      <x v="3"/>
      <x v="2"/>
      <x/>
      <x v="78"/>
      <x v="5"/>
      <x v="3"/>
      <x v="8"/>
    </i>
    <i r="1">
      <x v="894"/>
      <x v="507"/>
      <x v="296"/>
      <x/>
      <x v="24"/>
      <x v="1"/>
      <x v="3"/>
      <x v="2"/>
      <x/>
      <x v="83"/>
      <x v="4"/>
      <x v="3"/>
      <x v="8"/>
    </i>
    <i r="1">
      <x v="896"/>
      <x v="138"/>
      <x v="1309"/>
      <x v="15"/>
      <x v="50"/>
      <x v="15"/>
      <x v="3"/>
      <x v="2"/>
      <x/>
      <x v="91"/>
      <x v="6"/>
      <x v="26"/>
      <x v="2"/>
    </i>
    <i r="1">
      <x v="897"/>
      <x v="123"/>
      <x v="770"/>
      <x v="22"/>
      <x v="61"/>
      <x v="1"/>
      <x v="3"/>
      <x v="2"/>
      <x/>
      <x v="95"/>
      <x v="21"/>
      <x v="5"/>
      <x v="10"/>
    </i>
    <i r="1">
      <x v="898"/>
      <x v="1326"/>
      <x v="706"/>
      <x v="4"/>
      <x v="68"/>
      <x v="3"/>
      <x v="3"/>
      <x v="2"/>
      <x/>
      <x v="87"/>
      <x v="4"/>
      <x v="32"/>
      <x v="6"/>
    </i>
    <i r="1">
      <x v="900"/>
      <x v="96"/>
      <x v="806"/>
      <x v="21"/>
      <x v="27"/>
      <x v="10"/>
      <x v="3"/>
      <x v="2"/>
      <x/>
      <x v="90"/>
      <x v="12"/>
      <x v="31"/>
      <x v="6"/>
    </i>
    <i r="1">
      <x v="902"/>
      <x v="107"/>
      <x v="1328"/>
      <x v="16"/>
      <x v="22"/>
      <x v="3"/>
      <x v="3"/>
      <x v="2"/>
      <x/>
      <x v="82"/>
      <x v="6"/>
      <x v="25"/>
      <x v="1"/>
    </i>
    <i r="1">
      <x v="903"/>
      <x v="930"/>
      <x v="998"/>
      <x v="13"/>
      <x v="67"/>
      <x v="3"/>
      <x v="3"/>
      <x v="2"/>
      <x/>
      <x v="83"/>
      <x v="3"/>
      <x v="32"/>
      <x v="6"/>
    </i>
    <i r="1">
      <x v="907"/>
      <x v="198"/>
      <x v="149"/>
      <x v="14"/>
      <x v="22"/>
      <x v="3"/>
      <x v="3"/>
      <x v="2"/>
      <x v="1"/>
      <x v="82"/>
      <x v="6"/>
      <x v="21"/>
      <x v="2"/>
    </i>
    <i r="1">
      <x v="912"/>
      <x v="260"/>
      <x v="538"/>
      <x v="20"/>
      <x v="27"/>
      <x v="10"/>
      <x v="3"/>
      <x v="2"/>
      <x v="1"/>
      <x v="90"/>
      <x v="12"/>
      <x v="37"/>
      <x v="11"/>
    </i>
    <i r="1">
      <x v="916"/>
      <x v="1323"/>
      <x v="1324"/>
      <x v="10"/>
      <x v="68"/>
      <x v="3"/>
      <x v="3"/>
      <x v="2"/>
      <x/>
      <x v="87"/>
      <x v="5"/>
      <x v="31"/>
      <x v="6"/>
    </i>
    <i r="1">
      <x v="918"/>
      <x v="58"/>
      <x v="123"/>
      <x v="6"/>
      <x v="44"/>
      <x v="1"/>
      <x v="3"/>
      <x v="2"/>
      <x/>
      <x v="75"/>
      <x v="5"/>
      <x v="3"/>
      <x v="8"/>
    </i>
    <i r="1">
      <x v="920"/>
      <x v="593"/>
      <x v="539"/>
      <x v="1"/>
      <x v="24"/>
      <x v="1"/>
      <x v="3"/>
      <x v="2"/>
      <x/>
      <x v="83"/>
      <x v="4"/>
      <x v="6"/>
      <x v="8"/>
    </i>
    <i r="1">
      <x v="922"/>
      <x v="132"/>
      <x v="1152"/>
      <x v="16"/>
      <x v="22"/>
      <x v="3"/>
      <x v="3"/>
      <x v="4"/>
      <x v="1"/>
      <x v="82"/>
      <x v="6"/>
      <x v="3"/>
      <x v="8"/>
    </i>
    <i r="1">
      <x v="924"/>
      <x v="99"/>
      <x v="1119"/>
      <x v="17"/>
      <x v="22"/>
      <x v="3"/>
      <x v="3"/>
      <x v="2"/>
      <x/>
      <x v="82"/>
      <x v="6"/>
      <x v="3"/>
      <x v="8"/>
    </i>
    <i r="1">
      <x v="925"/>
      <x v="264"/>
      <x v="499"/>
      <x v="11"/>
      <x v="38"/>
      <x v="10"/>
      <x v="3"/>
      <x v="2"/>
      <x/>
      <x v="84"/>
      <x v="3"/>
      <x v="3"/>
      <x v="8"/>
    </i>
    <i r="1">
      <x v="927"/>
      <x v="352"/>
      <x v="524"/>
      <x v="24"/>
      <x v="25"/>
      <x v="1"/>
      <x v="3"/>
      <x v="2"/>
      <x/>
      <x v="74"/>
      <x v="21"/>
      <x v="8"/>
      <x v="8"/>
    </i>
    <i r="1">
      <x v="929"/>
      <x v="1404"/>
      <x v="590"/>
      <x v="4"/>
      <x v="18"/>
      <x v="3"/>
      <x v="3"/>
      <x v="2"/>
      <x/>
      <x v="89"/>
      <x v="4"/>
      <x v="31"/>
      <x v="6"/>
    </i>
    <i r="1">
      <x v="933"/>
      <x v="523"/>
      <x v="1024"/>
      <x v="24"/>
      <x v="13"/>
      <x v="1"/>
      <x v="3"/>
      <x v="2"/>
      <x/>
      <x v="68"/>
      <x v="21"/>
      <x v="37"/>
      <x v="11"/>
    </i>
    <i r="1">
      <x v="935"/>
      <x v="958"/>
      <x v="124"/>
      <x v="25"/>
      <x v="17"/>
      <x v="10"/>
      <x v="3"/>
      <x v="4"/>
      <x v="1"/>
      <x v="96"/>
      <x v="23"/>
      <x v="37"/>
      <x v="11"/>
    </i>
    <i r="1">
      <x v="937"/>
      <x v="1186"/>
      <x v="600"/>
      <x v="14"/>
      <x v="84"/>
      <x v="10"/>
      <x v="3"/>
      <x v="2"/>
      <x/>
      <x v="76"/>
      <x v="6"/>
      <x v="34"/>
      <x v="1"/>
    </i>
    <i r="1">
      <x v="938"/>
      <x v="1308"/>
      <x v="452"/>
      <x v="18"/>
      <x v="18"/>
      <x v="3"/>
      <x v="3"/>
      <x v="2"/>
      <x/>
      <x v="89"/>
      <x v="6"/>
      <x v="32"/>
      <x v="6"/>
    </i>
    <i r="1">
      <x v="941"/>
      <x v="430"/>
      <x v="155"/>
      <x v="7"/>
      <x v="57"/>
      <x v="1"/>
      <x v="3"/>
      <x v="2"/>
      <x/>
      <x v="69"/>
      <x v="5"/>
      <x v="34"/>
      <x v="1"/>
    </i>
    <i r="1">
      <x v="945"/>
      <x v="1111"/>
      <x v="1065"/>
      <x v="7"/>
      <x v="57"/>
      <x v="1"/>
      <x v="3"/>
      <x v="2"/>
      <x/>
      <x v="69"/>
      <x v="5"/>
      <x v="26"/>
      <x v="2"/>
    </i>
    <i r="1">
      <x v="946"/>
      <x v="137"/>
      <x v="1256"/>
      <x v="9"/>
      <x v="52"/>
      <x v="1"/>
      <x v="3"/>
      <x v="2"/>
      <x/>
      <x v="78"/>
      <x v="5"/>
      <x v="14"/>
      <x v="8"/>
    </i>
    <i r="1">
      <x v="947"/>
      <x v="463"/>
      <x v="554"/>
      <x v="9"/>
      <x v="52"/>
      <x v="1"/>
      <x v="3"/>
      <x v="4"/>
      <x v="1"/>
      <x v="78"/>
      <x v="5"/>
      <x v="14"/>
      <x v="8"/>
    </i>
    <i r="1">
      <x v="948"/>
      <x v="117"/>
      <x v="627"/>
      <x v="25"/>
      <x v="17"/>
      <x v="10"/>
      <x v="3"/>
      <x v="2"/>
      <x/>
      <x v="96"/>
      <x v="23"/>
      <x v="6"/>
      <x v="8"/>
    </i>
    <i r="1">
      <x v="951"/>
      <x v="75"/>
      <x v="125"/>
      <x v="3"/>
      <x v="51"/>
      <x v="1"/>
      <x v="3"/>
      <x v="4"/>
      <x v="1"/>
      <x v="71"/>
      <x v="4"/>
      <x v="14"/>
      <x v="8"/>
    </i>
    <i r="1">
      <x v="952"/>
      <x v="720"/>
      <x v="601"/>
      <x v="25"/>
      <x v="17"/>
      <x v="10"/>
      <x v="3"/>
      <x v="4"/>
      <x v="1"/>
      <x v="96"/>
      <x v="23"/>
      <x v="37"/>
      <x v="11"/>
    </i>
    <i r="1">
      <x v="953"/>
      <x v="262"/>
      <x v="1026"/>
      <x v="12"/>
      <x v="40"/>
      <x v="10"/>
      <x v="3"/>
      <x v="4"/>
      <x v="1"/>
      <x v="82"/>
      <x v="3"/>
      <x v="3"/>
      <x v="8"/>
    </i>
    <i r="1">
      <x v="958"/>
      <x v="619"/>
      <x v="437"/>
      <x v="14"/>
      <x v="50"/>
      <x v="15"/>
      <x v="3"/>
      <x v="2"/>
      <x/>
      <x v="76"/>
      <x v="6"/>
      <x v="21"/>
      <x v="2"/>
    </i>
    <i r="1">
      <x v="959"/>
      <x v="54"/>
      <x v="1404"/>
      <x v="24"/>
      <x v="25"/>
      <x v="1"/>
      <x v="3"/>
      <x v="2"/>
      <x v="1"/>
      <x v="74"/>
      <x v="21"/>
      <x v="17"/>
      <x v="3"/>
    </i>
    <i r="1">
      <x v="960"/>
      <x v="721"/>
      <x v="956"/>
      <x v="14"/>
      <x v="84"/>
      <x v="10"/>
      <x v="3"/>
      <x v="2"/>
      <x/>
      <x v="76"/>
      <x v="6"/>
      <x v="3"/>
      <x v="8"/>
    </i>
    <i r="1">
      <x v="961"/>
      <x v="718"/>
      <x v="138"/>
      <x v="24"/>
      <x v="25"/>
      <x v="1"/>
      <x v="3"/>
      <x v="2"/>
      <x/>
      <x v="74"/>
      <x v="21"/>
      <x v="8"/>
      <x v="8"/>
    </i>
    <i r="1">
      <x v="962"/>
      <x v="594"/>
      <x v="465"/>
      <x v="10"/>
      <x v="22"/>
      <x v="3"/>
      <x v="3"/>
      <x v="2"/>
      <x/>
      <x v="82"/>
      <x v="5"/>
      <x v="31"/>
      <x v="6"/>
    </i>
    <i r="1">
      <x v="964"/>
      <x v="1336"/>
      <x v="60"/>
      <x v="2"/>
      <x v="51"/>
      <x v="1"/>
      <x v="3"/>
      <x v="2"/>
      <x/>
      <x v="61"/>
      <x v="4"/>
      <x v="26"/>
      <x v="2"/>
    </i>
    <i r="1">
      <x v="965"/>
      <x v="71"/>
      <x v="907"/>
      <x/>
      <x v="24"/>
      <x v="1"/>
      <x v="3"/>
      <x v="4"/>
      <x v="1"/>
      <x v="83"/>
      <x v="4"/>
      <x v="3"/>
      <x v="8"/>
    </i>
    <i r="1">
      <x v="967"/>
      <x v="259"/>
      <x v="130"/>
      <x v="25"/>
      <x v="63"/>
      <x v="10"/>
      <x v="3"/>
      <x v="4"/>
      <x v="1"/>
      <x v="93"/>
      <x v="23"/>
      <x v="5"/>
      <x v="10"/>
    </i>
    <i r="1">
      <x v="968"/>
      <x v="456"/>
      <x v="454"/>
      <x/>
      <x v="24"/>
      <x v="1"/>
      <x v="3"/>
      <x v="2"/>
      <x v="1"/>
      <x v="83"/>
      <x v="4"/>
      <x v="17"/>
      <x v="3"/>
    </i>
    <i r="1">
      <x v="969"/>
      <x v="325"/>
      <x v="1027"/>
      <x v="3"/>
      <x v="51"/>
      <x v="1"/>
      <x v="3"/>
      <x v="4"/>
      <x v="1"/>
      <x v="71"/>
      <x v="4"/>
      <x v="14"/>
      <x v="8"/>
    </i>
    <i r="1">
      <x v="973"/>
      <x v="142"/>
      <x v="1222"/>
      <x v="10"/>
      <x v="68"/>
      <x v="3"/>
      <x v="3"/>
      <x v="2"/>
      <x/>
      <x v="87"/>
      <x v="5"/>
      <x v="31"/>
      <x v="6"/>
    </i>
    <i r="1">
      <x v="974"/>
      <x v="715"/>
      <x v="764"/>
      <x/>
      <x v="50"/>
      <x v="15"/>
      <x v="3"/>
      <x v="2"/>
      <x/>
      <x v="80"/>
      <x v="4"/>
      <x v="26"/>
      <x v="2"/>
    </i>
    <i r="1">
      <x v="975"/>
      <x v="98"/>
      <x v="936"/>
      <x v="26"/>
      <x v="63"/>
      <x v="10"/>
      <x v="3"/>
      <x v="2"/>
      <x/>
      <x v="97"/>
      <x v="23"/>
      <x v="6"/>
      <x v="8"/>
    </i>
    <i r="1">
      <x v="976"/>
      <x v="91"/>
      <x v="529"/>
      <x v="18"/>
      <x v="68"/>
      <x v="3"/>
      <x v="3"/>
      <x v="2"/>
      <x/>
      <x v="66"/>
      <x v="6"/>
      <x v="32"/>
      <x v="6"/>
    </i>
    <i r="1">
      <x v="981"/>
      <x v="89"/>
      <x v="514"/>
      <x v="4"/>
      <x v="68"/>
      <x v="3"/>
      <x v="3"/>
      <x v="2"/>
      <x/>
      <x v="87"/>
      <x v="4"/>
      <x v="32"/>
      <x v="6"/>
    </i>
    <i r="1">
      <x v="982"/>
      <x v="104"/>
      <x v="1073"/>
      <x v="15"/>
      <x v="84"/>
      <x v="10"/>
      <x v="3"/>
      <x v="2"/>
      <x/>
      <x v="76"/>
      <x v="6"/>
      <x v="25"/>
      <x v="1"/>
    </i>
    <i r="1">
      <x v="983"/>
      <x v="445"/>
      <x v="183"/>
      <x v="11"/>
      <x v="75"/>
      <x v="6"/>
      <x v="2"/>
      <x v="2"/>
      <x v="1"/>
      <x v="88"/>
      <x v="3"/>
      <x v="35"/>
      <x v="2"/>
    </i>
    <i r="1">
      <x v="987"/>
      <x v="584"/>
      <x v="106"/>
      <x v="14"/>
      <x v="84"/>
      <x v="10"/>
      <x v="3"/>
      <x v="2"/>
      <x/>
      <x v="76"/>
      <x v="6"/>
      <x v="3"/>
      <x v="8"/>
    </i>
    <i r="1">
      <x v="990"/>
      <x v="47"/>
      <x v="1063"/>
      <x v="5"/>
      <x v="44"/>
      <x v="1"/>
      <x v="3"/>
      <x v="2"/>
      <x/>
      <x v="75"/>
      <x v="5"/>
      <x v="3"/>
      <x v="8"/>
    </i>
    <i r="1">
      <x v="991"/>
      <x v="120"/>
      <x v="705"/>
      <x v="2"/>
      <x v="51"/>
      <x v="1"/>
      <x v="3"/>
      <x v="2"/>
      <x/>
      <x v="71"/>
      <x v="4"/>
      <x v="34"/>
      <x v="1"/>
    </i>
    <i r="1">
      <x v="993"/>
      <x v="130"/>
      <x v="1083"/>
      <x v="2"/>
      <x v="50"/>
      <x v="15"/>
      <x v="3"/>
      <x v="4"/>
      <x v="1"/>
      <x v="80"/>
      <x v="4"/>
      <x v="26"/>
      <x v="2"/>
    </i>
    <i r="1">
      <x v="994"/>
      <x v="102"/>
      <x v="1252"/>
      <x v="26"/>
      <x v="63"/>
      <x v="10"/>
      <x v="3"/>
      <x v="2"/>
      <x v="1"/>
      <x v="97"/>
      <x v="23"/>
      <x v="37"/>
      <x v="11"/>
    </i>
    <i r="1">
      <x v="995"/>
      <x v="396"/>
      <x v="540"/>
      <x v="11"/>
      <x v="38"/>
      <x v="10"/>
      <x v="3"/>
      <x v="2"/>
      <x/>
      <x v="84"/>
      <x v="3"/>
      <x v="26"/>
      <x v="2"/>
    </i>
    <i r="1">
      <x v="1005"/>
      <x v="910"/>
      <x v="1153"/>
      <x v="8"/>
      <x v="52"/>
      <x v="1"/>
      <x v="3"/>
      <x v="2"/>
      <x/>
      <x v="78"/>
      <x v="5"/>
      <x v="26"/>
      <x v="2"/>
    </i>
    <i r="1">
      <x v="1007"/>
      <x v="518"/>
      <x v="606"/>
      <x v="1"/>
      <x v="24"/>
      <x v="1"/>
      <x v="3"/>
      <x v="2"/>
      <x/>
      <x v="83"/>
      <x v="4"/>
      <x v="21"/>
      <x v="2"/>
    </i>
    <i r="1">
      <x v="1012"/>
      <x v="265"/>
      <x v="520"/>
      <x v="7"/>
      <x v="57"/>
      <x v="1"/>
      <x v="3"/>
      <x v="2"/>
      <x/>
      <x v="69"/>
      <x v="5"/>
      <x v="3"/>
      <x v="8"/>
    </i>
    <i r="1">
      <x v="1013"/>
      <x v="72"/>
      <x v="37"/>
      <x v="8"/>
      <x v="52"/>
      <x v="1"/>
      <x v="3"/>
      <x v="2"/>
      <x/>
      <x v="78"/>
      <x v="5"/>
      <x v="3"/>
      <x v="8"/>
    </i>
    <i r="1">
      <x v="1014"/>
      <x v="476"/>
      <x v="855"/>
      <x v="20"/>
      <x v="27"/>
      <x v="10"/>
      <x v="3"/>
      <x v="1"/>
      <x v="1"/>
      <x v="90"/>
      <x v="12"/>
      <x v="26"/>
      <x v="2"/>
    </i>
    <i r="1">
      <x v="1015"/>
      <x v="108"/>
      <x v="1099"/>
      <x v="26"/>
      <x v="63"/>
      <x v="10"/>
      <x v="3"/>
      <x v="2"/>
      <x/>
      <x v="97"/>
      <x v="23"/>
      <x v="34"/>
      <x v="1"/>
    </i>
    <i r="1">
      <x v="1016"/>
      <x v="103"/>
      <x v="1330"/>
      <x v="26"/>
      <x v="63"/>
      <x v="10"/>
      <x v="3"/>
      <x v="2"/>
      <x/>
      <x v="97"/>
      <x v="23"/>
      <x v="6"/>
      <x v="8"/>
    </i>
    <i r="1">
      <x v="1019"/>
      <x v="602"/>
      <x v="523"/>
      <x v="12"/>
      <x v="40"/>
      <x v="10"/>
      <x v="3"/>
      <x v="4"/>
      <x v="1"/>
      <x v="94"/>
      <x v="3"/>
      <x v="3"/>
      <x v="8"/>
    </i>
    <i r="1">
      <x v="1020"/>
      <x v="1252"/>
      <x v="768"/>
      <x v="10"/>
      <x v="68"/>
      <x v="3"/>
      <x v="3"/>
      <x v="2"/>
      <x/>
      <x v="87"/>
      <x v="5"/>
      <x v="31"/>
      <x v="6"/>
    </i>
    <i r="1">
      <x v="1021"/>
      <x v="26"/>
      <x v="1390"/>
      <x v="3"/>
      <x v="51"/>
      <x v="1"/>
      <x v="3"/>
      <x v="2"/>
      <x v="1"/>
      <x v="71"/>
      <x v="4"/>
      <x v="17"/>
      <x v="3"/>
    </i>
    <i r="1">
      <x v="1028"/>
      <x v="145"/>
      <x v="1042"/>
      <x v="20"/>
      <x v="27"/>
      <x v="10"/>
      <x v="3"/>
      <x v="2"/>
      <x/>
      <x v="90"/>
      <x v="12"/>
      <x v="6"/>
      <x v="8"/>
    </i>
    <i r="1">
      <x v="1034"/>
      <x v="628"/>
      <x v="814"/>
      <x v="22"/>
      <x v="61"/>
      <x v="1"/>
      <x v="3"/>
      <x v="2"/>
      <x/>
      <x v="95"/>
      <x v="21"/>
      <x v="5"/>
      <x v="10"/>
    </i>
    <i r="1">
      <x v="1036"/>
      <x v="1295"/>
      <x v="917"/>
      <x v="2"/>
      <x v="51"/>
      <x v="1"/>
      <x v="3"/>
      <x v="2"/>
      <x/>
      <x v="71"/>
      <x v="4"/>
      <x v="3"/>
      <x v="8"/>
    </i>
    <i r="1">
      <x v="1037"/>
      <x v="1056"/>
      <x v="424"/>
      <x v="12"/>
      <x v="40"/>
      <x v="10"/>
      <x v="3"/>
      <x v="4"/>
      <x v="1"/>
      <x v="94"/>
      <x v="3"/>
      <x v="3"/>
      <x v="8"/>
    </i>
    <i r="1">
      <x v="1038"/>
      <x v="918"/>
      <x v="1122"/>
      <x v="15"/>
      <x v="84"/>
      <x v="10"/>
      <x v="3"/>
      <x v="2"/>
      <x/>
      <x v="76"/>
      <x v="6"/>
      <x v="26"/>
      <x v="2"/>
    </i>
    <i r="1">
      <x v="1039"/>
      <x v="1052"/>
      <x v="157"/>
      <x v="8"/>
      <x v="52"/>
      <x v="1"/>
      <x v="3"/>
      <x v="4"/>
      <x v="1"/>
      <x v="78"/>
      <x v="5"/>
      <x v="3"/>
      <x v="8"/>
    </i>
    <i r="1">
      <x v="1040"/>
      <x v="1138"/>
      <x v="982"/>
      <x v="12"/>
      <x v="40"/>
      <x v="10"/>
      <x v="3"/>
      <x v="2"/>
      <x/>
      <x v="94"/>
      <x v="3"/>
      <x v="26"/>
      <x v="2"/>
    </i>
    <i r="1">
      <x v="1041"/>
      <x v="1345"/>
      <x v="1385"/>
      <x v="13"/>
      <x v="67"/>
      <x v="3"/>
      <x v="3"/>
      <x v="2"/>
      <x/>
      <x v="72"/>
      <x v="3"/>
      <x v="32"/>
      <x v="6"/>
    </i>
    <i r="1">
      <x v="1042"/>
      <x v="937"/>
      <x v="278"/>
      <x/>
      <x v="49"/>
      <x v="15"/>
      <x v="3"/>
      <x v="2"/>
      <x/>
      <x v="74"/>
      <x v="4"/>
      <x v="28"/>
      <x v="4"/>
    </i>
    <i r="1">
      <x v="1043"/>
      <x v="1329"/>
      <x v="1332"/>
      <x v="13"/>
      <x v="18"/>
      <x v="3"/>
      <x v="3"/>
      <x v="2"/>
      <x/>
      <x v="73"/>
      <x v="3"/>
      <x v="32"/>
      <x v="6"/>
    </i>
    <i r="1">
      <x v="1044"/>
      <x v="431"/>
      <x v="738"/>
      <x v="15"/>
      <x v="50"/>
      <x v="15"/>
      <x v="3"/>
      <x v="2"/>
      <x/>
      <x v="80"/>
      <x v="6"/>
      <x v="26"/>
      <x v="2"/>
    </i>
    <i r="1">
      <x v="1045"/>
      <x v="901"/>
      <x v="137"/>
      <x v="10"/>
      <x v="22"/>
      <x v="3"/>
      <x v="3"/>
      <x v="2"/>
      <x/>
      <x v="82"/>
      <x v="5"/>
      <x v="31"/>
      <x v="6"/>
    </i>
    <i r="1">
      <x v="1046"/>
      <x v="766"/>
      <x v="1392"/>
      <x v="8"/>
      <x v="52"/>
      <x v="1"/>
      <x v="3"/>
      <x v="2"/>
      <x v="1"/>
      <x v="78"/>
      <x v="5"/>
      <x v="17"/>
      <x v="3"/>
    </i>
    <i r="1">
      <x v="1047"/>
      <x v="1348"/>
      <x v="357"/>
      <x v="10"/>
      <x v="68"/>
      <x v="3"/>
      <x v="3"/>
      <x v="2"/>
      <x/>
      <x v="66"/>
      <x v="5"/>
      <x v="31"/>
      <x v="6"/>
    </i>
    <i r="1">
      <x v="1048"/>
      <x v="1058"/>
      <x v="676"/>
      <x v="2"/>
      <x v="51"/>
      <x v="1"/>
      <x v="3"/>
      <x v="4"/>
      <x v="1"/>
      <x v="71"/>
      <x v="4"/>
      <x v="3"/>
      <x v="8"/>
    </i>
    <i r="1">
      <x v="1049"/>
      <x v="1327"/>
      <x v="87"/>
      <x v="18"/>
      <x v="18"/>
      <x v="3"/>
      <x v="3"/>
      <x v="2"/>
      <x/>
      <x v="89"/>
      <x v="6"/>
      <x v="32"/>
      <x v="6"/>
    </i>
    <i r="1">
      <x v="1051"/>
      <x v="1403"/>
      <x v="793"/>
      <x v="13"/>
      <x v="67"/>
      <x v="3"/>
      <x v="3"/>
      <x v="2"/>
      <x/>
      <x v="73"/>
      <x v="3"/>
      <x v="33"/>
      <x v="6"/>
    </i>
    <i r="1">
      <x v="1052"/>
      <x v="1321"/>
      <x v="556"/>
      <x v="13"/>
      <x v="18"/>
      <x v="3"/>
      <x v="3"/>
      <x v="2"/>
      <x/>
      <x v="73"/>
      <x v="3"/>
      <x v="32"/>
      <x v="6"/>
    </i>
    <i r="1">
      <x v="1053"/>
      <x v="258"/>
      <x v="98"/>
      <x v="11"/>
      <x v="38"/>
      <x v="10"/>
      <x v="3"/>
      <x v="4"/>
      <x v="1"/>
      <x v="84"/>
      <x v="3"/>
      <x v="3"/>
      <x v="8"/>
    </i>
    <i r="1">
      <x v="1054"/>
      <x v="1190"/>
      <x v="1039"/>
      <x v="24"/>
      <x v="25"/>
      <x v="1"/>
      <x v="3"/>
      <x v="2"/>
      <x/>
      <x v="95"/>
      <x v="21"/>
      <x v="25"/>
      <x v="1"/>
    </i>
    <i r="1">
      <x v="1055"/>
      <x v="8"/>
      <x v="513"/>
      <x v="16"/>
      <x v="22"/>
      <x v="3"/>
      <x v="3"/>
      <x v="4"/>
      <x v="1"/>
      <x v="82"/>
      <x v="6"/>
      <x v="17"/>
      <x v="3"/>
    </i>
    <i r="1">
      <x v="1056"/>
      <x v="1189"/>
      <x v="1207"/>
      <x/>
      <x v="29"/>
      <x v="7"/>
      <x v="1"/>
      <x v="2"/>
      <x/>
      <x v="88"/>
      <x v="4"/>
      <x v="26"/>
      <x v="2"/>
    </i>
    <i r="1">
      <x v="1057"/>
      <x v="115"/>
      <x v="510"/>
      <x v="3"/>
      <x v="51"/>
      <x v="1"/>
      <x v="3"/>
      <x v="1"/>
      <x v="1"/>
      <x v="71"/>
      <x v="4"/>
      <x v="14"/>
      <x v="8"/>
    </i>
    <i r="1">
      <x v="1058"/>
      <x v="7"/>
      <x v="672"/>
      <x v="20"/>
      <x v="27"/>
      <x v="10"/>
      <x v="3"/>
      <x v="2"/>
      <x v="1"/>
      <x v="90"/>
      <x v="12"/>
      <x v="17"/>
      <x v="3"/>
    </i>
    <i r="1">
      <x v="1060"/>
      <x v="136"/>
      <x v="1233"/>
      <x v="8"/>
      <x v="52"/>
      <x v="1"/>
      <x v="3"/>
      <x v="2"/>
      <x/>
      <x v="78"/>
      <x v="5"/>
      <x v="3"/>
      <x v="8"/>
    </i>
    <i r="1">
      <x v="1061"/>
      <x v="10"/>
      <x v="1408"/>
      <x v="15"/>
      <x v="84"/>
      <x v="10"/>
      <x v="3"/>
      <x v="2"/>
      <x v="1"/>
      <x v="76"/>
      <x v="6"/>
      <x v="17"/>
      <x v="3"/>
    </i>
    <i r="1">
      <x v="1062"/>
      <x v="19"/>
      <x v="1409"/>
      <x v="7"/>
      <x v="57"/>
      <x v="1"/>
      <x v="3"/>
      <x v="2"/>
      <x v="1"/>
      <x v="69"/>
      <x v="5"/>
      <x v="17"/>
      <x v="3"/>
    </i>
    <i r="1">
      <x v="1063"/>
      <x v="611"/>
      <x v="55"/>
      <x v="3"/>
      <x v="51"/>
      <x v="1"/>
      <x v="3"/>
      <x v="2"/>
      <x/>
      <x v="71"/>
      <x v="4"/>
      <x v="14"/>
      <x v="8"/>
    </i>
    <i r="1">
      <x v="1065"/>
      <x v="1188"/>
      <x v="550"/>
      <x v="19"/>
      <x v="29"/>
      <x v="7"/>
      <x v="1"/>
      <x v="2"/>
      <x/>
      <x v="88"/>
      <x v="10"/>
      <x v="26"/>
      <x v="2"/>
    </i>
    <i r="1">
      <x v="1066"/>
      <x v="905"/>
      <x v="537"/>
      <x v="7"/>
      <x v="57"/>
      <x v="1"/>
      <x v="3"/>
      <x v="2"/>
      <x/>
      <x v="69"/>
      <x v="5"/>
      <x v="3"/>
      <x v="8"/>
    </i>
    <i r="1">
      <x v="1068"/>
      <x v="1385"/>
      <x v="251"/>
      <x v="10"/>
      <x v="68"/>
      <x v="3"/>
      <x v="3"/>
      <x v="2"/>
      <x/>
      <x v="87"/>
      <x v="5"/>
      <x v="31"/>
      <x v="6"/>
    </i>
    <i r="1">
      <x v="1069"/>
      <x v="1328"/>
      <x v="972"/>
      <x v="18"/>
      <x v="18"/>
      <x v="3"/>
      <x v="3"/>
      <x v="2"/>
      <x/>
      <x v="89"/>
      <x v="6"/>
      <x v="32"/>
      <x v="6"/>
    </i>
    <i r="1">
      <x v="1070"/>
      <x v="140"/>
      <x v="142"/>
      <x v="7"/>
      <x v="57"/>
      <x v="1"/>
      <x v="3"/>
      <x v="2"/>
      <x/>
      <x v="75"/>
      <x v="5"/>
      <x v="3"/>
      <x v="8"/>
    </i>
    <i r="1">
      <x v="1071"/>
      <x v="1140"/>
      <x v="1093"/>
      <x v="6"/>
      <x v="64"/>
      <x v="15"/>
      <x v="3"/>
      <x v="2"/>
      <x/>
      <x v="94"/>
      <x v="5"/>
      <x v="26"/>
      <x v="2"/>
    </i>
    <i r="1">
      <x v="1072"/>
      <x v="725"/>
      <x v="1011"/>
      <x v="5"/>
      <x v="49"/>
      <x v="15"/>
      <x v="3"/>
      <x v="2"/>
      <x/>
      <x v="75"/>
      <x v="5"/>
      <x v="28"/>
      <x v="4"/>
    </i>
    <i r="1">
      <x v="1073"/>
      <x v="987"/>
      <x v="1051"/>
      <x v="16"/>
      <x v="50"/>
      <x v="15"/>
      <x v="3"/>
      <x v="2"/>
      <x v="1"/>
      <x v="80"/>
      <x v="6"/>
      <x v="26"/>
      <x v="2"/>
    </i>
    <i r="1">
      <x v="1074"/>
      <x v="81"/>
      <x v="227"/>
      <x v="21"/>
      <x v="27"/>
      <x v="10"/>
      <x v="3"/>
      <x v="2"/>
      <x/>
      <x v="90"/>
      <x v="12"/>
      <x v="31"/>
      <x v="6"/>
    </i>
    <i r="1">
      <x v="1075"/>
      <x v="30"/>
      <x v="162"/>
      <x v="8"/>
      <x v="52"/>
      <x v="1"/>
      <x v="3"/>
      <x v="2"/>
      <x v="1"/>
      <x v="78"/>
      <x v="5"/>
      <x v="17"/>
      <x v="3"/>
    </i>
    <i r="1">
      <x v="1076"/>
      <x v="1002"/>
      <x v="1072"/>
      <x v="3"/>
      <x v="51"/>
      <x v="1"/>
      <x v="3"/>
      <x v="2"/>
      <x/>
      <x v="71"/>
      <x v="4"/>
      <x v="14"/>
      <x v="8"/>
    </i>
    <i r="1">
      <x v="1077"/>
      <x v="57"/>
      <x v="503"/>
      <x v="4"/>
      <x v="68"/>
      <x v="3"/>
      <x v="3"/>
      <x v="2"/>
      <x/>
      <x v="87"/>
      <x v="4"/>
      <x v="32"/>
      <x v="6"/>
    </i>
    <i r="1">
      <x v="1078"/>
      <x v="1059"/>
      <x v="996"/>
      <x v="12"/>
      <x v="40"/>
      <x v="10"/>
      <x v="3"/>
      <x v="2"/>
      <x/>
      <x v="84"/>
      <x v="3"/>
      <x v="3"/>
      <x v="8"/>
    </i>
    <i r="1">
      <x v="1080"/>
      <x v="743"/>
      <x v="426"/>
      <x v="11"/>
      <x v="49"/>
      <x v="15"/>
      <x v="3"/>
      <x v="2"/>
      <x/>
      <x v="84"/>
      <x v="3"/>
      <x v="28"/>
      <x v="4"/>
    </i>
    <i r="1">
      <x v="1081"/>
      <x v="127"/>
      <x v="827"/>
      <x v="12"/>
      <x v="40"/>
      <x v="10"/>
      <x v="3"/>
      <x v="2"/>
      <x/>
      <x v="94"/>
      <x v="3"/>
      <x v="34"/>
      <x v="1"/>
    </i>
    <i r="1">
      <x v="1082"/>
      <x v="989"/>
      <x v="475"/>
      <x v="24"/>
      <x v="25"/>
      <x v="1"/>
      <x v="3"/>
      <x v="4"/>
      <x v="1"/>
      <x v="74"/>
      <x v="21"/>
      <x v="8"/>
      <x v="8"/>
    </i>
    <i r="1">
      <x v="1084"/>
      <x v="454"/>
      <x v="128"/>
      <x v="3"/>
      <x v="51"/>
      <x v="1"/>
      <x v="3"/>
      <x v="4"/>
      <x v="1"/>
      <x v="71"/>
      <x v="4"/>
      <x v="14"/>
      <x v="8"/>
    </i>
    <i r="1">
      <x v="1085"/>
      <x v="705"/>
      <x v="507"/>
      <x v="16"/>
      <x v="22"/>
      <x v="3"/>
      <x v="3"/>
      <x v="2"/>
      <x/>
      <x v="94"/>
      <x v="6"/>
      <x v="3"/>
      <x v="8"/>
    </i>
    <i r="1">
      <x v="1086"/>
      <x v="923"/>
      <x v="1376"/>
      <x v="2"/>
      <x v="51"/>
      <x v="1"/>
      <x v="3"/>
      <x v="2"/>
      <x/>
      <x v="71"/>
      <x v="4"/>
      <x v="46"/>
      <x v="5"/>
    </i>
    <i r="1">
      <x v="1088"/>
      <x v="835"/>
      <x v="749"/>
      <x v="6"/>
      <x v="44"/>
      <x v="1"/>
      <x v="3"/>
      <x v="2"/>
      <x/>
      <x v="75"/>
      <x v="5"/>
      <x v="3"/>
      <x v="8"/>
    </i>
    <i r="1">
      <x v="1089"/>
      <x v="141"/>
      <x v="880"/>
      <x v="24"/>
      <x v="25"/>
      <x v="1"/>
      <x v="3"/>
      <x v="2"/>
      <x/>
      <x v="74"/>
      <x v="21"/>
      <x v="8"/>
      <x v="8"/>
    </i>
    <i r="1">
      <x v="1090"/>
      <x v="739"/>
      <x v="459"/>
      <x v="7"/>
      <x v="49"/>
      <x v="15"/>
      <x v="3"/>
      <x v="4"/>
      <x v="1"/>
      <x v="76"/>
      <x v="5"/>
      <x v="28"/>
      <x v="4"/>
    </i>
    <i r="1">
      <x v="1091"/>
      <x v="1101"/>
      <x v="804"/>
      <x v="12"/>
      <x v="40"/>
      <x v="10"/>
      <x v="3"/>
      <x v="2"/>
      <x/>
      <x v="94"/>
      <x v="3"/>
      <x v="26"/>
      <x v="2"/>
    </i>
    <i r="1">
      <x v="1092"/>
      <x v="623"/>
      <x v="1048"/>
      <x v="18"/>
      <x v="67"/>
      <x v="3"/>
      <x v="3"/>
      <x v="2"/>
      <x/>
      <x v="89"/>
      <x v="6"/>
      <x v="32"/>
      <x v="6"/>
    </i>
    <i r="1">
      <x v="1094"/>
      <x v="1383"/>
      <x v="28"/>
      <x v="10"/>
      <x v="68"/>
      <x v="3"/>
      <x v="3"/>
      <x v="2"/>
      <x v="1"/>
      <x v="87"/>
      <x v="5"/>
      <x v="33"/>
      <x v="6"/>
    </i>
    <i r="1">
      <x v="1095"/>
      <x v="444"/>
      <x v="1238"/>
      <x v="2"/>
      <x v="51"/>
      <x v="1"/>
      <x v="3"/>
      <x v="2"/>
      <x/>
      <x v="71"/>
      <x v="4"/>
      <x v="3"/>
      <x v="8"/>
    </i>
    <i r="1">
      <x v="1097"/>
      <x v="1242"/>
      <x v="1273"/>
      <x v="18"/>
      <x v="18"/>
      <x v="3"/>
      <x v="3"/>
      <x v="4"/>
      <x v="1"/>
      <x v="82"/>
      <x v="6"/>
      <x v="32"/>
      <x v="6"/>
    </i>
    <i r="1">
      <x v="1103"/>
      <x v="2"/>
      <x v="1033"/>
      <x v="2"/>
      <x v="51"/>
      <x v="1"/>
      <x v="3"/>
      <x v="2"/>
      <x v="1"/>
      <x v="71"/>
      <x v="4"/>
      <x v="17"/>
      <x v="3"/>
    </i>
    <i r="1">
      <x v="1104"/>
      <x v="1079"/>
      <x v="495"/>
      <x v="1"/>
      <x v="24"/>
      <x v="1"/>
      <x v="3"/>
      <x v="4"/>
      <x v="1"/>
      <x v="83"/>
      <x v="4"/>
      <x v="3"/>
      <x v="8"/>
    </i>
    <i r="1">
      <x v="1107"/>
      <x v="266"/>
      <x v="696"/>
      <x v="5"/>
      <x v="44"/>
      <x v="1"/>
      <x v="3"/>
      <x v="2"/>
      <x/>
      <x v="75"/>
      <x v="5"/>
      <x v="3"/>
      <x v="8"/>
    </i>
    <i r="1">
      <x v="1109"/>
      <x v="964"/>
      <x v="1084"/>
      <x v="10"/>
      <x v="22"/>
      <x v="3"/>
      <x v="3"/>
      <x v="2"/>
      <x/>
      <x v="82"/>
      <x v="5"/>
      <x v="31"/>
      <x v="6"/>
    </i>
    <i r="1">
      <x v="1115"/>
      <x v="716"/>
      <x v="834"/>
      <x v="11"/>
      <x v="38"/>
      <x v="10"/>
      <x v="3"/>
      <x v="2"/>
      <x/>
      <x v="84"/>
      <x v="3"/>
      <x v="3"/>
      <x v="8"/>
    </i>
    <i r="1">
      <x v="1116"/>
      <x v="985"/>
      <x v="1061"/>
      <x v="5"/>
      <x v="44"/>
      <x v="1"/>
      <x v="3"/>
      <x v="2"/>
      <x/>
      <x v="75"/>
      <x v="5"/>
      <x v="3"/>
      <x v="8"/>
    </i>
    <i r="1">
      <x v="1117"/>
      <x v="110"/>
      <x v="243"/>
      <x v="22"/>
      <x v="61"/>
      <x v="1"/>
      <x v="3"/>
      <x v="2"/>
      <x/>
      <x v="95"/>
      <x v="21"/>
      <x v="7"/>
      <x v="8"/>
    </i>
    <i r="1">
      <x v="1119"/>
      <x v="106"/>
      <x v="532"/>
      <x/>
      <x v="24"/>
      <x v="1"/>
      <x v="3"/>
      <x v="2"/>
      <x/>
      <x v="83"/>
      <x v="4"/>
      <x v="26"/>
      <x v="2"/>
    </i>
    <i r="1">
      <x v="1122"/>
      <x v="82"/>
      <x v="464"/>
      <x v="25"/>
      <x v="17"/>
      <x v="10"/>
      <x v="3"/>
      <x v="4"/>
      <x v="1"/>
      <x v="96"/>
      <x v="23"/>
      <x v="6"/>
      <x v="8"/>
    </i>
    <i r="1">
      <x v="1123"/>
      <x v="1053"/>
      <x v="971"/>
      <x v="17"/>
      <x v="13"/>
      <x v="1"/>
      <x v="3"/>
      <x v="2"/>
      <x v="1"/>
      <x v="68"/>
      <x v="6"/>
      <x v="37"/>
      <x v="11"/>
    </i>
    <i r="1">
      <x v="1139"/>
      <x v="70"/>
      <x v="1341"/>
      <x v="22"/>
      <x v="61"/>
      <x v="1"/>
      <x v="3"/>
      <x v="4"/>
      <x v="1"/>
      <x v="95"/>
      <x v="21"/>
      <x v="8"/>
      <x v="8"/>
    </i>
    <i r="1">
      <x v="1141"/>
      <x v="121"/>
      <x v="736"/>
      <x v="23"/>
      <x v="13"/>
      <x v="1"/>
      <x v="3"/>
      <x v="2"/>
      <x/>
      <x v="68"/>
      <x v="21"/>
      <x v="37"/>
      <x v="11"/>
    </i>
    <i r="1">
      <x v="1142"/>
      <x v="740"/>
      <x v="467"/>
      <x v="24"/>
      <x v="49"/>
      <x v="15"/>
      <x v="3"/>
      <x v="2"/>
      <x/>
      <x v="69"/>
      <x v="21"/>
      <x v="28"/>
      <x v="4"/>
    </i>
    <i r="1">
      <x v="1143"/>
      <x v="521"/>
      <x v="1054"/>
      <x v="9"/>
      <x v="52"/>
      <x v="1"/>
      <x v="3"/>
      <x v="2"/>
      <x/>
      <x v="78"/>
      <x v="5"/>
      <x v="14"/>
      <x v="8"/>
    </i>
    <i r="1">
      <x v="1144"/>
      <x v="1337"/>
      <x v="3"/>
      <x v="10"/>
      <x v="67"/>
      <x v="3"/>
      <x v="3"/>
      <x v="2"/>
      <x/>
      <x v="72"/>
      <x v="5"/>
      <x v="32"/>
      <x v="6"/>
    </i>
    <i r="1">
      <x v="1145"/>
      <x/>
      <x v="1407"/>
      <x v="11"/>
      <x v="38"/>
      <x v="10"/>
      <x v="3"/>
      <x v="2"/>
      <x v="1"/>
      <x v="84"/>
      <x v="3"/>
      <x v="17"/>
      <x v="3"/>
    </i>
    <i r="1">
      <x v="1146"/>
      <x v="124"/>
      <x v="791"/>
      <x v="16"/>
      <x v="13"/>
      <x v="1"/>
      <x v="3"/>
      <x v="2"/>
      <x/>
      <x v="92"/>
      <x v="6"/>
      <x v="37"/>
      <x v="11"/>
    </i>
    <i r="1">
      <x v="1147"/>
      <x v="101"/>
      <x v="1226"/>
      <x v="26"/>
      <x v="63"/>
      <x v="10"/>
      <x v="3"/>
      <x v="2"/>
      <x/>
      <x v="97"/>
      <x v="23"/>
      <x v="3"/>
      <x v="8"/>
    </i>
    <i r="1">
      <x v="1150"/>
      <x v="580"/>
      <x v="70"/>
      <x v="16"/>
      <x v="22"/>
      <x v="3"/>
      <x v="3"/>
      <x v="2"/>
      <x/>
      <x v="82"/>
      <x v="6"/>
      <x v="3"/>
      <x v="8"/>
    </i>
    <i r="1">
      <x v="1151"/>
      <x v="84"/>
      <x v="479"/>
      <x v="11"/>
      <x v="38"/>
      <x v="10"/>
      <x v="3"/>
      <x v="2"/>
      <x/>
      <x v="84"/>
      <x v="3"/>
      <x v="3"/>
      <x v="8"/>
    </i>
    <i r="1">
      <x v="1152"/>
      <x v="347"/>
      <x v="799"/>
      <x v="23"/>
      <x v="61"/>
      <x v="1"/>
      <x v="3"/>
      <x v="4"/>
      <x v="1"/>
      <x v="95"/>
      <x v="21"/>
      <x v="6"/>
      <x v="8"/>
    </i>
    <i r="1">
      <x v="1154"/>
      <x v="477"/>
      <x v="477"/>
      <x v="16"/>
      <x v="22"/>
      <x v="3"/>
      <x v="3"/>
      <x v="2"/>
      <x/>
      <x v="82"/>
      <x v="6"/>
      <x v="3"/>
      <x v="8"/>
    </i>
    <i r="1">
      <x v="1155"/>
      <x v="1251"/>
      <x v="521"/>
      <x v="18"/>
      <x v="18"/>
      <x v="3"/>
      <x v="3"/>
      <x v="2"/>
      <x/>
      <x v="89"/>
      <x v="6"/>
      <x v="32"/>
      <x v="6"/>
    </i>
    <i r="1">
      <x v="1156"/>
      <x v="408"/>
      <x v="819"/>
      <x v="22"/>
      <x v="61"/>
      <x v="1"/>
      <x v="3"/>
      <x v="2"/>
      <x/>
      <x v="95"/>
      <x v="21"/>
      <x v="8"/>
      <x v="8"/>
    </i>
    <i r="1">
      <x v="1158"/>
      <x v="414"/>
      <x v="1325"/>
      <x v="24"/>
      <x v="25"/>
      <x v="1"/>
      <x v="3"/>
      <x v="2"/>
      <x/>
      <x v="74"/>
      <x v="21"/>
      <x v="34"/>
      <x v="1"/>
    </i>
    <i r="1">
      <x v="1159"/>
      <x v="113"/>
      <x v="466"/>
      <x v="24"/>
      <x v="25"/>
      <x v="1"/>
      <x v="3"/>
      <x v="2"/>
      <x/>
      <x v="74"/>
      <x v="21"/>
      <x v="34"/>
      <x v="1"/>
    </i>
    <i r="1">
      <x v="1160"/>
      <x v="620"/>
      <x v="462"/>
      <x/>
      <x v="75"/>
      <x v="6"/>
      <x v="2"/>
      <x v="2"/>
      <x/>
      <x v="81"/>
      <x v="4"/>
      <x v="26"/>
      <x v="2"/>
    </i>
    <i r="1">
      <x v="1161"/>
      <x v="615"/>
      <x v="1379"/>
      <x v="13"/>
      <x v="67"/>
      <x v="3"/>
      <x v="3"/>
      <x v="2"/>
      <x/>
      <x v="89"/>
      <x v="3"/>
      <x v="32"/>
      <x v="6"/>
    </i>
    <i r="1">
      <x v="1163"/>
      <x v="995"/>
      <x v="1190"/>
      <x v="18"/>
      <x v="68"/>
      <x v="3"/>
      <x v="3"/>
      <x v="2"/>
      <x/>
      <x v="87"/>
      <x v="6"/>
      <x v="32"/>
      <x v="6"/>
    </i>
    <i r="1">
      <x v="1164"/>
      <x v="826"/>
      <x v="209"/>
      <x v="9"/>
      <x v="52"/>
      <x v="1"/>
      <x v="3"/>
      <x v="2"/>
      <x/>
      <x v="78"/>
      <x v="5"/>
      <x v="14"/>
      <x v="8"/>
    </i>
    <i r="1">
      <x v="1165"/>
      <x v="78"/>
      <x v="160"/>
      <x v="15"/>
      <x v="84"/>
      <x v="10"/>
      <x v="3"/>
      <x v="4"/>
      <x v="1"/>
      <x v="76"/>
      <x v="6"/>
      <x v="3"/>
      <x v="8"/>
    </i>
    <i r="1">
      <x v="1167"/>
      <x v="85"/>
      <x v="492"/>
      <x v="25"/>
      <x v="17"/>
      <x v="10"/>
      <x v="3"/>
      <x v="2"/>
      <x/>
      <x v="96"/>
      <x v="23"/>
      <x v="6"/>
      <x v="8"/>
    </i>
    <i r="1">
      <x v="1169"/>
      <x v="1208"/>
      <x v="88"/>
      <x v="1"/>
      <x v="24"/>
      <x v="1"/>
      <x v="3"/>
      <x v="2"/>
      <x v="1"/>
      <x v="83"/>
      <x v="4"/>
      <x v="17"/>
      <x v="3"/>
    </i>
    <i r="1">
      <x v="1170"/>
      <x v="119"/>
      <x v="559"/>
      <x v="20"/>
      <x v="27"/>
      <x v="10"/>
      <x v="3"/>
      <x v="2"/>
      <x/>
      <x v="90"/>
      <x v="12"/>
      <x v="34"/>
      <x v="1"/>
    </i>
    <i r="1">
      <x v="1171"/>
      <x v="118"/>
      <x v="698"/>
      <x/>
      <x v="44"/>
      <x v="1"/>
      <x v="3"/>
      <x v="4"/>
      <x v="1"/>
      <x v="75"/>
      <x v="4"/>
      <x v="3"/>
      <x v="8"/>
    </i>
    <i r="1">
      <x v="1175"/>
      <x v="97"/>
      <x v="859"/>
      <x v="21"/>
      <x v="27"/>
      <x v="10"/>
      <x v="3"/>
      <x v="4"/>
      <x v="1"/>
      <x v="90"/>
      <x v="12"/>
      <x v="31"/>
      <x v="6"/>
    </i>
    <i r="1">
      <x v="1178"/>
      <x v="377"/>
      <x v="237"/>
      <x v="8"/>
      <x v="52"/>
      <x v="1"/>
      <x v="3"/>
      <x v="2"/>
      <x/>
      <x v="78"/>
      <x v="5"/>
      <x v="3"/>
      <x v="8"/>
    </i>
    <i r="1">
      <x v="1180"/>
      <x v="135"/>
      <x v="1170"/>
      <x v="2"/>
      <x v="51"/>
      <x v="1"/>
      <x v="3"/>
      <x v="2"/>
      <x/>
      <x v="71"/>
      <x v="4"/>
      <x v="6"/>
      <x v="8"/>
    </i>
    <i r="1">
      <x v="1181"/>
      <x v="348"/>
      <x v="394"/>
      <x v="21"/>
      <x v="27"/>
      <x v="10"/>
      <x v="3"/>
      <x v="4"/>
      <x v="1"/>
      <x v="90"/>
      <x v="12"/>
      <x v="31"/>
      <x v="6"/>
    </i>
    <i r="1">
      <x v="1182"/>
      <x v="1401"/>
      <x v="588"/>
      <x v="10"/>
      <x v="68"/>
      <x v="3"/>
      <x v="3"/>
      <x v="2"/>
      <x/>
      <x v="87"/>
      <x v="5"/>
      <x v="31"/>
      <x v="6"/>
    </i>
    <i r="1">
      <x v="1183"/>
      <x v="581"/>
      <x v="78"/>
      <x v="12"/>
      <x v="40"/>
      <x v="10"/>
      <x v="3"/>
      <x v="4"/>
      <x v="1"/>
      <x v="84"/>
      <x v="3"/>
      <x v="3"/>
      <x v="8"/>
    </i>
    <i r="1">
      <x v="1185"/>
      <x v="1394"/>
      <x v="878"/>
      <x v="13"/>
      <x v="67"/>
      <x v="3"/>
      <x v="3"/>
      <x v="2"/>
      <x/>
      <x v="73"/>
      <x v="3"/>
      <x v="33"/>
      <x v="6"/>
    </i>
    <i r="1">
      <x v="1188"/>
      <x v="1028"/>
      <x v="666"/>
      <x v="2"/>
      <x v="51"/>
      <x v="1"/>
      <x v="3"/>
      <x v="2"/>
      <x/>
      <x v="71"/>
      <x v="4"/>
      <x v="3"/>
      <x v="8"/>
    </i>
    <i r="1">
      <x v="1191"/>
      <x v="895"/>
      <x v="59"/>
      <x v="24"/>
      <x v="25"/>
      <x v="1"/>
      <x v="3"/>
      <x v="4"/>
      <x v="1"/>
      <x v="74"/>
      <x v="21"/>
      <x v="6"/>
      <x v="8"/>
    </i>
    <i r="1">
      <x v="1192"/>
      <x v="960"/>
      <x v="500"/>
      <x v="14"/>
      <x v="13"/>
      <x v="1"/>
      <x v="3"/>
      <x v="2"/>
      <x/>
      <x v="68"/>
      <x v="6"/>
      <x v="37"/>
      <x v="11"/>
    </i>
    <i r="1">
      <x v="1193"/>
      <x v="652"/>
      <x v="399"/>
      <x v="25"/>
      <x v="17"/>
      <x v="10"/>
      <x v="3"/>
      <x v="2"/>
      <x/>
      <x v="96"/>
      <x v="23"/>
      <x v="34"/>
      <x v="1"/>
    </i>
    <i r="1">
      <x v="1198"/>
      <x v="100"/>
      <x v="1128"/>
      <x v="7"/>
      <x v="57"/>
      <x v="1"/>
      <x v="3"/>
      <x v="4"/>
      <x v="1"/>
      <x v="69"/>
      <x v="5"/>
      <x v="3"/>
      <x v="8"/>
    </i>
    <i r="1">
      <x v="1203"/>
      <x v="80"/>
      <x v="217"/>
      <x/>
      <x v="24"/>
      <x v="1"/>
      <x v="3"/>
      <x v="1"/>
      <x v="1"/>
      <x v="83"/>
      <x v="4"/>
      <x v="6"/>
      <x v="8"/>
    </i>
    <i r="1">
      <x v="1205"/>
      <x v="525"/>
      <x v="332"/>
      <x v="24"/>
      <x v="25"/>
      <x v="1"/>
      <x v="3"/>
      <x v="2"/>
      <x/>
      <x v="74"/>
      <x v="21"/>
      <x v="5"/>
      <x v="10"/>
    </i>
    <i r="1">
      <x v="1206"/>
      <x v="125"/>
      <x v="792"/>
      <x v="23"/>
      <x v="61"/>
      <x v="1"/>
      <x v="3"/>
      <x v="2"/>
      <x/>
      <x v="95"/>
      <x v="21"/>
      <x v="34"/>
      <x v="1"/>
    </i>
    <i r="1">
      <x v="1207"/>
      <x v="77"/>
      <x v="145"/>
      <x v="25"/>
      <x v="17"/>
      <x v="10"/>
      <x v="3"/>
      <x v="2"/>
      <x/>
      <x v="96"/>
      <x v="23"/>
      <x v="5"/>
      <x v="10"/>
    </i>
    <i r="1">
      <x v="1209"/>
      <x v="197"/>
      <x v="360"/>
      <x v="25"/>
      <x v="17"/>
      <x v="10"/>
      <x v="3"/>
      <x v="2"/>
      <x/>
      <x v="96"/>
      <x v="23"/>
      <x v="6"/>
      <x v="8"/>
    </i>
    <i r="1">
      <x v="1212"/>
      <x v="131"/>
      <x v="1147"/>
      <x v="19"/>
      <x v="27"/>
      <x v="10"/>
      <x v="3"/>
      <x v="4"/>
      <x v="1"/>
      <x v="90"/>
      <x v="10"/>
      <x v="37"/>
      <x v="11"/>
    </i>
    <i r="1">
      <x v="1213"/>
      <x v="83"/>
      <x v="470"/>
      <x v="24"/>
      <x v="25"/>
      <x v="1"/>
      <x v="3"/>
      <x v="2"/>
      <x/>
      <x v="74"/>
      <x v="21"/>
      <x v="8"/>
      <x v="8"/>
    </i>
    <i r="1">
      <x v="1214"/>
      <x v="487"/>
      <x v="614"/>
      <x v="19"/>
      <x v="27"/>
      <x v="10"/>
      <x v="3"/>
      <x v="2"/>
      <x/>
      <x v="90"/>
      <x v="10"/>
      <x v="5"/>
      <x v="10"/>
    </i>
    <i r="1">
      <x v="1215"/>
      <x v="526"/>
      <x v="345"/>
      <x v="15"/>
      <x v="84"/>
      <x v="10"/>
      <x v="3"/>
      <x v="4"/>
      <x v="1"/>
      <x v="76"/>
      <x v="6"/>
      <x v="3"/>
      <x v="8"/>
    </i>
    <i r="1">
      <x v="1216"/>
      <x v="33"/>
      <x v="707"/>
      <x v="21"/>
      <x v="27"/>
      <x v="10"/>
      <x v="3"/>
      <x v="2"/>
      <x/>
      <x v="90"/>
      <x v="12"/>
      <x v="31"/>
      <x v="6"/>
    </i>
    <i r="1">
      <x v="1223"/>
      <x v="1023"/>
      <x v="506"/>
      <x v="22"/>
      <x v="13"/>
      <x v="1"/>
      <x v="3"/>
      <x v="2"/>
      <x v="1"/>
      <x v="68"/>
      <x v="21"/>
      <x v="37"/>
      <x v="11"/>
    </i>
    <i r="1">
      <x v="1227"/>
      <x v="143"/>
      <x v="368"/>
      <x v="22"/>
      <x v="86"/>
      <x v="6"/>
      <x v="2"/>
      <x v="2"/>
      <x v="1"/>
      <x v="85"/>
      <x v="21"/>
      <x v="35"/>
      <x v="2"/>
    </i>
    <i r="1">
      <x v="1231"/>
      <x v="1100"/>
      <x v="504"/>
      <x v="7"/>
      <x v="57"/>
      <x v="1"/>
      <x v="3"/>
      <x v="2"/>
      <x/>
      <x v="69"/>
      <x v="5"/>
      <x v="26"/>
      <x v="2"/>
    </i>
    <i r="1">
      <x v="1232"/>
      <x v="384"/>
      <x v="959"/>
      <x v="2"/>
      <x v="13"/>
      <x v="1"/>
      <x v="3"/>
      <x v="2"/>
      <x/>
      <x v="92"/>
      <x v="4"/>
      <x v="37"/>
      <x v="11"/>
    </i>
    <i r="1">
      <x v="1233"/>
      <x v="335"/>
      <x v="508"/>
      <x v="25"/>
      <x v="17"/>
      <x v="10"/>
      <x v="3"/>
      <x v="2"/>
      <x/>
      <x v="96"/>
      <x v="23"/>
      <x v="5"/>
      <x v="10"/>
    </i>
    <i r="1">
      <x v="1235"/>
      <x v="980"/>
      <x v="468"/>
      <x v="19"/>
      <x v="27"/>
      <x v="10"/>
      <x v="3"/>
      <x v="2"/>
      <x/>
      <x v="94"/>
      <x v="10"/>
      <x v="26"/>
      <x v="2"/>
    </i>
    <i r="1">
      <x v="1240"/>
      <x v="453"/>
      <x v="32"/>
      <x v="3"/>
      <x v="51"/>
      <x v="1"/>
      <x v="3"/>
      <x v="4"/>
      <x v="1"/>
      <x v="71"/>
      <x v="4"/>
      <x v="14"/>
      <x v="8"/>
    </i>
    <i r="1">
      <x v="1242"/>
      <x v="1343"/>
      <x v="1219"/>
      <x v="10"/>
      <x v="67"/>
      <x v="3"/>
      <x v="3"/>
      <x v="2"/>
      <x/>
      <x v="72"/>
      <x v="5"/>
      <x v="32"/>
      <x v="6"/>
    </i>
    <i r="1">
      <x v="1243"/>
      <x v="621"/>
      <x v="634"/>
      <x v="10"/>
      <x v="18"/>
      <x v="3"/>
      <x v="3"/>
      <x v="2"/>
      <x/>
      <x v="89"/>
      <x v="5"/>
      <x v="31"/>
      <x v="6"/>
    </i>
    <i r="1">
      <x v="1244"/>
      <x v="1325"/>
      <x v="823"/>
      <x v="13"/>
      <x v="67"/>
      <x v="3"/>
      <x v="3"/>
      <x v="2"/>
      <x/>
      <x v="73"/>
      <x v="3"/>
      <x v="32"/>
      <x v="6"/>
    </i>
    <i r="1">
      <x v="1248"/>
      <x v="522"/>
      <x v="114"/>
      <x v="7"/>
      <x v="57"/>
      <x v="1"/>
      <x v="3"/>
      <x v="2"/>
      <x/>
      <x v="75"/>
      <x v="5"/>
      <x v="3"/>
      <x v="8"/>
    </i>
    <i r="1">
      <x v="1252"/>
      <x v="196"/>
      <x v="427"/>
      <x v="25"/>
      <x v="63"/>
      <x v="10"/>
      <x v="3"/>
      <x v="2"/>
      <x/>
      <x v="97"/>
      <x v="23"/>
      <x v="6"/>
      <x v="8"/>
    </i>
    <i r="1">
      <x v="1255"/>
      <x v="616"/>
      <x v="163"/>
      <x v="26"/>
      <x v="63"/>
      <x v="10"/>
      <x v="3"/>
      <x v="2"/>
      <x/>
      <x v="93"/>
      <x v="23"/>
      <x v="37"/>
      <x v="11"/>
    </i>
    <i r="1">
      <x v="1256"/>
      <x v="90"/>
      <x v="528"/>
      <x v="25"/>
      <x v="17"/>
      <x v="10"/>
      <x v="3"/>
      <x v="4"/>
      <x v="1"/>
      <x v="96"/>
      <x v="23"/>
      <x v="6"/>
      <x v="8"/>
    </i>
    <i r="1">
      <x v="1257"/>
      <x v="56"/>
      <x v="1097"/>
      <x v="23"/>
      <x v="61"/>
      <x v="1"/>
      <x v="3"/>
      <x v="2"/>
      <x/>
      <x v="95"/>
      <x v="21"/>
      <x v="8"/>
      <x v="8"/>
    </i>
    <i r="1">
      <x v="1260"/>
      <x v="912"/>
      <x v="164"/>
      <x v="24"/>
      <x v="13"/>
      <x v="1"/>
      <x v="3"/>
      <x v="2"/>
      <x/>
      <x v="68"/>
      <x v="21"/>
      <x v="37"/>
      <x v="11"/>
    </i>
    <i r="1">
      <x v="1261"/>
      <x v="1289"/>
      <x v="946"/>
      <x v="6"/>
      <x v="13"/>
      <x v="1"/>
      <x v="3"/>
      <x v="2"/>
      <x v="1"/>
      <x v="69"/>
      <x v="5"/>
      <x v="21"/>
      <x v="2"/>
    </i>
    <i r="1">
      <x v="1263"/>
      <x v="1169"/>
      <x v="787"/>
      <x/>
      <x v="76"/>
      <x v="14"/>
      <x v="5"/>
      <x v="2"/>
      <x v="1"/>
      <x v="83"/>
      <x v="4"/>
      <x v="21"/>
      <x v="2"/>
    </i>
    <i r="1">
      <x v="1266"/>
      <x v="916"/>
      <x v="397"/>
      <x v="5"/>
      <x v="44"/>
      <x v="1"/>
      <x v="3"/>
      <x v="2"/>
      <x/>
      <x v="75"/>
      <x v="5"/>
      <x v="26"/>
      <x v="2"/>
    </i>
    <i r="1">
      <x v="1268"/>
      <x v="37"/>
      <x v="1410"/>
      <x v="19"/>
      <x v="27"/>
      <x v="10"/>
      <x v="3"/>
      <x v="4"/>
      <x v="1"/>
      <x v="90"/>
      <x v="10"/>
      <x v="17"/>
      <x v="3"/>
    </i>
    <i r="1">
      <x v="1269"/>
      <x v="437"/>
      <x v="530"/>
      <x v="26"/>
      <x v="63"/>
      <x v="10"/>
      <x v="3"/>
      <x v="2"/>
      <x/>
      <x v="97"/>
      <x v="23"/>
      <x v="40"/>
      <x v="10"/>
    </i>
    <i r="1">
      <x v="1270"/>
      <x v="74"/>
      <x v="109"/>
      <x v="9"/>
      <x v="52"/>
      <x v="1"/>
      <x v="3"/>
      <x v="2"/>
      <x/>
      <x v="78"/>
      <x v="5"/>
      <x v="26"/>
      <x v="2"/>
    </i>
    <i r="1">
      <x v="1274"/>
      <x v="1167"/>
      <x v="516"/>
      <x v="26"/>
      <x v="63"/>
      <x v="10"/>
      <x v="3"/>
      <x v="4"/>
      <x v="1"/>
      <x v="97"/>
      <x v="23"/>
      <x v="26"/>
      <x v="2"/>
    </i>
    <i r="1">
      <x v="1275"/>
      <x v="1037"/>
      <x v="650"/>
      <x v="16"/>
      <x v="49"/>
      <x v="15"/>
      <x v="3"/>
      <x v="2"/>
      <x/>
      <x v="95"/>
      <x v="6"/>
      <x v="29"/>
      <x v="4"/>
    </i>
    <i r="1">
      <x v="1280"/>
      <x v="962"/>
      <x v="522"/>
      <x v="1"/>
      <x v="13"/>
      <x v="1"/>
      <x v="3"/>
      <x v="4"/>
      <x v="1"/>
      <x v="68"/>
      <x v="4"/>
      <x v="37"/>
      <x v="11"/>
    </i>
    <i r="1">
      <x v="1287"/>
      <x v="341"/>
      <x v="741"/>
      <x v="22"/>
      <x v="61"/>
      <x v="1"/>
      <x v="3"/>
      <x v="2"/>
      <x/>
      <x v="95"/>
      <x v="21"/>
      <x v="26"/>
      <x v="2"/>
    </i>
    <i r="1">
      <x v="1289"/>
      <x v="22"/>
      <x v="1178"/>
      <x v="19"/>
      <x v="27"/>
      <x v="10"/>
      <x v="3"/>
      <x v="2"/>
      <x/>
      <x v="90"/>
      <x v="10"/>
      <x v="6"/>
      <x v="8"/>
    </i>
    <i r="1">
      <x v="1291"/>
      <x v="686"/>
      <x v="1198"/>
      <x/>
      <x v="24"/>
      <x v="1"/>
      <x v="3"/>
      <x v="2"/>
      <x/>
      <x v="83"/>
      <x v="4"/>
      <x v="34"/>
      <x v="1"/>
    </i>
    <i r="1">
      <x v="1294"/>
      <x v="1065"/>
      <x v="314"/>
      <x v="16"/>
      <x v="22"/>
      <x v="3"/>
      <x v="3"/>
      <x v="2"/>
      <x/>
      <x v="82"/>
      <x v="6"/>
      <x v="26"/>
      <x v="2"/>
    </i>
    <i r="1">
      <x v="1298"/>
      <x v="261"/>
      <x v="939"/>
      <x v="26"/>
      <x v="63"/>
      <x v="10"/>
      <x v="3"/>
      <x v="2"/>
      <x v="1"/>
      <x v="97"/>
      <x v="23"/>
      <x v="37"/>
      <x v="11"/>
    </i>
    <i r="1">
      <x v="1300"/>
      <x v="1350"/>
      <x v="534"/>
      <x v="18"/>
      <x v="18"/>
      <x v="3"/>
      <x v="3"/>
      <x v="2"/>
      <x/>
      <x v="89"/>
      <x v="6"/>
      <x v="32"/>
      <x v="6"/>
    </i>
    <i r="1">
      <x v="1303"/>
      <x v="672"/>
      <x v="1185"/>
      <x v="19"/>
      <x v="27"/>
      <x v="10"/>
      <x v="3"/>
      <x v="2"/>
      <x/>
      <x v="90"/>
      <x v="10"/>
      <x v="5"/>
      <x v="10"/>
    </i>
    <i r="1">
      <x v="1304"/>
      <x v="128"/>
      <x v="894"/>
      <x v="10"/>
      <x v="44"/>
      <x v="1"/>
      <x v="3"/>
      <x v="4"/>
      <x v="1"/>
      <x v="79"/>
      <x v="5"/>
      <x v="31"/>
      <x v="6"/>
    </i>
    <i r="1">
      <x v="1306"/>
      <x v="1099"/>
      <x v="810"/>
      <x v="12"/>
      <x v="84"/>
      <x v="10"/>
      <x v="3"/>
      <x v="2"/>
      <x/>
      <x v="76"/>
      <x v="3"/>
      <x v="26"/>
      <x v="2"/>
    </i>
    <i r="1">
      <x v="1307"/>
      <x v="887"/>
      <x v="737"/>
      <x v="5"/>
      <x v="40"/>
      <x v="10"/>
      <x v="3"/>
      <x v="4"/>
      <x v="1"/>
      <x v="94"/>
      <x v="5"/>
      <x v="3"/>
      <x v="8"/>
    </i>
    <i r="1">
      <x v="1310"/>
      <x v="1238"/>
      <x v="781"/>
      <x v="10"/>
      <x v="67"/>
      <x v="3"/>
      <x v="3"/>
      <x v="2"/>
      <x/>
      <x v="82"/>
      <x v="5"/>
      <x v="31"/>
      <x v="6"/>
    </i>
    <i r="1">
      <x v="1312"/>
      <x v="630"/>
      <x v="1148"/>
      <x v="25"/>
      <x v="63"/>
      <x v="10"/>
      <x v="3"/>
      <x v="2"/>
      <x/>
      <x v="97"/>
      <x v="23"/>
      <x v="6"/>
      <x v="8"/>
    </i>
    <i r="1">
      <x v="1313"/>
      <x v="744"/>
      <x v="902"/>
      <x v="16"/>
      <x v="49"/>
      <x v="15"/>
      <x v="3"/>
      <x v="4"/>
      <x v="1"/>
      <x v="94"/>
      <x v="6"/>
      <x v="28"/>
      <x v="4"/>
    </i>
    <i r="1">
      <x v="1316"/>
      <x v="1246"/>
      <x v="21"/>
      <x v="4"/>
      <x v="18"/>
      <x v="3"/>
      <x v="3"/>
      <x v="2"/>
      <x/>
      <x v="89"/>
      <x v="4"/>
      <x v="32"/>
      <x v="6"/>
    </i>
    <i r="1">
      <x v="1318"/>
      <x v="1141"/>
      <x v="200"/>
      <x v="5"/>
      <x v="57"/>
      <x v="1"/>
      <x v="3"/>
      <x v="2"/>
      <x/>
      <x v="75"/>
      <x v="5"/>
      <x v="26"/>
      <x v="2"/>
    </i>
    <i r="1">
      <x v="1319"/>
      <x v="646"/>
      <x v="862"/>
      <x v="22"/>
      <x v="13"/>
      <x v="1"/>
      <x v="3"/>
      <x v="2"/>
      <x/>
      <x v="68"/>
      <x v="21"/>
      <x v="37"/>
      <x v="11"/>
    </i>
    <i r="1">
      <x v="1320"/>
      <x v="1340"/>
      <x v="211"/>
      <x v="13"/>
      <x v="67"/>
      <x v="3"/>
      <x v="3"/>
      <x v="2"/>
      <x/>
      <x v="72"/>
      <x v="3"/>
      <x v="32"/>
      <x v="6"/>
    </i>
    <i r="1">
      <x v="1322"/>
      <x v="1388"/>
      <x v="519"/>
      <x v="13"/>
      <x v="67"/>
      <x v="3"/>
      <x v="3"/>
      <x v="2"/>
      <x/>
      <x v="73"/>
      <x v="3"/>
      <x v="33"/>
      <x v="6"/>
    </i>
    <i r="1">
      <x v="1325"/>
      <x v="536"/>
      <x v="778"/>
      <x v="17"/>
      <x v="22"/>
      <x v="3"/>
      <x v="3"/>
      <x v="2"/>
      <x/>
      <x v="82"/>
      <x v="6"/>
      <x v="3"/>
      <x v="8"/>
    </i>
    <i r="1">
      <x v="1326"/>
      <x v="903"/>
      <x v="420"/>
      <x/>
      <x v="24"/>
      <x v="1"/>
      <x v="3"/>
      <x v="2"/>
      <x/>
      <x v="83"/>
      <x v="4"/>
      <x v="3"/>
      <x v="8"/>
    </i>
    <i r="1">
      <x v="1327"/>
      <x v="53"/>
      <x v="753"/>
      <x/>
      <x v="24"/>
      <x v="1"/>
      <x v="3"/>
      <x v="2"/>
      <x/>
      <x v="83"/>
      <x v="4"/>
      <x v="3"/>
      <x v="8"/>
    </i>
    <i r="1">
      <x v="1329"/>
      <x v="1055"/>
      <x v="460"/>
      <x v="3"/>
      <x v="51"/>
      <x v="1"/>
      <x v="3"/>
      <x v="2"/>
      <x/>
      <x v="71"/>
      <x v="4"/>
      <x v="26"/>
      <x v="2"/>
    </i>
    <i r="1">
      <x v="1333"/>
      <x v="1102"/>
      <x v="549"/>
      <x v="25"/>
      <x v="17"/>
      <x v="10"/>
      <x v="3"/>
      <x v="2"/>
      <x/>
      <x v="96"/>
      <x v="23"/>
      <x v="26"/>
      <x v="2"/>
    </i>
    <i r="1">
      <x v="1334"/>
      <x v="1338"/>
      <x v="50"/>
      <x v="10"/>
      <x v="67"/>
      <x v="3"/>
      <x v="3"/>
      <x v="2"/>
      <x/>
      <x v="72"/>
      <x v="5"/>
      <x v="31"/>
      <x v="6"/>
    </i>
    <i r="1">
      <x v="1336"/>
      <x v="38"/>
      <x v="1111"/>
      <x v="10"/>
      <x v="67"/>
      <x v="3"/>
      <x v="3"/>
      <x v="3"/>
      <x v="1"/>
      <x v="72"/>
      <x v="5"/>
      <x v="31"/>
      <x v="6"/>
    </i>
    <i r="2">
      <x v="79"/>
      <x v="192"/>
      <x v="16"/>
      <x v="22"/>
      <x v="3"/>
      <x v="3"/>
      <x v="3"/>
      <x v="1"/>
      <x v="82"/>
      <x v="6"/>
      <x v="3"/>
      <x v="8"/>
    </i>
    <i r="2">
      <x v="87"/>
      <x v="201"/>
      <x v="23"/>
      <x v="61"/>
      <x v="1"/>
      <x v="3"/>
      <x v="3"/>
      <x v="1"/>
      <x v="92"/>
      <x v="21"/>
      <x v="8"/>
      <x v="8"/>
    </i>
    <i r="2">
      <x v="93"/>
      <x v="536"/>
      <x v="20"/>
      <x v="27"/>
      <x v="10"/>
      <x v="3"/>
      <x v="3"/>
      <x v="1"/>
      <x v="90"/>
      <x v="12"/>
      <x v="36"/>
      <x v="11"/>
    </i>
    <i r="2">
      <x v="94"/>
      <x v="558"/>
      <x v="1"/>
      <x v="24"/>
      <x v="1"/>
      <x v="3"/>
      <x v="3"/>
      <x v="1"/>
      <x v="83"/>
      <x v="4"/>
      <x v="3"/>
      <x v="8"/>
    </i>
    <i r="2">
      <x v="200"/>
      <x v="168"/>
      <x v="12"/>
      <x v="40"/>
      <x v="10"/>
      <x v="3"/>
      <x v="3"/>
      <x v="1"/>
      <x v="94"/>
      <x v="3"/>
      <x v="3"/>
      <x v="8"/>
    </i>
    <i r="2">
      <x v="336"/>
      <x v="146"/>
      <x v="22"/>
      <x v="61"/>
      <x v="1"/>
      <x v="3"/>
      <x v="3"/>
      <x v="1"/>
      <x v="95"/>
      <x v="21"/>
      <x v="8"/>
      <x v="8"/>
    </i>
    <i r="2">
      <x v="358"/>
      <x v="476"/>
      <x v="13"/>
      <x v="68"/>
      <x v="3"/>
      <x v="3"/>
      <x v="3"/>
      <x v="1"/>
      <x v="84"/>
      <x v="3"/>
      <x v="31"/>
      <x v="6"/>
    </i>
    <i r="2">
      <x v="410"/>
      <x v="143"/>
      <x/>
      <x v="24"/>
      <x v="1"/>
      <x v="3"/>
      <x v="3"/>
      <x v="1"/>
      <x v="83"/>
      <x v="4"/>
      <x v="3"/>
      <x v="8"/>
    </i>
    <i r="2">
      <x v="439"/>
      <x v="735"/>
      <x v="12"/>
      <x v="38"/>
      <x v="10"/>
      <x v="3"/>
      <x v="3"/>
      <x v="1"/>
      <x v="69"/>
      <x v="3"/>
      <x v="3"/>
      <x v="8"/>
    </i>
    <i r="2">
      <x v="527"/>
      <x v="42"/>
      <x v="20"/>
      <x v="31"/>
      <x v="13"/>
      <x v="2"/>
      <x v="3"/>
      <x v="1"/>
      <x v="85"/>
      <x v="12"/>
      <x v="35"/>
      <x v="2"/>
    </i>
    <i r="2">
      <x v="582"/>
      <x v="1002"/>
      <x v="16"/>
      <x v="22"/>
      <x v="3"/>
      <x v="3"/>
      <x v="3"/>
      <x v="1"/>
      <x v="82"/>
      <x v="6"/>
      <x v="3"/>
      <x v="8"/>
    </i>
    <i r="2">
      <x v="631"/>
      <x v="1199"/>
      <x v="20"/>
      <x v="27"/>
      <x v="10"/>
      <x v="3"/>
      <x v="3"/>
      <x v="1"/>
      <x v="90"/>
      <x v="12"/>
      <x v="8"/>
      <x v="8"/>
    </i>
    <i r="2">
      <x v="708"/>
      <x v="916"/>
      <x v="11"/>
      <x v="38"/>
      <x v="10"/>
      <x v="3"/>
      <x v="3"/>
      <x v="1"/>
      <x v="84"/>
      <x v="3"/>
      <x v="26"/>
      <x v="2"/>
    </i>
    <i r="2">
      <x v="714"/>
      <x v="184"/>
      <x v="2"/>
      <x v="51"/>
      <x v="1"/>
      <x v="3"/>
      <x v="3"/>
      <x v="1"/>
      <x v="71"/>
      <x v="4"/>
      <x v="3"/>
      <x v="8"/>
    </i>
    <i r="2">
      <x v="783"/>
      <x v="456"/>
      <x v="19"/>
      <x v="27"/>
      <x v="10"/>
      <x v="3"/>
      <x v="3"/>
      <x v="1"/>
      <x v="90"/>
      <x v="10"/>
      <x v="3"/>
      <x v="8"/>
    </i>
    <i r="2">
      <x v="804"/>
      <x v="1139"/>
      <x v="16"/>
      <x v="49"/>
      <x v="15"/>
      <x v="3"/>
      <x v="3"/>
      <x v="1"/>
      <x v="78"/>
      <x v="6"/>
      <x v="28"/>
      <x v="4"/>
    </i>
    <i r="2">
      <x v="849"/>
      <x v="869"/>
      <x/>
      <x v="24"/>
      <x v="1"/>
      <x v="3"/>
      <x v="3"/>
      <x v="1"/>
      <x v="68"/>
      <x v="4"/>
      <x v="26"/>
      <x v="2"/>
    </i>
    <i r="2">
      <x v="880"/>
      <x v="525"/>
      <x v="15"/>
      <x v="84"/>
      <x v="10"/>
      <x v="3"/>
      <x v="3"/>
      <x v="1"/>
      <x v="76"/>
      <x v="6"/>
      <x v="3"/>
      <x v="8"/>
    </i>
    <i r="2">
      <x v="884"/>
      <x v="1060"/>
      <x v="2"/>
      <x v="50"/>
      <x v="15"/>
      <x v="3"/>
      <x v="3"/>
      <x v="1"/>
      <x v="80"/>
      <x v="4"/>
      <x v="26"/>
      <x v="2"/>
    </i>
    <i r="2">
      <x v="888"/>
      <x v="545"/>
      <x v="3"/>
      <x v="51"/>
      <x v="1"/>
      <x v="3"/>
      <x v="3"/>
      <x v="1"/>
      <x v="71"/>
      <x v="4"/>
      <x v="6"/>
      <x v="8"/>
    </i>
    <i r="2">
      <x v="992"/>
      <x v="1118"/>
      <x v="3"/>
      <x v="51"/>
      <x v="1"/>
      <x v="3"/>
      <x v="3"/>
      <x v="1"/>
      <x v="71"/>
      <x v="4"/>
      <x v="14"/>
      <x v="8"/>
    </i>
    <i r="2">
      <x v="1176"/>
      <x v="527"/>
      <x v="19"/>
      <x v="78"/>
      <x v="13"/>
      <x v="2"/>
      <x v="3"/>
      <x v="1"/>
      <x v="88"/>
      <x v="10"/>
      <x v="26"/>
      <x v="2"/>
    </i>
    <i r="2">
      <x v="1187"/>
      <x v="947"/>
      <x v="19"/>
      <x v="64"/>
      <x v="15"/>
      <x v="3"/>
      <x v="3"/>
      <x v="1"/>
      <x v="70"/>
      <x v="10"/>
      <x v="26"/>
      <x v="2"/>
    </i>
    <i r="2">
      <x v="1239"/>
      <x v="815"/>
      <x v="18"/>
      <x v="67"/>
      <x v="3"/>
      <x v="3"/>
      <x v="3"/>
      <x v="1"/>
      <x v="82"/>
      <x v="6"/>
      <x v="31"/>
      <x v="6"/>
    </i>
    <i r="2">
      <x v="1253"/>
      <x v="795"/>
      <x v="10"/>
      <x v="18"/>
      <x v="3"/>
      <x v="3"/>
      <x v="3"/>
      <x v="1"/>
      <x v="89"/>
      <x v="5"/>
      <x v="31"/>
      <x v="6"/>
    </i>
    <i r="2">
      <x v="1264"/>
      <x v="940"/>
      <x v="12"/>
      <x v="40"/>
      <x v="10"/>
      <x v="3"/>
      <x v="3"/>
      <x v="1"/>
      <x v="94"/>
      <x v="3"/>
      <x v="3"/>
      <x v="8"/>
    </i>
    <i r="2">
      <x v="1265"/>
      <x v="199"/>
      <x v="15"/>
      <x v="84"/>
      <x v="10"/>
      <x v="3"/>
      <x v="3"/>
      <x v="1"/>
      <x v="76"/>
      <x v="6"/>
      <x v="3"/>
      <x v="8"/>
    </i>
    <i r="2">
      <x v="1287"/>
      <x v="710"/>
      <x v="8"/>
      <x v="52"/>
      <x v="1"/>
      <x v="3"/>
      <x v="3"/>
      <x v="1"/>
      <x v="78"/>
      <x v="5"/>
      <x v="6"/>
      <x v="8"/>
    </i>
    <i r="2">
      <x v="1288"/>
      <x v="83"/>
      <x v="15"/>
      <x v="84"/>
      <x v="10"/>
      <x v="3"/>
      <x v="3"/>
      <x v="1"/>
      <x v="77"/>
      <x v="6"/>
      <x v="3"/>
      <x v="8"/>
    </i>
    <i r="2">
      <x v="1290"/>
      <x v="980"/>
      <x v="9"/>
      <x v="52"/>
      <x v="1"/>
      <x v="3"/>
      <x v="3"/>
      <x v="1"/>
      <x v="78"/>
      <x v="5"/>
      <x v="6"/>
      <x v="8"/>
    </i>
    <i r="2">
      <x v="1291"/>
      <x v="661"/>
      <x v="8"/>
      <x v="52"/>
      <x v="1"/>
      <x v="3"/>
      <x v="3"/>
      <x v="1"/>
      <x v="78"/>
      <x v="5"/>
      <x v="3"/>
      <x v="8"/>
    </i>
    <i r="2">
      <x v="1296"/>
      <x v="401"/>
      <x v="5"/>
      <x v="44"/>
      <x v="1"/>
      <x v="3"/>
      <x v="3"/>
      <x v="1"/>
      <x v="84"/>
      <x v="5"/>
      <x v="3"/>
      <x v="8"/>
    </i>
    <i r="2">
      <x v="1298"/>
      <x v="1282"/>
      <x v="5"/>
      <x v="44"/>
      <x v="1"/>
      <x v="3"/>
      <x v="3"/>
      <x v="1"/>
      <x v="78"/>
      <x v="5"/>
      <x v="3"/>
      <x v="8"/>
    </i>
    <i r="2">
      <x v="1320"/>
      <x v="817"/>
      <x v="13"/>
      <x v="68"/>
      <x v="3"/>
      <x v="3"/>
      <x v="3"/>
      <x v="1"/>
      <x v="87"/>
      <x v="3"/>
      <x v="31"/>
      <x v="6"/>
    </i>
    <i r="2">
      <x v="1342"/>
      <x v="889"/>
      <x v="10"/>
      <x v="67"/>
      <x v="3"/>
      <x v="3"/>
      <x v="3"/>
      <x v="1"/>
      <x v="72"/>
      <x v="5"/>
      <x v="31"/>
      <x v="6"/>
    </i>
    <i r="2">
      <x v="1346"/>
      <x v="122"/>
      <x v="10"/>
      <x v="18"/>
      <x v="3"/>
      <x v="3"/>
      <x v="3"/>
      <x v="1"/>
      <x v="79"/>
      <x v="5"/>
      <x v="31"/>
      <x v="6"/>
    </i>
    <i r="2">
      <x v="1353"/>
      <x v="1018"/>
      <x v="10"/>
      <x v="18"/>
      <x v="3"/>
      <x v="3"/>
      <x v="3"/>
      <x v="1"/>
      <x v="79"/>
      <x v="5"/>
      <x v="31"/>
      <x v="6"/>
    </i>
    <i r="2">
      <x v="1390"/>
      <x v="1319"/>
      <x v="4"/>
      <x v="20"/>
      <x v="3"/>
      <x v="3"/>
      <x v="3"/>
      <x v="1"/>
      <x v="64"/>
      <x v="4"/>
      <x v="31"/>
      <x v="6"/>
    </i>
    <i r="2">
      <x v="1398"/>
      <x v="438"/>
      <x v="18"/>
      <x v="20"/>
      <x v="3"/>
      <x v="3"/>
      <x v="3"/>
      <x v="1"/>
      <x v="89"/>
      <x v="6"/>
      <x v="33"/>
      <x v="6"/>
    </i>
    <i>
      <x v="1"/>
      <x v="69"/>
      <x v="313"/>
      <x v="1320"/>
      <x v="34"/>
      <x v="80"/>
      <x v="16"/>
      <x v="6"/>
      <x v="2"/>
      <x/>
      <x v="45"/>
      <x v="19"/>
      <x v="6"/>
      <x v="8"/>
    </i>
    <i r="1">
      <x v="72"/>
      <x v="569"/>
      <x v="395"/>
      <x v="28"/>
      <x v="53"/>
      <x v="16"/>
      <x v="6"/>
      <x v="2"/>
      <x/>
      <x v="37"/>
      <x v="2"/>
      <x v="8"/>
      <x v="8"/>
    </i>
    <i r="1">
      <x v="74"/>
      <x v="239"/>
      <x v="502"/>
      <x v="29"/>
      <x v="42"/>
      <x v="16"/>
      <x v="6"/>
      <x v="2"/>
      <x/>
      <x v="39"/>
      <x v="11"/>
      <x v="6"/>
      <x v="8"/>
    </i>
    <i r="1">
      <x v="94"/>
      <x v="981"/>
      <x v="858"/>
      <x v="32"/>
      <x v="35"/>
      <x v="16"/>
      <x v="6"/>
      <x v="2"/>
      <x v="1"/>
      <x v="38"/>
      <x v="11"/>
      <x v="3"/>
      <x v="8"/>
    </i>
    <i r="1">
      <x v="99"/>
      <x v="317"/>
      <x v="990"/>
      <x v="27"/>
      <x v="53"/>
      <x v="16"/>
      <x v="6"/>
      <x v="2"/>
      <x/>
      <x v="37"/>
      <x v="2"/>
      <x v="3"/>
      <x v="8"/>
    </i>
    <i r="1">
      <x v="103"/>
      <x v="790"/>
      <x v="758"/>
      <x v="27"/>
      <x v="53"/>
      <x v="16"/>
      <x v="6"/>
      <x v="2"/>
      <x/>
      <x v="37"/>
      <x v="2"/>
      <x v="6"/>
      <x v="8"/>
    </i>
    <i r="1">
      <x v="106"/>
      <x v="1147"/>
      <x v="1062"/>
      <x v="30"/>
      <x v="72"/>
      <x v="16"/>
      <x v="6"/>
      <x v="2"/>
      <x/>
      <x v="36"/>
      <x v="11"/>
      <x v="25"/>
      <x v="1"/>
    </i>
    <i r="1">
      <x v="115"/>
      <x v="736"/>
      <x v="408"/>
      <x v="32"/>
      <x v="39"/>
      <x v="16"/>
      <x v="6"/>
      <x v="2"/>
      <x/>
      <x v="48"/>
      <x v="11"/>
      <x v="37"/>
      <x v="11"/>
    </i>
    <i r="1">
      <x v="134"/>
      <x v="592"/>
      <x v="1361"/>
      <x v="31"/>
      <x v="72"/>
      <x v="16"/>
      <x v="6"/>
      <x v="2"/>
      <x/>
      <x v="36"/>
      <x v="11"/>
      <x v="6"/>
      <x v="8"/>
    </i>
    <i r="1">
      <x v="135"/>
      <x v="900"/>
      <x v="913"/>
      <x v="32"/>
      <x v="35"/>
      <x v="16"/>
      <x v="6"/>
      <x v="4"/>
      <x v="1"/>
      <x v="48"/>
      <x v="11"/>
      <x v="6"/>
      <x v="8"/>
    </i>
    <i r="1">
      <x v="136"/>
      <x v="717"/>
      <x v="853"/>
      <x v="33"/>
      <x v="39"/>
      <x v="16"/>
      <x v="6"/>
      <x v="2"/>
      <x/>
      <x v="1"/>
      <x v="11"/>
      <x v="25"/>
      <x v="1"/>
    </i>
    <i r="1">
      <x v="145"/>
      <x v="545"/>
      <x v="1358"/>
      <x v="28"/>
      <x v="39"/>
      <x v="16"/>
      <x v="6"/>
      <x v="2"/>
      <x/>
      <x v="42"/>
      <x v="2"/>
      <x v="37"/>
      <x v="11"/>
    </i>
    <i r="1">
      <x v="148"/>
      <x v="858"/>
      <x v="1035"/>
      <x v="29"/>
      <x v="42"/>
      <x v="16"/>
      <x v="6"/>
      <x v="2"/>
      <x/>
      <x v="39"/>
      <x v="11"/>
      <x v="29"/>
      <x v="4"/>
    </i>
    <i r="1">
      <x v="149"/>
      <x v="924"/>
      <x v="189"/>
      <x v="30"/>
      <x v="39"/>
      <x v="16"/>
      <x v="6"/>
      <x v="2"/>
      <x/>
      <x v="1"/>
      <x v="11"/>
      <x v="37"/>
      <x v="11"/>
    </i>
    <i r="1">
      <x v="150"/>
      <x v="1036"/>
      <x v="259"/>
      <x v="27"/>
      <x v="53"/>
      <x v="16"/>
      <x v="6"/>
      <x v="1"/>
      <x v="1"/>
      <x v="46"/>
      <x v="2"/>
      <x v="28"/>
      <x v="4"/>
    </i>
    <i r="1">
      <x v="154"/>
      <x v="982"/>
      <x v="881"/>
      <x v="32"/>
      <x v="35"/>
      <x v="16"/>
      <x v="6"/>
      <x v="4"/>
      <x v="1"/>
      <x v="48"/>
      <x v="11"/>
      <x v="29"/>
      <x v="4"/>
    </i>
    <i r="1">
      <x v="167"/>
      <x v="452"/>
      <x v="1196"/>
      <x v="30"/>
      <x v="72"/>
      <x v="16"/>
      <x v="6"/>
      <x v="2"/>
      <x/>
      <x v="36"/>
      <x v="11"/>
      <x v="28"/>
      <x v="4"/>
    </i>
    <i r="1">
      <x v="170"/>
      <x v="1304"/>
      <x v="176"/>
      <x v="28"/>
      <x v="53"/>
      <x v="16"/>
      <x v="6"/>
      <x v="2"/>
      <x/>
      <x v="37"/>
      <x v="2"/>
      <x v="3"/>
      <x v="8"/>
    </i>
    <i r="1">
      <x v="171"/>
      <x v="1351"/>
      <x v="697"/>
      <x v="33"/>
      <x v="39"/>
      <x v="16"/>
      <x v="6"/>
      <x v="2"/>
      <x/>
      <x v="2"/>
      <x v="11"/>
      <x v="37"/>
      <x v="11"/>
    </i>
    <i r="1">
      <x v="194"/>
      <x v="236"/>
      <x v="1081"/>
      <x v="28"/>
      <x v="53"/>
      <x v="16"/>
      <x v="6"/>
      <x v="2"/>
      <x/>
      <x v="37"/>
      <x v="2"/>
      <x v="25"/>
      <x v="1"/>
    </i>
    <i r="1">
      <x v="197"/>
      <x v="475"/>
      <x v="552"/>
      <x v="30"/>
      <x v="72"/>
      <x v="16"/>
      <x v="6"/>
      <x v="2"/>
      <x/>
      <x v="36"/>
      <x v="11"/>
      <x v="3"/>
      <x v="8"/>
    </i>
    <i r="1">
      <x v="202"/>
      <x v="827"/>
      <x v="1108"/>
      <x v="27"/>
      <x v="53"/>
      <x v="16"/>
      <x v="6"/>
      <x v="2"/>
      <x/>
      <x v="37"/>
      <x v="2"/>
      <x v="21"/>
      <x v="2"/>
    </i>
    <i r="1">
      <x v="214"/>
      <x v="755"/>
      <x v="757"/>
      <x v="31"/>
      <x v="72"/>
      <x v="16"/>
      <x v="6"/>
      <x v="2"/>
      <x/>
      <x v="36"/>
      <x v="11"/>
      <x v="28"/>
      <x v="4"/>
    </i>
    <i r="1">
      <x v="225"/>
      <x v="311"/>
      <x v="613"/>
      <x v="27"/>
      <x v="53"/>
      <x v="16"/>
      <x v="6"/>
      <x v="2"/>
      <x/>
      <x v="37"/>
      <x v="2"/>
      <x v="3"/>
      <x v="8"/>
    </i>
    <i r="1">
      <x v="232"/>
      <x v="224"/>
      <x v="306"/>
      <x v="29"/>
      <x v="42"/>
      <x v="16"/>
      <x v="6"/>
      <x v="2"/>
      <x/>
      <x v="39"/>
      <x v="11"/>
      <x v="3"/>
      <x v="8"/>
    </i>
    <i r="1">
      <x v="233"/>
      <x v="1315"/>
      <x v="1264"/>
      <x v="29"/>
      <x v="42"/>
      <x v="16"/>
      <x v="6"/>
      <x v="2"/>
      <x/>
      <x v="39"/>
      <x v="11"/>
      <x v="26"/>
      <x v="2"/>
    </i>
    <i r="1">
      <x v="239"/>
      <x v="213"/>
      <x v="74"/>
      <x v="33"/>
      <x v="39"/>
      <x v="16"/>
      <x v="6"/>
      <x v="2"/>
      <x/>
      <x v="1"/>
      <x v="11"/>
      <x v="3"/>
      <x v="8"/>
    </i>
    <i r="1">
      <x v="241"/>
      <x v="501"/>
      <x v="923"/>
      <x v="29"/>
      <x v="42"/>
      <x v="16"/>
      <x v="6"/>
      <x v="2"/>
      <x/>
      <x v="39"/>
      <x v="11"/>
      <x v="25"/>
      <x v="1"/>
    </i>
    <i r="1">
      <x v="245"/>
      <x v="6"/>
      <x v="912"/>
      <x v="27"/>
      <x v="53"/>
      <x v="16"/>
      <x v="6"/>
      <x v="2"/>
      <x/>
      <x v="37"/>
      <x v="2"/>
      <x v="6"/>
      <x v="8"/>
    </i>
    <i r="1">
      <x v="246"/>
      <x v="479"/>
      <x v="821"/>
      <x v="27"/>
      <x v="53"/>
      <x v="16"/>
      <x v="6"/>
      <x v="2"/>
      <x/>
      <x v="37"/>
      <x v="2"/>
      <x v="8"/>
      <x v="8"/>
    </i>
    <i r="1">
      <x v="257"/>
      <x v="221"/>
      <x v="241"/>
      <x v="33"/>
      <x v="39"/>
      <x v="16"/>
      <x v="6"/>
      <x v="2"/>
      <x/>
      <x v="1"/>
      <x v="11"/>
      <x v="29"/>
      <x v="4"/>
    </i>
    <i r="1">
      <x v="267"/>
      <x v="226"/>
      <x v="364"/>
      <x v="33"/>
      <x v="39"/>
      <x v="16"/>
      <x v="6"/>
      <x v="2"/>
      <x/>
      <x v="1"/>
      <x v="11"/>
      <x v="8"/>
      <x v="8"/>
    </i>
    <i r="1">
      <x v="269"/>
      <x v="287"/>
      <x v="1156"/>
      <x v="29"/>
      <x v="42"/>
      <x v="16"/>
      <x v="6"/>
      <x v="2"/>
      <x/>
      <x v="39"/>
      <x v="11"/>
      <x v="26"/>
      <x v="2"/>
    </i>
    <i r="1">
      <x v="275"/>
      <x v="704"/>
      <x v="854"/>
      <x v="29"/>
      <x v="71"/>
      <x v="9"/>
      <x v="6"/>
      <x v="2"/>
      <x/>
      <x v="41"/>
      <x v="11"/>
      <x v="26"/>
      <x v="2"/>
    </i>
    <i r="1">
      <x v="288"/>
      <x v="320"/>
      <x v="1210"/>
      <x v="34"/>
      <x v="80"/>
      <x v="16"/>
      <x v="6"/>
      <x v="4"/>
      <x v="1"/>
      <x v="45"/>
      <x v="19"/>
      <x v="26"/>
      <x v="2"/>
    </i>
    <i r="1">
      <x v="298"/>
      <x v="434"/>
      <x v="1087"/>
      <x v="34"/>
      <x v="80"/>
      <x v="16"/>
      <x v="6"/>
      <x v="2"/>
      <x/>
      <x v="45"/>
      <x v="19"/>
      <x v="37"/>
      <x v="11"/>
    </i>
    <i r="1">
      <x v="305"/>
      <x v="509"/>
      <x v="1171"/>
      <x v="34"/>
      <x v="80"/>
      <x v="16"/>
      <x v="6"/>
      <x v="2"/>
      <x/>
      <x v="45"/>
      <x v="19"/>
      <x v="37"/>
      <x v="11"/>
    </i>
    <i r="1">
      <x v="307"/>
      <x v="1306"/>
      <x v="262"/>
      <x v="32"/>
      <x v="35"/>
      <x v="16"/>
      <x v="6"/>
      <x v="2"/>
      <x/>
      <x v="36"/>
      <x v="11"/>
      <x v="3"/>
      <x v="8"/>
    </i>
    <i r="1">
      <x v="313"/>
      <x v="590"/>
      <x v="40"/>
      <x v="28"/>
      <x v="53"/>
      <x v="16"/>
      <x v="6"/>
      <x v="2"/>
      <x/>
      <x v="37"/>
      <x v="2"/>
      <x v="6"/>
      <x v="8"/>
    </i>
    <i r="1">
      <x v="320"/>
      <x v="314"/>
      <x v="774"/>
      <x v="28"/>
      <x v="53"/>
      <x v="16"/>
      <x v="6"/>
      <x v="2"/>
      <x/>
      <x v="37"/>
      <x v="2"/>
      <x v="6"/>
      <x v="8"/>
    </i>
    <i r="1">
      <x v="321"/>
      <x v="281"/>
      <x v="920"/>
      <x v="30"/>
      <x v="72"/>
      <x v="16"/>
      <x v="6"/>
      <x v="4"/>
      <x v="1"/>
      <x v="36"/>
      <x v="11"/>
      <x v="8"/>
      <x v="8"/>
    </i>
    <i r="1">
      <x v="324"/>
      <x v="472"/>
      <x v="105"/>
      <x v="32"/>
      <x v="72"/>
      <x v="16"/>
      <x v="6"/>
      <x v="2"/>
      <x/>
      <x v="36"/>
      <x v="11"/>
      <x v="3"/>
      <x v="8"/>
    </i>
    <i r="1">
      <x v="336"/>
      <x v="310"/>
      <x v="592"/>
      <x v="34"/>
      <x v="80"/>
      <x v="16"/>
      <x v="6"/>
      <x v="2"/>
      <x/>
      <x v="45"/>
      <x v="19"/>
      <x v="8"/>
      <x v="8"/>
    </i>
    <i r="1">
      <x v="344"/>
      <x v="63"/>
      <x v="85"/>
      <x v="27"/>
      <x v="37"/>
      <x v="2"/>
      <x v="1"/>
      <x v="2"/>
      <x/>
      <x v="37"/>
      <x v="2"/>
      <x v="21"/>
      <x v="2"/>
    </i>
    <i r="1">
      <x v="351"/>
      <x v="967"/>
      <x v="1115"/>
      <x v="32"/>
      <x v="35"/>
      <x v="16"/>
      <x v="6"/>
      <x v="2"/>
      <x/>
      <x v="35"/>
      <x v="11"/>
      <x v="8"/>
      <x v="8"/>
    </i>
    <i r="1">
      <x v="358"/>
      <x v="249"/>
      <x v="675"/>
      <x v="29"/>
      <x v="39"/>
      <x v="16"/>
      <x v="6"/>
      <x v="4"/>
      <x v="1"/>
      <x v="48"/>
      <x v="11"/>
      <x v="37"/>
      <x v="11"/>
    </i>
    <i r="1">
      <x v="372"/>
      <x v="330"/>
      <x v="1184"/>
      <x v="34"/>
      <x v="80"/>
      <x v="16"/>
      <x v="6"/>
      <x v="2"/>
      <x/>
      <x v="45"/>
      <x v="19"/>
      <x v="6"/>
      <x v="8"/>
    </i>
    <i r="1">
      <x v="373"/>
      <x v="1032"/>
      <x v="847"/>
      <x v="29"/>
      <x v="42"/>
      <x v="16"/>
      <x v="6"/>
      <x v="2"/>
      <x/>
      <x v="39"/>
      <x v="11"/>
      <x v="29"/>
      <x v="4"/>
    </i>
    <i r="1">
      <x v="376"/>
      <x v="489"/>
      <x v="704"/>
      <x v="32"/>
      <x v="35"/>
      <x v="16"/>
      <x v="6"/>
      <x v="4"/>
      <x v="1"/>
      <x v="35"/>
      <x v="11"/>
      <x v="6"/>
      <x v="8"/>
    </i>
    <i r="1">
      <x v="379"/>
      <x v="1081"/>
      <x v="576"/>
      <x v="29"/>
      <x v="42"/>
      <x v="16"/>
      <x v="6"/>
      <x v="2"/>
      <x/>
      <x v="39"/>
      <x v="11"/>
      <x v="29"/>
      <x v="4"/>
    </i>
    <i r="1">
      <x v="388"/>
      <x v="202"/>
      <x v="167"/>
      <x v="29"/>
      <x v="42"/>
      <x v="16"/>
      <x v="6"/>
      <x v="2"/>
      <x/>
      <x v="39"/>
      <x v="11"/>
      <x v="6"/>
      <x v="8"/>
    </i>
    <i r="1">
      <x v="389"/>
      <x v="304"/>
      <x v="80"/>
      <x v="28"/>
      <x v="53"/>
      <x v="16"/>
      <x v="6"/>
      <x v="2"/>
      <x/>
      <x v="37"/>
      <x v="2"/>
      <x v="5"/>
      <x v="10"/>
    </i>
    <i r="1">
      <x v="390"/>
      <x v="294"/>
      <x v="1260"/>
      <x v="30"/>
      <x v="72"/>
      <x v="16"/>
      <x v="6"/>
      <x v="2"/>
      <x/>
      <x v="36"/>
      <x v="11"/>
      <x v="3"/>
      <x v="8"/>
    </i>
    <i r="1">
      <x v="401"/>
      <x v="390"/>
      <x v="604"/>
      <x v="27"/>
      <x v="71"/>
      <x v="9"/>
      <x v="6"/>
      <x v="2"/>
      <x/>
      <x v="41"/>
      <x v="2"/>
      <x v="26"/>
      <x v="2"/>
    </i>
    <i r="1">
      <x v="409"/>
      <x v="1314"/>
      <x v="1211"/>
      <x v="32"/>
      <x v="35"/>
      <x v="16"/>
      <x v="6"/>
      <x v="2"/>
      <x/>
      <x v="35"/>
      <x v="11"/>
      <x v="3"/>
      <x v="8"/>
    </i>
    <i r="1">
      <x v="412"/>
      <x v="353"/>
      <x v="108"/>
      <x v="27"/>
      <x v="39"/>
      <x v="16"/>
      <x v="6"/>
      <x v="2"/>
      <x/>
      <x v="42"/>
      <x v="2"/>
      <x v="37"/>
      <x v="11"/>
    </i>
    <i r="1">
      <x v="424"/>
      <x v="350"/>
      <x v="1095"/>
      <x v="28"/>
      <x v="53"/>
      <x v="16"/>
      <x v="6"/>
      <x v="2"/>
      <x/>
      <x v="37"/>
      <x v="2"/>
      <x v="6"/>
      <x v="8"/>
    </i>
    <i r="1">
      <x v="425"/>
      <x v="318"/>
      <x v="1003"/>
      <x v="27"/>
      <x v="53"/>
      <x v="16"/>
      <x v="6"/>
      <x v="2"/>
      <x/>
      <x v="37"/>
      <x v="2"/>
      <x v="25"/>
      <x v="1"/>
    </i>
    <i r="1">
      <x v="450"/>
      <x v="808"/>
      <x v="914"/>
      <x v="27"/>
      <x v="39"/>
      <x v="16"/>
      <x v="6"/>
      <x v="2"/>
      <x/>
      <x v="42"/>
      <x v="2"/>
      <x v="37"/>
      <x v="11"/>
    </i>
    <i r="1">
      <x v="454"/>
      <x v="331"/>
      <x v="662"/>
      <x v="34"/>
      <x v="80"/>
      <x v="16"/>
      <x v="6"/>
      <x v="2"/>
      <x/>
      <x v="45"/>
      <x v="19"/>
      <x v="37"/>
      <x v="11"/>
    </i>
    <i r="1">
      <x v="460"/>
      <x v="1143"/>
      <x v="48"/>
      <x v="32"/>
      <x v="35"/>
      <x v="16"/>
      <x v="6"/>
      <x v="2"/>
      <x/>
      <x v="35"/>
      <x v="11"/>
      <x v="25"/>
      <x v="1"/>
    </i>
    <i r="1">
      <x v="462"/>
      <x v="368"/>
      <x v="863"/>
      <x v="29"/>
      <x v="42"/>
      <x v="16"/>
      <x v="6"/>
      <x v="2"/>
      <x/>
      <x v="39"/>
      <x v="11"/>
      <x v="3"/>
      <x v="8"/>
    </i>
    <i r="1">
      <x v="466"/>
      <x v="589"/>
      <x v="158"/>
      <x v="34"/>
      <x v="80"/>
      <x v="16"/>
      <x v="6"/>
      <x v="4"/>
      <x v="1"/>
      <x v="45"/>
      <x v="19"/>
      <x v="6"/>
      <x v="8"/>
    </i>
    <i r="1">
      <x v="468"/>
      <x v="15"/>
      <x v="458"/>
      <x v="34"/>
      <x v="80"/>
      <x v="16"/>
      <x v="6"/>
      <x v="2"/>
      <x v="1"/>
      <x v="45"/>
      <x v="19"/>
      <x v="17"/>
      <x v="3"/>
    </i>
    <i r="1">
      <x v="475"/>
      <x v="315"/>
      <x v="808"/>
      <x v="27"/>
      <x v="71"/>
      <x v="9"/>
      <x v="6"/>
      <x v="1"/>
      <x v="1"/>
      <x v="41"/>
      <x v="2"/>
      <x v="26"/>
      <x v="2"/>
    </i>
    <i r="1">
      <x v="487"/>
      <x v="1332"/>
      <x v="733"/>
      <x v="28"/>
      <x v="53"/>
      <x v="16"/>
      <x v="6"/>
      <x v="2"/>
      <x/>
      <x v="37"/>
      <x v="2"/>
      <x v="26"/>
      <x v="2"/>
    </i>
    <i r="1">
      <x v="492"/>
      <x v="36"/>
      <x v="870"/>
      <x v="29"/>
      <x v="37"/>
      <x v="2"/>
      <x v="1"/>
      <x v="2"/>
      <x/>
      <x v="39"/>
      <x v="11"/>
      <x v="21"/>
      <x v="2"/>
    </i>
    <i r="1">
      <x v="493"/>
      <x v="296"/>
      <x v="1261"/>
      <x v="30"/>
      <x v="71"/>
      <x v="9"/>
      <x v="6"/>
      <x v="2"/>
      <x/>
      <x v="41"/>
      <x v="11"/>
      <x v="26"/>
      <x v="2"/>
    </i>
    <i r="1">
      <x v="498"/>
      <x v="305"/>
      <x v="170"/>
      <x v="27"/>
      <x v="53"/>
      <x v="16"/>
      <x v="6"/>
      <x v="2"/>
      <x/>
      <x v="37"/>
      <x v="2"/>
      <x v="5"/>
      <x v="10"/>
    </i>
    <i r="1">
      <x v="500"/>
      <x v="419"/>
      <x v="1078"/>
      <x v="34"/>
      <x v="80"/>
      <x v="16"/>
      <x v="6"/>
      <x v="2"/>
      <x/>
      <x v="45"/>
      <x v="19"/>
      <x v="25"/>
      <x v="1"/>
    </i>
    <i r="1">
      <x v="511"/>
      <x v="520"/>
      <x v="71"/>
      <x v="27"/>
      <x v="53"/>
      <x v="16"/>
      <x v="6"/>
      <x v="4"/>
      <x v="1"/>
      <x v="37"/>
      <x v="2"/>
      <x v="8"/>
      <x v="8"/>
    </i>
    <i r="1">
      <x v="517"/>
      <x v="1144"/>
      <x v="107"/>
      <x v="30"/>
      <x v="72"/>
      <x v="16"/>
      <x v="6"/>
      <x v="2"/>
      <x/>
      <x v="36"/>
      <x v="11"/>
      <x v="26"/>
      <x v="2"/>
    </i>
    <i r="1">
      <x v="518"/>
      <x v="1347"/>
      <x v="294"/>
      <x v="29"/>
      <x v="39"/>
      <x v="16"/>
      <x v="6"/>
      <x v="2"/>
      <x/>
      <x v="2"/>
      <x v="11"/>
      <x v="37"/>
      <x v="11"/>
    </i>
    <i r="1">
      <x v="535"/>
      <x v="1136"/>
      <x v="249"/>
      <x v="28"/>
      <x v="53"/>
      <x v="16"/>
      <x v="6"/>
      <x v="2"/>
      <x/>
      <x v="37"/>
      <x v="2"/>
      <x v="25"/>
      <x v="1"/>
    </i>
    <i r="1">
      <x v="539"/>
      <x v="1148"/>
      <x v="1297"/>
      <x v="29"/>
      <x v="56"/>
      <x v="9"/>
      <x v="6"/>
      <x v="2"/>
      <x/>
      <x v="39"/>
      <x v="11"/>
      <x v="26"/>
      <x v="2"/>
    </i>
    <i r="1">
      <x v="540"/>
      <x v="242"/>
      <x v="483"/>
      <x v="27"/>
      <x v="53"/>
      <x v="16"/>
      <x v="6"/>
      <x v="2"/>
      <x/>
      <x v="37"/>
      <x v="2"/>
      <x v="26"/>
      <x v="2"/>
    </i>
    <i r="1">
      <x v="569"/>
      <x v="1145"/>
      <x v="288"/>
      <x v="31"/>
      <x v="71"/>
      <x v="9"/>
      <x v="6"/>
      <x v="2"/>
      <x/>
      <x v="48"/>
      <x v="11"/>
      <x v="26"/>
      <x v="2"/>
    </i>
    <i r="1">
      <x v="581"/>
      <x v="896"/>
      <x v="844"/>
      <x v="32"/>
      <x v="71"/>
      <x v="9"/>
      <x v="6"/>
      <x v="2"/>
      <x/>
      <x v="41"/>
      <x v="11"/>
      <x v="26"/>
      <x v="2"/>
    </i>
    <i r="1">
      <x v="582"/>
      <x v="428"/>
      <x v="1308"/>
      <x v="32"/>
      <x v="35"/>
      <x v="16"/>
      <x v="6"/>
      <x v="2"/>
      <x/>
      <x v="35"/>
      <x v="11"/>
      <x v="5"/>
      <x v="10"/>
    </i>
    <i r="1">
      <x v="586"/>
      <x v="1310"/>
      <x v="963"/>
      <x v="29"/>
      <x v="42"/>
      <x v="16"/>
      <x v="6"/>
      <x v="2"/>
      <x/>
      <x v="39"/>
      <x v="11"/>
      <x v="3"/>
      <x v="8"/>
    </i>
    <i r="1">
      <x v="595"/>
      <x v="407"/>
      <x v="580"/>
      <x v="34"/>
      <x v="80"/>
      <x v="16"/>
      <x v="6"/>
      <x v="2"/>
      <x v="1"/>
      <x v="45"/>
      <x v="19"/>
      <x v="26"/>
      <x v="2"/>
    </i>
    <i r="1">
      <x v="607"/>
      <x v="647"/>
      <x v="908"/>
      <x v="30"/>
      <x v="72"/>
      <x v="16"/>
      <x v="6"/>
      <x v="2"/>
      <x/>
      <x v="36"/>
      <x v="11"/>
      <x v="3"/>
      <x v="8"/>
    </i>
    <i r="1">
      <x v="625"/>
      <x v="1090"/>
      <x v="1130"/>
      <x v="34"/>
      <x v="80"/>
      <x v="16"/>
      <x v="6"/>
      <x v="4"/>
      <x v="1"/>
      <x v="45"/>
      <x v="19"/>
      <x v="28"/>
      <x v="4"/>
    </i>
    <i r="1">
      <x v="628"/>
      <x v="245"/>
      <x v="608"/>
      <x v="29"/>
      <x v="76"/>
      <x v="14"/>
      <x v="5"/>
      <x v="2"/>
      <x v="1"/>
      <x v="44"/>
      <x v="11"/>
      <x v="21"/>
      <x v="2"/>
    </i>
    <i r="1">
      <x v="632"/>
      <x v="1163"/>
      <x v="1288"/>
      <x v="34"/>
      <x v="80"/>
      <x v="16"/>
      <x v="6"/>
      <x v="2"/>
      <x/>
      <x v="45"/>
      <x v="19"/>
      <x v="26"/>
      <x v="2"/>
    </i>
    <i r="1">
      <x v="642"/>
      <x v="1312"/>
      <x v="1050"/>
      <x v="29"/>
      <x v="42"/>
      <x v="16"/>
      <x v="6"/>
      <x v="2"/>
      <x/>
      <x v="39"/>
      <x v="11"/>
      <x v="26"/>
      <x v="2"/>
    </i>
    <i r="1">
      <x v="645"/>
      <x v="689"/>
      <x v="27"/>
      <x v="28"/>
      <x v="39"/>
      <x v="16"/>
      <x v="6"/>
      <x v="2"/>
      <x/>
      <x v="42"/>
      <x v="2"/>
      <x v="37"/>
      <x v="11"/>
    </i>
    <i r="1">
      <x v="647"/>
      <x v="1234"/>
      <x v="289"/>
      <x v="27"/>
      <x v="53"/>
      <x v="16"/>
      <x v="6"/>
      <x v="2"/>
      <x/>
      <x v="37"/>
      <x v="2"/>
      <x v="25"/>
      <x v="1"/>
    </i>
    <i r="1">
      <x v="655"/>
      <x v="59"/>
      <x v="830"/>
      <x v="34"/>
      <x v="80"/>
      <x v="16"/>
      <x v="6"/>
      <x v="2"/>
      <x/>
      <x v="45"/>
      <x v="19"/>
      <x v="25"/>
      <x v="1"/>
    </i>
    <i r="1">
      <x v="669"/>
      <x v="1011"/>
      <x v="802"/>
      <x v="29"/>
      <x v="42"/>
      <x v="16"/>
      <x v="6"/>
      <x v="2"/>
      <x/>
      <x v="39"/>
      <x v="11"/>
      <x v="3"/>
      <x v="8"/>
    </i>
    <i r="1">
      <x v="673"/>
      <x v="406"/>
      <x v="648"/>
      <x v="34"/>
      <x v="80"/>
      <x v="16"/>
      <x v="6"/>
      <x v="2"/>
      <x/>
      <x v="45"/>
      <x v="19"/>
      <x v="6"/>
      <x v="8"/>
    </i>
    <i r="1">
      <x v="677"/>
      <x v="1333"/>
      <x v="1160"/>
      <x v="27"/>
      <x v="53"/>
      <x v="16"/>
      <x v="6"/>
      <x v="2"/>
      <x/>
      <x v="37"/>
      <x v="2"/>
      <x v="3"/>
      <x v="8"/>
    </i>
    <i r="1">
      <x v="682"/>
      <x v="435"/>
      <x v="1372"/>
      <x v="34"/>
      <x v="80"/>
      <x v="16"/>
      <x v="6"/>
      <x v="2"/>
      <x/>
      <x v="45"/>
      <x v="19"/>
      <x v="5"/>
      <x v="10"/>
    </i>
    <i r="1">
      <x v="683"/>
      <x v="754"/>
      <x v="686"/>
      <x v="27"/>
      <x v="53"/>
      <x v="16"/>
      <x v="6"/>
      <x v="2"/>
      <x/>
      <x v="37"/>
      <x v="2"/>
      <x v="6"/>
      <x v="8"/>
    </i>
    <i r="1">
      <x v="685"/>
      <x v="710"/>
      <x v="1223"/>
      <x v="28"/>
      <x v="53"/>
      <x v="16"/>
      <x v="6"/>
      <x v="2"/>
      <x/>
      <x v="37"/>
      <x v="2"/>
      <x v="6"/>
      <x v="8"/>
    </i>
    <i r="1">
      <x v="688"/>
      <x v="374"/>
      <x v="756"/>
      <x v="27"/>
      <x v="71"/>
      <x v="9"/>
      <x v="6"/>
      <x v="2"/>
      <x/>
      <x v="41"/>
      <x v="2"/>
      <x v="26"/>
      <x v="2"/>
    </i>
    <i r="1">
      <x v="691"/>
      <x v="449"/>
      <x v="1232"/>
      <x v="30"/>
      <x v="72"/>
      <x v="16"/>
      <x v="6"/>
      <x v="2"/>
      <x/>
      <x v="36"/>
      <x v="11"/>
      <x v="28"/>
      <x v="4"/>
    </i>
    <i r="1">
      <x v="693"/>
      <x v="1071"/>
      <x v="1174"/>
      <x v="30"/>
      <x v="72"/>
      <x v="16"/>
      <x v="6"/>
      <x v="2"/>
      <x/>
      <x v="48"/>
      <x v="11"/>
      <x v="28"/>
      <x v="4"/>
    </i>
    <i r="1">
      <x v="694"/>
      <x v="1318"/>
      <x v="1373"/>
      <x v="29"/>
      <x v="42"/>
      <x v="16"/>
      <x v="6"/>
      <x v="2"/>
      <x/>
      <x v="39"/>
      <x v="11"/>
      <x v="3"/>
      <x v="8"/>
    </i>
    <i r="1">
      <x v="700"/>
      <x v="1013"/>
      <x v="1177"/>
      <x v="32"/>
      <x v="35"/>
      <x v="16"/>
      <x v="6"/>
      <x v="2"/>
      <x/>
      <x v="35"/>
      <x v="11"/>
      <x v="6"/>
      <x v="8"/>
    </i>
    <i r="1">
      <x v="702"/>
      <x v="952"/>
      <x v="1195"/>
      <x v="29"/>
      <x v="39"/>
      <x v="16"/>
      <x v="6"/>
      <x v="4"/>
      <x v="1"/>
      <x v="48"/>
      <x v="11"/>
      <x v="37"/>
      <x v="11"/>
    </i>
    <i r="1">
      <x v="707"/>
      <x v="558"/>
      <x v="1021"/>
      <x v="31"/>
      <x v="72"/>
      <x v="16"/>
      <x v="6"/>
      <x v="2"/>
      <x/>
      <x v="36"/>
      <x v="11"/>
      <x v="3"/>
      <x v="8"/>
    </i>
    <i r="1">
      <x v="713"/>
      <x v="1309"/>
      <x v="731"/>
      <x v="32"/>
      <x v="35"/>
      <x v="16"/>
      <x v="6"/>
      <x v="2"/>
      <x/>
      <x v="35"/>
      <x v="11"/>
      <x v="3"/>
      <x v="8"/>
    </i>
    <i r="1">
      <x v="716"/>
      <x v="1303"/>
      <x v="73"/>
      <x v="30"/>
      <x v="72"/>
      <x v="16"/>
      <x v="6"/>
      <x v="2"/>
      <x/>
      <x v="36"/>
      <x v="11"/>
      <x v="3"/>
      <x v="8"/>
    </i>
    <i r="1">
      <x v="718"/>
      <x v="983"/>
      <x v="1326"/>
      <x v="27"/>
      <x v="53"/>
      <x v="16"/>
      <x v="6"/>
      <x v="4"/>
      <x v="1"/>
      <x v="37"/>
      <x v="2"/>
      <x v="28"/>
      <x v="4"/>
    </i>
    <i r="1">
      <x v="720"/>
      <x v="951"/>
      <x v="1031"/>
      <x v="27"/>
      <x v="39"/>
      <x v="16"/>
      <x v="6"/>
      <x v="2"/>
      <x/>
      <x v="42"/>
      <x v="2"/>
      <x v="37"/>
      <x v="11"/>
    </i>
    <i r="1">
      <x v="743"/>
      <x v="644"/>
      <x v="901"/>
      <x v="28"/>
      <x v="39"/>
      <x v="16"/>
      <x v="6"/>
      <x v="2"/>
      <x/>
      <x v="42"/>
      <x v="2"/>
      <x v="37"/>
      <x v="11"/>
    </i>
    <i r="1">
      <x v="745"/>
      <x v="840"/>
      <x v="633"/>
      <x v="27"/>
      <x v="53"/>
      <x v="16"/>
      <x v="6"/>
      <x v="2"/>
      <x/>
      <x v="37"/>
      <x v="2"/>
      <x v="3"/>
      <x v="8"/>
    </i>
    <i r="1">
      <x v="747"/>
      <x v="828"/>
      <x v="1132"/>
      <x v="34"/>
      <x v="80"/>
      <x v="16"/>
      <x v="6"/>
      <x v="2"/>
      <x v="1"/>
      <x v="45"/>
      <x v="19"/>
      <x v="17"/>
      <x v="3"/>
    </i>
    <i r="1">
      <x v="749"/>
      <x v="859"/>
      <x v="94"/>
      <x v="34"/>
      <x v="80"/>
      <x v="16"/>
      <x v="6"/>
      <x v="2"/>
      <x/>
      <x v="45"/>
      <x v="19"/>
      <x v="37"/>
      <x v="11"/>
    </i>
    <i r="1">
      <x v="754"/>
      <x v="690"/>
      <x v="1369"/>
      <x v="28"/>
      <x v="53"/>
      <x v="16"/>
      <x v="6"/>
      <x v="2"/>
      <x/>
      <x v="37"/>
      <x v="2"/>
      <x v="6"/>
      <x v="8"/>
    </i>
    <i r="1">
      <x v="773"/>
      <x v="541"/>
      <x v="292"/>
      <x v="30"/>
      <x v="72"/>
      <x v="16"/>
      <x v="6"/>
      <x v="4"/>
      <x v="1"/>
      <x v="36"/>
      <x v="11"/>
      <x v="3"/>
      <x v="8"/>
    </i>
    <i r="1">
      <x v="776"/>
      <x v="968"/>
      <x v="166"/>
      <x v="28"/>
      <x v="39"/>
      <x v="16"/>
      <x v="6"/>
      <x v="2"/>
      <x/>
      <x v="42"/>
      <x v="2"/>
      <x v="37"/>
      <x v="11"/>
    </i>
    <i r="1">
      <x v="778"/>
      <x v="564"/>
      <x v="228"/>
      <x v="27"/>
      <x v="53"/>
      <x v="16"/>
      <x v="6"/>
      <x v="2"/>
      <x/>
      <x v="37"/>
      <x v="2"/>
      <x v="25"/>
      <x v="1"/>
    </i>
    <i r="1">
      <x v="779"/>
      <x v="881"/>
      <x v="723"/>
      <x v="34"/>
      <x v="80"/>
      <x v="16"/>
      <x v="6"/>
      <x v="2"/>
      <x/>
      <x v="45"/>
      <x v="19"/>
      <x v="6"/>
      <x v="8"/>
    </i>
    <i r="1">
      <x v="789"/>
      <x v="970"/>
      <x v="687"/>
      <x v="30"/>
      <x v="39"/>
      <x v="16"/>
      <x v="6"/>
      <x v="4"/>
      <x v="1"/>
      <x v="42"/>
      <x v="11"/>
      <x v="8"/>
      <x v="8"/>
    </i>
    <i r="1">
      <x v="791"/>
      <x v="832"/>
      <x v="260"/>
      <x v="27"/>
      <x v="39"/>
      <x v="16"/>
      <x v="6"/>
      <x v="2"/>
      <x/>
      <x v="42"/>
      <x v="2"/>
      <x v="37"/>
      <x v="11"/>
    </i>
    <i r="1">
      <x v="793"/>
      <x v="966"/>
      <x v="349"/>
      <x v="34"/>
      <x v="80"/>
      <x v="16"/>
      <x v="6"/>
      <x v="4"/>
      <x v="1"/>
      <x v="45"/>
      <x v="19"/>
      <x v="37"/>
      <x v="11"/>
    </i>
    <i r="1">
      <x v="801"/>
      <x v="944"/>
      <x v="1007"/>
      <x v="29"/>
      <x v="42"/>
      <x v="16"/>
      <x v="6"/>
      <x v="2"/>
      <x/>
      <x v="39"/>
      <x v="11"/>
      <x v="3"/>
      <x v="8"/>
    </i>
    <i r="1">
      <x v="807"/>
      <x v="969"/>
      <x v="616"/>
      <x v="27"/>
      <x v="53"/>
      <x v="16"/>
      <x v="6"/>
      <x v="4"/>
      <x v="1"/>
      <x v="37"/>
      <x v="2"/>
      <x v="6"/>
      <x v="8"/>
    </i>
    <i r="1">
      <x v="808"/>
      <x v="768"/>
      <x v="911"/>
      <x v="32"/>
      <x v="72"/>
      <x v="16"/>
      <x v="6"/>
      <x v="2"/>
      <x v="1"/>
      <x v="48"/>
      <x v="11"/>
      <x v="21"/>
      <x v="2"/>
    </i>
    <i r="1">
      <x v="826"/>
      <x v="769"/>
      <x v="90"/>
      <x v="33"/>
      <x v="39"/>
      <x v="16"/>
      <x v="6"/>
      <x v="2"/>
      <x/>
      <x v="1"/>
      <x v="11"/>
      <x v="5"/>
      <x v="10"/>
    </i>
    <i r="1">
      <x v="828"/>
      <x v="1311"/>
      <x v="1041"/>
      <x v="33"/>
      <x v="35"/>
      <x v="16"/>
      <x v="6"/>
      <x v="2"/>
      <x/>
      <x v="1"/>
      <x v="11"/>
      <x v="25"/>
      <x v="1"/>
    </i>
    <i r="1">
      <x v="836"/>
      <x v="1235"/>
      <x v="1336"/>
      <x v="32"/>
      <x v="35"/>
      <x v="16"/>
      <x v="6"/>
      <x v="2"/>
      <x/>
      <x v="35"/>
      <x v="11"/>
      <x v="6"/>
      <x v="8"/>
    </i>
    <i r="1">
      <x v="855"/>
      <x v="252"/>
      <x v="771"/>
      <x v="32"/>
      <x v="35"/>
      <x v="16"/>
      <x v="6"/>
      <x v="2"/>
      <x/>
      <x v="35"/>
      <x v="11"/>
      <x v="3"/>
      <x v="8"/>
    </i>
    <i r="1">
      <x v="886"/>
      <x v="1137"/>
      <x v="116"/>
      <x v="29"/>
      <x v="42"/>
      <x v="16"/>
      <x v="6"/>
      <x v="2"/>
      <x/>
      <x v="39"/>
      <x v="11"/>
      <x v="26"/>
      <x v="2"/>
    </i>
    <i r="1">
      <x v="892"/>
      <x v="1012"/>
      <x v="891"/>
      <x v="31"/>
      <x v="72"/>
      <x v="16"/>
      <x v="6"/>
      <x v="2"/>
      <x/>
      <x v="36"/>
      <x v="11"/>
      <x v="6"/>
      <x v="8"/>
    </i>
    <i r="1">
      <x v="928"/>
      <x v="831"/>
      <x v="1378"/>
      <x v="27"/>
      <x v="53"/>
      <x v="16"/>
      <x v="6"/>
      <x v="4"/>
      <x v="1"/>
      <x v="37"/>
      <x v="2"/>
      <x v="3"/>
      <x v="8"/>
    </i>
    <i r="1">
      <x v="971"/>
      <x v="370"/>
      <x v="1006"/>
      <x v="34"/>
      <x v="80"/>
      <x v="16"/>
      <x v="6"/>
      <x v="4"/>
      <x v="1"/>
      <x v="45"/>
      <x v="19"/>
      <x v="8"/>
      <x v="8"/>
    </i>
    <i r="1">
      <x v="999"/>
      <x v="250"/>
      <x v="765"/>
      <x v="29"/>
      <x v="42"/>
      <x v="16"/>
      <x v="6"/>
      <x v="2"/>
      <x/>
      <x v="39"/>
      <x v="11"/>
      <x v="6"/>
      <x v="8"/>
    </i>
    <i r="1">
      <x v="1001"/>
      <x v="302"/>
      <x v="767"/>
      <x v="32"/>
      <x v="35"/>
      <x v="16"/>
      <x v="6"/>
      <x v="4"/>
      <x v="1"/>
      <x v="42"/>
      <x v="11"/>
      <x v="25"/>
      <x v="1"/>
    </i>
    <i r="1">
      <x v="1003"/>
      <x v="220"/>
      <x v="216"/>
      <x v="33"/>
      <x v="39"/>
      <x v="16"/>
      <x v="6"/>
      <x v="2"/>
      <x/>
      <x v="1"/>
      <x v="11"/>
      <x v="25"/>
      <x v="1"/>
    </i>
    <i r="1">
      <x v="1018"/>
      <x v="319"/>
      <x v="1030"/>
      <x v="28"/>
      <x v="53"/>
      <x v="16"/>
      <x v="6"/>
      <x v="2"/>
      <x/>
      <x v="37"/>
      <x v="2"/>
      <x v="5"/>
      <x v="10"/>
    </i>
    <i r="1">
      <x v="1087"/>
      <x v="356"/>
      <x v="1150"/>
      <x v="33"/>
      <x v="39"/>
      <x v="16"/>
      <x v="6"/>
      <x v="2"/>
      <x/>
      <x v="1"/>
      <x v="11"/>
      <x v="8"/>
      <x v="8"/>
    </i>
    <i r="1">
      <x v="1093"/>
      <x v="473"/>
      <x v="171"/>
      <x v="29"/>
      <x v="42"/>
      <x v="16"/>
      <x v="6"/>
      <x v="4"/>
      <x v="1"/>
      <x v="39"/>
      <x v="11"/>
      <x v="6"/>
      <x v="8"/>
    </i>
    <i r="1">
      <x v="1106"/>
      <x v="349"/>
      <x v="31"/>
      <x v="33"/>
      <x v="39"/>
      <x v="16"/>
      <x v="6"/>
      <x v="2"/>
      <x/>
      <x v="1"/>
      <x v="11"/>
      <x v="3"/>
      <x v="8"/>
    </i>
    <i r="1">
      <x v="1134"/>
      <x v="1098"/>
      <x v="703"/>
      <x v="32"/>
      <x v="35"/>
      <x v="16"/>
      <x v="6"/>
      <x v="2"/>
      <x/>
      <x v="35"/>
      <x v="11"/>
      <x v="29"/>
      <x v="4"/>
    </i>
    <i r="1">
      <x v="1168"/>
      <x v="248"/>
      <x v="641"/>
      <x v="33"/>
      <x v="39"/>
      <x v="16"/>
      <x v="6"/>
      <x v="2"/>
      <x/>
      <x v="1"/>
      <x v="11"/>
      <x v="6"/>
      <x v="8"/>
    </i>
    <i r="1">
      <x v="1200"/>
      <x v="246"/>
      <x v="617"/>
      <x v="29"/>
      <x v="42"/>
      <x v="16"/>
      <x v="6"/>
      <x v="2"/>
      <x/>
      <x v="39"/>
      <x v="11"/>
      <x v="3"/>
      <x v="8"/>
    </i>
    <i r="1">
      <x v="1218"/>
      <x v="257"/>
      <x v="876"/>
      <x v="31"/>
      <x v="39"/>
      <x v="16"/>
      <x v="6"/>
      <x v="2"/>
      <x/>
      <x v="2"/>
      <x v="11"/>
      <x v="37"/>
      <x v="11"/>
    </i>
    <i r="1">
      <x v="1234"/>
      <x v="1146"/>
      <x v="44"/>
      <x v="30"/>
      <x v="72"/>
      <x v="16"/>
      <x v="6"/>
      <x v="2"/>
      <x/>
      <x v="36"/>
      <x v="11"/>
      <x v="26"/>
      <x v="2"/>
    </i>
    <i r="1">
      <x v="1236"/>
      <x v="288"/>
      <x v="1166"/>
      <x v="33"/>
      <x v="39"/>
      <x v="16"/>
      <x v="6"/>
      <x v="4"/>
      <x v="1"/>
      <x v="1"/>
      <x v="11"/>
      <x v="6"/>
      <x v="8"/>
    </i>
    <i r="1">
      <x v="1246"/>
      <x v="256"/>
      <x v="1350"/>
      <x v="32"/>
      <x v="35"/>
      <x v="16"/>
      <x v="6"/>
      <x v="2"/>
      <x/>
      <x v="35"/>
      <x v="11"/>
      <x v="25"/>
      <x v="1"/>
    </i>
    <i r="1">
      <x v="1247"/>
      <x v="643"/>
      <x v="1278"/>
      <x v="32"/>
      <x v="35"/>
      <x v="16"/>
      <x v="6"/>
      <x v="2"/>
      <x/>
      <x v="35"/>
      <x v="11"/>
      <x v="3"/>
      <x v="8"/>
    </i>
    <i r="1">
      <x v="1262"/>
      <x v="244"/>
      <x v="587"/>
      <x v="31"/>
      <x v="72"/>
      <x v="16"/>
      <x v="6"/>
      <x v="2"/>
      <x/>
      <x v="36"/>
      <x v="11"/>
      <x v="26"/>
      <x v="2"/>
    </i>
    <i r="1">
      <x v="1264"/>
      <x v="367"/>
      <x v="585"/>
      <x v="29"/>
      <x v="42"/>
      <x v="16"/>
      <x v="6"/>
      <x v="2"/>
      <x/>
      <x v="39"/>
      <x v="11"/>
      <x v="25"/>
      <x v="1"/>
    </i>
    <i r="1">
      <x v="1276"/>
      <x v="312"/>
      <x v="621"/>
      <x v="28"/>
      <x v="53"/>
      <x v="16"/>
      <x v="6"/>
      <x v="2"/>
      <x/>
      <x v="37"/>
      <x v="2"/>
      <x v="25"/>
      <x v="1"/>
    </i>
    <i r="1">
      <x v="1288"/>
      <x v="786"/>
      <x v="845"/>
      <x v="27"/>
      <x v="53"/>
      <x v="16"/>
      <x v="6"/>
      <x v="2"/>
      <x/>
      <x v="37"/>
      <x v="2"/>
      <x v="28"/>
      <x v="4"/>
    </i>
    <i r="1">
      <x v="1295"/>
      <x v="1142"/>
      <x v="981"/>
      <x v="30"/>
      <x v="72"/>
      <x v="16"/>
      <x v="6"/>
      <x v="2"/>
      <x/>
      <x v="36"/>
      <x v="11"/>
      <x v="26"/>
      <x v="2"/>
    </i>
    <i r="1">
      <x v="1296"/>
      <x v="309"/>
      <x v="586"/>
      <x v="34"/>
      <x v="80"/>
      <x v="16"/>
      <x v="6"/>
      <x v="2"/>
      <x/>
      <x v="45"/>
      <x v="19"/>
      <x v="6"/>
      <x v="8"/>
    </i>
    <i r="1">
      <x v="1302"/>
      <x v="316"/>
      <x v="416"/>
      <x v="27"/>
      <x v="53"/>
      <x v="16"/>
      <x v="6"/>
      <x v="2"/>
      <x/>
      <x v="37"/>
      <x v="2"/>
      <x v="6"/>
      <x v="8"/>
    </i>
    <i r="1">
      <x v="1324"/>
      <x v="214"/>
      <x v="120"/>
      <x v="31"/>
      <x v="72"/>
      <x v="16"/>
      <x v="6"/>
      <x v="2"/>
      <x/>
      <x v="36"/>
      <x v="11"/>
      <x v="3"/>
      <x v="8"/>
    </i>
    <i r="1">
      <x v="1332"/>
      <x v="478"/>
      <x v="1359"/>
      <x v="27"/>
      <x v="53"/>
      <x v="16"/>
      <x v="6"/>
      <x v="2"/>
      <x/>
      <x v="37"/>
      <x v="2"/>
      <x v="8"/>
      <x v="8"/>
    </i>
    <i r="1">
      <x v="1336"/>
      <x v="225"/>
      <x v="362"/>
      <x v="33"/>
      <x v="39"/>
      <x v="16"/>
      <x v="6"/>
      <x v="3"/>
      <x v="1"/>
      <x v="1"/>
      <x v="11"/>
      <x v="3"/>
      <x v="8"/>
    </i>
    <i r="2">
      <x v="243"/>
      <x v="575"/>
      <x v="30"/>
      <x v="42"/>
      <x v="16"/>
      <x v="6"/>
      <x v="3"/>
      <x v="1"/>
      <x v="48"/>
      <x v="11"/>
      <x v="3"/>
      <x v="8"/>
    </i>
    <i r="2">
      <x v="282"/>
      <x v="922"/>
      <x v="32"/>
      <x v="26"/>
      <x v="8"/>
      <x v="4"/>
      <x v="3"/>
      <x v="1"/>
      <x v="42"/>
      <x v="11"/>
      <x v="3"/>
      <x v="8"/>
    </i>
    <i r="2">
      <x v="283"/>
      <x v="975"/>
      <x v="30"/>
      <x v="42"/>
      <x v="16"/>
      <x v="6"/>
      <x v="3"/>
      <x v="1"/>
      <x v="48"/>
      <x v="11"/>
      <x v="3"/>
      <x v="8"/>
    </i>
    <i r="2">
      <x v="343"/>
      <x v="430"/>
      <x v="28"/>
      <x v="39"/>
      <x v="16"/>
      <x v="6"/>
      <x v="3"/>
      <x v="1"/>
      <x v="42"/>
      <x v="2"/>
      <x v="37"/>
      <x v="11"/>
    </i>
    <i r="2">
      <x v="418"/>
      <x v="809"/>
      <x v="30"/>
      <x v="72"/>
      <x v="16"/>
      <x v="6"/>
      <x v="3"/>
      <x v="1"/>
      <x v="36"/>
      <x v="11"/>
      <x v="3"/>
      <x v="8"/>
    </i>
    <i r="2">
      <x v="528"/>
      <x v="783"/>
      <x v="28"/>
      <x v="53"/>
      <x v="16"/>
      <x v="6"/>
      <x v="3"/>
      <x v="1"/>
      <x v="37"/>
      <x v="2"/>
      <x v="8"/>
      <x v="8"/>
    </i>
    <i r="2">
      <x v="668"/>
      <x v="443"/>
      <x v="32"/>
      <x v="35"/>
      <x v="16"/>
      <x v="6"/>
      <x v="3"/>
      <x v="1"/>
      <x v="35"/>
      <x v="11"/>
      <x v="3"/>
      <x v="8"/>
    </i>
    <i r="2">
      <x v="925"/>
      <x v="861"/>
      <x v="31"/>
      <x v="35"/>
      <x v="16"/>
      <x v="6"/>
      <x v="3"/>
      <x v="1"/>
      <x v="48"/>
      <x v="11"/>
      <x v="37"/>
      <x v="11"/>
    </i>
    <i r="2">
      <x v="1014"/>
      <x v="1249"/>
      <x v="30"/>
      <x v="35"/>
      <x v="16"/>
      <x v="6"/>
      <x v="3"/>
      <x v="1"/>
      <x v="48"/>
      <x v="11"/>
      <x v="36"/>
      <x v="11"/>
    </i>
    <i r="2">
      <x v="1162"/>
      <x v="1258"/>
      <x v="30"/>
      <x v="37"/>
      <x v="2"/>
      <x v="1"/>
      <x v="3"/>
      <x v="1"/>
      <x v="47"/>
      <x v="11"/>
      <x v="26"/>
      <x v="2"/>
    </i>
    <i r="2">
      <x v="1241"/>
      <x v="1071"/>
      <x v="31"/>
      <x v="42"/>
      <x v="16"/>
      <x v="6"/>
      <x v="3"/>
      <x v="1"/>
      <x v="42"/>
      <x v="11"/>
      <x v="37"/>
      <x v="11"/>
    </i>
    <i r="2">
      <x v="1316"/>
      <x v="1271"/>
      <x v="32"/>
      <x v="72"/>
      <x v="16"/>
      <x v="6"/>
      <x v="3"/>
      <x v="1"/>
      <x v="43"/>
      <x v="11"/>
      <x v="3"/>
      <x v="8"/>
    </i>
    <i>
      <x v="2"/>
      <x/>
      <x v="691"/>
      <x v="422"/>
      <x v="56"/>
      <x v="6"/>
      <x v="8"/>
      <x v="4"/>
      <x v="2"/>
      <x/>
      <x v="8"/>
      <x v="18"/>
      <x v="3"/>
      <x v="8"/>
    </i>
    <i r="1">
      <x v="1"/>
      <x v="484"/>
      <x v="363"/>
      <x v="52"/>
      <x v="55"/>
      <x v="4"/>
      <x v="4"/>
      <x v="2"/>
      <x/>
      <x v="17"/>
      <x v="17"/>
      <x v="3"/>
      <x v="8"/>
    </i>
    <i r="1">
      <x v="2"/>
      <x v="780"/>
      <x v="92"/>
      <x v="60"/>
      <x v="12"/>
      <x v="8"/>
      <x v="4"/>
      <x v="2"/>
      <x/>
      <x v="22"/>
      <x v="24"/>
      <x v="3"/>
      <x v="8"/>
    </i>
    <i r="1">
      <x v="3"/>
      <x v="284"/>
      <x v="1113"/>
      <x v="55"/>
      <x v="65"/>
      <x v="8"/>
      <x v="4"/>
      <x v="2"/>
      <x/>
      <x v="33"/>
      <x v="18"/>
      <x v="25"/>
      <x v="1"/>
    </i>
    <i r="1">
      <x v="4"/>
      <x v="176"/>
      <x v="673"/>
      <x v="55"/>
      <x v="65"/>
      <x v="8"/>
      <x v="4"/>
      <x v="2"/>
      <x/>
      <x v="33"/>
      <x v="18"/>
      <x v="3"/>
      <x v="8"/>
    </i>
    <i r="1">
      <x v="5"/>
      <x v="785"/>
      <x v="766"/>
      <x v="55"/>
      <x v="65"/>
      <x v="8"/>
      <x v="4"/>
      <x v="2"/>
      <x/>
      <x v="33"/>
      <x v="18"/>
      <x v="3"/>
      <x v="8"/>
    </i>
    <i r="1">
      <x v="6"/>
      <x v="787"/>
      <x v="284"/>
      <x v="47"/>
      <x v="73"/>
      <x v="4"/>
      <x v="4"/>
      <x v="2"/>
      <x/>
      <x v="5"/>
      <x v="13"/>
      <x v="31"/>
      <x v="6"/>
    </i>
    <i r="1">
      <x v="7"/>
      <x v="16"/>
      <x v="1251"/>
      <x v="54"/>
      <x v="9"/>
      <x v="8"/>
      <x v="4"/>
      <x v="2"/>
      <x/>
      <x v="20"/>
      <x v="18"/>
      <x v="17"/>
      <x v="3"/>
    </i>
    <i r="1">
      <x v="8"/>
      <x v="539"/>
      <x v="1384"/>
      <x v="48"/>
      <x v="60"/>
      <x v="4"/>
      <x v="4"/>
      <x v="2"/>
      <x/>
      <x v="17"/>
      <x v="17"/>
      <x v="3"/>
      <x v="8"/>
    </i>
    <i r="1">
      <x v="9"/>
      <x v="179"/>
      <x v="786"/>
      <x v="55"/>
      <x v="65"/>
      <x v="8"/>
      <x v="4"/>
      <x v="2"/>
      <x/>
      <x v="33"/>
      <x v="18"/>
      <x v="3"/>
      <x v="8"/>
    </i>
    <i r="1">
      <x v="10"/>
      <x v="694"/>
      <x v="1337"/>
      <x v="55"/>
      <x v="65"/>
      <x v="8"/>
      <x v="4"/>
      <x v="2"/>
      <x/>
      <x v="33"/>
      <x v="18"/>
      <x v="25"/>
      <x v="1"/>
    </i>
    <i r="1">
      <x v="11"/>
      <x v="800"/>
      <x v="1235"/>
      <x v="45"/>
      <x v="19"/>
      <x v="4"/>
      <x v="4"/>
      <x v="2"/>
      <x/>
      <x v="30"/>
      <x v="13"/>
      <x v="21"/>
      <x v="2"/>
    </i>
    <i r="1">
      <x v="12"/>
      <x v="799"/>
      <x v="1090"/>
      <x v="54"/>
      <x v="47"/>
      <x v="8"/>
      <x v="4"/>
      <x v="2"/>
      <x/>
      <x v="34"/>
      <x v="18"/>
      <x v="26"/>
      <x v="2"/>
    </i>
    <i r="1">
      <x v="13"/>
      <x v="811"/>
      <x v="231"/>
      <x v="43"/>
      <x v="19"/>
      <x v="4"/>
      <x v="4"/>
      <x v="2"/>
      <x/>
      <x v="30"/>
      <x v="13"/>
      <x v="3"/>
      <x v="8"/>
    </i>
    <i r="1">
      <x v="14"/>
      <x v="399"/>
      <x v="389"/>
      <x v="49"/>
      <x v="66"/>
      <x v="4"/>
      <x v="4"/>
      <x v="2"/>
      <x/>
      <x v="19"/>
      <x v="17"/>
      <x v="3"/>
      <x v="8"/>
    </i>
    <i r="1">
      <x v="15"/>
      <x v="818"/>
      <x v="595"/>
      <x v="55"/>
      <x v="45"/>
      <x v="8"/>
      <x v="4"/>
      <x v="2"/>
      <x/>
      <x v="25"/>
      <x v="18"/>
      <x v="37"/>
      <x v="11"/>
    </i>
    <i r="1">
      <x v="16"/>
      <x v="819"/>
      <x v="1109"/>
      <x v="47"/>
      <x v="73"/>
      <x v="4"/>
      <x v="4"/>
      <x v="2"/>
      <x/>
      <x v="5"/>
      <x v="13"/>
      <x v="31"/>
      <x v="6"/>
    </i>
    <i r="1">
      <x v="17"/>
      <x v="823"/>
      <x v="1314"/>
      <x v="61"/>
      <x v="11"/>
      <x v="11"/>
      <x v="4"/>
      <x v="2"/>
      <x/>
      <x v="12"/>
      <x v="24"/>
      <x v="26"/>
      <x v="2"/>
    </i>
    <i r="1">
      <x v="18"/>
      <x v="820"/>
      <x v="1123"/>
      <x v="54"/>
      <x v="47"/>
      <x v="8"/>
      <x v="4"/>
      <x v="2"/>
      <x/>
      <x v="34"/>
      <x v="18"/>
      <x v="3"/>
      <x v="8"/>
    </i>
    <i r="1">
      <x v="19"/>
      <x v="822"/>
      <x v="1305"/>
      <x v="54"/>
      <x v="47"/>
      <x v="8"/>
      <x v="4"/>
      <x v="2"/>
      <x/>
      <x v="34"/>
      <x v="18"/>
      <x v="3"/>
      <x v="8"/>
    </i>
    <i r="1">
      <x v="20"/>
      <x v="13"/>
      <x v="964"/>
      <x v="55"/>
      <x v="65"/>
      <x v="8"/>
      <x v="4"/>
      <x v="2"/>
      <x/>
      <x v="33"/>
      <x v="18"/>
      <x v="21"/>
      <x v="2"/>
    </i>
    <i r="1">
      <x v="21"/>
      <x v="834"/>
      <x v="448"/>
      <x v="55"/>
      <x v="65"/>
      <x v="8"/>
      <x v="4"/>
      <x v="2"/>
      <x/>
      <x v="33"/>
      <x v="18"/>
      <x v="3"/>
      <x v="8"/>
    </i>
    <i r="1">
      <x v="22"/>
      <x v="159"/>
      <x v="261"/>
      <x v="60"/>
      <x v="12"/>
      <x v="8"/>
      <x v="4"/>
      <x v="2"/>
      <x/>
      <x v="22"/>
      <x v="24"/>
      <x v="3"/>
      <x v="8"/>
    </i>
    <i r="1">
      <x v="23"/>
      <x v="607"/>
      <x v="719"/>
      <x v="47"/>
      <x v="73"/>
      <x v="4"/>
      <x v="4"/>
      <x v="2"/>
      <x/>
      <x v="5"/>
      <x v="13"/>
      <x v="31"/>
      <x v="6"/>
    </i>
    <i r="1">
      <x v="24"/>
      <x v="458"/>
      <x v="265"/>
      <x v="48"/>
      <x v="60"/>
      <x v="4"/>
      <x v="4"/>
      <x v="2"/>
      <x/>
      <x v="17"/>
      <x v="17"/>
      <x v="3"/>
      <x v="8"/>
    </i>
    <i r="1">
      <x v="25"/>
      <x v="365"/>
      <x v="761"/>
      <x v="56"/>
      <x v="6"/>
      <x v="8"/>
      <x v="4"/>
      <x v="2"/>
      <x/>
      <x v="8"/>
      <x v="18"/>
      <x v="25"/>
      <x v="1"/>
    </i>
    <i r="1">
      <x v="26"/>
      <x v="415"/>
      <x v="788"/>
      <x v="56"/>
      <x v="6"/>
      <x v="8"/>
      <x v="4"/>
      <x v="2"/>
      <x/>
      <x v="8"/>
      <x v="18"/>
      <x v="25"/>
      <x v="1"/>
    </i>
    <i r="1">
      <x v="27"/>
      <x v="381"/>
      <x v="76"/>
      <x v="47"/>
      <x v="73"/>
      <x v="4"/>
      <x v="4"/>
      <x v="2"/>
      <x/>
      <x v="5"/>
      <x v="13"/>
      <x v="31"/>
      <x v="6"/>
    </i>
    <i r="1">
      <x v="28"/>
      <x v="161"/>
      <x v="303"/>
      <x v="59"/>
      <x v="26"/>
      <x v="8"/>
      <x v="4"/>
      <x v="2"/>
      <x/>
      <x v="8"/>
      <x v="18"/>
      <x v="3"/>
      <x v="8"/>
    </i>
    <i r="1">
      <x v="29"/>
      <x v="253"/>
      <x v="654"/>
      <x v="49"/>
      <x v="66"/>
      <x v="4"/>
      <x v="4"/>
      <x v="1"/>
      <x v="1"/>
      <x v="17"/>
      <x v="17"/>
      <x v="3"/>
      <x v="8"/>
    </i>
    <i r="1">
      <x v="30"/>
      <x v="856"/>
      <x v="338"/>
      <x v="47"/>
      <x v="73"/>
      <x v="4"/>
      <x v="4"/>
      <x v="2"/>
      <x/>
      <x v="5"/>
      <x v="13"/>
      <x v="31"/>
      <x v="6"/>
    </i>
    <i r="1">
      <x v="35"/>
      <x v="1411"/>
      <x v="605"/>
      <x v="39"/>
      <x v="8"/>
      <x v="8"/>
      <x v="4"/>
      <x v="2"/>
      <x/>
      <x v="3"/>
      <x v="8"/>
      <x v="31"/>
      <x v="6"/>
    </i>
    <i r="1">
      <x v="36"/>
      <x v="1408"/>
      <x v="388"/>
      <x v="39"/>
      <x v="8"/>
      <x v="8"/>
      <x v="4"/>
      <x v="2"/>
      <x/>
      <x v="3"/>
      <x v="8"/>
      <x v="31"/>
      <x v="6"/>
    </i>
    <i r="1">
      <x v="37"/>
      <x v="1414"/>
      <x v="856"/>
      <x v="39"/>
      <x v="8"/>
      <x v="8"/>
      <x v="4"/>
      <x v="2"/>
      <x/>
      <x v="3"/>
      <x v="8"/>
      <x v="31"/>
      <x v="6"/>
    </i>
    <i r="1">
      <x v="42"/>
      <x v="1413"/>
      <x v="779"/>
      <x v="39"/>
      <x v="8"/>
      <x v="8"/>
      <x v="4"/>
      <x v="2"/>
      <x/>
      <x v="3"/>
      <x v="8"/>
      <x v="31"/>
      <x v="6"/>
    </i>
    <i r="1">
      <x v="47"/>
      <x v="413"/>
      <x v="447"/>
      <x v="39"/>
      <x v="8"/>
      <x v="8"/>
      <x v="4"/>
      <x v="2"/>
      <x/>
      <x v="3"/>
      <x v="8"/>
      <x v="31"/>
      <x v="6"/>
    </i>
    <i r="1">
      <x v="51"/>
      <x v="1422"/>
      <x v="304"/>
      <x v="39"/>
      <x v="8"/>
      <x v="8"/>
      <x v="4"/>
      <x v="2"/>
      <x/>
      <x v="3"/>
      <x v="8"/>
      <x v="31"/>
      <x v="6"/>
    </i>
    <i r="1">
      <x v="53"/>
      <x v="675"/>
      <x v="455"/>
      <x v="39"/>
      <x v="8"/>
      <x v="8"/>
      <x v="4"/>
      <x v="2"/>
      <x/>
      <x v="3"/>
      <x v="8"/>
      <x v="31"/>
      <x v="6"/>
    </i>
    <i r="1">
      <x v="75"/>
      <x v="291"/>
      <x v="755"/>
      <x v="42"/>
      <x v="43"/>
      <x v="11"/>
      <x v="4"/>
      <x v="4"/>
      <x v="1"/>
      <x v="29"/>
      <x v="20"/>
      <x v="26"/>
      <x v="2"/>
    </i>
    <i r="1">
      <x v="77"/>
      <x v="429"/>
      <x v="651"/>
      <x v="43"/>
      <x v="33"/>
      <x v="11"/>
      <x v="4"/>
      <x v="2"/>
      <x/>
      <x v="31"/>
      <x v="13"/>
      <x v="26"/>
      <x v="2"/>
    </i>
    <i r="1">
      <x v="82"/>
      <x v="109"/>
      <x v="903"/>
      <x v="42"/>
      <x v="81"/>
      <x v="8"/>
      <x v="4"/>
      <x v="4"/>
      <x v="1"/>
      <x v="14"/>
      <x v="20"/>
      <x v="37"/>
      <x v="11"/>
    </i>
    <i r="1">
      <x v="91"/>
      <x v="289"/>
      <x v="1149"/>
      <x v="63"/>
      <x v="12"/>
      <x v="8"/>
      <x v="4"/>
      <x v="2"/>
      <x/>
      <x v="26"/>
      <x v="24"/>
      <x v="34"/>
      <x v="1"/>
    </i>
    <i r="1">
      <x v="93"/>
      <x v="436"/>
      <x v="4"/>
      <x v="35"/>
      <x v="81"/>
      <x v="8"/>
      <x v="4"/>
      <x v="1"/>
      <x v="1"/>
      <x v="14"/>
      <x/>
      <x v="23"/>
      <x v="5"/>
    </i>
    <i r="1">
      <x v="95"/>
      <x v="588"/>
      <x v="366"/>
      <x v="58"/>
      <x v="26"/>
      <x v="8"/>
      <x v="4"/>
      <x v="2"/>
      <x/>
      <x v="8"/>
      <x v="18"/>
      <x v="34"/>
      <x v="1"/>
    </i>
    <i r="1">
      <x v="96"/>
      <x v="784"/>
      <x v="41"/>
      <x v="42"/>
      <x v="81"/>
      <x v="8"/>
      <x v="4"/>
      <x v="2"/>
      <x/>
      <x v="14"/>
      <x v="20"/>
      <x v="21"/>
      <x v="2"/>
    </i>
    <i r="1">
      <x v="98"/>
      <x v="765"/>
      <x v="1343"/>
      <x v="35"/>
      <x v="81"/>
      <x v="8"/>
      <x v="4"/>
      <x v="2"/>
      <x/>
      <x v="14"/>
      <x/>
      <x v="8"/>
      <x v="8"/>
    </i>
    <i r="1">
      <x v="100"/>
      <x v="322"/>
      <x v="695"/>
      <x v="51"/>
      <x v="69"/>
      <x v="11"/>
      <x v="4"/>
      <x v="2"/>
      <x/>
      <x v="13"/>
      <x v="17"/>
      <x v="25"/>
      <x v="1"/>
    </i>
    <i r="1">
      <x v="104"/>
      <x v="300"/>
      <x v="664"/>
      <x v="40"/>
      <x v="4"/>
      <x v="8"/>
      <x v="4"/>
      <x v="2"/>
      <x/>
      <x v="21"/>
      <x v="9"/>
      <x v="17"/>
      <x v="3"/>
    </i>
    <i r="1">
      <x v="112"/>
      <x v="792"/>
      <x v="1370"/>
      <x v="61"/>
      <x v="12"/>
      <x v="8"/>
      <x v="4"/>
      <x v="2"/>
      <x/>
      <x v="6"/>
      <x v="24"/>
      <x v="28"/>
      <x v="4"/>
    </i>
    <i r="1">
      <x v="113"/>
      <x v="639"/>
      <x v="440"/>
      <x v="40"/>
      <x v="4"/>
      <x v="8"/>
      <x v="4"/>
      <x v="2"/>
      <x/>
      <x v="21"/>
      <x v="9"/>
      <x v="8"/>
      <x v="8"/>
    </i>
    <i r="1">
      <x v="125"/>
      <x v="663"/>
      <x v="965"/>
      <x v="59"/>
      <x v="45"/>
      <x v="8"/>
      <x v="4"/>
      <x v="2"/>
      <x/>
      <x v="25"/>
      <x v="18"/>
      <x v="37"/>
      <x v="11"/>
    </i>
    <i r="1">
      <x v="126"/>
      <x v="1198"/>
      <x v="415"/>
      <x v="54"/>
      <x v="70"/>
      <x v="11"/>
      <x v="4"/>
      <x v="2"/>
      <x/>
      <x v="40"/>
      <x v="18"/>
      <x v="26"/>
      <x v="2"/>
    </i>
    <i r="1">
      <x v="133"/>
      <x v="876"/>
      <x v="897"/>
      <x v="43"/>
      <x v="19"/>
      <x v="4"/>
      <x v="4"/>
      <x v="2"/>
      <x/>
      <x v="30"/>
      <x v="13"/>
      <x v="3"/>
      <x v="8"/>
    </i>
    <i r="1">
      <x v="140"/>
      <x v="1225"/>
      <x v="230"/>
      <x v="39"/>
      <x v="4"/>
      <x v="8"/>
      <x v="4"/>
      <x v="2"/>
      <x/>
      <x v="21"/>
      <x v="8"/>
      <x v="26"/>
      <x v="2"/>
    </i>
    <i r="1">
      <x v="144"/>
      <x v="1029"/>
      <x v="1290"/>
      <x v="54"/>
      <x v="21"/>
      <x v="11"/>
      <x v="4"/>
      <x v="2"/>
      <x/>
      <x v="16"/>
      <x v="18"/>
      <x v="26"/>
      <x v="2"/>
    </i>
    <i r="1">
      <x v="153"/>
      <x v="469"/>
      <x v="263"/>
      <x v="48"/>
      <x v="60"/>
      <x v="4"/>
      <x v="4"/>
      <x v="2"/>
      <x/>
      <x v="19"/>
      <x v="17"/>
      <x v="26"/>
      <x v="2"/>
    </i>
    <i r="1">
      <x v="156"/>
      <x v="39"/>
      <x v="1103"/>
      <x v="49"/>
      <x v="9"/>
      <x v="8"/>
      <x v="4"/>
      <x v="2"/>
      <x/>
      <x v="20"/>
      <x v="17"/>
      <x v="17"/>
      <x v="3"/>
    </i>
    <i r="1">
      <x v="157"/>
      <x v="1358"/>
      <x v="433"/>
      <x v="53"/>
      <x v="73"/>
      <x v="4"/>
      <x v="4"/>
      <x v="2"/>
      <x/>
      <x v="5"/>
      <x v="17"/>
      <x v="31"/>
      <x v="6"/>
    </i>
    <i r="1">
      <x v="158"/>
      <x v="1203"/>
      <x v="602"/>
      <x v="54"/>
      <x v="47"/>
      <x v="8"/>
      <x v="4"/>
      <x v="2"/>
      <x/>
      <x v="34"/>
      <x v="18"/>
      <x v="28"/>
      <x v="4"/>
    </i>
    <i r="1">
      <x v="160"/>
      <x v="1082"/>
      <x v="282"/>
      <x v="48"/>
      <x v="70"/>
      <x v="11"/>
      <x v="4"/>
      <x v="2"/>
      <x/>
      <x v="17"/>
      <x v="17"/>
      <x v="26"/>
      <x v="2"/>
    </i>
    <i r="1">
      <x v="164"/>
      <x v="797"/>
      <x v="1215"/>
      <x v="35"/>
      <x v="81"/>
      <x v="8"/>
      <x v="4"/>
      <x v="2"/>
      <x/>
      <x v="14"/>
      <x/>
      <x v="37"/>
      <x v="11"/>
    </i>
    <i r="1">
      <x v="165"/>
      <x v="1254"/>
      <x v="906"/>
      <x v="50"/>
      <x v="55"/>
      <x v="4"/>
      <x v="4"/>
      <x v="1"/>
      <x v="1"/>
      <x v="19"/>
      <x v="17"/>
      <x v="3"/>
      <x v="8"/>
    </i>
    <i r="1">
      <x v="166"/>
      <x v="953"/>
      <x v="238"/>
      <x v="59"/>
      <x v="76"/>
      <x v="14"/>
      <x v="5"/>
      <x v="4"/>
      <x v="1"/>
      <x v="8"/>
      <x v="18"/>
      <x v="3"/>
      <x v="8"/>
    </i>
    <i r="1">
      <x v="169"/>
      <x v="635"/>
      <x v="246"/>
      <x v="59"/>
      <x v="26"/>
      <x v="8"/>
      <x v="4"/>
      <x v="1"/>
      <x v="1"/>
      <x v="8"/>
      <x v="18"/>
      <x v="3"/>
      <x v="8"/>
    </i>
    <i r="1">
      <x v="189"/>
      <x v="693"/>
      <x v="347"/>
      <x v="52"/>
      <x v="70"/>
      <x v="11"/>
      <x v="4"/>
      <x v="2"/>
      <x/>
      <x v="31"/>
      <x v="17"/>
      <x v="26"/>
      <x v="2"/>
    </i>
    <i r="1">
      <x v="204"/>
      <x v="188"/>
      <x v="1265"/>
      <x v="50"/>
      <x v="45"/>
      <x v="8"/>
      <x v="4"/>
      <x v="2"/>
      <x/>
      <x v="25"/>
      <x v="17"/>
      <x v="37"/>
      <x v="11"/>
    </i>
    <i r="1">
      <x v="205"/>
      <x v="978"/>
      <x v="1038"/>
      <x v="62"/>
      <x v="45"/>
      <x v="8"/>
      <x v="4"/>
      <x v="2"/>
      <x/>
      <x v="25"/>
      <x v="24"/>
      <x v="37"/>
      <x v="11"/>
    </i>
    <i r="1">
      <x v="210"/>
      <x v="462"/>
      <x v="1205"/>
      <x v="44"/>
      <x v="19"/>
      <x v="4"/>
      <x v="4"/>
      <x v="4"/>
      <x v="1"/>
      <x v="30"/>
      <x v="13"/>
      <x v="3"/>
      <x v="8"/>
    </i>
    <i r="1">
      <x v="211"/>
      <x v="508"/>
      <x v="226"/>
      <x v="37"/>
      <x v="4"/>
      <x v="8"/>
      <x v="4"/>
      <x v="4"/>
      <x v="1"/>
      <x v="24"/>
      <x v="7"/>
      <x v="8"/>
      <x v="8"/>
    </i>
    <i r="1">
      <x v="212"/>
      <x v="531"/>
      <x v="409"/>
      <x v="60"/>
      <x v="12"/>
      <x v="8"/>
      <x v="4"/>
      <x v="4"/>
      <x v="1"/>
      <x v="6"/>
      <x v="24"/>
      <x v="3"/>
      <x v="8"/>
    </i>
    <i r="1">
      <x v="213"/>
      <x v="166"/>
      <x v="378"/>
      <x v="48"/>
      <x v="45"/>
      <x v="8"/>
      <x v="4"/>
      <x v="2"/>
      <x/>
      <x v="25"/>
      <x v="17"/>
      <x v="37"/>
      <x v="11"/>
    </i>
    <i r="1">
      <x v="215"/>
      <x v="553"/>
      <x v="218"/>
      <x v="37"/>
      <x v="4"/>
      <x v="8"/>
      <x v="4"/>
      <x v="2"/>
      <x/>
      <x v="24"/>
      <x v="7"/>
      <x v="8"/>
      <x v="8"/>
    </i>
    <i r="1">
      <x v="220"/>
      <x v="185"/>
      <x v="921"/>
      <x v="56"/>
      <x v="45"/>
      <x v="8"/>
      <x v="4"/>
      <x v="2"/>
      <x/>
      <x v="25"/>
      <x v="18"/>
      <x v="37"/>
      <x v="11"/>
    </i>
    <i r="1">
      <x v="223"/>
      <x v="1367"/>
      <x v="1382"/>
      <x v="47"/>
      <x v="23"/>
      <x v="4"/>
      <x v="4"/>
      <x v="2"/>
      <x/>
      <x v="5"/>
      <x v="13"/>
      <x v="31"/>
      <x v="6"/>
    </i>
    <i r="1">
      <x v="227"/>
      <x v="187"/>
      <x v="953"/>
      <x v="54"/>
      <x v="47"/>
      <x v="8"/>
      <x v="4"/>
      <x v="2"/>
      <x/>
      <x v="34"/>
      <x v="18"/>
      <x v="3"/>
      <x v="8"/>
    </i>
    <i r="1">
      <x v="228"/>
      <x v="495"/>
      <x v="653"/>
      <x v="39"/>
      <x v="4"/>
      <x v="8"/>
      <x v="4"/>
      <x v="2"/>
      <x/>
      <x v="21"/>
      <x v="8"/>
      <x v="8"/>
      <x v="8"/>
    </i>
    <i r="1">
      <x v="229"/>
      <x v="1300"/>
      <x v="1349"/>
      <x v="47"/>
      <x v="73"/>
      <x v="4"/>
      <x v="4"/>
      <x v="2"/>
      <x/>
      <x v="5"/>
      <x v="13"/>
      <x v="31"/>
      <x v="6"/>
    </i>
    <i r="1">
      <x v="230"/>
      <x v="255"/>
      <x v="15"/>
      <x v="35"/>
      <x v="81"/>
      <x v="8"/>
      <x v="4"/>
      <x v="2"/>
      <x/>
      <x v="14"/>
      <x/>
      <x v="5"/>
      <x v="10"/>
    </i>
    <i r="1">
      <x v="234"/>
      <x v="530"/>
      <x v="319"/>
      <x v="43"/>
      <x v="19"/>
      <x v="4"/>
      <x v="4"/>
      <x v="4"/>
      <x v="1"/>
      <x v="30"/>
      <x v="13"/>
      <x v="3"/>
      <x v="8"/>
    </i>
    <i r="1">
      <x v="236"/>
      <x v="292"/>
      <x v="446"/>
      <x v="35"/>
      <x v="43"/>
      <x v="11"/>
      <x v="4"/>
      <x v="4"/>
      <x v="1"/>
      <x v="29"/>
      <x/>
      <x v="26"/>
      <x v="2"/>
    </i>
    <i r="1">
      <x v="242"/>
      <x v="157"/>
      <x v="165"/>
      <x v="56"/>
      <x v="45"/>
      <x v="8"/>
      <x v="4"/>
      <x v="2"/>
      <x/>
      <x v="25"/>
      <x v="18"/>
      <x v="37"/>
      <x v="11"/>
    </i>
    <i r="1">
      <x v="244"/>
      <x v="496"/>
      <x v="421"/>
      <x v="54"/>
      <x v="45"/>
      <x v="8"/>
      <x v="4"/>
      <x v="2"/>
      <x/>
      <x v="25"/>
      <x v="18"/>
      <x v="37"/>
      <x v="11"/>
    </i>
    <i r="1">
      <x v="247"/>
      <x v="1375"/>
      <x v="1001"/>
      <x v="53"/>
      <x v="23"/>
      <x v="4"/>
      <x v="4"/>
      <x v="2"/>
      <x/>
      <x v="5"/>
      <x v="17"/>
      <x v="31"/>
      <x v="6"/>
    </i>
    <i r="1">
      <x v="250"/>
      <x v="40"/>
      <x v="1094"/>
      <x v="54"/>
      <x v="47"/>
      <x v="8"/>
      <x v="4"/>
      <x v="2"/>
      <x/>
      <x v="34"/>
      <x v="18"/>
      <x v="16"/>
      <x v="12"/>
    </i>
    <i r="1">
      <x v="251"/>
      <x v="599"/>
      <x v="1131"/>
      <x v="40"/>
      <x v="4"/>
      <x v="8"/>
      <x v="4"/>
      <x v="2"/>
      <x/>
      <x v="21"/>
      <x v="9"/>
      <x v="26"/>
      <x v="2"/>
    </i>
    <i r="1">
      <x v="252"/>
      <x v="308"/>
      <x v="22"/>
      <x v="38"/>
      <x v="10"/>
      <x v="8"/>
      <x v="4"/>
      <x v="2"/>
      <x/>
      <x v="21"/>
      <x v="1"/>
      <x v="8"/>
      <x v="8"/>
    </i>
    <i r="1">
      <x v="255"/>
      <x v="229"/>
      <x v="679"/>
      <x v="37"/>
      <x v="4"/>
      <x v="8"/>
      <x v="4"/>
      <x v="4"/>
      <x v="1"/>
      <x v="24"/>
      <x v="7"/>
      <x v="37"/>
      <x v="11"/>
    </i>
    <i r="1">
      <x v="256"/>
      <x v="1366"/>
      <x v="1322"/>
      <x v="53"/>
      <x v="73"/>
      <x v="4"/>
      <x v="4"/>
      <x v="2"/>
      <x/>
      <x v="5"/>
      <x v="17"/>
      <x v="31"/>
      <x v="6"/>
    </i>
    <i r="1">
      <x v="258"/>
      <x v="636"/>
      <x v="6"/>
      <x v="42"/>
      <x v="81"/>
      <x v="8"/>
      <x v="4"/>
      <x v="2"/>
      <x/>
      <x v="14"/>
      <x v="20"/>
      <x v="8"/>
      <x v="8"/>
    </i>
    <i r="1">
      <x v="259"/>
      <x v="546"/>
      <x v="244"/>
      <x v="49"/>
      <x v="66"/>
      <x v="4"/>
      <x v="4"/>
      <x v="2"/>
      <x/>
      <x v="19"/>
      <x v="17"/>
      <x v="3"/>
      <x v="8"/>
    </i>
    <i r="1">
      <x v="261"/>
      <x v="939"/>
      <x v="1067"/>
      <x v="41"/>
      <x v="10"/>
      <x v="8"/>
      <x v="4"/>
      <x v="2"/>
      <x/>
      <x v="21"/>
      <x v="9"/>
      <x v="28"/>
      <x v="4"/>
    </i>
    <i r="1">
      <x v="262"/>
      <x v="825"/>
      <x v="868"/>
      <x v="55"/>
      <x v="65"/>
      <x v="8"/>
      <x v="4"/>
      <x v="2"/>
      <x/>
      <x v="33"/>
      <x v="18"/>
      <x v="16"/>
      <x v="12"/>
    </i>
    <i r="1">
      <x v="264"/>
      <x v="1286"/>
      <x v="997"/>
      <x v="47"/>
      <x v="73"/>
      <x v="4"/>
      <x v="4"/>
      <x v="2"/>
      <x/>
      <x v="5"/>
      <x v="13"/>
      <x v="31"/>
      <x v="6"/>
    </i>
    <i r="1">
      <x v="270"/>
      <x v="813"/>
      <x v="187"/>
      <x v="38"/>
      <x v="10"/>
      <x v="8"/>
      <x v="4"/>
      <x v="2"/>
      <x/>
      <x v="21"/>
      <x v="1"/>
      <x v="5"/>
      <x v="10"/>
    </i>
    <i r="1">
      <x v="271"/>
      <x v="1227"/>
      <x v="318"/>
      <x v="40"/>
      <x v="4"/>
      <x v="8"/>
      <x v="4"/>
      <x v="2"/>
      <x/>
      <x v="21"/>
      <x v="9"/>
      <x v="25"/>
      <x v="1"/>
    </i>
    <i r="1">
      <x v="272"/>
      <x v="233"/>
      <x v="773"/>
      <x v="40"/>
      <x v="4"/>
      <x v="8"/>
      <x v="4"/>
      <x v="4"/>
      <x v="1"/>
      <x v="21"/>
      <x v="9"/>
      <x v="37"/>
      <x v="11"/>
    </i>
    <i r="1">
      <x v="273"/>
      <x v="153"/>
      <x v="93"/>
      <x v="60"/>
      <x v="12"/>
      <x v="8"/>
      <x v="4"/>
      <x v="2"/>
      <x/>
      <x v="22"/>
      <x v="24"/>
      <x v="3"/>
      <x v="8"/>
    </i>
    <i r="1">
      <x v="274"/>
      <x v="440"/>
      <x v="38"/>
      <x v="49"/>
      <x v="66"/>
      <x v="4"/>
      <x v="4"/>
      <x v="2"/>
      <x/>
      <x v="17"/>
      <x v="17"/>
      <x v="25"/>
      <x v="1"/>
    </i>
    <i r="1">
      <x v="278"/>
      <x v="1123"/>
      <x v="450"/>
      <x v="42"/>
      <x v="81"/>
      <x v="8"/>
      <x v="4"/>
      <x v="2"/>
      <x/>
      <x v="14"/>
      <x v="20"/>
      <x v="25"/>
      <x v="1"/>
    </i>
    <i r="1">
      <x v="282"/>
      <x v="555"/>
      <x v="873"/>
      <x v="38"/>
      <x v="10"/>
      <x v="8"/>
      <x v="4"/>
      <x v="2"/>
      <x/>
      <x v="21"/>
      <x v="1"/>
      <x v="8"/>
      <x v="8"/>
    </i>
    <i r="1">
      <x v="283"/>
      <x v="67"/>
      <x v="26"/>
      <x v="37"/>
      <x v="4"/>
      <x v="8"/>
      <x v="4"/>
      <x v="2"/>
      <x/>
      <x v="24"/>
      <x v="7"/>
      <x v="5"/>
      <x v="10"/>
    </i>
    <i r="1">
      <x v="284"/>
      <x v="160"/>
      <x v="293"/>
      <x v="56"/>
      <x v="6"/>
      <x v="8"/>
      <x v="4"/>
      <x v="4"/>
      <x v="1"/>
      <x v="8"/>
      <x v="18"/>
      <x v="3"/>
      <x v="8"/>
    </i>
    <i r="1">
      <x v="289"/>
      <x v="426"/>
      <x v="919"/>
      <x v="35"/>
      <x v="81"/>
      <x v="8"/>
      <x v="4"/>
      <x v="2"/>
      <x/>
      <x v="14"/>
      <x/>
      <x v="5"/>
      <x v="10"/>
    </i>
    <i r="1">
      <x v="291"/>
      <x v="164"/>
      <x v="978"/>
      <x v="37"/>
      <x v="46"/>
      <x v="11"/>
      <x v="4"/>
      <x v="2"/>
      <x/>
      <x v="15"/>
      <x v="7"/>
      <x v="26"/>
      <x v="2"/>
    </i>
    <i r="1">
      <x v="292"/>
      <x v="700"/>
      <x v="337"/>
      <x v="49"/>
      <x v="60"/>
      <x v="4"/>
      <x v="4"/>
      <x v="2"/>
      <x/>
      <x v="13"/>
      <x v="17"/>
      <x v="26"/>
      <x v="2"/>
    </i>
    <i r="1">
      <x v="293"/>
      <x v="268"/>
      <x v="722"/>
      <x v="47"/>
      <x v="73"/>
      <x v="4"/>
      <x v="4"/>
      <x v="2"/>
      <x/>
      <x v="5"/>
      <x v="13"/>
      <x v="31"/>
      <x v="6"/>
    </i>
    <i r="1">
      <x v="296"/>
      <x v="172"/>
      <x v="816"/>
      <x v="38"/>
      <x v="10"/>
      <x v="8"/>
      <x v="4"/>
      <x v="4"/>
      <x v="1"/>
      <x v="21"/>
      <x v="1"/>
      <x v="8"/>
      <x v="8"/>
    </i>
    <i r="1">
      <x v="297"/>
      <x v="274"/>
      <x v="968"/>
      <x v="42"/>
      <x v="81"/>
      <x v="8"/>
      <x v="4"/>
      <x v="2"/>
      <x/>
      <x v="14"/>
      <x v="20"/>
      <x v="21"/>
      <x v="2"/>
    </i>
    <i r="1">
      <x v="299"/>
      <x v="189"/>
      <x v="1312"/>
      <x v="53"/>
      <x v="73"/>
      <x v="4"/>
      <x v="4"/>
      <x v="4"/>
      <x v="1"/>
      <x v="5"/>
      <x v="17"/>
      <x v="31"/>
      <x v="6"/>
    </i>
    <i r="1">
      <x v="300"/>
      <x v="286"/>
      <x v="383"/>
      <x v="38"/>
      <x v="10"/>
      <x v="8"/>
      <x v="4"/>
      <x v="2"/>
      <x/>
      <x v="21"/>
      <x v="1"/>
      <x v="25"/>
      <x v="1"/>
    </i>
    <i r="1">
      <x v="301"/>
      <x v="175"/>
      <x v="994"/>
      <x v="62"/>
      <x v="12"/>
      <x v="8"/>
      <x v="4"/>
      <x v="2"/>
      <x/>
      <x v="26"/>
      <x v="24"/>
      <x v="3"/>
      <x v="8"/>
    </i>
    <i r="1">
      <x v="302"/>
      <x v="467"/>
      <x v="944"/>
      <x v="62"/>
      <x v="12"/>
      <x v="8"/>
      <x v="4"/>
      <x v="2"/>
      <x/>
      <x v="26"/>
      <x v="24"/>
      <x v="43"/>
      <x v="5"/>
    </i>
    <i r="1">
      <x v="303"/>
      <x v="144"/>
      <x v="1085"/>
      <x v="35"/>
      <x v="81"/>
      <x v="8"/>
      <x v="4"/>
      <x v="1"/>
      <x v="1"/>
      <x v="14"/>
      <x/>
      <x v="23"/>
      <x v="5"/>
    </i>
    <i r="1">
      <x v="304"/>
      <x v="338"/>
      <x v="668"/>
      <x v="35"/>
      <x v="81"/>
      <x v="8"/>
      <x v="4"/>
      <x v="2"/>
      <x/>
      <x v="14"/>
      <x/>
      <x v="5"/>
      <x v="10"/>
    </i>
    <i r="1">
      <x v="310"/>
      <x v="897"/>
      <x v="8"/>
      <x v="44"/>
      <x v="33"/>
      <x v="11"/>
      <x v="4"/>
      <x v="2"/>
      <x/>
      <x v="31"/>
      <x v="13"/>
      <x v="26"/>
      <x v="2"/>
    </i>
    <i r="1">
      <x v="311"/>
      <x v="979"/>
      <x v="1345"/>
      <x v="54"/>
      <x v="47"/>
      <x v="8"/>
      <x v="4"/>
      <x v="4"/>
      <x v="1"/>
      <x v="34"/>
      <x v="18"/>
      <x v="3"/>
      <x v="8"/>
    </i>
    <i r="1">
      <x v="312"/>
      <x v="251"/>
      <x v="547"/>
      <x v="42"/>
      <x v="81"/>
      <x v="8"/>
      <x v="4"/>
      <x v="2"/>
      <x/>
      <x v="14"/>
      <x v="20"/>
      <x v="5"/>
      <x v="10"/>
    </i>
    <i r="1">
      <x v="314"/>
      <x v="46"/>
      <x v="1269"/>
      <x v="42"/>
      <x v="81"/>
      <x v="8"/>
      <x v="4"/>
      <x v="2"/>
      <x/>
      <x v="14"/>
      <x v="20"/>
      <x v="37"/>
      <x v="11"/>
    </i>
    <i r="1">
      <x v="319"/>
      <x v="405"/>
      <x v="1208"/>
      <x v="61"/>
      <x v="45"/>
      <x v="8"/>
      <x v="4"/>
      <x v="2"/>
      <x/>
      <x v="25"/>
      <x v="24"/>
      <x v="37"/>
      <x v="11"/>
    </i>
    <i r="1">
      <x v="325"/>
      <x v="598"/>
      <x v="9"/>
      <x v="35"/>
      <x v="81"/>
      <x v="8"/>
      <x v="4"/>
      <x v="2"/>
      <x/>
      <x v="14"/>
      <x/>
      <x v="8"/>
      <x v="8"/>
    </i>
    <i r="1">
      <x v="326"/>
      <x v="955"/>
      <x v="691"/>
      <x v="60"/>
      <x v="12"/>
      <x v="8"/>
      <x v="4"/>
      <x v="2"/>
      <x/>
      <x v="22"/>
      <x v="24"/>
      <x v="3"/>
      <x v="8"/>
    </i>
    <i r="1">
      <x v="327"/>
      <x v="1129"/>
      <x v="871"/>
      <x v="54"/>
      <x v="47"/>
      <x v="8"/>
      <x v="4"/>
      <x v="2"/>
      <x/>
      <x v="8"/>
      <x v="18"/>
      <x v="26"/>
      <x v="2"/>
    </i>
    <i r="1">
      <x v="335"/>
      <x v="273"/>
      <x v="1092"/>
      <x v="36"/>
      <x v="81"/>
      <x v="8"/>
      <x v="4"/>
      <x v="2"/>
      <x/>
      <x v="14"/>
      <x/>
      <x v="37"/>
      <x v="11"/>
    </i>
    <i r="1">
      <x v="337"/>
      <x v="850"/>
      <x v="948"/>
      <x v="60"/>
      <x v="12"/>
      <x v="8"/>
      <x v="4"/>
      <x v="4"/>
      <x v="1"/>
      <x v="22"/>
      <x v="24"/>
      <x v="3"/>
      <x v="8"/>
    </i>
    <i r="1">
      <x v="339"/>
      <x v="949"/>
      <x v="642"/>
      <x v="58"/>
      <x v="26"/>
      <x v="8"/>
      <x v="4"/>
      <x v="2"/>
      <x/>
      <x v="8"/>
      <x v="18"/>
      <x v="25"/>
      <x v="1"/>
    </i>
    <i r="1">
      <x v="340"/>
      <x v="321"/>
      <x v="1221"/>
      <x v="49"/>
      <x v="70"/>
      <x v="11"/>
      <x v="4"/>
      <x v="2"/>
      <x v="1"/>
      <x v="40"/>
      <x v="17"/>
      <x v="26"/>
      <x v="2"/>
    </i>
    <i r="1">
      <x v="342"/>
      <x v="247"/>
      <x v="967"/>
      <x v="41"/>
      <x v="46"/>
      <x v="11"/>
      <x v="4"/>
      <x v="2"/>
      <x/>
      <x v="15"/>
      <x v="9"/>
      <x v="26"/>
      <x v="2"/>
    </i>
    <i r="1">
      <x v="345"/>
      <x v="1200"/>
      <x v="1014"/>
      <x v="54"/>
      <x v="55"/>
      <x v="4"/>
      <x v="4"/>
      <x v="2"/>
      <x/>
      <x v="40"/>
      <x v="18"/>
      <x v="26"/>
      <x v="2"/>
    </i>
    <i r="1">
      <x v="346"/>
      <x v="20"/>
      <x v="1017"/>
      <x v="43"/>
      <x v="9"/>
      <x v="8"/>
      <x v="4"/>
      <x v="2"/>
      <x v="1"/>
      <x v="20"/>
      <x v="13"/>
      <x v="17"/>
      <x v="3"/>
    </i>
    <i r="1">
      <x v="347"/>
      <x v="190"/>
      <x v="1360"/>
      <x v="48"/>
      <x v="60"/>
      <x v="4"/>
      <x v="4"/>
      <x v="2"/>
      <x/>
      <x v="17"/>
      <x v="17"/>
      <x v="3"/>
      <x v="8"/>
    </i>
    <i r="1">
      <x v="349"/>
      <x v="660"/>
      <x v="1144"/>
      <x v="37"/>
      <x v="4"/>
      <x v="8"/>
      <x v="4"/>
      <x v="2"/>
      <x/>
      <x v="24"/>
      <x v="7"/>
      <x v="37"/>
      <x v="11"/>
    </i>
    <i r="1">
      <x v="353"/>
      <x v="661"/>
      <x v="487"/>
      <x v="42"/>
      <x v="81"/>
      <x v="8"/>
      <x v="4"/>
      <x v="2"/>
      <x/>
      <x v="14"/>
      <x v="20"/>
      <x v="37"/>
      <x v="11"/>
    </i>
    <i r="1">
      <x v="355"/>
      <x v="749"/>
      <x v="419"/>
      <x v="37"/>
      <x v="4"/>
      <x v="8"/>
      <x v="4"/>
      <x v="4"/>
      <x v="1"/>
      <x v="24"/>
      <x v="7"/>
      <x v="8"/>
      <x v="8"/>
    </i>
    <i r="1">
      <x v="356"/>
      <x v="195"/>
      <x v="1013"/>
      <x v="60"/>
      <x v="11"/>
      <x v="11"/>
      <x v="4"/>
      <x v="2"/>
      <x/>
      <x v="12"/>
      <x v="24"/>
      <x v="26"/>
      <x v="2"/>
    </i>
    <i r="1">
      <x v="360"/>
      <x v="364"/>
      <x v="599"/>
      <x v="37"/>
      <x v="4"/>
      <x v="8"/>
      <x v="4"/>
      <x v="2"/>
      <x/>
      <x v="24"/>
      <x v="7"/>
      <x v="5"/>
      <x v="10"/>
    </i>
    <i r="1">
      <x v="361"/>
      <x v="552"/>
      <x v="1394"/>
      <x v="45"/>
      <x v="19"/>
      <x v="4"/>
      <x v="4"/>
      <x v="2"/>
      <x v="1"/>
      <x v="30"/>
      <x v="13"/>
      <x v="3"/>
      <x v="8"/>
    </i>
    <i r="1">
      <x v="362"/>
      <x v="1218"/>
      <x v="970"/>
      <x v="39"/>
      <x v="4"/>
      <x v="8"/>
      <x v="4"/>
      <x v="2"/>
      <x/>
      <x v="21"/>
      <x v="8"/>
      <x v="28"/>
      <x v="4"/>
    </i>
    <i r="1">
      <x v="363"/>
      <x v="670"/>
      <x v="225"/>
      <x v="56"/>
      <x v="6"/>
      <x v="8"/>
      <x v="4"/>
      <x v="2"/>
      <x/>
      <x v="26"/>
      <x v="18"/>
      <x v="16"/>
      <x v="12"/>
    </i>
    <i r="1">
      <x v="365"/>
      <x v="778"/>
      <x v="453"/>
      <x v="48"/>
      <x v="60"/>
      <x v="4"/>
      <x v="4"/>
      <x v="2"/>
      <x/>
      <x v="17"/>
      <x v="17"/>
      <x v="3"/>
      <x v="8"/>
    </i>
    <i r="1">
      <x v="369"/>
      <x v="380"/>
      <x v="63"/>
      <x v="60"/>
      <x v="12"/>
      <x v="8"/>
      <x v="4"/>
      <x v="2"/>
      <x/>
      <x v="22"/>
      <x v="24"/>
      <x v="3"/>
      <x v="8"/>
    </i>
    <i r="1">
      <x v="375"/>
      <x v="42"/>
      <x v="382"/>
      <x v="61"/>
      <x v="9"/>
      <x v="8"/>
      <x v="4"/>
      <x v="2"/>
      <x/>
      <x v="20"/>
      <x v="24"/>
      <x v="17"/>
      <x v="3"/>
    </i>
    <i r="1">
      <x v="377"/>
      <x v="624"/>
      <x v="822"/>
      <x v="37"/>
      <x v="4"/>
      <x v="8"/>
      <x v="4"/>
      <x v="2"/>
      <x/>
      <x v="24"/>
      <x v="7"/>
      <x v="8"/>
      <x v="8"/>
    </i>
    <i r="1">
      <x v="381"/>
      <x v="1009"/>
      <x v="892"/>
      <x v="44"/>
      <x v="19"/>
      <x v="4"/>
      <x v="4"/>
      <x v="2"/>
      <x/>
      <x v="30"/>
      <x v="13"/>
      <x v="3"/>
      <x v="8"/>
    </i>
    <i r="1">
      <x v="386"/>
      <x v="170"/>
      <x v="1237"/>
      <x v="43"/>
      <x v="45"/>
      <x v="8"/>
      <x v="4"/>
      <x v="2"/>
      <x/>
      <x v="25"/>
      <x v="13"/>
      <x v="37"/>
      <x v="11"/>
    </i>
    <i r="1">
      <x v="391"/>
      <x v="1116"/>
      <x v="65"/>
      <x v="39"/>
      <x v="4"/>
      <x v="8"/>
      <x v="4"/>
      <x v="2"/>
      <x/>
      <x v="21"/>
      <x v="8"/>
      <x v="25"/>
      <x v="1"/>
    </i>
    <i r="1">
      <x v="392"/>
      <x v="1184"/>
      <x v="825"/>
      <x v="56"/>
      <x v="2"/>
      <x v="5"/>
      <x v="1"/>
      <x v="2"/>
      <x v="1"/>
      <x v="28"/>
      <x v="18"/>
      <x v="26"/>
      <x v="2"/>
    </i>
    <i r="1">
      <x v="394"/>
      <x v="1115"/>
      <x v="286"/>
      <x v="36"/>
      <x v="81"/>
      <x v="8"/>
      <x v="4"/>
      <x v="2"/>
      <x/>
      <x v="14"/>
      <x/>
      <x v="8"/>
      <x v="8"/>
    </i>
    <i r="1">
      <x v="398"/>
      <x v="841"/>
      <x v="205"/>
      <x v="44"/>
      <x v="9"/>
      <x v="8"/>
      <x v="4"/>
      <x v="2"/>
      <x/>
      <x v="20"/>
      <x v="13"/>
      <x v="17"/>
      <x v="3"/>
    </i>
    <i r="1">
      <x v="400"/>
      <x v="600"/>
      <x v="1243"/>
      <x v="36"/>
      <x v="81"/>
      <x v="8"/>
      <x v="4"/>
      <x v="2"/>
      <x/>
      <x v="14"/>
      <x/>
      <x v="8"/>
      <x v="8"/>
    </i>
    <i r="1">
      <x v="403"/>
      <x v="147"/>
      <x v="301"/>
      <x v="63"/>
      <x v="45"/>
      <x v="8"/>
      <x v="4"/>
      <x v="2"/>
      <x/>
      <x v="25"/>
      <x v="24"/>
      <x v="37"/>
      <x v="11"/>
    </i>
    <i r="1">
      <x v="405"/>
      <x v="529"/>
      <x v="317"/>
      <x v="39"/>
      <x v="4"/>
      <x v="8"/>
      <x v="4"/>
      <x v="2"/>
      <x/>
      <x v="24"/>
      <x v="8"/>
      <x v="5"/>
      <x v="10"/>
    </i>
    <i r="1">
      <x v="407"/>
      <x v="996"/>
      <x v="564"/>
      <x v="42"/>
      <x v="81"/>
      <x v="8"/>
      <x v="4"/>
      <x v="2"/>
      <x/>
      <x v="14"/>
      <x v="20"/>
      <x v="37"/>
      <x v="11"/>
    </i>
    <i r="1">
      <x v="411"/>
      <x v="21"/>
      <x v="1012"/>
      <x v="44"/>
      <x v="9"/>
      <x v="8"/>
      <x v="4"/>
      <x v="2"/>
      <x/>
      <x v="20"/>
      <x v="13"/>
      <x v="17"/>
      <x v="3"/>
    </i>
    <i r="1">
      <x v="413"/>
      <x v="346"/>
      <x v="1043"/>
      <x v="59"/>
      <x v="26"/>
      <x v="8"/>
      <x v="4"/>
      <x v="2"/>
      <x/>
      <x v="8"/>
      <x v="18"/>
      <x v="34"/>
      <x v="1"/>
    </i>
    <i r="1">
      <x v="414"/>
      <x v="491"/>
      <x v="828"/>
      <x v="54"/>
      <x v="45"/>
      <x v="8"/>
      <x v="4"/>
      <x v="4"/>
      <x v="1"/>
      <x v="25"/>
      <x v="18"/>
      <x v="37"/>
      <x v="11"/>
    </i>
    <i r="1">
      <x v="415"/>
      <x v="492"/>
      <x v="1395"/>
      <x v="43"/>
      <x v="19"/>
      <x v="4"/>
      <x v="4"/>
      <x v="2"/>
      <x/>
      <x v="30"/>
      <x v="13"/>
      <x v="21"/>
      <x v="2"/>
    </i>
    <i r="1">
      <x v="417"/>
      <x v="23"/>
      <x v="431"/>
      <x v="51"/>
      <x v="9"/>
      <x v="8"/>
      <x v="4"/>
      <x v="4"/>
      <x v="1"/>
      <x v="20"/>
      <x v="17"/>
      <x v="17"/>
      <x v="3"/>
    </i>
    <i r="1">
      <x v="419"/>
      <x v="1226"/>
      <x v="245"/>
      <x v="39"/>
      <x v="43"/>
      <x v="11"/>
      <x v="4"/>
      <x v="2"/>
      <x/>
      <x v="21"/>
      <x v="8"/>
      <x v="26"/>
      <x v="2"/>
    </i>
    <i r="1">
      <x v="421"/>
      <x v="269"/>
      <x v="302"/>
      <x v="59"/>
      <x v="26"/>
      <x v="8"/>
      <x v="4"/>
      <x v="4"/>
      <x v="1"/>
      <x v="8"/>
      <x v="18"/>
      <x v="3"/>
      <x v="8"/>
    </i>
    <i r="1">
      <x v="423"/>
      <x v="732"/>
      <x v="428"/>
      <x v="63"/>
      <x v="12"/>
      <x v="8"/>
      <x v="4"/>
      <x v="4"/>
      <x v="1"/>
      <x v="6"/>
      <x v="24"/>
      <x v="28"/>
      <x v="4"/>
    </i>
    <i r="1">
      <x v="427"/>
      <x v="737"/>
      <x v="342"/>
      <x v="41"/>
      <x v="46"/>
      <x v="11"/>
      <x v="4"/>
      <x v="2"/>
      <x/>
      <x v="15"/>
      <x v="9"/>
      <x v="26"/>
      <x v="2"/>
    </i>
    <i r="1">
      <x v="428"/>
      <x v="1007"/>
      <x v="236"/>
      <x v="51"/>
      <x v="21"/>
      <x v="11"/>
      <x v="4"/>
      <x v="2"/>
      <x v="1"/>
      <x v="16"/>
      <x v="17"/>
      <x v="26"/>
      <x v="2"/>
    </i>
    <i r="1">
      <x v="429"/>
      <x v="280"/>
      <x v="326"/>
      <x v="42"/>
      <x v="81"/>
      <x v="8"/>
      <x v="4"/>
      <x v="2"/>
      <x/>
      <x v="14"/>
      <x v="20"/>
      <x v="5"/>
      <x v="10"/>
    </i>
    <i r="1">
      <x v="434"/>
      <x v="879"/>
      <x v="1259"/>
      <x v="56"/>
      <x v="6"/>
      <x v="8"/>
      <x v="4"/>
      <x v="4"/>
      <x v="1"/>
      <x v="8"/>
      <x v="18"/>
      <x v="3"/>
      <x v="8"/>
    </i>
    <i r="1">
      <x v="435"/>
      <x v="1284"/>
      <x v="240"/>
      <x v="53"/>
      <x v="73"/>
      <x v="4"/>
      <x v="4"/>
      <x v="2"/>
      <x/>
      <x v="5"/>
      <x v="17"/>
      <x v="31"/>
      <x v="6"/>
    </i>
    <i r="1">
      <x v="436"/>
      <x v="567"/>
      <x v="607"/>
      <x v="44"/>
      <x v="19"/>
      <x v="4"/>
      <x v="4"/>
      <x v="2"/>
      <x/>
      <x v="30"/>
      <x v="13"/>
      <x v="25"/>
      <x v="1"/>
    </i>
    <i r="1">
      <x v="438"/>
      <x v="1356"/>
      <x v="53"/>
      <x v="47"/>
      <x v="73"/>
      <x v="4"/>
      <x v="4"/>
      <x v="2"/>
      <x/>
      <x v="5"/>
      <x v="13"/>
      <x v="31"/>
      <x v="6"/>
    </i>
    <i r="1">
      <x v="439"/>
      <x v="12"/>
      <x v="325"/>
      <x v="37"/>
      <x v="4"/>
      <x v="8"/>
      <x v="4"/>
      <x v="4"/>
      <x v="1"/>
      <x v="24"/>
      <x v="7"/>
      <x v="15"/>
      <x v="12"/>
    </i>
    <i r="1">
      <x v="440"/>
      <x v="662"/>
      <x v="852"/>
      <x v="40"/>
      <x v="4"/>
      <x v="8"/>
      <x v="4"/>
      <x v="2"/>
      <x/>
      <x v="21"/>
      <x v="9"/>
      <x v="5"/>
      <x v="10"/>
    </i>
    <i r="1">
      <x v="445"/>
      <x v="1157"/>
      <x v="152"/>
      <x v="50"/>
      <x v="55"/>
      <x v="4"/>
      <x v="4"/>
      <x v="2"/>
      <x/>
      <x v="17"/>
      <x v="17"/>
      <x v="25"/>
      <x v="1"/>
    </i>
    <i r="1">
      <x v="447"/>
      <x v="756"/>
      <x v="1129"/>
      <x v="36"/>
      <x v="81"/>
      <x v="8"/>
      <x v="4"/>
      <x v="2"/>
      <x/>
      <x v="14"/>
      <x/>
      <x v="15"/>
      <x v="12"/>
    </i>
    <i r="1">
      <x v="449"/>
      <x v="285"/>
      <x v="851"/>
      <x v="48"/>
      <x v="60"/>
      <x v="4"/>
      <x v="4"/>
      <x v="2"/>
      <x/>
      <x v="17"/>
      <x v="17"/>
      <x v="25"/>
      <x v="1"/>
    </i>
    <i r="1">
      <x v="451"/>
      <x v="483"/>
      <x v="747"/>
      <x v="61"/>
      <x v="12"/>
      <x v="8"/>
      <x v="4"/>
      <x v="4"/>
      <x v="1"/>
      <x v="6"/>
      <x v="24"/>
      <x v="3"/>
      <x v="8"/>
    </i>
    <i r="1">
      <x v="452"/>
      <x v="328"/>
      <x v="1347"/>
      <x v="54"/>
      <x v="47"/>
      <x v="8"/>
      <x v="4"/>
      <x v="2"/>
      <x v="1"/>
      <x v="34"/>
      <x v="18"/>
      <x v="25"/>
      <x v="1"/>
    </i>
    <i r="1">
      <x v="455"/>
      <x v="563"/>
      <x v="973"/>
      <x v="37"/>
      <x v="4"/>
      <x v="8"/>
      <x v="4"/>
      <x v="2"/>
      <x/>
      <x v="24"/>
      <x v="7"/>
      <x v="5"/>
      <x v="10"/>
    </i>
    <i r="1">
      <x v="456"/>
      <x v="587"/>
      <x v="258"/>
      <x v="35"/>
      <x v="81"/>
      <x v="8"/>
      <x v="4"/>
      <x v="2"/>
      <x/>
      <x v="14"/>
      <x/>
      <x v="8"/>
      <x v="8"/>
    </i>
    <i r="1">
      <x v="458"/>
      <x v="1175"/>
      <x v="61"/>
      <x v="50"/>
      <x v="55"/>
      <x v="4"/>
      <x v="4"/>
      <x v="2"/>
      <x/>
      <x v="10"/>
      <x v="17"/>
      <x v="28"/>
      <x v="4"/>
    </i>
    <i r="1">
      <x v="459"/>
      <x v="1285"/>
      <x v="254"/>
      <x v="47"/>
      <x v="73"/>
      <x v="4"/>
      <x v="4"/>
      <x v="2"/>
      <x/>
      <x v="5"/>
      <x v="13"/>
      <x v="31"/>
      <x v="6"/>
    </i>
    <i r="1">
      <x v="461"/>
      <x v="1360"/>
      <x v="647"/>
      <x v="53"/>
      <x v="73"/>
      <x v="4"/>
      <x v="4"/>
      <x v="2"/>
      <x/>
      <x v="5"/>
      <x v="17"/>
      <x v="31"/>
      <x v="6"/>
    </i>
    <i r="1">
      <x v="464"/>
      <x v="867"/>
      <x v="1077"/>
      <x v="38"/>
      <x v="46"/>
      <x v="11"/>
      <x v="4"/>
      <x v="2"/>
      <x/>
      <x v="15"/>
      <x v="1"/>
      <x v="26"/>
      <x v="2"/>
    </i>
    <i r="1">
      <x v="465"/>
      <x v="561"/>
      <x v="652"/>
      <x v="48"/>
      <x v="11"/>
      <x v="11"/>
      <x v="4"/>
      <x v="2"/>
      <x/>
      <x v="12"/>
      <x v="17"/>
      <x v="26"/>
      <x v="2"/>
    </i>
    <i r="1">
      <x v="467"/>
      <x v="1044"/>
      <x v="609"/>
      <x v="51"/>
      <x v="69"/>
      <x v="11"/>
      <x v="4"/>
      <x v="2"/>
      <x/>
      <x v="13"/>
      <x v="17"/>
      <x v="26"/>
      <x v="2"/>
    </i>
    <i r="1">
      <x v="469"/>
      <x v="610"/>
      <x v="1197"/>
      <x v="37"/>
      <x v="4"/>
      <x v="8"/>
      <x v="4"/>
      <x v="2"/>
      <x/>
      <x v="21"/>
      <x v="7"/>
      <x v="25"/>
      <x v="1"/>
    </i>
    <i r="1">
      <x v="470"/>
      <x v="548"/>
      <x v="999"/>
      <x v="37"/>
      <x v="4"/>
      <x v="8"/>
      <x v="4"/>
      <x v="2"/>
      <x/>
      <x v="24"/>
      <x v="7"/>
      <x v="6"/>
      <x v="8"/>
    </i>
    <i r="1">
      <x v="471"/>
      <x v="682"/>
      <x v="1143"/>
      <x v="51"/>
      <x v="55"/>
      <x v="4"/>
      <x v="4"/>
      <x v="2"/>
      <x/>
      <x v="17"/>
      <x v="17"/>
      <x v="3"/>
      <x v="8"/>
    </i>
    <i r="1">
      <x v="472"/>
      <x v="1010"/>
      <x v="958"/>
      <x v="56"/>
      <x v="6"/>
      <x v="8"/>
      <x v="4"/>
      <x v="2"/>
      <x/>
      <x v="8"/>
      <x v="18"/>
      <x v="3"/>
      <x v="8"/>
    </i>
    <i r="1">
      <x v="473"/>
      <x v="234"/>
      <x v="750"/>
      <x v="41"/>
      <x v="10"/>
      <x v="8"/>
      <x v="4"/>
      <x v="2"/>
      <x/>
      <x v="21"/>
      <x v="9"/>
      <x v="5"/>
      <x v="10"/>
    </i>
    <i r="1">
      <x v="474"/>
      <x v="633"/>
      <x v="1019"/>
      <x v="39"/>
      <x v="4"/>
      <x v="8"/>
      <x v="4"/>
      <x v="2"/>
      <x/>
      <x v="21"/>
      <x v="8"/>
      <x v="37"/>
      <x v="11"/>
    </i>
    <i r="1">
      <x v="480"/>
      <x v="550"/>
      <x v="1279"/>
      <x v="51"/>
      <x v="55"/>
      <x v="4"/>
      <x v="4"/>
      <x v="2"/>
      <x/>
      <x v="17"/>
      <x v="17"/>
      <x v="3"/>
      <x v="8"/>
    </i>
    <i r="1">
      <x v="481"/>
      <x v="798"/>
      <x v="1331"/>
      <x v="37"/>
      <x v="4"/>
      <x v="8"/>
      <x v="4"/>
      <x v="2"/>
      <x/>
      <x v="24"/>
      <x v="7"/>
      <x v="8"/>
      <x v="8"/>
    </i>
    <i r="1">
      <x v="482"/>
      <x v="565"/>
      <x v="321"/>
      <x v="43"/>
      <x v="19"/>
      <x v="4"/>
      <x v="4"/>
      <x v="2"/>
      <x/>
      <x v="30"/>
      <x v="13"/>
      <x v="3"/>
      <x v="8"/>
    </i>
    <i r="1">
      <x v="486"/>
      <x v="1258"/>
      <x v="234"/>
      <x v="48"/>
      <x v="60"/>
      <x v="4"/>
      <x v="4"/>
      <x v="2"/>
      <x/>
      <x v="19"/>
      <x v="17"/>
      <x v="3"/>
      <x v="8"/>
    </i>
    <i r="1">
      <x v="488"/>
      <x v="842"/>
      <x v="842"/>
      <x v="54"/>
      <x v="9"/>
      <x v="8"/>
      <x v="4"/>
      <x v="2"/>
      <x/>
      <x v="20"/>
      <x v="18"/>
      <x v="17"/>
      <x v="3"/>
    </i>
    <i r="1">
      <x v="489"/>
      <x v="1183"/>
      <x v="759"/>
      <x v="48"/>
      <x v="59"/>
      <x v="11"/>
      <x v="4"/>
      <x v="2"/>
      <x v="1"/>
      <x v="16"/>
      <x v="17"/>
      <x v="26"/>
      <x v="2"/>
    </i>
    <i r="1">
      <x v="490"/>
      <x v="868"/>
      <x v="1250"/>
      <x v="49"/>
      <x v="66"/>
      <x v="4"/>
      <x v="4"/>
      <x v="2"/>
      <x/>
      <x v="19"/>
      <x v="17"/>
      <x v="26"/>
      <x v="2"/>
    </i>
    <i r="1">
      <x v="494"/>
      <x v="1083"/>
      <x v="344"/>
      <x v="42"/>
      <x v="81"/>
      <x v="8"/>
      <x v="4"/>
      <x v="2"/>
      <x/>
      <x v="14"/>
      <x v="20"/>
      <x v="8"/>
      <x v="8"/>
    </i>
    <i r="1">
      <x v="495"/>
      <x v="680"/>
      <x v="560"/>
      <x v="49"/>
      <x v="66"/>
      <x v="4"/>
      <x v="4"/>
      <x v="2"/>
      <x/>
      <x v="17"/>
      <x v="17"/>
      <x v="3"/>
      <x v="8"/>
    </i>
    <i r="1">
      <x v="496"/>
      <x v="1243"/>
      <x v="309"/>
      <x v="46"/>
      <x v="30"/>
      <x v="7"/>
      <x v="1"/>
      <x v="2"/>
      <x v="1"/>
      <x v="30"/>
      <x v="13"/>
      <x v="3"/>
      <x v="8"/>
    </i>
    <i r="1">
      <x v="503"/>
      <x v="514"/>
      <x v="372"/>
      <x v="49"/>
      <x v="77"/>
      <x v="5"/>
      <x v="1"/>
      <x v="2"/>
      <x v="1"/>
      <x v="19"/>
      <x v="17"/>
      <x v="21"/>
      <x v="2"/>
    </i>
    <i r="1">
      <x v="504"/>
      <x v="1127"/>
      <x v="824"/>
      <x v="60"/>
      <x v="12"/>
      <x v="8"/>
      <x v="4"/>
      <x v="4"/>
      <x v="1"/>
      <x v="22"/>
      <x v="24"/>
      <x v="26"/>
      <x v="2"/>
    </i>
    <i r="1">
      <x v="505"/>
      <x v="540"/>
      <x v="300"/>
      <x v="60"/>
      <x v="30"/>
      <x v="7"/>
      <x v="1"/>
      <x v="2"/>
      <x/>
      <x v="27"/>
      <x v="24"/>
      <x v="21"/>
      <x v="2"/>
    </i>
    <i r="1">
      <x v="520"/>
      <x v="441"/>
      <x v="900"/>
      <x v="48"/>
      <x v="11"/>
      <x v="11"/>
      <x v="4"/>
      <x v="2"/>
      <x/>
      <x v="12"/>
      <x v="17"/>
      <x v="26"/>
      <x v="2"/>
    </i>
    <i r="1">
      <x v="523"/>
      <x v="777"/>
      <x v="418"/>
      <x v="50"/>
      <x v="55"/>
      <x v="4"/>
      <x v="4"/>
      <x v="2"/>
      <x/>
      <x v="17"/>
      <x v="17"/>
      <x v="3"/>
      <x v="8"/>
    </i>
    <i r="1">
      <x v="524"/>
      <x v="1244"/>
      <x v="1283"/>
      <x v="36"/>
      <x v="81"/>
      <x v="8"/>
      <x v="4"/>
      <x v="2"/>
      <x/>
      <x v="14"/>
      <x/>
      <x v="25"/>
      <x v="1"/>
    </i>
    <i r="1">
      <x v="527"/>
      <x v="688"/>
      <x v="69"/>
      <x v="60"/>
      <x v="12"/>
      <x v="8"/>
      <x v="4"/>
      <x v="2"/>
      <x/>
      <x v="19"/>
      <x v="24"/>
      <x v="28"/>
      <x v="4"/>
    </i>
    <i r="1">
      <x v="529"/>
      <x v="1008"/>
      <x v="354"/>
      <x v="50"/>
      <x v="55"/>
      <x v="4"/>
      <x v="4"/>
      <x v="2"/>
      <x/>
      <x v="17"/>
      <x v="17"/>
      <x v="3"/>
      <x v="8"/>
    </i>
    <i r="1">
      <x v="531"/>
      <x v="538"/>
      <x v="874"/>
      <x v="51"/>
      <x v="55"/>
      <x v="4"/>
      <x v="4"/>
      <x v="2"/>
      <x/>
      <x v="23"/>
      <x v="17"/>
      <x v="3"/>
      <x v="8"/>
    </i>
    <i r="1">
      <x v="533"/>
      <x v="1126"/>
      <x v="690"/>
      <x v="54"/>
      <x v="47"/>
      <x v="8"/>
      <x v="4"/>
      <x v="2"/>
      <x/>
      <x v="34"/>
      <x v="18"/>
      <x v="25"/>
      <x v="1"/>
    </i>
    <i r="1">
      <x v="536"/>
      <x v="1134"/>
      <x v="1248"/>
      <x v="60"/>
      <x v="12"/>
      <x v="8"/>
      <x v="4"/>
      <x v="2"/>
      <x/>
      <x v="22"/>
      <x v="24"/>
      <x v="26"/>
      <x v="2"/>
    </i>
    <i r="1">
      <x v="538"/>
      <x v="1376"/>
      <x v="407"/>
      <x v="47"/>
      <x v="23"/>
      <x v="4"/>
      <x v="4"/>
      <x v="2"/>
      <x/>
      <x v="5"/>
      <x v="13"/>
      <x v="31"/>
      <x v="6"/>
    </i>
    <i r="1">
      <x v="541"/>
      <x v="747"/>
      <x v="110"/>
      <x v="43"/>
      <x v="19"/>
      <x v="4"/>
      <x v="4"/>
      <x v="2"/>
      <x/>
      <x v="30"/>
      <x v="13"/>
      <x v="28"/>
      <x v="4"/>
    </i>
    <i r="1">
      <x v="542"/>
      <x v="1282"/>
      <x v="1"/>
      <x v="47"/>
      <x v="73"/>
      <x v="4"/>
      <x v="4"/>
      <x v="2"/>
      <x/>
      <x v="5"/>
      <x v="13"/>
      <x v="31"/>
      <x v="6"/>
    </i>
    <i r="1">
      <x v="543"/>
      <x v="503"/>
      <x v="772"/>
      <x v="36"/>
      <x v="81"/>
      <x v="8"/>
      <x v="4"/>
      <x v="2"/>
      <x/>
      <x v="14"/>
      <x/>
      <x v="8"/>
      <x v="8"/>
    </i>
    <i r="1">
      <x v="545"/>
      <x v="770"/>
      <x v="1052"/>
      <x v="41"/>
      <x v="10"/>
      <x v="8"/>
      <x v="4"/>
      <x v="2"/>
      <x/>
      <x v="21"/>
      <x v="9"/>
      <x v="5"/>
      <x v="10"/>
    </i>
    <i r="1">
      <x v="546"/>
      <x v="977"/>
      <x v="743"/>
      <x v="39"/>
      <x v="4"/>
      <x v="8"/>
      <x v="4"/>
      <x v="2"/>
      <x/>
      <x v="21"/>
      <x v="8"/>
      <x v="37"/>
      <x v="11"/>
    </i>
    <i r="1">
      <x v="548"/>
      <x v="1359"/>
      <x v="589"/>
      <x v="53"/>
      <x v="73"/>
      <x v="4"/>
      <x v="4"/>
      <x v="2"/>
      <x/>
      <x v="5"/>
      <x v="17"/>
      <x v="31"/>
      <x v="6"/>
    </i>
    <i r="1">
      <x v="549"/>
      <x v="871"/>
      <x v="635"/>
      <x v="47"/>
      <x v="73"/>
      <x v="4"/>
      <x v="4"/>
      <x v="4"/>
      <x v="1"/>
      <x v="5"/>
      <x v="13"/>
      <x v="31"/>
      <x v="6"/>
    </i>
    <i r="1">
      <x v="550"/>
      <x v="1128"/>
      <x v="843"/>
      <x v="56"/>
      <x v="6"/>
      <x v="8"/>
      <x v="4"/>
      <x v="2"/>
      <x/>
      <x v="8"/>
      <x v="18"/>
      <x v="34"/>
      <x v="1"/>
    </i>
    <i r="1">
      <x v="553"/>
      <x v="425"/>
      <x v="1291"/>
      <x v="61"/>
      <x v="12"/>
      <x v="8"/>
      <x v="4"/>
      <x v="2"/>
      <x/>
      <x v="6"/>
      <x v="24"/>
      <x v="3"/>
      <x v="8"/>
    </i>
    <i r="1">
      <x v="554"/>
      <x v="609"/>
      <x v="1387"/>
      <x v="62"/>
      <x v="12"/>
      <x v="8"/>
      <x v="4"/>
      <x v="2"/>
      <x/>
      <x v="26"/>
      <x v="24"/>
      <x v="3"/>
      <x v="8"/>
    </i>
    <i r="1">
      <x v="555"/>
      <x v="1156"/>
      <x v="177"/>
      <x v="54"/>
      <x v="47"/>
      <x v="8"/>
      <x v="4"/>
      <x v="2"/>
      <x/>
      <x v="34"/>
      <x v="18"/>
      <x v="25"/>
      <x v="1"/>
    </i>
    <i r="1">
      <x v="560"/>
      <x v="638"/>
      <x v="386"/>
      <x v="39"/>
      <x v="4"/>
      <x v="8"/>
      <x v="4"/>
      <x v="2"/>
      <x/>
      <x v="21"/>
      <x v="8"/>
      <x v="8"/>
      <x v="8"/>
    </i>
    <i r="1">
      <x v="564"/>
      <x v="779"/>
      <x v="268"/>
      <x v="40"/>
      <x v="4"/>
      <x v="8"/>
      <x v="4"/>
      <x v="2"/>
      <x/>
      <x v="21"/>
      <x v="9"/>
      <x v="5"/>
      <x v="10"/>
    </i>
    <i r="1">
      <x v="565"/>
      <x v="1201"/>
      <x v="1070"/>
      <x v="52"/>
      <x v="55"/>
      <x v="4"/>
      <x v="4"/>
      <x v="2"/>
      <x/>
      <x v="40"/>
      <x v="17"/>
      <x v="3"/>
      <x v="8"/>
    </i>
    <i r="1">
      <x v="566"/>
      <x v="1155"/>
      <x v="402"/>
      <x v="62"/>
      <x v="12"/>
      <x v="8"/>
      <x v="4"/>
      <x v="2"/>
      <x/>
      <x v="22"/>
      <x v="24"/>
      <x v="26"/>
      <x v="2"/>
    </i>
    <i r="1">
      <x v="568"/>
      <x v="1119"/>
      <x v="307"/>
      <x v="55"/>
      <x v="65"/>
      <x v="8"/>
      <x v="4"/>
      <x v="2"/>
      <x/>
      <x v="33"/>
      <x v="18"/>
      <x v="26"/>
      <x v="2"/>
    </i>
    <i r="1">
      <x v="571"/>
      <x v="632"/>
      <x v="714"/>
      <x v="40"/>
      <x v="4"/>
      <x v="8"/>
      <x v="4"/>
      <x v="2"/>
      <x/>
      <x v="21"/>
      <x v="9"/>
      <x v="37"/>
      <x v="11"/>
    </i>
    <i r="1">
      <x v="572"/>
      <x v="1004"/>
      <x v="762"/>
      <x v="62"/>
      <x v="12"/>
      <x v="8"/>
      <x v="4"/>
      <x v="2"/>
      <x/>
      <x v="26"/>
      <x v="24"/>
      <x v="3"/>
      <x v="8"/>
    </i>
    <i r="1">
      <x v="575"/>
      <x v="572"/>
      <x v="101"/>
      <x v="36"/>
      <x v="81"/>
      <x v="8"/>
      <x v="4"/>
      <x v="2"/>
      <x/>
      <x v="14"/>
      <x/>
      <x v="26"/>
      <x v="2"/>
    </i>
    <i r="1">
      <x v="576"/>
      <x v="738"/>
      <x v="886"/>
      <x v="37"/>
      <x v="4"/>
      <x v="8"/>
      <x v="4"/>
      <x v="2"/>
      <x/>
      <x v="24"/>
      <x v="7"/>
      <x v="8"/>
      <x v="8"/>
    </i>
    <i r="1">
      <x v="580"/>
      <x v="1047"/>
      <x v="594"/>
      <x v="48"/>
      <x v="43"/>
      <x v="11"/>
      <x v="4"/>
      <x v="2"/>
      <x/>
      <x v="29"/>
      <x v="17"/>
      <x v="26"/>
      <x v="2"/>
    </i>
    <i r="1">
      <x v="583"/>
      <x v="1022"/>
      <x v="46"/>
      <x v="54"/>
      <x v="41"/>
      <x v="5"/>
      <x v="1"/>
      <x v="2"/>
      <x/>
      <x v="40"/>
      <x v="18"/>
      <x v="26"/>
      <x v="2"/>
    </i>
    <i r="1">
      <x v="587"/>
      <x v="1017"/>
      <x v="339"/>
      <x v="61"/>
      <x v="12"/>
      <x v="8"/>
      <x v="4"/>
      <x v="2"/>
      <x/>
      <x v="6"/>
      <x v="24"/>
      <x v="28"/>
      <x v="4"/>
    </i>
    <i r="1">
      <x v="588"/>
      <x v="499"/>
      <x v="932"/>
      <x v="38"/>
      <x v="45"/>
      <x v="8"/>
      <x v="4"/>
      <x v="2"/>
      <x/>
      <x v="25"/>
      <x v="1"/>
      <x v="37"/>
      <x v="11"/>
    </i>
    <i r="1">
      <x v="589"/>
      <x v="450"/>
      <x v="220"/>
      <x v="39"/>
      <x v="4"/>
      <x v="8"/>
      <x v="4"/>
      <x v="2"/>
      <x/>
      <x v="21"/>
      <x v="8"/>
      <x v="3"/>
      <x v="8"/>
    </i>
    <i r="1">
      <x v="590"/>
      <x v="872"/>
      <x v="674"/>
      <x v="48"/>
      <x v="60"/>
      <x v="4"/>
      <x v="4"/>
      <x v="4"/>
      <x v="1"/>
      <x v="17"/>
      <x v="17"/>
      <x v="21"/>
      <x v="2"/>
    </i>
    <i r="1">
      <x v="591"/>
      <x v="814"/>
      <x v="562"/>
      <x v="41"/>
      <x v="10"/>
      <x v="8"/>
      <x v="4"/>
      <x v="2"/>
      <x/>
      <x v="21"/>
      <x v="9"/>
      <x v="37"/>
      <x v="11"/>
    </i>
    <i r="1">
      <x v="592"/>
      <x v="1357"/>
      <x v="132"/>
      <x v="53"/>
      <x v="73"/>
      <x v="4"/>
      <x v="4"/>
      <x v="2"/>
      <x/>
      <x v="5"/>
      <x v="17"/>
      <x v="31"/>
      <x v="6"/>
    </i>
    <i r="1">
      <x v="597"/>
      <x v="1073"/>
      <x v="242"/>
      <x v="53"/>
      <x v="73"/>
      <x v="4"/>
      <x v="4"/>
      <x v="2"/>
      <x/>
      <x v="5"/>
      <x v="17"/>
      <x v="31"/>
      <x v="6"/>
    </i>
    <i r="1">
      <x v="598"/>
      <x v="1379"/>
      <x v="195"/>
      <x v="47"/>
      <x v="23"/>
      <x v="4"/>
      <x v="4"/>
      <x v="2"/>
      <x/>
      <x v="5"/>
      <x v="13"/>
      <x v="31"/>
      <x v="6"/>
    </i>
    <i r="1">
      <x v="614"/>
      <x v="595"/>
      <x v="942"/>
      <x v="44"/>
      <x v="33"/>
      <x v="11"/>
      <x v="4"/>
      <x v="2"/>
      <x/>
      <x v="31"/>
      <x v="13"/>
      <x v="26"/>
      <x v="2"/>
    </i>
    <i r="1">
      <x v="619"/>
      <x v="1364"/>
      <x v="1300"/>
      <x v="53"/>
      <x v="73"/>
      <x v="4"/>
      <x v="4"/>
      <x v="2"/>
      <x/>
      <x v="5"/>
      <x v="17"/>
      <x v="31"/>
      <x v="6"/>
    </i>
    <i r="1">
      <x v="620"/>
      <x v="1283"/>
      <x v="935"/>
      <x v="53"/>
      <x v="73"/>
      <x v="4"/>
      <x v="4"/>
      <x v="2"/>
      <x/>
      <x v="5"/>
      <x v="17"/>
      <x v="31"/>
      <x v="6"/>
    </i>
    <i r="1">
      <x v="622"/>
      <x v="1194"/>
      <x v="97"/>
      <x v="51"/>
      <x v="55"/>
      <x v="4"/>
      <x v="4"/>
      <x v="2"/>
      <x/>
      <x v="40"/>
      <x v="17"/>
      <x v="26"/>
      <x v="2"/>
    </i>
    <i r="1">
      <x v="626"/>
      <x v="1088"/>
      <x v="1344"/>
      <x v="50"/>
      <x v="19"/>
      <x v="4"/>
      <x v="4"/>
      <x v="2"/>
      <x/>
      <x v="30"/>
      <x v="17"/>
      <x v="3"/>
      <x v="8"/>
    </i>
    <i r="1">
      <x v="629"/>
      <x v="793"/>
      <x v="1316"/>
      <x v="42"/>
      <x v="81"/>
      <x v="8"/>
      <x v="4"/>
      <x v="2"/>
      <x/>
      <x v="14"/>
      <x v="20"/>
      <x v="17"/>
      <x v="3"/>
    </i>
    <i r="1">
      <x v="630"/>
      <x v="512"/>
      <x v="376"/>
      <x v="35"/>
      <x v="81"/>
      <x v="8"/>
      <x v="4"/>
      <x v="2"/>
      <x/>
      <x v="14"/>
      <x/>
      <x v="5"/>
      <x v="10"/>
    </i>
    <i r="1">
      <x v="633"/>
      <x v="695"/>
      <x v="726"/>
      <x v="50"/>
      <x v="55"/>
      <x v="4"/>
      <x v="4"/>
      <x v="2"/>
      <x/>
      <x v="17"/>
      <x v="17"/>
      <x v="25"/>
      <x v="1"/>
    </i>
    <i r="1">
      <x v="635"/>
      <x v="50"/>
      <x v="1311"/>
      <x v="53"/>
      <x v="73"/>
      <x v="4"/>
      <x v="4"/>
      <x v="2"/>
      <x/>
      <x v="23"/>
      <x v="17"/>
      <x v="31"/>
      <x v="6"/>
    </i>
    <i r="1">
      <x v="638"/>
      <x v="1378"/>
      <x v="194"/>
      <x v="47"/>
      <x v="23"/>
      <x v="4"/>
      <x v="4"/>
      <x v="2"/>
      <x/>
      <x v="5"/>
      <x v="13"/>
      <x v="31"/>
      <x v="6"/>
    </i>
    <i r="1">
      <x v="639"/>
      <x v="764"/>
      <x v="888"/>
      <x v="38"/>
      <x v="10"/>
      <x v="8"/>
      <x v="4"/>
      <x v="2"/>
      <x/>
      <x v="21"/>
      <x v="1"/>
      <x v="5"/>
      <x v="10"/>
    </i>
    <i r="1">
      <x v="641"/>
      <x v="1220"/>
      <x v="279"/>
      <x v="43"/>
      <x v="19"/>
      <x v="4"/>
      <x v="4"/>
      <x v="2"/>
      <x/>
      <x v="30"/>
      <x v="13"/>
      <x v="3"/>
      <x v="8"/>
    </i>
    <i r="1">
      <x v="643"/>
      <x v="1361"/>
      <x v="681"/>
      <x v="47"/>
      <x v="73"/>
      <x v="4"/>
      <x v="4"/>
      <x v="2"/>
      <x/>
      <x v="5"/>
      <x v="13"/>
      <x v="31"/>
      <x v="6"/>
    </i>
    <i r="1">
      <x v="646"/>
      <x v="1191"/>
      <x v="1145"/>
      <x v="49"/>
      <x v="45"/>
      <x v="8"/>
      <x v="4"/>
      <x v="2"/>
      <x/>
      <x v="25"/>
      <x v="17"/>
      <x v="25"/>
      <x v="1"/>
    </i>
    <i r="1">
      <x v="648"/>
      <x v="673"/>
      <x v="976"/>
      <x v="39"/>
      <x v="4"/>
      <x v="8"/>
      <x v="4"/>
      <x v="2"/>
      <x/>
      <x v="21"/>
      <x v="8"/>
      <x v="37"/>
      <x v="11"/>
    </i>
    <i r="1">
      <x v="651"/>
      <x v="1352"/>
      <x v="343"/>
      <x v="53"/>
      <x v="73"/>
      <x v="4"/>
      <x v="4"/>
      <x v="2"/>
      <x/>
      <x v="5"/>
      <x v="17"/>
      <x v="31"/>
      <x v="6"/>
    </i>
    <i r="1">
      <x v="652"/>
      <x v="498"/>
      <x v="1254"/>
      <x v="45"/>
      <x v="19"/>
      <x v="4"/>
      <x v="4"/>
      <x v="2"/>
      <x/>
      <x v="30"/>
      <x v="13"/>
      <x v="3"/>
      <x v="8"/>
    </i>
    <i r="1">
      <x v="653"/>
      <x v="1250"/>
      <x v="287"/>
      <x v="48"/>
      <x v="60"/>
      <x v="4"/>
      <x v="4"/>
      <x v="2"/>
      <x/>
      <x v="17"/>
      <x v="17"/>
      <x v="21"/>
      <x v="2"/>
    </i>
    <i r="1">
      <x v="654"/>
      <x v="559"/>
      <x v="14"/>
      <x v="48"/>
      <x v="60"/>
      <x v="4"/>
      <x v="4"/>
      <x v="2"/>
      <x/>
      <x v="17"/>
      <x v="17"/>
      <x v="28"/>
      <x v="4"/>
    </i>
    <i r="1">
      <x v="658"/>
      <x v="403"/>
      <x v="657"/>
      <x v="62"/>
      <x v="41"/>
      <x v="5"/>
      <x v="1"/>
      <x v="2"/>
      <x/>
      <x v="40"/>
      <x v="24"/>
      <x v="3"/>
      <x v="8"/>
    </i>
    <i r="1">
      <x v="659"/>
      <x v="855"/>
      <x v="1036"/>
      <x v="45"/>
      <x v="19"/>
      <x v="4"/>
      <x v="4"/>
      <x v="2"/>
      <x/>
      <x v="30"/>
      <x v="13"/>
      <x v="3"/>
      <x v="8"/>
    </i>
    <i r="1">
      <x v="660"/>
      <x v="767"/>
      <x v="1020"/>
      <x v="53"/>
      <x v="76"/>
      <x v="14"/>
      <x v="5"/>
      <x v="2"/>
      <x v="1"/>
      <x v="5"/>
      <x v="17"/>
      <x v="31"/>
      <x v="6"/>
    </i>
    <i r="1">
      <x v="661"/>
      <x v="837"/>
      <x v="582"/>
      <x v="60"/>
      <x v="9"/>
      <x v="8"/>
      <x v="4"/>
      <x v="2"/>
      <x/>
      <x v="20"/>
      <x v="24"/>
      <x v="17"/>
      <x v="3"/>
    </i>
    <i r="1">
      <x v="662"/>
      <x v="1222"/>
      <x v="1351"/>
      <x v="42"/>
      <x v="81"/>
      <x v="8"/>
      <x v="4"/>
      <x v="2"/>
      <x/>
      <x v="14"/>
      <x v="20"/>
      <x v="26"/>
      <x v="2"/>
    </i>
    <i r="1">
      <x v="663"/>
      <x v="950"/>
      <x v="720"/>
      <x v="54"/>
      <x v="47"/>
      <x v="8"/>
      <x v="4"/>
      <x v="4"/>
      <x v="1"/>
      <x v="34"/>
      <x v="18"/>
      <x v="26"/>
      <x v="2"/>
    </i>
    <i r="1">
      <x v="664"/>
      <x v="1202"/>
      <x v="340"/>
      <x v="56"/>
      <x v="6"/>
      <x v="8"/>
      <x v="4"/>
      <x v="2"/>
      <x/>
      <x v="8"/>
      <x v="18"/>
      <x v="21"/>
      <x v="2"/>
    </i>
    <i r="1">
      <x v="667"/>
      <x v="1363"/>
      <x v="1220"/>
      <x v="53"/>
      <x v="73"/>
      <x v="4"/>
      <x v="4"/>
      <x v="2"/>
      <x/>
      <x v="5"/>
      <x v="17"/>
      <x v="31"/>
      <x v="6"/>
    </i>
    <i r="1">
      <x v="668"/>
      <x v="1354"/>
      <x v="1231"/>
      <x v="47"/>
      <x v="73"/>
      <x v="4"/>
      <x v="4"/>
      <x v="2"/>
      <x/>
      <x v="5"/>
      <x v="13"/>
      <x v="31"/>
      <x v="6"/>
    </i>
    <i r="1">
      <x v="670"/>
      <x v="1377"/>
      <x v="66"/>
      <x v="47"/>
      <x v="23"/>
      <x v="4"/>
      <x v="4"/>
      <x v="2"/>
      <x/>
      <x v="5"/>
      <x v="13"/>
      <x v="31"/>
      <x v="6"/>
    </i>
    <i r="1">
      <x v="671"/>
      <x v="975"/>
      <x v="280"/>
      <x v="37"/>
      <x v="4"/>
      <x v="8"/>
      <x v="4"/>
      <x v="2"/>
      <x/>
      <x v="24"/>
      <x v="7"/>
      <x v="8"/>
      <x v="8"/>
    </i>
    <i r="1">
      <x v="672"/>
      <x v="1016"/>
      <x v="273"/>
      <x v="53"/>
      <x v="73"/>
      <x v="4"/>
      <x v="4"/>
      <x v="2"/>
      <x/>
      <x v="17"/>
      <x v="17"/>
      <x v="31"/>
      <x v="6"/>
    </i>
    <i r="1">
      <x v="674"/>
      <x v="596"/>
      <x v="995"/>
      <x v="51"/>
      <x v="55"/>
      <x v="4"/>
      <x v="4"/>
      <x v="4"/>
      <x v="1"/>
      <x v="17"/>
      <x v="17"/>
      <x v="3"/>
      <x v="8"/>
    </i>
    <i r="1">
      <x v="675"/>
      <x v="1199"/>
      <x v="669"/>
      <x v="50"/>
      <x v="55"/>
      <x v="4"/>
      <x v="4"/>
      <x v="2"/>
      <x/>
      <x v="40"/>
      <x v="17"/>
      <x v="3"/>
      <x v="8"/>
    </i>
    <i r="1">
      <x v="676"/>
      <x v="934"/>
      <x v="281"/>
      <x v="55"/>
      <x v="65"/>
      <x v="8"/>
      <x v="4"/>
      <x v="2"/>
      <x/>
      <x v="33"/>
      <x v="18"/>
      <x v="3"/>
      <x v="8"/>
    </i>
    <i r="1">
      <x v="679"/>
      <x v="1210"/>
      <x v="689"/>
      <x v="49"/>
      <x v="66"/>
      <x v="4"/>
      <x v="4"/>
      <x v="2"/>
      <x/>
      <x v="23"/>
      <x v="17"/>
      <x v="28"/>
      <x v="4"/>
    </i>
    <i r="1">
      <x v="680"/>
      <x v="438"/>
      <x v="274"/>
      <x v="56"/>
      <x v="6"/>
      <x v="8"/>
      <x v="4"/>
      <x v="2"/>
      <x/>
      <x v="8"/>
      <x v="18"/>
      <x v="25"/>
      <x v="1"/>
    </i>
    <i r="1">
      <x v="681"/>
      <x v="974"/>
      <x v="269"/>
      <x v="51"/>
      <x v="55"/>
      <x v="4"/>
      <x v="4"/>
      <x v="4"/>
      <x v="1"/>
      <x v="17"/>
      <x v="17"/>
      <x v="3"/>
      <x v="8"/>
    </i>
    <i r="1">
      <x v="684"/>
      <x v="664"/>
      <x v="1229"/>
      <x v="42"/>
      <x v="81"/>
      <x v="8"/>
      <x v="4"/>
      <x v="2"/>
      <x/>
      <x v="14"/>
      <x v="20"/>
      <x v="8"/>
      <x v="8"/>
    </i>
    <i r="1">
      <x v="686"/>
      <x v="854"/>
      <x v="725"/>
      <x v="54"/>
      <x v="47"/>
      <x v="8"/>
      <x v="4"/>
      <x v="2"/>
      <x/>
      <x v="34"/>
      <x v="18"/>
      <x v="3"/>
      <x v="8"/>
    </i>
    <i r="1">
      <x v="687"/>
      <x v="1149"/>
      <x v="334"/>
      <x v="61"/>
      <x v="12"/>
      <x v="8"/>
      <x v="4"/>
      <x v="2"/>
      <x/>
      <x v="6"/>
      <x v="24"/>
      <x v="25"/>
      <x v="1"/>
    </i>
    <i r="1">
      <x v="689"/>
      <x v="637"/>
      <x v="320"/>
      <x v="41"/>
      <x v="10"/>
      <x v="8"/>
      <x v="4"/>
      <x v="2"/>
      <x/>
      <x v="21"/>
      <x v="9"/>
      <x v="8"/>
      <x v="8"/>
    </i>
    <i r="1">
      <x v="695"/>
      <x v="753"/>
      <x v="1165"/>
      <x v="61"/>
      <x v="11"/>
      <x v="11"/>
      <x v="4"/>
      <x v="2"/>
      <x/>
      <x v="12"/>
      <x v="24"/>
      <x v="26"/>
      <x v="2"/>
    </i>
    <i r="1">
      <x v="696"/>
      <x v="1121"/>
      <x v="371"/>
      <x v="62"/>
      <x v="1"/>
      <x v="11"/>
      <x v="4"/>
      <x v="2"/>
      <x/>
      <x v="18"/>
      <x v="24"/>
      <x v="26"/>
      <x v="2"/>
    </i>
    <i r="1">
      <x v="698"/>
      <x v="1080"/>
      <x v="404"/>
      <x v="60"/>
      <x v="12"/>
      <x v="8"/>
      <x v="4"/>
      <x v="2"/>
      <x/>
      <x v="6"/>
      <x v="24"/>
      <x v="3"/>
      <x v="8"/>
    </i>
    <i r="1">
      <x v="699"/>
      <x v="1196"/>
      <x v="333"/>
      <x v="49"/>
      <x v="41"/>
      <x v="5"/>
      <x v="1"/>
      <x v="2"/>
      <x/>
      <x v="40"/>
      <x v="17"/>
      <x v="3"/>
      <x v="8"/>
    </i>
    <i r="1">
      <x v="703"/>
      <x v="1158"/>
      <x v="983"/>
      <x v="60"/>
      <x v="12"/>
      <x v="8"/>
      <x v="4"/>
      <x v="2"/>
      <x/>
      <x v="22"/>
      <x v="24"/>
      <x v="3"/>
      <x v="8"/>
    </i>
    <i r="1">
      <x v="704"/>
      <x v="1131"/>
      <x v="937"/>
      <x v="47"/>
      <x v="73"/>
      <x v="4"/>
      <x v="4"/>
      <x v="2"/>
      <x/>
      <x v="5"/>
      <x v="13"/>
      <x v="31"/>
      <x v="6"/>
    </i>
    <i r="1">
      <x v="705"/>
      <x v="1063"/>
      <x v="1173"/>
      <x v="60"/>
      <x v="12"/>
      <x v="8"/>
      <x v="4"/>
      <x v="4"/>
      <x v="1"/>
      <x v="6"/>
      <x v="24"/>
      <x v="28"/>
      <x v="4"/>
    </i>
    <i r="1">
      <x v="706"/>
      <x v="1299"/>
      <x v="1339"/>
      <x v="53"/>
      <x v="73"/>
      <x v="4"/>
      <x v="4"/>
      <x v="2"/>
      <x/>
      <x v="5"/>
      <x v="17"/>
      <x v="31"/>
      <x v="6"/>
    </i>
    <i r="1">
      <x v="708"/>
      <x v="1277"/>
      <x v="865"/>
      <x v="53"/>
      <x v="73"/>
      <x v="4"/>
      <x v="4"/>
      <x v="2"/>
      <x/>
      <x v="5"/>
      <x v="17"/>
      <x v="31"/>
      <x v="6"/>
    </i>
    <i r="1">
      <x v="709"/>
      <x v="1216"/>
      <x v="23"/>
      <x v="54"/>
      <x v="47"/>
      <x v="8"/>
      <x v="4"/>
      <x v="2"/>
      <x/>
      <x v="34"/>
      <x v="18"/>
      <x v="16"/>
      <x v="12"/>
    </i>
    <i r="1">
      <x v="710"/>
      <x v="763"/>
      <x v="305"/>
      <x v="37"/>
      <x v="4"/>
      <x v="8"/>
      <x v="4"/>
      <x v="2"/>
      <x/>
      <x v="24"/>
      <x v="7"/>
      <x v="8"/>
      <x v="8"/>
    </i>
    <i r="1">
      <x v="712"/>
      <x v="892"/>
      <x v="954"/>
      <x v="60"/>
      <x v="12"/>
      <x v="8"/>
      <x v="4"/>
      <x v="2"/>
      <x/>
      <x v="22"/>
      <x v="24"/>
      <x v="3"/>
      <x v="8"/>
    </i>
    <i r="1">
      <x v="714"/>
      <x v="551"/>
      <x v="910"/>
      <x v="44"/>
      <x v="19"/>
      <x v="4"/>
      <x v="4"/>
      <x v="2"/>
      <x/>
      <x v="30"/>
      <x v="13"/>
      <x v="3"/>
      <x v="8"/>
    </i>
    <i r="1">
      <x v="722"/>
      <x v="873"/>
      <x v="680"/>
      <x v="43"/>
      <x v="19"/>
      <x v="4"/>
      <x v="4"/>
      <x v="2"/>
      <x/>
      <x v="30"/>
      <x v="13"/>
      <x v="3"/>
      <x v="8"/>
    </i>
    <i r="1">
      <x v="724"/>
      <x v="173"/>
      <x v="624"/>
      <x v="49"/>
      <x v="66"/>
      <x v="4"/>
      <x v="4"/>
      <x v="4"/>
      <x v="1"/>
      <x v="17"/>
      <x v="17"/>
      <x v="26"/>
      <x v="2"/>
    </i>
    <i r="1">
      <x v="725"/>
      <x v="1165"/>
      <x v="1193"/>
      <x v="39"/>
      <x v="4"/>
      <x v="8"/>
      <x v="4"/>
      <x v="2"/>
      <x/>
      <x v="21"/>
      <x v="8"/>
      <x v="25"/>
      <x v="1"/>
    </i>
    <i r="1">
      <x v="726"/>
      <x v="1278"/>
      <x v="439"/>
      <x v="47"/>
      <x v="73"/>
      <x v="4"/>
      <x v="4"/>
      <x v="2"/>
      <x/>
      <x v="5"/>
      <x v="13"/>
      <x v="31"/>
      <x v="6"/>
    </i>
    <i r="1">
      <x v="730"/>
      <x v="1117"/>
      <x v="275"/>
      <x v="49"/>
      <x v="66"/>
      <x v="4"/>
      <x v="4"/>
      <x v="2"/>
      <x/>
      <x v="17"/>
      <x v="17"/>
      <x v="26"/>
      <x v="2"/>
    </i>
    <i r="1">
      <x v="731"/>
      <x v="1034"/>
      <x v="740"/>
      <x v="54"/>
      <x v="65"/>
      <x v="8"/>
      <x v="4"/>
      <x v="2"/>
      <x/>
      <x v="34"/>
      <x v="18"/>
      <x v="28"/>
      <x v="4"/>
    </i>
    <i r="1">
      <x v="732"/>
      <x v="838"/>
      <x v="1058"/>
      <x v="48"/>
      <x v="60"/>
      <x v="4"/>
      <x v="4"/>
      <x v="2"/>
      <x/>
      <x v="19"/>
      <x v="17"/>
      <x v="3"/>
      <x v="8"/>
    </i>
    <i r="1">
      <x v="733"/>
      <x v="894"/>
      <x v="68"/>
      <x v="48"/>
      <x v="60"/>
      <x v="4"/>
      <x v="4"/>
      <x v="2"/>
      <x/>
      <x v="17"/>
      <x v="17"/>
      <x v="3"/>
      <x v="8"/>
    </i>
    <i r="1">
      <x v="734"/>
      <x v="866"/>
      <x v="1201"/>
      <x v="48"/>
      <x v="33"/>
      <x v="11"/>
      <x v="4"/>
      <x v="4"/>
      <x v="1"/>
      <x v="31"/>
      <x v="17"/>
      <x v="26"/>
      <x v="2"/>
    </i>
    <i r="1">
      <x v="735"/>
      <x v="1045"/>
      <x v="270"/>
      <x v="47"/>
      <x v="73"/>
      <x v="4"/>
      <x v="4"/>
      <x v="2"/>
      <x/>
      <x v="5"/>
      <x v="13"/>
      <x v="31"/>
      <x v="6"/>
    </i>
    <i r="1">
      <x v="737"/>
      <x v="1153"/>
      <x v="381"/>
      <x v="51"/>
      <x v="70"/>
      <x v="11"/>
      <x v="4"/>
      <x v="2"/>
      <x/>
      <x v="17"/>
      <x v="17"/>
      <x v="25"/>
      <x v="1"/>
    </i>
    <i r="1">
      <x v="738"/>
      <x v="1033"/>
      <x v="411"/>
      <x v="35"/>
      <x v="81"/>
      <x v="8"/>
      <x v="4"/>
      <x v="2"/>
      <x/>
      <x v="14"/>
      <x/>
      <x v="28"/>
      <x v="4"/>
    </i>
    <i r="1">
      <x v="739"/>
      <x v="1151"/>
      <x v="615"/>
      <x v="49"/>
      <x v="66"/>
      <x v="4"/>
      <x v="4"/>
      <x v="2"/>
      <x/>
      <x v="17"/>
      <x v="17"/>
      <x v="26"/>
      <x v="2"/>
    </i>
    <i r="1">
      <x v="740"/>
      <x v="674"/>
      <x v="104"/>
      <x v="40"/>
      <x v="4"/>
      <x v="8"/>
      <x v="4"/>
      <x v="2"/>
      <x/>
      <x v="21"/>
      <x v="9"/>
      <x v="8"/>
      <x v="8"/>
    </i>
    <i r="1">
      <x v="744"/>
      <x v="502"/>
      <x v="1088"/>
      <x v="37"/>
      <x v="46"/>
      <x v="11"/>
      <x v="4"/>
      <x v="4"/>
      <x v="1"/>
      <x v="15"/>
      <x v="7"/>
      <x v="26"/>
      <x v="2"/>
    </i>
    <i r="1">
      <x v="748"/>
      <x v="669"/>
      <x v="266"/>
      <x v="41"/>
      <x v="10"/>
      <x v="8"/>
      <x v="4"/>
      <x v="2"/>
      <x/>
      <x v="21"/>
      <x v="9"/>
      <x v="37"/>
      <x v="11"/>
    </i>
    <i r="1">
      <x v="751"/>
      <x v="929"/>
      <x v="1304"/>
      <x v="55"/>
      <x v="65"/>
      <x v="8"/>
      <x v="4"/>
      <x v="2"/>
      <x/>
      <x v="33"/>
      <x v="18"/>
      <x v="16"/>
      <x v="12"/>
    </i>
    <i r="1">
      <x v="752"/>
      <x v="1074"/>
      <x v="610"/>
      <x v="35"/>
      <x v="81"/>
      <x v="8"/>
      <x v="4"/>
      <x v="2"/>
      <x/>
      <x v="14"/>
      <x/>
      <x v="28"/>
      <x v="4"/>
    </i>
    <i r="1">
      <x v="756"/>
      <x v="865"/>
      <x v="727"/>
      <x v="54"/>
      <x v="47"/>
      <x v="8"/>
      <x v="4"/>
      <x v="2"/>
      <x/>
      <x v="19"/>
      <x v="18"/>
      <x v="21"/>
      <x v="2"/>
    </i>
    <i r="1">
      <x v="758"/>
      <x v="899"/>
      <x v="290"/>
      <x v="61"/>
      <x v="9"/>
      <x v="8"/>
      <x v="4"/>
      <x v="2"/>
      <x/>
      <x v="20"/>
      <x v="24"/>
      <x v="17"/>
      <x v="3"/>
    </i>
    <i r="1">
      <x v="759"/>
      <x v="49"/>
      <x v="898"/>
      <x v="49"/>
      <x v="9"/>
      <x v="8"/>
      <x v="4"/>
      <x v="2"/>
      <x/>
      <x v="20"/>
      <x v="17"/>
      <x v="17"/>
      <x v="3"/>
    </i>
    <i r="1">
      <x v="760"/>
      <x v="1281"/>
      <x v="895"/>
      <x v="47"/>
      <x v="73"/>
      <x v="4"/>
      <x v="4"/>
      <x v="2"/>
      <x/>
      <x v="5"/>
      <x v="13"/>
      <x v="31"/>
      <x v="6"/>
    </i>
    <i r="1">
      <x v="761"/>
      <x v="1229"/>
      <x v="445"/>
      <x v="43"/>
      <x v="41"/>
      <x v="5"/>
      <x v="1"/>
      <x v="2"/>
      <x/>
      <x v="30"/>
      <x v="13"/>
      <x v="3"/>
      <x v="8"/>
    </i>
    <i r="1">
      <x v="762"/>
      <x v="802"/>
      <x v="406"/>
      <x v="38"/>
      <x v="10"/>
      <x v="8"/>
      <x v="4"/>
      <x v="2"/>
      <x/>
      <x v="14"/>
      <x v="1"/>
      <x v="25"/>
      <x v="1"/>
    </i>
    <i r="1">
      <x v="763"/>
      <x v="699"/>
      <x v="1120"/>
      <x v="62"/>
      <x v="11"/>
      <x v="11"/>
      <x v="4"/>
      <x v="2"/>
      <x/>
      <x v="12"/>
      <x v="24"/>
      <x v="26"/>
      <x v="2"/>
    </i>
    <i r="1">
      <x v="766"/>
      <x v="1113"/>
      <x v="442"/>
      <x v="53"/>
      <x v="73"/>
      <x v="4"/>
      <x v="4"/>
      <x v="2"/>
      <x/>
      <x v="5"/>
      <x v="17"/>
      <x v="31"/>
      <x v="6"/>
    </i>
    <i r="1">
      <x v="767"/>
      <x v="791"/>
      <x v="1047"/>
      <x v="51"/>
      <x v="55"/>
      <x v="4"/>
      <x v="4"/>
      <x v="1"/>
      <x v="1"/>
      <x v="17"/>
      <x v="17"/>
      <x v="30"/>
      <x v="3"/>
    </i>
    <i r="1">
      <x v="774"/>
      <x v="612"/>
      <x v="449"/>
      <x v="58"/>
      <x v="26"/>
      <x v="8"/>
      <x v="4"/>
      <x v="2"/>
      <x/>
      <x v="8"/>
      <x v="18"/>
      <x v="3"/>
      <x v="8"/>
    </i>
    <i r="1">
      <x v="775"/>
      <x v="1330"/>
      <x v="663"/>
      <x v="43"/>
      <x v="19"/>
      <x v="4"/>
      <x v="4"/>
      <x v="2"/>
      <x/>
      <x v="30"/>
      <x v="13"/>
      <x v="22"/>
      <x v="5"/>
    </i>
    <i r="1">
      <x v="777"/>
      <x v="684"/>
      <x v="423"/>
      <x v="49"/>
      <x v="66"/>
      <x v="4"/>
      <x v="4"/>
      <x v="2"/>
      <x/>
      <x v="19"/>
      <x v="17"/>
      <x v="3"/>
      <x v="8"/>
    </i>
    <i r="1">
      <x v="781"/>
      <x v="852"/>
      <x v="367"/>
      <x v="37"/>
      <x v="4"/>
      <x v="8"/>
      <x v="4"/>
      <x v="2"/>
      <x/>
      <x v="24"/>
      <x v="7"/>
      <x v="5"/>
      <x v="10"/>
    </i>
    <i r="1">
      <x v="782"/>
      <x v="933"/>
      <x v="212"/>
      <x v="63"/>
      <x v="12"/>
      <x v="8"/>
      <x v="4"/>
      <x v="2"/>
      <x/>
      <x v="26"/>
      <x v="24"/>
      <x v="3"/>
      <x v="8"/>
    </i>
    <i r="1">
      <x v="783"/>
      <x v="796"/>
      <x v="350"/>
      <x v="37"/>
      <x v="4"/>
      <x v="8"/>
      <x v="4"/>
      <x v="2"/>
      <x/>
      <x v="4"/>
      <x v="7"/>
      <x v="25"/>
      <x v="1"/>
    </i>
    <i r="1">
      <x v="784"/>
      <x v="1182"/>
      <x v="1274"/>
      <x v="48"/>
      <x v="70"/>
      <x v="11"/>
      <x v="4"/>
      <x v="2"/>
      <x/>
      <x v="31"/>
      <x v="17"/>
      <x v="26"/>
      <x v="2"/>
    </i>
    <i r="1">
      <x v="786"/>
      <x v="613"/>
      <x v="730"/>
      <x v="50"/>
      <x v="55"/>
      <x v="4"/>
      <x v="4"/>
      <x v="2"/>
      <x/>
      <x v="17"/>
      <x v="17"/>
      <x v="22"/>
      <x v="5"/>
    </i>
    <i r="1">
      <x v="787"/>
      <x v="816"/>
      <x v="1298"/>
      <x v="63"/>
      <x v="12"/>
      <x v="8"/>
      <x v="4"/>
      <x v="2"/>
      <x/>
      <x v="26"/>
      <x v="24"/>
      <x v="26"/>
      <x v="2"/>
    </i>
    <i r="1">
      <x v="788"/>
      <x v="775"/>
      <x v="336"/>
      <x v="48"/>
      <x v="15"/>
      <x v="5"/>
      <x v="1"/>
      <x v="2"/>
      <x/>
      <x v="7"/>
      <x v="17"/>
      <x v="26"/>
      <x v="2"/>
    </i>
    <i r="1">
      <x v="790"/>
      <x v="1051"/>
      <x v="620"/>
      <x v="49"/>
      <x v="47"/>
      <x v="8"/>
      <x v="4"/>
      <x v="2"/>
      <x/>
      <x v="19"/>
      <x v="17"/>
      <x v="3"/>
      <x v="8"/>
    </i>
    <i r="1">
      <x v="792"/>
      <x v="1152"/>
      <x v="1318"/>
      <x v="52"/>
      <x v="55"/>
      <x v="4"/>
      <x v="4"/>
      <x v="2"/>
      <x/>
      <x v="19"/>
      <x v="17"/>
      <x v="25"/>
      <x v="1"/>
    </i>
    <i r="1">
      <x v="794"/>
      <x v="851"/>
      <x v="1335"/>
      <x v="56"/>
      <x v="6"/>
      <x v="8"/>
      <x v="4"/>
      <x v="2"/>
      <x/>
      <x v="8"/>
      <x v="18"/>
      <x v="3"/>
      <x v="8"/>
    </i>
    <i r="1">
      <x v="795"/>
      <x v="562"/>
      <x v="1214"/>
      <x v="49"/>
      <x v="45"/>
      <x v="8"/>
      <x v="4"/>
      <x v="2"/>
      <x/>
      <x v="25"/>
      <x v="17"/>
      <x v="37"/>
      <x v="11"/>
    </i>
    <i r="1">
      <x v="796"/>
      <x v="875"/>
      <x v="879"/>
      <x v="44"/>
      <x v="19"/>
      <x v="4"/>
      <x v="4"/>
      <x v="2"/>
      <x/>
      <x v="30"/>
      <x v="13"/>
      <x v="3"/>
      <x v="8"/>
    </i>
    <i r="1">
      <x v="797"/>
      <x v="1006"/>
      <x v="174"/>
      <x v="49"/>
      <x v="45"/>
      <x v="8"/>
      <x v="4"/>
      <x v="2"/>
      <x v="1"/>
      <x v="17"/>
      <x v="17"/>
      <x v="21"/>
      <x v="2"/>
    </i>
    <i r="1">
      <x v="798"/>
      <x v="877"/>
      <x v="1055"/>
      <x v="60"/>
      <x v="12"/>
      <x v="8"/>
      <x v="4"/>
      <x v="4"/>
      <x v="1"/>
      <x v="22"/>
      <x v="24"/>
      <x v="3"/>
      <x v="8"/>
    </i>
    <i r="1">
      <x v="800"/>
      <x v="683"/>
      <x v="185"/>
      <x v="53"/>
      <x v="73"/>
      <x v="4"/>
      <x v="4"/>
      <x v="2"/>
      <x/>
      <x v="5"/>
      <x v="17"/>
      <x v="31"/>
      <x v="6"/>
    </i>
    <i r="1">
      <x v="802"/>
      <x v="976"/>
      <x v="396"/>
      <x v="50"/>
      <x v="55"/>
      <x v="4"/>
      <x v="4"/>
      <x v="4"/>
      <x v="1"/>
      <x v="17"/>
      <x v="17"/>
      <x v="3"/>
      <x v="8"/>
    </i>
    <i r="1">
      <x v="803"/>
      <x v="676"/>
      <x v="909"/>
      <x v="39"/>
      <x v="4"/>
      <x v="8"/>
      <x v="4"/>
      <x v="2"/>
      <x/>
      <x v="21"/>
      <x v="8"/>
      <x v="31"/>
      <x v="6"/>
    </i>
    <i r="1">
      <x v="804"/>
      <x v="1197"/>
      <x v="369"/>
      <x v="61"/>
      <x v="41"/>
      <x v="5"/>
      <x v="1"/>
      <x v="2"/>
      <x/>
      <x v="40"/>
      <x v="24"/>
      <x v="26"/>
      <x v="2"/>
    </i>
    <i r="1">
      <x v="805"/>
      <x v="556"/>
      <x v="1075"/>
      <x v="36"/>
      <x v="81"/>
      <x v="8"/>
      <x v="4"/>
      <x v="2"/>
      <x/>
      <x v="14"/>
      <x/>
      <x v="28"/>
      <x v="4"/>
    </i>
    <i r="1">
      <x v="806"/>
      <x v="751"/>
      <x v="1355"/>
      <x v="38"/>
      <x v="10"/>
      <x v="8"/>
      <x v="4"/>
      <x v="2"/>
      <x/>
      <x v="21"/>
      <x v="1"/>
      <x v="28"/>
      <x v="4"/>
    </i>
    <i r="1">
      <x v="810"/>
      <x v="1015"/>
      <x v="628"/>
      <x v="42"/>
      <x v="81"/>
      <x v="8"/>
      <x v="4"/>
      <x v="4"/>
      <x v="1"/>
      <x v="14"/>
      <x v="20"/>
      <x v="3"/>
      <x v="8"/>
    </i>
    <i r="1">
      <x v="811"/>
      <x v="1212"/>
      <x v="1136"/>
      <x v="47"/>
      <x v="73"/>
      <x v="4"/>
      <x v="4"/>
      <x v="2"/>
      <x/>
      <x v="5"/>
      <x v="13"/>
      <x v="31"/>
      <x v="6"/>
    </i>
    <i r="1">
      <x v="812"/>
      <x v="833"/>
      <x v="1253"/>
      <x v="48"/>
      <x v="9"/>
      <x v="8"/>
      <x v="4"/>
      <x v="2"/>
      <x/>
      <x v="20"/>
      <x v="17"/>
      <x v="17"/>
      <x v="3"/>
    </i>
    <i r="1">
      <x v="814"/>
      <x v="1150"/>
      <x v="1064"/>
      <x v="55"/>
      <x v="12"/>
      <x v="8"/>
      <x v="4"/>
      <x v="2"/>
      <x/>
      <x v="22"/>
      <x v="18"/>
      <x v="26"/>
      <x v="2"/>
    </i>
    <i r="1">
      <x v="815"/>
      <x v="1362"/>
      <x v="905"/>
      <x v="47"/>
      <x v="73"/>
      <x v="4"/>
      <x v="4"/>
      <x v="2"/>
      <x/>
      <x v="5"/>
      <x v="13"/>
      <x v="31"/>
      <x v="6"/>
    </i>
    <i r="1">
      <x v="816"/>
      <x v="1132"/>
      <x v="949"/>
      <x v="43"/>
      <x v="55"/>
      <x v="4"/>
      <x v="4"/>
      <x v="2"/>
      <x/>
      <x v="19"/>
      <x v="13"/>
      <x v="26"/>
      <x v="2"/>
    </i>
    <i r="1">
      <x v="817"/>
      <x v="878"/>
      <x v="1164"/>
      <x v="63"/>
      <x v="12"/>
      <x v="8"/>
      <x v="4"/>
      <x v="2"/>
      <x/>
      <x v="26"/>
      <x v="24"/>
      <x v="3"/>
      <x v="8"/>
    </i>
    <i r="1">
      <x v="818"/>
      <x v="726"/>
      <x v="247"/>
      <x v="39"/>
      <x v="43"/>
      <x v="11"/>
      <x v="4"/>
      <x v="2"/>
      <x/>
      <x v="29"/>
      <x v="8"/>
      <x v="26"/>
      <x v="2"/>
    </i>
    <i r="1">
      <x v="819"/>
      <x v="891"/>
      <x v="99"/>
      <x v="53"/>
      <x v="73"/>
      <x v="4"/>
      <x v="4"/>
      <x v="2"/>
      <x/>
      <x v="5"/>
      <x v="17"/>
      <x v="31"/>
      <x v="6"/>
    </i>
    <i r="1">
      <x v="820"/>
      <x v="836"/>
      <x v="257"/>
      <x v="51"/>
      <x v="55"/>
      <x v="4"/>
      <x v="4"/>
      <x v="2"/>
      <x/>
      <x v="17"/>
      <x v="17"/>
      <x v="3"/>
      <x v="8"/>
    </i>
    <i r="1">
      <x v="821"/>
      <x v="728"/>
      <x v="950"/>
      <x v="39"/>
      <x v="43"/>
      <x v="11"/>
      <x v="4"/>
      <x v="2"/>
      <x v="1"/>
      <x v="29"/>
      <x v="8"/>
      <x v="26"/>
      <x v="2"/>
    </i>
    <i r="1">
      <x v="823"/>
      <x v="1118"/>
      <x v="298"/>
      <x v="62"/>
      <x v="12"/>
      <x v="8"/>
      <x v="4"/>
      <x v="2"/>
      <x/>
      <x v="26"/>
      <x v="24"/>
      <x v="25"/>
      <x v="1"/>
    </i>
    <i r="1">
      <x v="825"/>
      <x v="1268"/>
      <x v="1333"/>
      <x v="49"/>
      <x v="66"/>
      <x v="4"/>
      <x v="4"/>
      <x v="2"/>
      <x/>
      <x v="17"/>
      <x v="17"/>
      <x v="3"/>
      <x v="8"/>
    </i>
    <i r="1">
      <x v="827"/>
      <x v="772"/>
      <x v="1137"/>
      <x v="49"/>
      <x v="66"/>
      <x v="4"/>
      <x v="4"/>
      <x v="2"/>
      <x/>
      <x v="19"/>
      <x v="17"/>
      <x v="25"/>
      <x v="1"/>
    </i>
    <i r="1">
      <x v="829"/>
      <x v="1089"/>
      <x v="1380"/>
      <x v="44"/>
      <x v="19"/>
      <x v="4"/>
      <x v="4"/>
      <x v="2"/>
      <x/>
      <x v="30"/>
      <x v="13"/>
      <x v="3"/>
      <x v="8"/>
    </i>
    <i r="1">
      <x v="830"/>
      <x v="874"/>
      <x v="728"/>
      <x v="49"/>
      <x v="66"/>
      <x v="4"/>
      <x v="4"/>
      <x v="4"/>
      <x v="1"/>
      <x v="19"/>
      <x v="17"/>
      <x v="3"/>
      <x v="8"/>
    </i>
    <i r="1">
      <x v="831"/>
      <x v="1124"/>
      <x v="622"/>
      <x v="38"/>
      <x v="10"/>
      <x v="8"/>
      <x v="4"/>
      <x v="2"/>
      <x/>
      <x v="21"/>
      <x v="1"/>
      <x v="25"/>
      <x v="1"/>
    </i>
    <i r="1">
      <x v="832"/>
      <x v="1122"/>
      <x v="405"/>
      <x v="60"/>
      <x v="12"/>
      <x v="8"/>
      <x v="4"/>
      <x v="2"/>
      <x/>
      <x v="22"/>
      <x v="24"/>
      <x v="25"/>
      <x v="1"/>
    </i>
    <i r="1">
      <x v="833"/>
      <x v="735"/>
      <x v="86"/>
      <x v="50"/>
      <x v="9"/>
      <x v="8"/>
      <x v="4"/>
      <x v="2"/>
      <x/>
      <x v="20"/>
      <x v="17"/>
      <x v="17"/>
      <x v="3"/>
    </i>
    <i r="1">
      <x v="834"/>
      <x v="1005"/>
      <x v="47"/>
      <x v="54"/>
      <x v="47"/>
      <x v="8"/>
      <x v="4"/>
      <x v="2"/>
      <x/>
      <x v="34"/>
      <x v="18"/>
      <x v="3"/>
      <x v="8"/>
    </i>
    <i r="1">
      <x v="835"/>
      <x v="1230"/>
      <x v="763"/>
      <x v="39"/>
      <x v="4"/>
      <x v="8"/>
      <x v="4"/>
      <x v="2"/>
      <x/>
      <x v="21"/>
      <x v="8"/>
      <x v="26"/>
      <x v="2"/>
    </i>
    <i r="1">
      <x v="837"/>
      <x v="926"/>
      <x v="1009"/>
      <x v="44"/>
      <x v="70"/>
      <x v="11"/>
      <x v="4"/>
      <x v="2"/>
      <x/>
      <x v="16"/>
      <x v="13"/>
      <x v="26"/>
      <x v="2"/>
    </i>
    <i r="1">
      <x v="838"/>
      <x v="642"/>
      <x v="1076"/>
      <x v="36"/>
      <x v="81"/>
      <x v="8"/>
      <x v="4"/>
      <x v="2"/>
      <x/>
      <x v="14"/>
      <x/>
      <x v="3"/>
      <x v="8"/>
    </i>
    <i r="1">
      <x v="839"/>
      <x v="1240"/>
      <x v="926"/>
      <x v="37"/>
      <x v="4"/>
      <x v="8"/>
      <x v="4"/>
      <x v="2"/>
      <x/>
      <x v="21"/>
      <x v="7"/>
      <x v="25"/>
      <x v="1"/>
    </i>
    <i r="1">
      <x v="840"/>
      <x v="1001"/>
      <x v="665"/>
      <x v="36"/>
      <x v="81"/>
      <x v="8"/>
      <x v="4"/>
      <x v="2"/>
      <x/>
      <x v="14"/>
      <x/>
      <x v="37"/>
      <x v="11"/>
    </i>
    <i r="1">
      <x v="841"/>
      <x v="1087"/>
      <x v="1310"/>
      <x v="43"/>
      <x v="77"/>
      <x v="5"/>
      <x v="1"/>
      <x v="2"/>
      <x v="1"/>
      <x v="32"/>
      <x v="13"/>
      <x v="25"/>
      <x v="1"/>
    </i>
    <i r="1">
      <x v="842"/>
      <x v="869"/>
      <x v="1287"/>
      <x v="49"/>
      <x v="47"/>
      <x v="8"/>
      <x v="4"/>
      <x v="2"/>
      <x/>
      <x v="19"/>
      <x v="17"/>
      <x v="3"/>
      <x v="8"/>
    </i>
    <i r="1">
      <x v="843"/>
      <x v="685"/>
      <x v="1146"/>
      <x v="55"/>
      <x v="65"/>
      <x v="8"/>
      <x v="4"/>
      <x v="2"/>
      <x/>
      <x v="33"/>
      <x v="18"/>
      <x v="3"/>
      <x v="8"/>
    </i>
    <i r="1">
      <x v="844"/>
      <x v="1255"/>
      <x v="952"/>
      <x v="49"/>
      <x v="66"/>
      <x v="4"/>
      <x v="4"/>
      <x v="2"/>
      <x/>
      <x v="23"/>
      <x v="17"/>
      <x v="3"/>
      <x v="8"/>
    </i>
    <i r="1">
      <x v="845"/>
      <x v="1231"/>
      <x v="929"/>
      <x v="39"/>
      <x v="4"/>
      <x v="8"/>
      <x v="4"/>
      <x v="2"/>
      <x/>
      <x v="21"/>
      <x v="8"/>
      <x v="26"/>
      <x v="2"/>
    </i>
    <i r="1">
      <x v="847"/>
      <x v="1228"/>
      <x v="365"/>
      <x v="39"/>
      <x v="43"/>
      <x v="11"/>
      <x v="4"/>
      <x v="2"/>
      <x/>
      <x v="21"/>
      <x v="8"/>
      <x v="26"/>
      <x v="2"/>
    </i>
    <i r="1">
      <x v="849"/>
      <x v="177"/>
      <x v="701"/>
      <x v="54"/>
      <x v="47"/>
      <x v="8"/>
      <x v="4"/>
      <x v="2"/>
      <x/>
      <x v="34"/>
      <x v="18"/>
      <x v="22"/>
      <x v="5"/>
    </i>
    <i r="1">
      <x v="850"/>
      <x v="1232"/>
      <x v="1334"/>
      <x v="39"/>
      <x v="43"/>
      <x v="11"/>
      <x v="4"/>
      <x v="2"/>
      <x/>
      <x v="21"/>
      <x v="8"/>
      <x v="26"/>
      <x v="2"/>
    </i>
    <i r="1">
      <x v="856"/>
      <x v="936"/>
      <x v="1306"/>
      <x v="53"/>
      <x v="73"/>
      <x v="4"/>
      <x v="4"/>
      <x v="2"/>
      <x/>
      <x v="34"/>
      <x v="17"/>
      <x v="31"/>
      <x v="6"/>
    </i>
    <i r="1">
      <x v="857"/>
      <x v="278"/>
      <x v="1169"/>
      <x v="42"/>
      <x v="81"/>
      <x v="8"/>
      <x v="4"/>
      <x v="2"/>
      <x/>
      <x v="14"/>
      <x v="20"/>
      <x v="21"/>
      <x v="2"/>
    </i>
    <i r="1">
      <x v="858"/>
      <x v="228"/>
      <x v="355"/>
      <x v="39"/>
      <x v="4"/>
      <x v="8"/>
      <x v="4"/>
      <x v="2"/>
      <x/>
      <x v="21"/>
      <x v="8"/>
      <x v="8"/>
      <x v="8"/>
    </i>
    <i r="1">
      <x v="859"/>
      <x v="606"/>
      <x v="134"/>
      <x v="63"/>
      <x v="66"/>
      <x v="4"/>
      <x v="4"/>
      <x v="2"/>
      <x v="1"/>
      <x v="22"/>
      <x v="24"/>
      <x v="26"/>
      <x v="2"/>
    </i>
    <i r="1">
      <x v="860"/>
      <x v="466"/>
      <x v="316"/>
      <x v="40"/>
      <x v="69"/>
      <x v="11"/>
      <x v="4"/>
      <x v="2"/>
      <x/>
      <x v="29"/>
      <x v="9"/>
      <x v="26"/>
      <x v="2"/>
    </i>
    <i r="1">
      <x v="863"/>
      <x v="167"/>
      <x v="1066"/>
      <x v="45"/>
      <x v="19"/>
      <x v="4"/>
      <x v="4"/>
      <x v="2"/>
      <x/>
      <x v="30"/>
      <x v="13"/>
      <x v="21"/>
      <x v="2"/>
    </i>
    <i r="1">
      <x v="867"/>
      <x v="1031"/>
      <x v="1216"/>
      <x v="54"/>
      <x v="47"/>
      <x v="8"/>
      <x v="4"/>
      <x v="2"/>
      <x/>
      <x v="34"/>
      <x v="18"/>
      <x v="21"/>
      <x v="2"/>
    </i>
    <i r="1">
      <x v="875"/>
      <x v="192"/>
      <x v="400"/>
      <x v="43"/>
      <x v="19"/>
      <x v="4"/>
      <x v="4"/>
      <x v="2"/>
      <x/>
      <x v="30"/>
      <x v="13"/>
      <x v="3"/>
      <x v="8"/>
    </i>
    <i r="1">
      <x v="877"/>
      <x v="385"/>
      <x v="10"/>
      <x v="36"/>
      <x v="43"/>
      <x v="11"/>
      <x v="4"/>
      <x v="4"/>
      <x v="1"/>
      <x v="29"/>
      <x/>
      <x v="26"/>
      <x v="2"/>
    </i>
    <i r="1">
      <x v="878"/>
      <x v="149"/>
      <x v="327"/>
      <x v="46"/>
      <x v="19"/>
      <x v="4"/>
      <x v="4"/>
      <x v="2"/>
      <x/>
      <x v="30"/>
      <x v="13"/>
      <x v="3"/>
      <x v="8"/>
    </i>
    <i r="1">
      <x v="893"/>
      <x v="182"/>
      <x v="841"/>
      <x v="61"/>
      <x v="12"/>
      <x v="8"/>
      <x v="4"/>
      <x v="2"/>
      <x/>
      <x v="6"/>
      <x v="24"/>
      <x v="3"/>
      <x v="8"/>
    </i>
    <i r="1">
      <x v="895"/>
      <x v="1075"/>
      <x v="1234"/>
      <x v="49"/>
      <x v="45"/>
      <x v="8"/>
      <x v="4"/>
      <x v="2"/>
      <x/>
      <x v="25"/>
      <x v="17"/>
      <x v="37"/>
      <x v="11"/>
    </i>
    <i r="1">
      <x v="899"/>
      <x v="534"/>
      <x v="877"/>
      <x v="40"/>
      <x v="43"/>
      <x v="11"/>
      <x v="4"/>
      <x v="2"/>
      <x/>
      <x v="29"/>
      <x v="9"/>
      <x v="25"/>
      <x v="1"/>
    </i>
    <i r="1">
      <x v="901"/>
      <x v="306"/>
      <x v="807"/>
      <x v="37"/>
      <x v="4"/>
      <x v="8"/>
      <x v="4"/>
      <x v="2"/>
      <x/>
      <x v="24"/>
      <x v="7"/>
      <x v="8"/>
      <x v="8"/>
    </i>
    <i r="1">
      <x v="904"/>
      <x v="727"/>
      <x v="784"/>
      <x v="40"/>
      <x v="43"/>
      <x v="11"/>
      <x v="4"/>
      <x v="2"/>
      <x/>
      <x v="29"/>
      <x v="9"/>
      <x v="26"/>
      <x v="2"/>
    </i>
    <i r="1">
      <x v="905"/>
      <x v="997"/>
      <x v="1368"/>
      <x v="39"/>
      <x v="4"/>
      <x v="8"/>
      <x v="4"/>
      <x v="2"/>
      <x/>
      <x v="21"/>
      <x v="8"/>
      <x v="26"/>
      <x v="2"/>
    </i>
    <i r="1">
      <x v="906"/>
      <x v="927"/>
      <x v="1028"/>
      <x v="59"/>
      <x v="26"/>
      <x v="8"/>
      <x v="4"/>
      <x v="2"/>
      <x/>
      <x v="8"/>
      <x v="18"/>
      <x v="3"/>
      <x v="8"/>
    </i>
    <i r="1">
      <x v="908"/>
      <x v="168"/>
      <x v="567"/>
      <x v="63"/>
      <x v="12"/>
      <x v="8"/>
      <x v="4"/>
      <x v="2"/>
      <x/>
      <x v="26"/>
      <x v="24"/>
      <x v="3"/>
      <x v="8"/>
    </i>
    <i r="1">
      <x v="909"/>
      <x v="366"/>
      <x v="785"/>
      <x v="38"/>
      <x v="46"/>
      <x v="11"/>
      <x v="4"/>
      <x v="2"/>
      <x/>
      <x v="15"/>
      <x v="1"/>
      <x v="26"/>
      <x v="2"/>
    </i>
    <i r="1">
      <x v="910"/>
      <x v="332"/>
      <x v="568"/>
      <x v="63"/>
      <x v="12"/>
      <x v="8"/>
      <x v="4"/>
      <x v="2"/>
      <x/>
      <x v="26"/>
      <x v="24"/>
      <x v="26"/>
      <x v="2"/>
    </i>
    <i r="1">
      <x v="911"/>
      <x v="295"/>
      <x v="574"/>
      <x v="48"/>
      <x v="1"/>
      <x v="11"/>
      <x v="4"/>
      <x v="4"/>
      <x v="1"/>
      <x v="13"/>
      <x v="17"/>
      <x v="26"/>
      <x v="2"/>
    </i>
    <i r="1">
      <x v="913"/>
      <x v="191"/>
      <x v="308"/>
      <x v="45"/>
      <x v="19"/>
      <x v="4"/>
      <x v="4"/>
      <x v="4"/>
      <x v="1"/>
      <x v="30"/>
      <x v="13"/>
      <x v="3"/>
      <x v="8"/>
    </i>
    <i r="1">
      <x v="914"/>
      <x v="337"/>
      <x v="1284"/>
      <x v="54"/>
      <x v="65"/>
      <x v="8"/>
      <x v="4"/>
      <x v="2"/>
      <x/>
      <x v="33"/>
      <x v="18"/>
      <x v="3"/>
      <x v="8"/>
    </i>
    <i r="1">
      <x v="915"/>
      <x v="279"/>
      <x v="573"/>
      <x v="42"/>
      <x v="81"/>
      <x v="8"/>
      <x v="4"/>
      <x v="2"/>
      <x/>
      <x v="14"/>
      <x v="20"/>
      <x v="37"/>
      <x v="11"/>
    </i>
    <i r="1">
      <x v="917"/>
      <x v="307"/>
      <x v="1266"/>
      <x v="39"/>
      <x v="4"/>
      <x v="8"/>
      <x v="4"/>
      <x v="2"/>
      <x/>
      <x v="21"/>
      <x v="8"/>
      <x v="37"/>
      <x v="11"/>
    </i>
    <i r="1">
      <x v="921"/>
      <x v="357"/>
      <x v="1044"/>
      <x v="61"/>
      <x v="12"/>
      <x v="8"/>
      <x v="4"/>
      <x v="2"/>
      <x/>
      <x v="22"/>
      <x v="24"/>
      <x v="3"/>
      <x v="8"/>
    </i>
    <i r="1">
      <x v="923"/>
      <x v="400"/>
      <x v="833"/>
      <x v="47"/>
      <x v="23"/>
      <x v="4"/>
      <x v="4"/>
      <x v="2"/>
      <x/>
      <x v="5"/>
      <x v="13"/>
      <x v="31"/>
      <x v="6"/>
    </i>
    <i r="1">
      <x v="926"/>
      <x v="1135"/>
      <x v="1286"/>
      <x v="43"/>
      <x v="19"/>
      <x v="4"/>
      <x v="4"/>
      <x v="2"/>
      <x/>
      <x v="30"/>
      <x v="13"/>
      <x v="25"/>
      <x v="1"/>
    </i>
    <i r="1">
      <x v="931"/>
      <x v="186"/>
      <x v="943"/>
      <x v="60"/>
      <x v="45"/>
      <x v="8"/>
      <x v="4"/>
      <x v="2"/>
      <x/>
      <x v="25"/>
      <x v="24"/>
      <x v="37"/>
      <x v="11"/>
    </i>
    <i r="1">
      <x v="932"/>
      <x v="3"/>
      <x v="760"/>
      <x v="44"/>
      <x v="9"/>
      <x v="8"/>
      <x v="4"/>
      <x v="2"/>
      <x/>
      <x v="20"/>
      <x v="13"/>
      <x v="17"/>
      <x v="3"/>
    </i>
    <i r="1">
      <x v="934"/>
      <x v="169"/>
      <x v="1209"/>
      <x v="43"/>
      <x v="19"/>
      <x v="4"/>
      <x v="4"/>
      <x v="4"/>
      <x v="1"/>
      <x v="30"/>
      <x v="13"/>
      <x v="3"/>
      <x v="8"/>
    </i>
    <i r="1">
      <x v="936"/>
      <x v="271"/>
      <x v="829"/>
      <x v="35"/>
      <x v="81"/>
      <x v="8"/>
      <x v="4"/>
      <x v="2"/>
      <x/>
      <x v="14"/>
      <x/>
      <x v="3"/>
      <x v="8"/>
    </i>
    <i r="1">
      <x v="939"/>
      <x v="1043"/>
      <x v="777"/>
      <x v="49"/>
      <x v="66"/>
      <x v="4"/>
      <x v="4"/>
      <x v="2"/>
      <x/>
      <x v="19"/>
      <x v="17"/>
      <x v="3"/>
      <x v="8"/>
    </i>
    <i r="1">
      <x v="940"/>
      <x v="290"/>
      <x v="1089"/>
      <x v="38"/>
      <x v="46"/>
      <x v="11"/>
      <x v="4"/>
      <x v="2"/>
      <x/>
      <x v="29"/>
      <x v="1"/>
      <x v="26"/>
      <x v="2"/>
    </i>
    <i r="1">
      <x v="942"/>
      <x v="178"/>
      <x v="1016"/>
      <x v="59"/>
      <x v="26"/>
      <x v="8"/>
      <x v="4"/>
      <x v="2"/>
      <x/>
      <x v="8"/>
      <x v="18"/>
      <x v="3"/>
      <x v="8"/>
    </i>
    <i r="1">
      <x v="944"/>
      <x v="24"/>
      <x v="1032"/>
      <x v="61"/>
      <x v="9"/>
      <x v="8"/>
      <x v="4"/>
      <x v="2"/>
      <x/>
      <x v="20"/>
      <x v="24"/>
      <x v="17"/>
      <x v="3"/>
    </i>
    <i r="1">
      <x v="949"/>
      <x v="480"/>
      <x v="1161"/>
      <x v="35"/>
      <x v="81"/>
      <x v="8"/>
      <x v="4"/>
      <x v="4"/>
      <x v="1"/>
      <x v="14"/>
      <x/>
      <x v="37"/>
      <x v="11"/>
    </i>
    <i r="1">
      <x v="950"/>
      <x v="333"/>
      <x v="659"/>
      <x v="40"/>
      <x v="43"/>
      <x v="11"/>
      <x v="4"/>
      <x v="2"/>
      <x/>
      <x v="29"/>
      <x v="9"/>
      <x v="26"/>
      <x v="2"/>
    </i>
    <i r="1">
      <x v="955"/>
      <x v="398"/>
      <x v="335"/>
      <x v="49"/>
      <x v="69"/>
      <x v="11"/>
      <x v="4"/>
      <x v="2"/>
      <x/>
      <x v="13"/>
      <x v="17"/>
      <x v="26"/>
      <x v="2"/>
    </i>
    <i r="1">
      <x v="956"/>
      <x v="297"/>
      <x v="1357"/>
      <x v="60"/>
      <x v="12"/>
      <x v="8"/>
      <x v="4"/>
      <x v="2"/>
      <x/>
      <x v="22"/>
      <x v="24"/>
      <x v="25"/>
      <x v="1"/>
    </i>
    <i r="1">
      <x v="957"/>
      <x v="404"/>
      <x v="611"/>
      <x v="61"/>
      <x v="9"/>
      <x v="8"/>
      <x v="4"/>
      <x v="2"/>
      <x/>
      <x v="20"/>
      <x v="24"/>
      <x v="21"/>
      <x v="2"/>
    </i>
    <i r="1">
      <x v="963"/>
      <x v="566"/>
      <x v="16"/>
      <x v="63"/>
      <x v="12"/>
      <x v="8"/>
      <x v="4"/>
      <x v="2"/>
      <x/>
      <x v="26"/>
      <x v="24"/>
      <x v="26"/>
      <x v="2"/>
    </i>
    <i r="1">
      <x v="970"/>
      <x v="481"/>
      <x v="1338"/>
      <x v="42"/>
      <x v="81"/>
      <x v="8"/>
      <x v="4"/>
      <x v="4"/>
      <x v="1"/>
      <x v="14"/>
      <x v="20"/>
      <x v="37"/>
      <x v="11"/>
    </i>
    <i r="1">
      <x v="972"/>
      <x v="533"/>
      <x v="252"/>
      <x v="36"/>
      <x v="81"/>
      <x v="8"/>
      <x v="4"/>
      <x v="2"/>
      <x/>
      <x v="14"/>
      <x/>
      <x v="8"/>
      <x v="8"/>
    </i>
    <i r="1">
      <x v="977"/>
      <x v="815"/>
      <x v="625"/>
      <x v="61"/>
      <x v="11"/>
      <x v="11"/>
      <x v="4"/>
      <x v="2"/>
      <x/>
      <x v="12"/>
      <x v="24"/>
      <x v="26"/>
      <x v="2"/>
    </i>
    <i r="1">
      <x v="978"/>
      <x v="1195"/>
      <x v="330"/>
      <x v="50"/>
      <x v="55"/>
      <x v="4"/>
      <x v="4"/>
      <x v="2"/>
      <x/>
      <x v="40"/>
      <x v="17"/>
      <x v="26"/>
      <x v="2"/>
    </i>
    <i r="1">
      <x v="984"/>
      <x v="1125"/>
      <x v="629"/>
      <x v="62"/>
      <x v="12"/>
      <x v="8"/>
      <x v="4"/>
      <x v="2"/>
      <x/>
      <x v="26"/>
      <x v="24"/>
      <x v="26"/>
      <x v="2"/>
    </i>
    <i r="1">
      <x v="985"/>
      <x v="571"/>
      <x v="925"/>
      <x v="37"/>
      <x v="4"/>
      <x v="8"/>
      <x v="4"/>
      <x v="1"/>
      <x v="1"/>
      <x v="24"/>
      <x v="7"/>
      <x v="8"/>
      <x v="8"/>
    </i>
    <i r="1">
      <x v="986"/>
      <x v="17"/>
      <x v="384"/>
      <x v="61"/>
      <x v="59"/>
      <x v="11"/>
      <x v="4"/>
      <x v="2"/>
      <x/>
      <x v="26"/>
      <x v="24"/>
      <x v="26"/>
      <x v="2"/>
    </i>
    <i r="1">
      <x v="988"/>
      <x v="184"/>
      <x v="1230"/>
      <x v="54"/>
      <x v="47"/>
      <x v="8"/>
      <x v="4"/>
      <x v="2"/>
      <x/>
      <x v="34"/>
      <x v="18"/>
      <x v="16"/>
      <x v="12"/>
    </i>
    <i r="1">
      <x v="992"/>
      <x v="277"/>
      <x v="957"/>
      <x v="36"/>
      <x v="81"/>
      <x v="8"/>
      <x v="4"/>
      <x v="2"/>
      <x/>
      <x v="14"/>
      <x/>
      <x v="37"/>
      <x v="11"/>
    </i>
    <i r="1">
      <x v="996"/>
      <x v="446"/>
      <x v="563"/>
      <x v="62"/>
      <x v="70"/>
      <x v="11"/>
      <x v="4"/>
      <x v="2"/>
      <x/>
      <x v="16"/>
      <x v="24"/>
      <x v="26"/>
      <x v="2"/>
    </i>
    <i r="1">
      <x v="997"/>
      <x v="1072"/>
      <x v="39"/>
      <x v="49"/>
      <x v="45"/>
      <x v="8"/>
      <x v="4"/>
      <x v="2"/>
      <x/>
      <x v="25"/>
      <x v="17"/>
      <x v="37"/>
      <x v="11"/>
    </i>
    <i r="1">
      <x v="998"/>
      <x v="730"/>
      <x v="1346"/>
      <x v="54"/>
      <x v="47"/>
      <x v="8"/>
      <x v="4"/>
      <x v="2"/>
      <x/>
      <x v="34"/>
      <x v="18"/>
      <x v="28"/>
      <x v="4"/>
    </i>
    <i r="1">
      <x v="1000"/>
      <x v="468"/>
      <x v="790"/>
      <x v="55"/>
      <x v="65"/>
      <x v="8"/>
      <x v="4"/>
      <x v="2"/>
      <x/>
      <x v="26"/>
      <x v="18"/>
      <x v="3"/>
      <x v="8"/>
    </i>
    <i r="1">
      <x v="1002"/>
      <x v="64"/>
      <x v="1163"/>
      <x v="43"/>
      <x v="19"/>
      <x v="4"/>
      <x v="4"/>
      <x v="2"/>
      <x/>
      <x v="30"/>
      <x v="13"/>
      <x v="16"/>
      <x v="12"/>
    </i>
    <i r="1">
      <x v="1004"/>
      <x v="27"/>
      <x v="20"/>
      <x v="43"/>
      <x v="9"/>
      <x v="8"/>
      <x v="4"/>
      <x v="2"/>
      <x/>
      <x v="20"/>
      <x v="13"/>
      <x v="17"/>
      <x v="3"/>
    </i>
    <i r="1">
      <x v="1006"/>
      <x v="231"/>
      <x v="348"/>
      <x v="37"/>
      <x v="4"/>
      <x v="8"/>
      <x v="4"/>
      <x v="4"/>
      <x v="1"/>
      <x v="24"/>
      <x v="7"/>
      <x v="22"/>
      <x v="5"/>
    </i>
    <i r="1">
      <x v="1008"/>
      <x v="532"/>
      <x v="52"/>
      <x v="37"/>
      <x v="4"/>
      <x v="8"/>
      <x v="4"/>
      <x v="2"/>
      <x/>
      <x v="24"/>
      <x v="7"/>
      <x v="37"/>
      <x v="11"/>
    </i>
    <i r="1">
      <x v="1009"/>
      <x v="946"/>
      <x v="232"/>
      <x v="48"/>
      <x v="9"/>
      <x v="8"/>
      <x v="4"/>
      <x v="2"/>
      <x/>
      <x v="20"/>
      <x v="17"/>
      <x v="17"/>
      <x v="3"/>
    </i>
    <i r="1">
      <x v="1010"/>
      <x v="470"/>
      <x v="81"/>
      <x v="48"/>
      <x v="19"/>
      <x v="4"/>
      <x v="4"/>
      <x v="2"/>
      <x/>
      <x v="30"/>
      <x v="17"/>
      <x v="26"/>
      <x v="2"/>
    </i>
    <i r="1">
      <x v="1011"/>
      <x v="183"/>
      <x v="1187"/>
      <x v="49"/>
      <x v="66"/>
      <x v="4"/>
      <x v="4"/>
      <x v="4"/>
      <x v="1"/>
      <x v="19"/>
      <x v="17"/>
      <x v="16"/>
      <x v="12"/>
    </i>
    <i r="1">
      <x v="1017"/>
      <x v="163"/>
      <x v="945"/>
      <x v="38"/>
      <x v="46"/>
      <x v="11"/>
      <x v="4"/>
      <x v="4"/>
      <x v="1"/>
      <x v="15"/>
      <x v="1"/>
      <x v="26"/>
      <x v="2"/>
    </i>
    <i r="1">
      <x v="1022"/>
      <x v="451"/>
      <x v="153"/>
      <x v="39"/>
      <x v="43"/>
      <x v="11"/>
      <x v="4"/>
      <x v="2"/>
      <x/>
      <x v="29"/>
      <x v="8"/>
      <x v="26"/>
      <x v="2"/>
    </i>
    <i r="1">
      <x v="1023"/>
      <x v="154"/>
      <x v="111"/>
      <x v="56"/>
      <x v="6"/>
      <x v="8"/>
      <x v="4"/>
      <x v="2"/>
      <x/>
      <x v="8"/>
      <x v="18"/>
      <x v="3"/>
      <x v="8"/>
    </i>
    <i r="1">
      <x v="1024"/>
      <x v="158"/>
      <x v="210"/>
      <x v="60"/>
      <x v="45"/>
      <x v="8"/>
      <x v="4"/>
      <x v="2"/>
      <x/>
      <x v="25"/>
      <x v="24"/>
      <x v="37"/>
      <x v="11"/>
    </i>
    <i r="1">
      <x v="1025"/>
      <x v="65"/>
      <x v="991"/>
      <x v="38"/>
      <x v="46"/>
      <x v="11"/>
      <x v="4"/>
      <x v="4"/>
      <x v="1"/>
      <x v="15"/>
      <x v="1"/>
      <x v="26"/>
      <x v="2"/>
    </i>
    <i r="1">
      <x v="1026"/>
      <x v="692"/>
      <x v="850"/>
      <x v="60"/>
      <x v="70"/>
      <x v="11"/>
      <x v="4"/>
      <x v="2"/>
      <x/>
      <x v="16"/>
      <x v="24"/>
      <x v="26"/>
      <x v="2"/>
    </i>
    <i r="1">
      <x v="1027"/>
      <x v="174"/>
      <x v="637"/>
      <x v="61"/>
      <x v="12"/>
      <x v="8"/>
      <x v="4"/>
      <x v="4"/>
      <x v="1"/>
      <x v="6"/>
      <x v="24"/>
      <x v="3"/>
      <x v="8"/>
    </i>
    <i r="1">
      <x v="1029"/>
      <x v="731"/>
      <x v="1356"/>
      <x v="51"/>
      <x v="55"/>
      <x v="4"/>
      <x v="4"/>
      <x v="2"/>
      <x/>
      <x v="9"/>
      <x v="17"/>
      <x v="28"/>
      <x v="4"/>
    </i>
    <i r="1">
      <x v="1030"/>
      <x v="734"/>
      <x v="1263"/>
      <x v="38"/>
      <x v="10"/>
      <x v="8"/>
      <x v="4"/>
      <x v="2"/>
      <x/>
      <x v="21"/>
      <x v="1"/>
      <x v="8"/>
      <x v="8"/>
    </i>
    <i r="1">
      <x v="1031"/>
      <x v="824"/>
      <x v="436"/>
      <x v="60"/>
      <x v="46"/>
      <x v="11"/>
      <x v="4"/>
      <x v="2"/>
      <x/>
      <x v="15"/>
      <x v="24"/>
      <x v="26"/>
      <x v="2"/>
    </i>
    <i r="1">
      <x v="1032"/>
      <x v="583"/>
      <x v="1181"/>
      <x v="63"/>
      <x v="12"/>
      <x v="8"/>
      <x v="4"/>
      <x v="2"/>
      <x/>
      <x v="26"/>
      <x v="24"/>
      <x v="3"/>
      <x v="8"/>
    </i>
    <i r="1">
      <x v="1033"/>
      <x v="386"/>
      <x v="849"/>
      <x v="48"/>
      <x v="60"/>
      <x v="4"/>
      <x v="4"/>
      <x v="4"/>
      <x v="1"/>
      <x v="17"/>
      <x v="17"/>
      <x v="3"/>
      <x v="8"/>
    </i>
    <i r="1">
      <x v="1035"/>
      <x v="805"/>
      <x v="417"/>
      <x v="39"/>
      <x v="4"/>
      <x v="8"/>
      <x v="4"/>
      <x v="2"/>
      <x/>
      <x v="21"/>
      <x v="8"/>
      <x v="37"/>
      <x v="11"/>
    </i>
    <i r="1">
      <x v="1050"/>
      <x v="43"/>
      <x v="918"/>
      <x v="54"/>
      <x v="9"/>
      <x v="8"/>
      <x v="4"/>
      <x v="2"/>
      <x/>
      <x v="20"/>
      <x v="18"/>
      <x v="17"/>
      <x v="3"/>
    </i>
    <i r="1">
      <x v="1059"/>
      <x v="52"/>
      <x v="1348"/>
      <x v="61"/>
      <x v="12"/>
      <x v="8"/>
      <x v="4"/>
      <x v="4"/>
      <x v="1"/>
      <x v="6"/>
      <x v="24"/>
      <x v="3"/>
      <x v="8"/>
    </i>
    <i r="1">
      <x v="1064"/>
      <x v="181"/>
      <x v="820"/>
      <x v="52"/>
      <x v="55"/>
      <x v="4"/>
      <x v="4"/>
      <x v="4"/>
      <x v="1"/>
      <x v="17"/>
      <x v="17"/>
      <x v="22"/>
      <x v="5"/>
    </i>
    <i r="1">
      <x v="1083"/>
      <x v="359"/>
      <x v="190"/>
      <x v="37"/>
      <x v="4"/>
      <x v="8"/>
      <x v="4"/>
      <x v="2"/>
      <x/>
      <x v="24"/>
      <x v="7"/>
      <x v="8"/>
      <x v="8"/>
    </i>
    <i r="1">
      <x v="1098"/>
      <x v="362"/>
      <x v="196"/>
      <x v="48"/>
      <x v="1"/>
      <x v="11"/>
      <x v="4"/>
      <x v="2"/>
      <x/>
      <x v="18"/>
      <x v="17"/>
      <x v="26"/>
      <x v="2"/>
    </i>
    <i r="1">
      <x v="1099"/>
      <x v="361"/>
      <x v="1008"/>
      <x v="41"/>
      <x v="10"/>
      <x v="8"/>
      <x v="4"/>
      <x v="4"/>
      <x v="1"/>
      <x v="21"/>
      <x v="9"/>
      <x v="25"/>
      <x v="1"/>
    </i>
    <i r="1">
      <x v="1100"/>
      <x v="267"/>
      <x v="577"/>
      <x v="45"/>
      <x v="19"/>
      <x v="4"/>
      <x v="4"/>
      <x v="4"/>
      <x v="1"/>
      <x v="30"/>
      <x v="13"/>
      <x v="3"/>
      <x v="8"/>
    </i>
    <i r="1">
      <x v="1101"/>
      <x v="363"/>
      <x v="934"/>
      <x v="48"/>
      <x v="43"/>
      <x v="11"/>
      <x v="4"/>
      <x v="2"/>
      <x/>
      <x v="29"/>
      <x v="17"/>
      <x v="26"/>
      <x v="2"/>
    </i>
    <i r="1">
      <x v="1102"/>
      <x v="326"/>
      <x v="151"/>
      <x v="59"/>
      <x v="33"/>
      <x v="11"/>
      <x v="4"/>
      <x v="2"/>
      <x/>
      <x v="31"/>
      <x v="18"/>
      <x v="26"/>
      <x v="2"/>
    </i>
    <i r="1">
      <x v="1108"/>
      <x v="387"/>
      <x v="1354"/>
      <x v="54"/>
      <x v="47"/>
      <x v="8"/>
      <x v="4"/>
      <x v="2"/>
      <x/>
      <x v="40"/>
      <x v="18"/>
      <x v="26"/>
      <x v="2"/>
    </i>
    <i r="1">
      <x v="1110"/>
      <x v="334"/>
      <x v="803"/>
      <x v="40"/>
      <x v="4"/>
      <x v="8"/>
      <x v="4"/>
      <x v="2"/>
      <x/>
      <x v="21"/>
      <x v="9"/>
      <x v="37"/>
      <x v="11"/>
    </i>
    <i r="1">
      <x v="1111"/>
      <x v="28"/>
      <x v="988"/>
      <x v="59"/>
      <x v="9"/>
      <x v="8"/>
      <x v="4"/>
      <x v="2"/>
      <x/>
      <x v="20"/>
      <x v="18"/>
      <x v="17"/>
      <x v="3"/>
    </i>
    <i r="1">
      <x v="1112"/>
      <x v="299"/>
      <x v="655"/>
      <x v="54"/>
      <x v="47"/>
      <x v="8"/>
      <x v="4"/>
      <x v="2"/>
      <x/>
      <x v="34"/>
      <x v="18"/>
      <x v="26"/>
      <x v="2"/>
    </i>
    <i r="1">
      <x v="1113"/>
      <x v="241"/>
      <x v="377"/>
      <x v="39"/>
      <x v="4"/>
      <x v="8"/>
      <x v="4"/>
      <x v="2"/>
      <x/>
      <x v="21"/>
      <x v="8"/>
      <x v="5"/>
      <x v="10"/>
    </i>
    <i r="1">
      <x v="1114"/>
      <x v="14"/>
      <x v="1389"/>
      <x v="48"/>
      <x v="60"/>
      <x v="4"/>
      <x v="4"/>
      <x v="2"/>
      <x v="1"/>
      <x v="19"/>
      <x v="17"/>
      <x v="16"/>
      <x v="12"/>
    </i>
    <i r="1">
      <x v="1118"/>
      <x v="591"/>
      <x v="974"/>
      <x v="48"/>
      <x v="33"/>
      <x v="11"/>
      <x v="4"/>
      <x v="2"/>
      <x/>
      <x v="31"/>
      <x v="17"/>
      <x v="26"/>
      <x v="2"/>
    </i>
    <i r="1">
      <x v="1120"/>
      <x v="898"/>
      <x v="734"/>
      <x v="49"/>
      <x v="55"/>
      <x v="4"/>
      <x v="4"/>
      <x v="2"/>
      <x/>
      <x v="19"/>
      <x v="17"/>
      <x v="26"/>
      <x v="2"/>
    </i>
    <i r="1">
      <x v="1121"/>
      <x v="776"/>
      <x v="346"/>
      <x v="49"/>
      <x v="69"/>
      <x v="11"/>
      <x v="4"/>
      <x v="2"/>
      <x v="1"/>
      <x v="13"/>
      <x v="17"/>
      <x v="25"/>
      <x v="1"/>
    </i>
    <i r="1">
      <x v="1126"/>
      <x v="1217"/>
      <x v="640"/>
      <x v="48"/>
      <x v="60"/>
      <x v="4"/>
      <x v="4"/>
      <x v="2"/>
      <x/>
      <x v="17"/>
      <x v="17"/>
      <x v="3"/>
      <x v="8"/>
    </i>
    <i r="1">
      <x v="1128"/>
      <x v="1130"/>
      <x v="928"/>
      <x v="59"/>
      <x v="26"/>
      <x v="8"/>
      <x v="4"/>
      <x v="2"/>
      <x/>
      <x v="8"/>
      <x v="18"/>
      <x v="25"/>
      <x v="1"/>
    </i>
    <i r="1">
      <x v="1130"/>
      <x v="1331"/>
      <x v="1362"/>
      <x v="49"/>
      <x v="66"/>
      <x v="4"/>
      <x v="4"/>
      <x v="2"/>
      <x/>
      <x v="23"/>
      <x v="17"/>
      <x v="21"/>
      <x v="2"/>
    </i>
    <i r="1">
      <x v="1131"/>
      <x v="1233"/>
      <x v="1381"/>
      <x v="39"/>
      <x v="4"/>
      <x v="8"/>
      <x v="4"/>
      <x v="2"/>
      <x/>
      <x v="21"/>
      <x v="8"/>
      <x v="26"/>
      <x v="2"/>
    </i>
    <i r="1">
      <x v="1132"/>
      <x v="1280"/>
      <x v="872"/>
      <x v="53"/>
      <x v="73"/>
      <x v="4"/>
      <x v="4"/>
      <x v="2"/>
      <x/>
      <x v="5"/>
      <x v="17"/>
      <x v="31"/>
      <x v="6"/>
    </i>
    <i r="1">
      <x v="1135"/>
      <x v="323"/>
      <x v="356"/>
      <x v="45"/>
      <x v="19"/>
      <x v="4"/>
      <x v="4"/>
      <x v="2"/>
      <x/>
      <x v="30"/>
      <x v="13"/>
      <x v="25"/>
      <x v="1"/>
    </i>
    <i r="1">
      <x v="1136"/>
      <x v="549"/>
      <x v="57"/>
      <x v="49"/>
      <x v="66"/>
      <x v="4"/>
      <x v="4"/>
      <x v="2"/>
      <x/>
      <x v="17"/>
      <x v="17"/>
      <x v="3"/>
      <x v="8"/>
    </i>
    <i r="1">
      <x v="1137"/>
      <x v="1365"/>
      <x v="1317"/>
      <x v="47"/>
      <x v="73"/>
      <x v="4"/>
      <x v="4"/>
      <x v="2"/>
      <x/>
      <x v="5"/>
      <x v="13"/>
      <x v="31"/>
      <x v="6"/>
    </i>
    <i r="1">
      <x v="1138"/>
      <x v="402"/>
      <x v="699"/>
      <x v="44"/>
      <x v="45"/>
      <x v="8"/>
      <x v="4"/>
      <x v="2"/>
      <x/>
      <x v="25"/>
      <x v="13"/>
      <x v="37"/>
      <x v="11"/>
    </i>
    <i r="1">
      <x v="1140"/>
      <x v="293"/>
      <x v="631"/>
      <x v="56"/>
      <x v="33"/>
      <x v="11"/>
      <x v="4"/>
      <x v="2"/>
      <x/>
      <x v="31"/>
      <x v="18"/>
      <x v="26"/>
      <x v="2"/>
    </i>
    <i r="1">
      <x v="1148"/>
      <x v="240"/>
      <x v="115"/>
      <x v="39"/>
      <x v="4"/>
      <x v="8"/>
      <x v="4"/>
      <x v="2"/>
      <x/>
      <x v="21"/>
      <x v="8"/>
      <x v="15"/>
      <x v="12"/>
    </i>
    <i r="1">
      <x v="1153"/>
      <x v="344"/>
      <x v="1262"/>
      <x v="50"/>
      <x v="59"/>
      <x v="11"/>
      <x v="4"/>
      <x v="2"/>
      <x/>
      <x v="12"/>
      <x v="17"/>
      <x v="26"/>
      <x v="2"/>
    </i>
    <i r="1">
      <x v="1157"/>
      <x v="1154"/>
      <x v="591"/>
      <x v="54"/>
      <x v="9"/>
      <x v="8"/>
      <x v="4"/>
      <x v="2"/>
      <x/>
      <x v="20"/>
      <x v="18"/>
      <x v="17"/>
      <x v="3"/>
    </i>
    <i r="1">
      <x v="1166"/>
      <x v="146"/>
      <x v="1126"/>
      <x v="35"/>
      <x v="81"/>
      <x v="8"/>
      <x v="4"/>
      <x v="2"/>
      <x/>
      <x v="14"/>
      <x/>
      <x v="25"/>
      <x v="1"/>
    </i>
    <i r="1">
      <x v="1172"/>
      <x v="488"/>
      <x v="229"/>
      <x v="48"/>
      <x v="60"/>
      <x v="4"/>
      <x v="4"/>
      <x v="2"/>
      <x/>
      <x v="17"/>
      <x v="17"/>
      <x v="3"/>
      <x v="8"/>
    </i>
    <i r="1">
      <x v="1173"/>
      <x v="148"/>
      <x v="13"/>
      <x v="56"/>
      <x v="45"/>
      <x v="8"/>
      <x v="4"/>
      <x v="2"/>
      <x/>
      <x v="25"/>
      <x v="18"/>
      <x v="37"/>
      <x v="11"/>
    </i>
    <i r="1">
      <x v="1174"/>
      <x v="165"/>
      <x v="75"/>
      <x v="48"/>
      <x v="60"/>
      <x v="4"/>
      <x v="4"/>
      <x v="2"/>
      <x/>
      <x v="17"/>
      <x v="17"/>
      <x v="3"/>
      <x v="8"/>
    </i>
    <i r="1">
      <x v="1176"/>
      <x v="1084"/>
      <x v="127"/>
      <x v="60"/>
      <x v="12"/>
      <x v="8"/>
      <x v="4"/>
      <x v="2"/>
      <x/>
      <x v="22"/>
      <x v="24"/>
      <x v="25"/>
      <x v="1"/>
    </i>
    <i r="1">
      <x v="1177"/>
      <x v="162"/>
      <x v="341"/>
      <x v="63"/>
      <x v="12"/>
      <x v="8"/>
      <x v="4"/>
      <x v="2"/>
      <x/>
      <x v="26"/>
      <x v="24"/>
      <x v="3"/>
      <x v="8"/>
    </i>
    <i r="1">
      <x v="1179"/>
      <x v="301"/>
      <x v="805"/>
      <x v="48"/>
      <x v="43"/>
      <x v="11"/>
      <x v="4"/>
      <x v="2"/>
      <x/>
      <x v="29"/>
      <x v="17"/>
      <x v="26"/>
      <x v="2"/>
    </i>
    <i r="1">
      <x v="1184"/>
      <x v="401"/>
      <x v="811"/>
      <x v="39"/>
      <x v="4"/>
      <x v="8"/>
      <x v="4"/>
      <x v="2"/>
      <x/>
      <x v="21"/>
      <x v="8"/>
      <x v="31"/>
      <x v="6"/>
    </i>
    <i r="1">
      <x v="1186"/>
      <x v="152"/>
      <x v="561"/>
      <x v="43"/>
      <x v="19"/>
      <x v="4"/>
      <x v="4"/>
      <x v="4"/>
      <x v="1"/>
      <x v="30"/>
      <x v="13"/>
      <x v="3"/>
      <x v="8"/>
    </i>
    <i r="1">
      <x v="1187"/>
      <x v="193"/>
      <x v="860"/>
      <x v="56"/>
      <x v="11"/>
      <x v="11"/>
      <x v="4"/>
      <x v="2"/>
      <x/>
      <x v="12"/>
      <x v="18"/>
      <x v="26"/>
      <x v="2"/>
    </i>
    <i r="1">
      <x v="1189"/>
      <x v="298"/>
      <x v="1315"/>
      <x v="48"/>
      <x v="69"/>
      <x v="11"/>
      <x v="4"/>
      <x v="2"/>
      <x/>
      <x v="13"/>
      <x v="17"/>
      <x v="26"/>
      <x v="2"/>
    </i>
    <i r="1">
      <x v="1194"/>
      <x v="151"/>
      <x v="398"/>
      <x v="43"/>
      <x v="19"/>
      <x v="4"/>
      <x v="4"/>
      <x v="2"/>
      <x/>
      <x v="30"/>
      <x v="13"/>
      <x v="3"/>
      <x v="8"/>
    </i>
    <i r="1">
      <x v="1195"/>
      <x v="4"/>
      <x v="1057"/>
      <x v="63"/>
      <x v="9"/>
      <x v="8"/>
      <x v="4"/>
      <x v="2"/>
      <x/>
      <x v="20"/>
      <x v="24"/>
      <x v="17"/>
      <x v="3"/>
    </i>
    <i r="1">
      <x v="1196"/>
      <x v="948"/>
      <x v="77"/>
      <x v="45"/>
      <x v="19"/>
      <x v="4"/>
      <x v="4"/>
      <x v="2"/>
      <x/>
      <x v="30"/>
      <x v="13"/>
      <x v="25"/>
      <x v="1"/>
    </i>
    <i r="1">
      <x v="1197"/>
      <x v="1313"/>
      <x v="1188"/>
      <x v="49"/>
      <x v="66"/>
      <x v="4"/>
      <x v="4"/>
      <x v="2"/>
      <x/>
      <x v="23"/>
      <x v="17"/>
      <x v="21"/>
      <x v="2"/>
    </i>
    <i r="1">
      <x v="1199"/>
      <x v="150"/>
      <x v="328"/>
      <x v="35"/>
      <x v="43"/>
      <x v="11"/>
      <x v="4"/>
      <x v="2"/>
      <x/>
      <x v="29"/>
      <x/>
      <x v="26"/>
      <x v="2"/>
    </i>
    <i r="1">
      <x v="1208"/>
      <x v="351"/>
      <x v="797"/>
      <x v="39"/>
      <x v="4"/>
      <x v="8"/>
      <x v="4"/>
      <x v="2"/>
      <x/>
      <x v="21"/>
      <x v="8"/>
      <x v="37"/>
      <x v="11"/>
    </i>
    <i r="1">
      <x v="1211"/>
      <x v="324"/>
      <x v="1104"/>
      <x v="41"/>
      <x v="10"/>
      <x v="8"/>
      <x v="4"/>
      <x v="2"/>
      <x/>
      <x v="21"/>
      <x v="9"/>
      <x v="5"/>
      <x v="10"/>
    </i>
    <i r="1">
      <x v="1217"/>
      <x v="327"/>
      <x v="1202"/>
      <x v="38"/>
      <x v="10"/>
      <x v="8"/>
      <x v="4"/>
      <x v="2"/>
      <x/>
      <x v="21"/>
      <x v="1"/>
      <x v="8"/>
      <x v="8"/>
    </i>
    <i r="1">
      <x v="1219"/>
      <x v="275"/>
      <x v="457"/>
      <x v="35"/>
      <x v="81"/>
      <x v="8"/>
      <x v="4"/>
      <x v="2"/>
      <x/>
      <x v="14"/>
      <x/>
      <x v="5"/>
      <x v="10"/>
    </i>
    <i r="1">
      <x v="1220"/>
      <x v="497"/>
      <x v="64"/>
      <x v="63"/>
      <x v="12"/>
      <x v="8"/>
      <x v="4"/>
      <x v="2"/>
      <x/>
      <x v="26"/>
      <x v="24"/>
      <x v="3"/>
      <x v="8"/>
    </i>
    <i r="1">
      <x v="1221"/>
      <x v="270"/>
      <x v="1100"/>
      <x v="43"/>
      <x v="19"/>
      <x v="4"/>
      <x v="4"/>
      <x v="1"/>
      <x v="1"/>
      <x v="30"/>
      <x v="13"/>
      <x v="3"/>
      <x v="8"/>
    </i>
    <i r="1">
      <x v="1222"/>
      <x v="457"/>
      <x v="222"/>
      <x v="59"/>
      <x v="26"/>
      <x v="8"/>
      <x v="4"/>
      <x v="4"/>
      <x v="1"/>
      <x v="8"/>
      <x v="18"/>
      <x v="3"/>
      <x v="8"/>
    </i>
    <i r="1">
      <x v="1224"/>
      <x v="1086"/>
      <x v="1091"/>
      <x v="44"/>
      <x v="19"/>
      <x v="4"/>
      <x v="4"/>
      <x v="2"/>
      <x/>
      <x v="30"/>
      <x v="13"/>
      <x v="26"/>
      <x v="2"/>
    </i>
    <i r="1">
      <x v="1225"/>
      <x v="482"/>
      <x v="581"/>
      <x v="52"/>
      <x v="55"/>
      <x v="4"/>
      <x v="4"/>
      <x v="2"/>
      <x/>
      <x v="17"/>
      <x v="17"/>
      <x v="3"/>
      <x v="8"/>
    </i>
    <i r="1">
      <x v="1226"/>
      <x v="155"/>
      <x v="113"/>
      <x v="54"/>
      <x v="47"/>
      <x v="8"/>
      <x v="4"/>
      <x v="2"/>
      <x/>
      <x v="34"/>
      <x v="18"/>
      <x v="3"/>
      <x v="8"/>
    </i>
    <i r="1">
      <x v="1237"/>
      <x v="424"/>
      <x v="813"/>
      <x v="42"/>
      <x v="81"/>
      <x v="8"/>
      <x v="4"/>
      <x v="2"/>
      <x/>
      <x v="14"/>
      <x v="20"/>
      <x v="26"/>
      <x v="2"/>
    </i>
    <i r="1">
      <x v="1238"/>
      <x v="272"/>
      <x v="632"/>
      <x v="42"/>
      <x v="81"/>
      <x v="8"/>
      <x v="4"/>
      <x v="4"/>
      <x v="1"/>
      <x v="14"/>
      <x v="20"/>
      <x v="37"/>
      <x v="11"/>
    </i>
    <i r="1">
      <x v="1239"/>
      <x v="954"/>
      <x v="385"/>
      <x v="49"/>
      <x v="9"/>
      <x v="8"/>
      <x v="4"/>
      <x v="2"/>
      <x/>
      <x v="20"/>
      <x v="17"/>
      <x v="17"/>
      <x v="3"/>
    </i>
    <i r="1">
      <x v="1249"/>
      <x v="666"/>
      <x v="649"/>
      <x v="40"/>
      <x v="4"/>
      <x v="8"/>
      <x v="4"/>
      <x v="2"/>
      <x/>
      <x v="21"/>
      <x v="9"/>
      <x v="8"/>
      <x v="8"/>
    </i>
    <i r="1">
      <x v="1250"/>
      <x v="1211"/>
      <x v="1069"/>
      <x v="56"/>
      <x v="6"/>
      <x v="8"/>
      <x v="4"/>
      <x v="2"/>
      <x/>
      <x v="34"/>
      <x v="18"/>
      <x v="28"/>
      <x v="4"/>
    </i>
    <i r="1">
      <x v="1251"/>
      <x v="752"/>
      <x v="557"/>
      <x v="43"/>
      <x v="19"/>
      <x v="4"/>
      <x v="4"/>
      <x v="2"/>
      <x/>
      <x v="30"/>
      <x v="13"/>
      <x v="28"/>
      <x v="4"/>
    </i>
    <i r="1">
      <x v="1253"/>
      <x v="687"/>
      <x v="1005"/>
      <x v="45"/>
      <x v="19"/>
      <x v="4"/>
      <x v="4"/>
      <x v="2"/>
      <x/>
      <x v="30"/>
      <x v="13"/>
      <x v="16"/>
      <x v="12"/>
    </i>
    <i r="1">
      <x v="1254"/>
      <x v="35"/>
      <x v="24"/>
      <x v="60"/>
      <x v="9"/>
      <x v="8"/>
      <x v="4"/>
      <x v="2"/>
      <x/>
      <x v="20"/>
      <x v="24"/>
      <x v="17"/>
      <x v="3"/>
    </i>
    <i r="1">
      <x v="1258"/>
      <x v="379"/>
      <x v="1034"/>
      <x v="62"/>
      <x v="12"/>
      <x v="8"/>
      <x v="4"/>
      <x v="2"/>
      <x/>
      <x v="26"/>
      <x v="24"/>
      <x v="22"/>
      <x v="5"/>
    </i>
    <i r="1">
      <x v="1259"/>
      <x v="947"/>
      <x v="380"/>
      <x v="44"/>
      <x v="19"/>
      <x v="4"/>
      <x v="4"/>
      <x v="2"/>
      <x/>
      <x v="30"/>
      <x v="13"/>
      <x v="3"/>
      <x v="8"/>
    </i>
    <i r="1">
      <x v="1267"/>
      <x v="601"/>
      <x v="25"/>
      <x v="54"/>
      <x v="41"/>
      <x v="5"/>
      <x v="1"/>
      <x v="2"/>
      <x/>
      <x v="40"/>
      <x v="18"/>
      <x v="26"/>
      <x v="2"/>
    </i>
    <i r="1">
      <x v="1271"/>
      <x v="133"/>
      <x v="12"/>
      <x v="55"/>
      <x v="6"/>
      <x v="8"/>
      <x v="4"/>
      <x v="4"/>
      <x v="1"/>
      <x v="8"/>
      <x v="18"/>
      <x v="3"/>
      <x v="8"/>
    </i>
    <i r="1">
      <x v="1272"/>
      <x v="1219"/>
      <x v="1245"/>
      <x v="50"/>
      <x v="55"/>
      <x v="4"/>
      <x v="4"/>
      <x v="2"/>
      <x/>
      <x v="19"/>
      <x v="17"/>
      <x v="3"/>
      <x v="8"/>
    </i>
    <i r="1">
      <x v="1273"/>
      <x v="608"/>
      <x v="1206"/>
      <x v="54"/>
      <x v="47"/>
      <x v="8"/>
      <x v="4"/>
      <x v="2"/>
      <x/>
      <x v="34"/>
      <x v="18"/>
      <x v="3"/>
      <x v="8"/>
    </i>
    <i r="1">
      <x v="1277"/>
      <x v="490"/>
      <x v="566"/>
      <x v="37"/>
      <x v="4"/>
      <x v="8"/>
      <x v="4"/>
      <x v="2"/>
      <x/>
      <x v="24"/>
      <x v="7"/>
      <x v="25"/>
      <x v="1"/>
    </i>
    <i r="1">
      <x v="1278"/>
      <x v="156"/>
      <x v="140"/>
      <x v="51"/>
      <x v="55"/>
      <x v="4"/>
      <x v="4"/>
      <x v="2"/>
      <x/>
      <x v="40"/>
      <x v="17"/>
      <x v="26"/>
      <x v="2"/>
    </i>
    <i r="1">
      <x v="1279"/>
      <x v="494"/>
      <x v="656"/>
      <x v="48"/>
      <x v="69"/>
      <x v="11"/>
      <x v="4"/>
      <x v="2"/>
      <x/>
      <x v="13"/>
      <x v="17"/>
      <x v="26"/>
      <x v="2"/>
    </i>
    <i r="1">
      <x v="1282"/>
      <x v="369"/>
      <x v="250"/>
      <x v="56"/>
      <x v="26"/>
      <x v="8"/>
      <x v="4"/>
      <x v="2"/>
      <x/>
      <x v="8"/>
      <x v="18"/>
      <x v="16"/>
      <x v="12"/>
    </i>
    <i r="1">
      <x v="1283"/>
      <x v="416"/>
      <x v="1059"/>
      <x v="43"/>
      <x v="19"/>
      <x v="4"/>
      <x v="4"/>
      <x v="2"/>
      <x/>
      <x v="30"/>
      <x v="13"/>
      <x v="25"/>
      <x v="1"/>
    </i>
    <i r="1">
      <x v="1284"/>
      <x v="276"/>
      <x v="207"/>
      <x v="36"/>
      <x v="81"/>
      <x v="8"/>
      <x v="4"/>
      <x v="2"/>
      <x/>
      <x v="14"/>
      <x/>
      <x v="3"/>
      <x v="8"/>
    </i>
    <i r="1">
      <x v="1290"/>
      <x v="423"/>
      <x v="51"/>
      <x v="48"/>
      <x v="11"/>
      <x v="11"/>
      <x v="4"/>
      <x v="2"/>
      <x/>
      <x v="12"/>
      <x v="17"/>
      <x v="26"/>
      <x v="2"/>
    </i>
    <i r="1">
      <x v="1292"/>
      <x v="860"/>
      <x v="1037"/>
      <x v="55"/>
      <x v="65"/>
      <x v="8"/>
      <x v="4"/>
      <x v="2"/>
      <x/>
      <x v="33"/>
      <x v="18"/>
      <x v="3"/>
      <x v="8"/>
    </i>
    <i r="1">
      <x v="1293"/>
      <x v="41"/>
      <x v="414"/>
      <x v="47"/>
      <x v="76"/>
      <x v="14"/>
      <x v="5"/>
      <x v="2"/>
      <x v="1"/>
      <x v="5"/>
      <x v="13"/>
      <x v="31"/>
      <x v="6"/>
    </i>
    <i r="1">
      <x v="1297"/>
      <x v="935"/>
      <x v="1192"/>
      <x v="55"/>
      <x v="65"/>
      <x v="8"/>
      <x v="4"/>
      <x v="2"/>
      <x/>
      <x v="33"/>
      <x v="18"/>
      <x v="21"/>
      <x v="2"/>
    </i>
    <i r="1">
      <x v="1299"/>
      <x v="180"/>
      <x v="818"/>
      <x v="58"/>
      <x v="26"/>
      <x v="8"/>
      <x v="4"/>
      <x v="2"/>
      <x/>
      <x v="8"/>
      <x v="18"/>
      <x v="3"/>
      <x v="8"/>
    </i>
    <i r="1">
      <x v="1301"/>
      <x v="51"/>
      <x v="1191"/>
      <x v="44"/>
      <x v="19"/>
      <x v="4"/>
      <x v="4"/>
      <x v="2"/>
      <x/>
      <x v="30"/>
      <x v="13"/>
      <x v="16"/>
      <x v="12"/>
    </i>
    <i r="1">
      <x v="1305"/>
      <x v="1133"/>
      <x v="1225"/>
      <x v="43"/>
      <x v="69"/>
      <x v="11"/>
      <x v="4"/>
      <x v="2"/>
      <x/>
      <x v="13"/>
      <x v="13"/>
      <x v="26"/>
      <x v="2"/>
    </i>
    <i r="1">
      <x v="1308"/>
      <x v="659"/>
      <x v="1106"/>
      <x v="37"/>
      <x v="4"/>
      <x v="8"/>
      <x v="4"/>
      <x v="2"/>
      <x/>
      <x v="24"/>
      <x v="7"/>
      <x v="37"/>
      <x v="11"/>
    </i>
    <i r="1">
      <x v="1309"/>
      <x v="433"/>
      <x v="933"/>
      <x v="59"/>
      <x v="26"/>
      <x v="8"/>
      <x v="4"/>
      <x v="2"/>
      <x/>
      <x v="26"/>
      <x v="18"/>
      <x v="3"/>
      <x v="8"/>
    </i>
    <i r="1">
      <x v="1311"/>
      <x v="500"/>
      <x v="985"/>
      <x v="61"/>
      <x v="12"/>
      <x v="8"/>
      <x v="4"/>
      <x v="2"/>
      <x/>
      <x v="26"/>
      <x v="24"/>
      <x v="3"/>
      <x v="8"/>
    </i>
    <i r="1">
      <x v="1321"/>
      <x v="845"/>
      <x v="565"/>
      <x v="37"/>
      <x v="4"/>
      <x v="8"/>
      <x v="4"/>
      <x v="4"/>
      <x v="1"/>
      <x v="24"/>
      <x v="7"/>
      <x v="37"/>
      <x v="11"/>
    </i>
    <i r="1">
      <x v="1323"/>
      <x v="360"/>
      <x v="644"/>
      <x v="48"/>
      <x v="60"/>
      <x v="4"/>
      <x v="4"/>
      <x v="2"/>
      <x/>
      <x v="17"/>
      <x v="17"/>
      <x v="3"/>
      <x v="8"/>
    </i>
    <i r="1">
      <x v="1328"/>
      <x v="1120"/>
      <x v="359"/>
      <x v="60"/>
      <x v="12"/>
      <x v="8"/>
      <x v="4"/>
      <x v="2"/>
      <x/>
      <x v="22"/>
      <x v="24"/>
      <x v="26"/>
      <x v="2"/>
    </i>
    <i r="1">
      <x v="1330"/>
      <x v="471"/>
      <x v="17"/>
      <x v="37"/>
      <x v="46"/>
      <x v="11"/>
      <x v="4"/>
      <x v="4"/>
      <x v="1"/>
      <x v="15"/>
      <x v="7"/>
      <x v="26"/>
      <x v="2"/>
    </i>
    <i r="1">
      <x v="1331"/>
      <x v="230"/>
      <x v="30"/>
      <x v="37"/>
      <x v="4"/>
      <x v="8"/>
      <x v="4"/>
      <x v="2"/>
      <x/>
      <x v="24"/>
      <x v="7"/>
      <x v="8"/>
      <x v="8"/>
    </i>
    <i r="1">
      <x v="1335"/>
      <x v="586"/>
      <x v="434"/>
      <x v="35"/>
      <x v="81"/>
      <x v="8"/>
      <x v="4"/>
      <x v="2"/>
      <x/>
      <x v="14"/>
      <x/>
      <x v="5"/>
      <x v="10"/>
    </i>
    <i r="1">
      <x v="1336"/>
      <x v="18"/>
      <x v="1275"/>
      <x v="60"/>
      <x v="9"/>
      <x v="8"/>
      <x v="4"/>
      <x v="3"/>
      <x v="1"/>
      <x v="20"/>
      <x v="24"/>
      <x v="17"/>
      <x v="3"/>
    </i>
    <i r="2">
      <x v="171"/>
      <x v="1323"/>
      <x v="44"/>
      <x v="45"/>
      <x v="8"/>
      <x v="4"/>
      <x v="3"/>
      <x v="1"/>
      <x v="25"/>
      <x v="13"/>
      <x v="37"/>
      <x v="11"/>
    </i>
    <i r="2">
      <x v="227"/>
      <x v="1363"/>
      <x v="60"/>
      <x v="5"/>
      <x v="8"/>
      <x v="4"/>
      <x v="3"/>
      <x v="1"/>
      <x v="22"/>
      <x v="24"/>
      <x v="3"/>
      <x v="8"/>
    </i>
    <i r="2">
      <x v="342"/>
      <x v="178"/>
      <x v="51"/>
      <x v="45"/>
      <x v="8"/>
      <x v="4"/>
      <x v="3"/>
      <x v="1"/>
      <x v="25"/>
      <x v="17"/>
      <x v="37"/>
      <x v="11"/>
    </i>
    <i r="2">
      <x v="388"/>
      <x v="89"/>
      <x v="49"/>
      <x v="66"/>
      <x v="4"/>
      <x v="4"/>
      <x v="3"/>
      <x v="1"/>
      <x v="17"/>
      <x v="17"/>
      <x v="3"/>
      <x v="8"/>
    </i>
    <i r="2">
      <x v="394"/>
      <x v="670"/>
      <x v="45"/>
      <x v="83"/>
      <x v="17"/>
      <x v="7"/>
      <x v="5"/>
      <x v="1"/>
      <x v="30"/>
      <x v="13"/>
      <x v="19"/>
      <x v="8"/>
    </i>
    <i r="2">
      <x v="461"/>
      <x v="18"/>
      <x v="44"/>
      <x v="19"/>
      <x v="4"/>
      <x v="4"/>
      <x v="3"/>
      <x v="1"/>
      <x v="30"/>
      <x v="13"/>
      <x v="22"/>
      <x v="5"/>
    </i>
    <i r="2">
      <x v="547"/>
      <x v="1096"/>
      <x v="45"/>
      <x v="8"/>
      <x v="8"/>
      <x v="4"/>
      <x v="3"/>
      <x v="1"/>
      <x v="30"/>
      <x v="13"/>
      <x v="29"/>
      <x v="4"/>
    </i>
    <i r="2">
      <x v="665"/>
      <x v="1313"/>
      <x v="41"/>
      <x v="4"/>
      <x v="8"/>
      <x v="4"/>
      <x v="3"/>
      <x v="1"/>
      <x v="21"/>
      <x v="9"/>
      <x v="37"/>
      <x v="11"/>
    </i>
    <i r="2">
      <x v="681"/>
      <x v="598"/>
      <x v="54"/>
      <x v="83"/>
      <x v="17"/>
      <x v="7"/>
      <x v="3"/>
      <x v="1"/>
      <x v="34"/>
      <x v="18"/>
      <x v="2"/>
      <x v="8"/>
    </i>
    <i r="2">
      <x v="703"/>
      <x v="413"/>
      <x v="38"/>
      <x v="83"/>
      <x v="17"/>
      <x v="7"/>
      <x v="5"/>
      <x v="1"/>
      <x v="14"/>
      <x v="1"/>
      <x v="18"/>
      <x v="12"/>
    </i>
    <i r="2">
      <x v="729"/>
      <x v="938"/>
      <x v="45"/>
      <x v="8"/>
      <x v="8"/>
      <x v="4"/>
      <x v="3"/>
      <x v="1"/>
      <x v="30"/>
      <x v="13"/>
      <x v="30"/>
      <x v="3"/>
    </i>
    <i r="2">
      <x v="750"/>
      <x v="256"/>
      <x v="60"/>
      <x v="12"/>
      <x v="8"/>
      <x v="4"/>
      <x v="3"/>
      <x v="1"/>
      <x v="6"/>
      <x v="24"/>
      <x v="29"/>
      <x v="4"/>
    </i>
    <i r="2">
      <x v="806"/>
      <x v="882"/>
      <x v="40"/>
      <x v="4"/>
      <x v="8"/>
      <x v="4"/>
      <x v="3"/>
      <x v="1"/>
      <x v="21"/>
      <x v="9"/>
      <x v="11"/>
      <x v="8"/>
    </i>
    <i r="2">
      <x v="812"/>
      <x v="636"/>
      <x v="49"/>
      <x v="83"/>
      <x v="17"/>
      <x v="7"/>
      <x v="3"/>
      <x v="1"/>
      <x v="19"/>
      <x v="17"/>
      <x v="3"/>
      <x v="8"/>
    </i>
    <i r="2">
      <x v="821"/>
      <x v="1135"/>
      <x v="60"/>
      <x v="12"/>
      <x v="8"/>
      <x v="4"/>
      <x v="3"/>
      <x v="1"/>
      <x v="22"/>
      <x v="24"/>
      <x v="3"/>
      <x v="8"/>
    </i>
    <i r="2">
      <x v="839"/>
      <x v="1295"/>
      <x v="51"/>
      <x v="45"/>
      <x v="8"/>
      <x v="4"/>
      <x v="3"/>
      <x v="1"/>
      <x v="25"/>
      <x v="17"/>
      <x v="37"/>
      <x v="11"/>
    </i>
    <i r="2">
      <x v="932"/>
      <x v="43"/>
      <x v="56"/>
      <x v="47"/>
      <x v="8"/>
      <x v="4"/>
      <x v="3"/>
      <x v="1"/>
      <x v="33"/>
      <x v="18"/>
      <x v="3"/>
      <x v="8"/>
    </i>
    <i r="2">
      <x v="956"/>
      <x v="1138"/>
      <x v="39"/>
      <x v="83"/>
      <x v="17"/>
      <x v="7"/>
      <x v="5"/>
      <x v="1"/>
      <x/>
      <x v="8"/>
      <x v="20"/>
      <x v="9"/>
    </i>
    <i r="2">
      <x v="973"/>
      <x v="112"/>
      <x v="43"/>
      <x v="19"/>
      <x v="4"/>
      <x v="4"/>
      <x v="3"/>
      <x v="1"/>
      <x v="30"/>
      <x v="13"/>
      <x v="22"/>
      <x v="5"/>
    </i>
    <i r="2">
      <x v="1040"/>
      <x v="441"/>
      <x v="39"/>
      <x v="4"/>
      <x v="8"/>
      <x v="4"/>
      <x v="3"/>
      <x v="1"/>
      <x v="21"/>
      <x v="8"/>
      <x v="28"/>
      <x v="4"/>
    </i>
    <i r="2">
      <x v="1085"/>
      <x v="812"/>
      <x v="44"/>
      <x v="19"/>
      <x v="4"/>
      <x v="4"/>
      <x v="3"/>
      <x v="1"/>
      <x v="30"/>
      <x v="13"/>
      <x v="25"/>
      <x v="1"/>
    </i>
    <i r="2">
      <x v="1114"/>
      <x v="1168"/>
      <x v="49"/>
      <x v="19"/>
      <x v="4"/>
      <x v="4"/>
      <x v="3"/>
      <x v="1"/>
      <x v="30"/>
      <x v="17"/>
      <x v="3"/>
      <x v="8"/>
    </i>
    <i r="2">
      <x v="1164"/>
      <x v="709"/>
      <x v="49"/>
      <x v="66"/>
      <x v="4"/>
      <x v="4"/>
      <x v="3"/>
      <x v="1"/>
      <x v="23"/>
      <x v="17"/>
      <x v="26"/>
      <x v="2"/>
    </i>
    <i r="2">
      <x v="1177"/>
      <x v="896"/>
      <x v="49"/>
      <x v="58"/>
      <x v="4"/>
      <x v="4"/>
      <x v="3"/>
      <x v="1"/>
      <x v="19"/>
      <x v="17"/>
      <x v="29"/>
      <x v="4"/>
    </i>
    <i r="2">
      <x v="1204"/>
      <x v="835"/>
      <x v="49"/>
      <x v="66"/>
      <x v="4"/>
      <x v="4"/>
      <x v="3"/>
      <x v="1"/>
      <x v="23"/>
      <x v="17"/>
      <x v="3"/>
      <x v="8"/>
    </i>
    <i r="2">
      <x v="1221"/>
      <x v="72"/>
      <x v="36"/>
      <x v="62"/>
      <x v="8"/>
      <x v="4"/>
      <x v="3"/>
      <x v="1"/>
      <x v="14"/>
      <x/>
      <x v="37"/>
      <x v="11"/>
    </i>
    <i r="2">
      <x v="1224"/>
      <x v="206"/>
      <x v="36"/>
      <x v="62"/>
      <x v="8"/>
      <x v="4"/>
      <x v="3"/>
      <x v="1"/>
      <x v="14"/>
      <x/>
      <x v="8"/>
      <x v="8"/>
    </i>
    <i r="2">
      <x v="1245"/>
      <x v="56"/>
      <x v="49"/>
      <x v="66"/>
      <x v="4"/>
      <x v="4"/>
      <x v="3"/>
      <x v="1"/>
      <x v="19"/>
      <x v="17"/>
      <x v="3"/>
      <x v="8"/>
    </i>
    <i r="2">
      <x v="1256"/>
      <x v="118"/>
      <x v="43"/>
      <x v="19"/>
      <x v="4"/>
      <x v="4"/>
      <x v="3"/>
      <x v="1"/>
      <x v="17"/>
      <x v="13"/>
      <x v="3"/>
      <x v="8"/>
    </i>
    <i r="2">
      <x v="1257"/>
      <x v="181"/>
      <x v="49"/>
      <x v="66"/>
      <x v="4"/>
      <x v="4"/>
      <x v="3"/>
      <x v="1"/>
      <x v="19"/>
      <x v="17"/>
      <x v="12"/>
      <x v="8"/>
    </i>
    <i r="2">
      <x v="1259"/>
      <x v="684"/>
      <x v="61"/>
      <x v="12"/>
      <x v="8"/>
      <x v="4"/>
      <x v="3"/>
      <x v="1"/>
      <x v="22"/>
      <x v="24"/>
      <x v="3"/>
      <x v="8"/>
    </i>
    <i r="2">
      <x v="1260"/>
      <x v="1307"/>
      <x v="52"/>
      <x v="55"/>
      <x v="4"/>
      <x v="4"/>
      <x v="3"/>
      <x v="1"/>
      <x v="17"/>
      <x v="17"/>
      <x v="3"/>
      <x v="8"/>
    </i>
    <i r="2">
      <x v="1279"/>
      <x v="203"/>
      <x v="53"/>
      <x v="73"/>
      <x v="4"/>
      <x v="4"/>
      <x v="3"/>
      <x v="1"/>
      <x v="5"/>
      <x v="17"/>
      <x v="31"/>
      <x v="6"/>
    </i>
    <i>
      <x v="3"/>
      <x v="31"/>
      <x v="634"/>
      <x v="732"/>
      <x v="65"/>
      <x v="82"/>
      <x v="12"/>
      <x v="6"/>
      <x v="2"/>
      <x/>
      <x v="56"/>
      <x v="15"/>
      <x v="8"/>
      <x v="8"/>
    </i>
    <i r="1">
      <x v="105"/>
      <x v="215"/>
      <x v="846"/>
      <x v="72"/>
      <x v="54"/>
      <x v="12"/>
      <x v="6"/>
      <x v="2"/>
      <x/>
      <x v="50"/>
      <x v="22"/>
      <x v="8"/>
      <x v="8"/>
    </i>
    <i r="1">
      <x v="107"/>
      <x v="1171"/>
      <x v="197"/>
      <x v="71"/>
      <x v="79"/>
      <x v="12"/>
      <x v="6"/>
      <x v="2"/>
      <x/>
      <x v="49"/>
      <x v="22"/>
      <x v="26"/>
      <x v="2"/>
    </i>
    <i r="1">
      <x v="108"/>
      <x v="941"/>
      <x v="1242"/>
      <x v="65"/>
      <x v="79"/>
      <x v="12"/>
      <x v="6"/>
      <x v="2"/>
      <x/>
      <x v="49"/>
      <x v="15"/>
      <x v="37"/>
      <x v="11"/>
    </i>
    <i r="1">
      <x v="109"/>
      <x v="578"/>
      <x v="984"/>
      <x v="67"/>
      <x v="34"/>
      <x v="12"/>
      <x v="6"/>
      <x v="2"/>
      <x/>
      <x v="59"/>
      <x v="15"/>
      <x v="3"/>
      <x v="8"/>
    </i>
    <i r="1">
      <x v="110"/>
      <x v="1381"/>
      <x v="1430"/>
      <x v="71"/>
      <x v="79"/>
      <x v="12"/>
      <x v="6"/>
      <x v="2"/>
      <x/>
      <x v="98"/>
      <x v="22"/>
      <x v="37"/>
      <x v="11"/>
    </i>
    <i r="1">
      <x v="111"/>
      <x v="355"/>
      <x v="700"/>
      <x v="64"/>
      <x v="36"/>
      <x v="12"/>
      <x v="6"/>
      <x v="2"/>
      <x/>
      <x v="52"/>
      <x v="14"/>
      <x v="5"/>
      <x v="10"/>
    </i>
    <i r="1">
      <x v="114"/>
      <x v="1215"/>
      <x v="780"/>
      <x v="64"/>
      <x v="36"/>
      <x v="12"/>
      <x v="6"/>
      <x v="2"/>
      <x/>
      <x v="52"/>
      <x v="14"/>
      <x v="26"/>
      <x v="2"/>
    </i>
    <i r="1">
      <x v="117"/>
      <x v="238"/>
      <x v="1388"/>
      <x v="64"/>
      <x v="36"/>
      <x v="12"/>
      <x v="6"/>
      <x v="2"/>
      <x/>
      <x v="57"/>
      <x v="14"/>
      <x v="3"/>
      <x v="8"/>
    </i>
    <i r="1">
      <x v="119"/>
      <x v="604"/>
      <x v="484"/>
      <x v="72"/>
      <x v="54"/>
      <x v="12"/>
      <x v="6"/>
      <x v="2"/>
      <x/>
      <x v="50"/>
      <x v="22"/>
      <x v="8"/>
      <x v="8"/>
    </i>
    <i r="1">
      <x v="120"/>
      <x v="378"/>
      <x v="961"/>
      <x v="64"/>
      <x v="36"/>
      <x v="12"/>
      <x v="6"/>
      <x v="2"/>
      <x/>
      <x v="52"/>
      <x v="14"/>
      <x v="5"/>
      <x v="10"/>
    </i>
    <i r="1">
      <x v="121"/>
      <x v="893"/>
      <x v="119"/>
      <x v="70"/>
      <x v="82"/>
      <x v="12"/>
      <x v="6"/>
      <x v="2"/>
      <x v="1"/>
      <x v="67"/>
      <x v="16"/>
      <x v="17"/>
      <x v="3"/>
    </i>
    <i r="1">
      <x v="122"/>
      <x v="535"/>
      <x v="1079"/>
      <x v="72"/>
      <x v="79"/>
      <x v="12"/>
      <x v="6"/>
      <x v="2"/>
      <x/>
      <x v="49"/>
      <x v="22"/>
      <x v="37"/>
      <x v="11"/>
    </i>
    <i r="1">
      <x v="123"/>
      <x v="392"/>
      <x v="29"/>
      <x v="64"/>
      <x v="36"/>
      <x v="12"/>
      <x v="6"/>
      <x v="4"/>
      <x v="1"/>
      <x v="52"/>
      <x v="14"/>
      <x v="26"/>
      <x v="2"/>
    </i>
    <i r="1">
      <x v="124"/>
      <x v="1373"/>
      <x v="1102"/>
      <x v="66"/>
      <x v="34"/>
      <x v="12"/>
      <x v="6"/>
      <x v="2"/>
      <x/>
      <x v="59"/>
      <x v="15"/>
      <x v="3"/>
      <x v="8"/>
    </i>
    <i r="1">
      <x v="127"/>
      <x v="1172"/>
      <x v="1272"/>
      <x v="69"/>
      <x v="79"/>
      <x v="12"/>
      <x v="6"/>
      <x v="2"/>
      <x/>
      <x v="49"/>
      <x v="16"/>
      <x v="26"/>
      <x v="2"/>
    </i>
    <i r="1">
      <x v="128"/>
      <x v="1205"/>
      <x v="267"/>
      <x v="71"/>
      <x v="87"/>
      <x v="12"/>
      <x v="6"/>
      <x v="4"/>
      <x v="1"/>
      <x v="67"/>
      <x v="22"/>
      <x v="8"/>
      <x v="8"/>
    </i>
    <i r="1">
      <x v="132"/>
      <x v="447"/>
      <x v="299"/>
      <x v="66"/>
      <x v="34"/>
      <x v="12"/>
      <x v="6"/>
      <x v="4"/>
      <x v="1"/>
      <x v="59"/>
      <x v="15"/>
      <x v="3"/>
      <x v="8"/>
    </i>
    <i r="1">
      <x v="137"/>
      <x v="863"/>
      <x v="1053"/>
      <x v="72"/>
      <x v="54"/>
      <x v="12"/>
      <x v="6"/>
      <x v="4"/>
      <x v="1"/>
      <x v="50"/>
      <x v="22"/>
      <x v="8"/>
      <x v="8"/>
    </i>
    <i r="1">
      <x v="138"/>
      <x v="1209"/>
      <x v="67"/>
      <x v="69"/>
      <x v="16"/>
      <x v="12"/>
      <x v="6"/>
      <x v="4"/>
      <x v="1"/>
      <x v="54"/>
      <x v="16"/>
      <x v="3"/>
      <x v="8"/>
    </i>
    <i r="1">
      <x v="141"/>
      <x v="459"/>
      <x v="79"/>
      <x v="72"/>
      <x v="54"/>
      <x v="12"/>
      <x v="6"/>
      <x v="2"/>
      <x/>
      <x v="50"/>
      <x v="22"/>
      <x v="8"/>
      <x v="8"/>
    </i>
    <i r="1">
      <x v="147"/>
      <x v="649"/>
      <x v="840"/>
      <x v="70"/>
      <x v="79"/>
      <x v="12"/>
      <x v="6"/>
      <x v="2"/>
      <x/>
      <x v="49"/>
      <x v="16"/>
      <x v="37"/>
      <x v="11"/>
    </i>
    <i r="1">
      <x v="151"/>
      <x v="524"/>
      <x v="271"/>
      <x v="66"/>
      <x v="34"/>
      <x v="12"/>
      <x v="6"/>
      <x v="2"/>
      <x/>
      <x v="59"/>
      <x v="15"/>
      <x v="3"/>
      <x v="8"/>
    </i>
    <i r="1">
      <x v="155"/>
      <x v="1039"/>
      <x v="1301"/>
      <x v="71"/>
      <x v="87"/>
      <x v="12"/>
      <x v="6"/>
      <x v="2"/>
      <x/>
      <x v="67"/>
      <x v="22"/>
      <x v="28"/>
      <x v="4"/>
    </i>
    <i r="1">
      <x v="174"/>
      <x v="794"/>
      <x v="960"/>
      <x v="69"/>
      <x v="16"/>
      <x v="12"/>
      <x v="6"/>
      <x v="2"/>
      <x/>
      <x v="53"/>
      <x v="16"/>
      <x v="22"/>
      <x v="5"/>
    </i>
    <i r="1">
      <x v="175"/>
      <x v="846"/>
      <x v="221"/>
      <x v="64"/>
      <x v="36"/>
      <x v="12"/>
      <x v="6"/>
      <x v="2"/>
      <x/>
      <x v="52"/>
      <x v="14"/>
      <x v="26"/>
      <x v="2"/>
    </i>
    <i r="1">
      <x v="184"/>
      <x v="1334"/>
      <x v="1176"/>
      <x v="71"/>
      <x v="87"/>
      <x v="12"/>
      <x v="6"/>
      <x v="2"/>
      <x/>
      <x v="67"/>
      <x v="22"/>
      <x v="3"/>
      <x v="8"/>
    </i>
    <i r="1">
      <x v="185"/>
      <x v="1272"/>
      <x v="1366"/>
      <x v="65"/>
      <x v="82"/>
      <x v="12"/>
      <x v="6"/>
      <x v="2"/>
      <x/>
      <x v="56"/>
      <x v="15"/>
      <x v="3"/>
      <x v="8"/>
    </i>
    <i r="1">
      <x v="192"/>
      <x v="573"/>
      <x v="752"/>
      <x v="72"/>
      <x v="79"/>
      <x v="12"/>
      <x v="6"/>
      <x v="2"/>
      <x/>
      <x v="86"/>
      <x v="22"/>
      <x v="37"/>
      <x v="11"/>
    </i>
    <i r="1">
      <x v="200"/>
      <x v="210"/>
      <x v="435"/>
      <x v="66"/>
      <x v="34"/>
      <x v="12"/>
      <x v="6"/>
      <x v="4"/>
      <x v="1"/>
      <x v="59"/>
      <x v="15"/>
      <x v="26"/>
      <x v="2"/>
    </i>
    <i r="1">
      <x v="219"/>
      <x v="1368"/>
      <x v="131"/>
      <x v="71"/>
      <x v="87"/>
      <x v="12"/>
      <x v="6"/>
      <x v="2"/>
      <x/>
      <x v="67"/>
      <x v="22"/>
      <x v="22"/>
      <x v="5"/>
    </i>
    <i r="1">
      <x v="221"/>
      <x v="205"/>
      <x v="392"/>
      <x v="71"/>
      <x v="79"/>
      <x v="12"/>
      <x v="6"/>
      <x v="2"/>
      <x/>
      <x v="49"/>
      <x v="22"/>
      <x v="37"/>
      <x v="11"/>
    </i>
    <i r="1">
      <x v="226"/>
      <x v="465"/>
      <x v="233"/>
      <x v="64"/>
      <x v="36"/>
      <x v="12"/>
      <x v="6"/>
      <x v="2"/>
      <x/>
      <x v="52"/>
      <x v="14"/>
      <x v="3"/>
      <x v="8"/>
    </i>
    <i r="1">
      <x v="260"/>
      <x v="733"/>
      <x v="324"/>
      <x v="70"/>
      <x v="82"/>
      <x v="12"/>
      <x v="6"/>
      <x v="2"/>
      <x/>
      <x v="56"/>
      <x v="16"/>
      <x v="3"/>
      <x v="8"/>
    </i>
    <i r="1">
      <x v="266"/>
      <x v="1214"/>
      <x v="1194"/>
      <x v="72"/>
      <x v="54"/>
      <x v="12"/>
      <x v="6"/>
      <x v="2"/>
      <x/>
      <x v="55"/>
      <x v="22"/>
      <x v="3"/>
      <x v="8"/>
    </i>
    <i r="1">
      <x v="281"/>
      <x v="209"/>
      <x v="481"/>
      <x v="71"/>
      <x v="87"/>
      <x v="12"/>
      <x v="6"/>
      <x v="2"/>
      <x/>
      <x v="67"/>
      <x v="22"/>
      <x v="8"/>
      <x v="8"/>
    </i>
    <i r="1">
      <x v="286"/>
      <x v="817"/>
      <x v="1227"/>
      <x v="70"/>
      <x v="82"/>
      <x v="12"/>
      <x v="6"/>
      <x v="2"/>
      <x/>
      <x v="56"/>
      <x v="16"/>
      <x v="3"/>
      <x v="8"/>
    </i>
    <i r="1">
      <x v="290"/>
      <x v="829"/>
      <x v="682"/>
      <x v="67"/>
      <x v="34"/>
      <x v="12"/>
      <x v="6"/>
      <x v="4"/>
      <x v="1"/>
      <x v="59"/>
      <x v="15"/>
      <x v="30"/>
      <x v="3"/>
    </i>
    <i r="1">
      <x v="308"/>
      <x v="417"/>
      <x v="643"/>
      <x v="66"/>
      <x v="34"/>
      <x v="12"/>
      <x v="6"/>
      <x v="4"/>
      <x v="1"/>
      <x v="59"/>
      <x v="15"/>
      <x v="29"/>
      <x v="4"/>
    </i>
    <i r="1">
      <x v="316"/>
      <x v="1092"/>
      <x v="966"/>
      <x v="70"/>
      <x v="79"/>
      <x v="12"/>
      <x v="6"/>
      <x v="2"/>
      <x/>
      <x v="49"/>
      <x v="16"/>
      <x v="26"/>
      <x v="2"/>
    </i>
    <i r="1">
      <x v="317"/>
      <x v="389"/>
      <x v="1204"/>
      <x v="68"/>
      <x v="16"/>
      <x v="12"/>
      <x v="6"/>
      <x v="2"/>
      <x/>
      <x v="54"/>
      <x v="16"/>
      <x v="25"/>
      <x v="1"/>
    </i>
    <i r="1">
      <x v="322"/>
      <x v="382"/>
      <x v="1267"/>
      <x v="72"/>
      <x v="74"/>
      <x v="12"/>
      <x v="6"/>
      <x v="2"/>
      <x v="1"/>
      <x v="86"/>
      <x v="22"/>
      <x v="21"/>
      <x v="2"/>
    </i>
    <i r="1">
      <x v="323"/>
      <x v="537"/>
      <x v="612"/>
      <x v="67"/>
      <x v="34"/>
      <x v="12"/>
      <x v="6"/>
      <x v="2"/>
      <x/>
      <x v="59"/>
      <x v="15"/>
      <x v="8"/>
      <x v="8"/>
    </i>
    <i r="1">
      <x v="330"/>
      <x v="1223"/>
      <x v="285"/>
      <x v="71"/>
      <x v="79"/>
      <x v="12"/>
      <x v="6"/>
      <x v="2"/>
      <x/>
      <x v="49"/>
      <x v="22"/>
      <x v="26"/>
      <x v="2"/>
    </i>
    <i r="1">
      <x v="331"/>
      <x v="208"/>
      <x v="387"/>
      <x v="72"/>
      <x v="54"/>
      <x v="12"/>
      <x v="6"/>
      <x v="2"/>
      <x/>
      <x v="50"/>
      <x v="22"/>
      <x v="8"/>
      <x v="8"/>
    </i>
    <i r="1">
      <x v="332"/>
      <x v="1076"/>
      <x v="175"/>
      <x v="72"/>
      <x v="34"/>
      <x v="12"/>
      <x v="6"/>
      <x v="2"/>
      <x/>
      <x v="59"/>
      <x v="22"/>
      <x v="5"/>
      <x v="10"/>
    </i>
    <i r="1">
      <x v="334"/>
      <x v="422"/>
      <x v="188"/>
      <x v="70"/>
      <x v="82"/>
      <x v="12"/>
      <x v="6"/>
      <x v="2"/>
      <x/>
      <x v="56"/>
      <x v="16"/>
      <x v="3"/>
      <x v="8"/>
    </i>
    <i r="1">
      <x v="341"/>
      <x v="235"/>
      <x v="893"/>
      <x v="64"/>
      <x v="79"/>
      <x v="12"/>
      <x v="6"/>
      <x v="2"/>
      <x/>
      <x v="49"/>
      <x v="14"/>
      <x v="37"/>
      <x v="11"/>
    </i>
    <i r="1">
      <x v="350"/>
      <x v="203"/>
      <x v="410"/>
      <x v="68"/>
      <x v="16"/>
      <x v="12"/>
      <x v="6"/>
      <x v="2"/>
      <x/>
      <x v="54"/>
      <x v="16"/>
      <x v="3"/>
      <x v="8"/>
    </i>
    <i r="1">
      <x v="354"/>
      <x v="201"/>
      <x v="2"/>
      <x v="67"/>
      <x v="79"/>
      <x v="12"/>
      <x v="6"/>
      <x v="2"/>
      <x/>
      <x v="49"/>
      <x v="15"/>
      <x v="37"/>
      <x v="11"/>
    </i>
    <i r="1">
      <x v="368"/>
      <x v="543"/>
      <x v="1133"/>
      <x v="72"/>
      <x v="54"/>
      <x v="12"/>
      <x v="6"/>
      <x v="2"/>
      <x/>
      <x v="50"/>
      <x v="22"/>
      <x v="3"/>
      <x v="8"/>
    </i>
    <i r="1">
      <x v="370"/>
      <x v="1097"/>
      <x v="711"/>
      <x v="65"/>
      <x v="82"/>
      <x v="12"/>
      <x v="6"/>
      <x v="2"/>
      <x/>
      <x v="56"/>
      <x v="15"/>
      <x v="34"/>
      <x v="1"/>
    </i>
    <i r="1">
      <x v="371"/>
      <x v="340"/>
      <x v="671"/>
      <x v="71"/>
      <x v="87"/>
      <x v="12"/>
      <x v="6"/>
      <x v="2"/>
      <x/>
      <x v="67"/>
      <x v="22"/>
      <x v="26"/>
      <x v="2"/>
    </i>
    <i r="1">
      <x v="385"/>
      <x v="1038"/>
      <x v="1186"/>
      <x v="71"/>
      <x v="87"/>
      <x v="12"/>
      <x v="6"/>
      <x v="2"/>
      <x/>
      <x v="67"/>
      <x v="22"/>
      <x v="28"/>
      <x v="4"/>
    </i>
    <i r="1">
      <x v="387"/>
      <x v="1273"/>
      <x v="658"/>
      <x v="69"/>
      <x v="16"/>
      <x v="12"/>
      <x v="6"/>
      <x v="2"/>
      <x/>
      <x v="54"/>
      <x v="16"/>
      <x v="3"/>
      <x v="8"/>
    </i>
    <i r="1">
      <x v="396"/>
      <x v="1275"/>
      <x v="1098"/>
      <x v="69"/>
      <x v="16"/>
      <x v="12"/>
      <x v="6"/>
      <x v="2"/>
      <x/>
      <x v="54"/>
      <x v="16"/>
      <x v="3"/>
      <x v="8"/>
    </i>
    <i r="1">
      <x v="397"/>
      <x v="1380"/>
      <x v="1340"/>
      <x v="70"/>
      <x v="82"/>
      <x v="12"/>
      <x v="6"/>
      <x v="2"/>
      <x/>
      <x v="56"/>
      <x v="16"/>
      <x v="3"/>
      <x v="8"/>
    </i>
    <i r="1">
      <x v="406"/>
      <x v="576"/>
      <x v="1110"/>
      <x v="72"/>
      <x v="79"/>
      <x v="12"/>
      <x v="6"/>
      <x v="2"/>
      <x/>
      <x v="49"/>
      <x v="22"/>
      <x v="37"/>
      <x v="11"/>
    </i>
    <i r="1">
      <x v="444"/>
      <x v="657"/>
      <x v="775"/>
      <x v="64"/>
      <x v="36"/>
      <x v="12"/>
      <x v="6"/>
      <x v="4"/>
      <x v="1"/>
      <x v="52"/>
      <x v="14"/>
      <x v="3"/>
      <x v="8"/>
    </i>
    <i r="1">
      <x v="476"/>
      <x v="1160"/>
      <x v="1045"/>
      <x v="72"/>
      <x v="54"/>
      <x v="12"/>
      <x v="6"/>
      <x v="2"/>
      <x/>
      <x v="50"/>
      <x v="22"/>
      <x v="29"/>
      <x v="4"/>
    </i>
    <i r="1">
      <x v="484"/>
      <x v="853"/>
      <x v="505"/>
      <x v="72"/>
      <x v="54"/>
      <x v="12"/>
      <x v="6"/>
      <x v="2"/>
      <x/>
      <x v="50"/>
      <x v="22"/>
      <x v="5"/>
      <x v="10"/>
    </i>
    <i r="1">
      <x v="501"/>
      <x v="579"/>
      <x v="941"/>
      <x v="68"/>
      <x v="79"/>
      <x v="12"/>
      <x v="6"/>
      <x v="2"/>
      <x/>
      <x v="49"/>
      <x v="16"/>
      <x v="37"/>
      <x v="11"/>
    </i>
    <i r="1">
      <x v="507"/>
      <x v="650"/>
      <x v="1004"/>
      <x v="71"/>
      <x v="79"/>
      <x v="12"/>
      <x v="6"/>
      <x v="2"/>
      <x/>
      <x v="49"/>
      <x v="22"/>
      <x v="37"/>
      <x v="11"/>
    </i>
    <i r="1">
      <x v="508"/>
      <x v="1020"/>
      <x v="49"/>
      <x v="66"/>
      <x v="76"/>
      <x v="14"/>
      <x v="5"/>
      <x v="2"/>
      <x v="1"/>
      <x v="56"/>
      <x v="15"/>
      <x v="21"/>
      <x v="2"/>
    </i>
    <i r="1">
      <x v="510"/>
      <x v="1062"/>
      <x v="472"/>
      <x v="67"/>
      <x v="34"/>
      <x v="12"/>
      <x v="6"/>
      <x v="4"/>
      <x v="1"/>
      <x v="49"/>
      <x v="15"/>
      <x v="34"/>
      <x v="1"/>
    </i>
    <i r="1">
      <x v="515"/>
      <x v="510"/>
      <x v="702"/>
      <x v="69"/>
      <x v="16"/>
      <x v="12"/>
      <x v="6"/>
      <x v="2"/>
      <x/>
      <x v="54"/>
      <x v="16"/>
      <x v="3"/>
      <x v="8"/>
    </i>
    <i r="1">
      <x v="519"/>
      <x v="376"/>
      <x v="794"/>
      <x v="64"/>
      <x v="36"/>
      <x v="12"/>
      <x v="6"/>
      <x v="2"/>
      <x/>
      <x v="52"/>
      <x v="14"/>
      <x v="3"/>
      <x v="8"/>
    </i>
    <i r="1">
      <x v="521"/>
      <x v="640"/>
      <x v="721"/>
      <x v="64"/>
      <x v="79"/>
      <x v="12"/>
      <x v="6"/>
      <x v="2"/>
      <x/>
      <x v="49"/>
      <x v="14"/>
      <x v="37"/>
      <x v="11"/>
    </i>
    <i r="1">
      <x v="525"/>
      <x v="60"/>
      <x v="1124"/>
      <x v="67"/>
      <x v="34"/>
      <x v="12"/>
      <x v="6"/>
      <x v="2"/>
      <x/>
      <x v="59"/>
      <x v="15"/>
      <x v="3"/>
      <x v="8"/>
    </i>
    <i r="1">
      <x v="526"/>
      <x v="1021"/>
      <x v="1303"/>
      <x v="69"/>
      <x v="16"/>
      <x v="12"/>
      <x v="6"/>
      <x v="2"/>
      <x/>
      <x v="54"/>
      <x v="16"/>
      <x v="5"/>
      <x v="10"/>
    </i>
    <i r="1">
      <x v="528"/>
      <x v="809"/>
      <x v="555"/>
      <x v="70"/>
      <x v="82"/>
      <x v="12"/>
      <x v="6"/>
      <x v="2"/>
      <x/>
      <x v="56"/>
      <x v="16"/>
      <x v="5"/>
      <x v="10"/>
    </i>
    <i r="1">
      <x v="530"/>
      <x v="1382"/>
      <x v="867"/>
      <x v="71"/>
      <x v="87"/>
      <x v="12"/>
      <x v="6"/>
      <x v="2"/>
      <x/>
      <x v="60"/>
      <x v="22"/>
      <x v="22"/>
      <x v="5"/>
    </i>
    <i r="1">
      <x v="532"/>
      <x v="48"/>
      <x v="1239"/>
      <x v="69"/>
      <x v="16"/>
      <x v="12"/>
      <x v="6"/>
      <x v="2"/>
      <x/>
      <x v="54"/>
      <x v="16"/>
      <x v="15"/>
      <x v="12"/>
    </i>
    <i r="1">
      <x v="537"/>
      <x v="1371"/>
      <x v="361"/>
      <x v="72"/>
      <x v="54"/>
      <x v="12"/>
      <x v="6"/>
      <x v="2"/>
      <x/>
      <x v="50"/>
      <x v="22"/>
      <x v="22"/>
      <x v="5"/>
    </i>
    <i r="1">
      <x v="557"/>
      <x v="329"/>
      <x v="708"/>
      <x v="64"/>
      <x v="36"/>
      <x v="12"/>
      <x v="6"/>
      <x v="2"/>
      <x/>
      <x v="52"/>
      <x v="14"/>
      <x v="26"/>
      <x v="2"/>
    </i>
    <i r="1">
      <x v="562"/>
      <x v="391"/>
      <x v="1236"/>
      <x v="64"/>
      <x v="79"/>
      <x v="12"/>
      <x v="6"/>
      <x v="2"/>
      <x/>
      <x v="49"/>
      <x v="14"/>
      <x v="37"/>
      <x v="11"/>
    </i>
    <i r="1">
      <x v="563"/>
      <x v="940"/>
      <x v="1159"/>
      <x v="72"/>
      <x v="54"/>
      <x v="12"/>
      <x v="6"/>
      <x v="2"/>
      <x/>
      <x v="50"/>
      <x v="22"/>
      <x v="3"/>
      <x v="8"/>
    </i>
    <i r="1">
      <x v="570"/>
      <x v="1370"/>
      <x v="593"/>
      <x v="70"/>
      <x v="82"/>
      <x v="12"/>
      <x v="6"/>
      <x v="2"/>
      <x/>
      <x v="56"/>
      <x v="16"/>
      <x v="3"/>
      <x v="8"/>
    </i>
    <i r="1">
      <x v="579"/>
      <x v="957"/>
      <x v="1292"/>
      <x v="64"/>
      <x v="36"/>
      <x v="12"/>
      <x v="6"/>
      <x v="2"/>
      <x/>
      <x v="57"/>
      <x v="14"/>
      <x v="26"/>
      <x v="2"/>
    </i>
    <i r="1">
      <x v="584"/>
      <x v="745"/>
      <x v="1068"/>
      <x v="65"/>
      <x v="82"/>
      <x v="12"/>
      <x v="6"/>
      <x v="2"/>
      <x/>
      <x v="56"/>
      <x v="15"/>
      <x v="3"/>
      <x v="8"/>
    </i>
    <i r="1">
      <x v="585"/>
      <x v="653"/>
      <x v="7"/>
      <x v="71"/>
      <x v="79"/>
      <x v="12"/>
      <x v="6"/>
      <x v="4"/>
      <x v="1"/>
      <x v="49"/>
      <x v="22"/>
      <x v="37"/>
      <x v="11"/>
    </i>
    <i r="1">
      <x v="593"/>
      <x v="55"/>
      <x v="172"/>
      <x v="66"/>
      <x v="34"/>
      <x v="12"/>
      <x v="6"/>
      <x v="2"/>
      <x v="1"/>
      <x v="56"/>
      <x v="15"/>
      <x v="17"/>
      <x v="3"/>
    </i>
    <i r="1">
      <x v="594"/>
      <x v="760"/>
      <x v="694"/>
      <x v="67"/>
      <x v="34"/>
      <x v="12"/>
      <x v="6"/>
      <x v="2"/>
      <x/>
      <x v="59"/>
      <x v="15"/>
      <x v="3"/>
      <x v="8"/>
    </i>
    <i r="1">
      <x v="600"/>
      <x v="1168"/>
      <x v="646"/>
      <x v="71"/>
      <x v="79"/>
      <x v="12"/>
      <x v="6"/>
      <x v="2"/>
      <x/>
      <x v="49"/>
      <x v="22"/>
      <x v="37"/>
      <x v="11"/>
    </i>
    <i r="1">
      <x v="603"/>
      <x v="942"/>
      <x v="1296"/>
      <x v="72"/>
      <x v="79"/>
      <x v="12"/>
      <x v="6"/>
      <x v="2"/>
      <x/>
      <x v="49"/>
      <x v="22"/>
      <x v="37"/>
      <x v="11"/>
    </i>
    <i r="1">
      <x v="604"/>
      <x v="1173"/>
      <x v="1365"/>
      <x v="68"/>
      <x v="7"/>
      <x v="9"/>
      <x v="6"/>
      <x v="2"/>
      <x/>
      <x v="58"/>
      <x v="16"/>
      <x v="26"/>
      <x v="2"/>
    </i>
    <i r="1">
      <x v="606"/>
      <x v="641"/>
      <x v="1140"/>
      <x v="71"/>
      <x v="87"/>
      <x v="12"/>
      <x v="6"/>
      <x v="4"/>
      <x v="1"/>
      <x v="67"/>
      <x v="22"/>
      <x v="3"/>
      <x v="8"/>
    </i>
    <i r="1">
      <x v="609"/>
      <x v="354"/>
      <x v="202"/>
      <x v="71"/>
      <x v="79"/>
      <x v="12"/>
      <x v="6"/>
      <x v="2"/>
      <x/>
      <x v="49"/>
      <x v="22"/>
      <x v="26"/>
      <x v="2"/>
    </i>
    <i r="1">
      <x v="611"/>
      <x v="1046"/>
      <x v="1327"/>
      <x v="65"/>
      <x v="79"/>
      <x v="12"/>
      <x v="6"/>
      <x v="2"/>
      <x/>
      <x v="57"/>
      <x v="15"/>
      <x v="26"/>
      <x v="2"/>
    </i>
    <i r="1">
      <x v="612"/>
      <x v="1374"/>
      <x v="54"/>
      <x v="71"/>
      <x v="87"/>
      <x v="12"/>
      <x v="6"/>
      <x v="2"/>
      <x/>
      <x v="67"/>
      <x v="22"/>
      <x v="3"/>
      <x v="8"/>
    </i>
    <i r="1">
      <x v="615"/>
      <x v="667"/>
      <x v="693"/>
      <x v="66"/>
      <x v="34"/>
      <x v="12"/>
      <x v="6"/>
      <x v="4"/>
      <x v="1"/>
      <x v="59"/>
      <x v="15"/>
      <x v="3"/>
      <x v="8"/>
    </i>
    <i r="1">
      <x v="616"/>
      <x v="542"/>
      <x v="1189"/>
      <x v="65"/>
      <x v="82"/>
      <x v="12"/>
      <x v="6"/>
      <x v="2"/>
      <x/>
      <x v="56"/>
      <x v="15"/>
      <x v="3"/>
      <x v="8"/>
    </i>
    <i r="1">
      <x v="617"/>
      <x v="1161"/>
      <x v="1213"/>
      <x v="66"/>
      <x v="34"/>
      <x v="12"/>
      <x v="6"/>
      <x v="2"/>
      <x/>
      <x v="59"/>
      <x v="15"/>
      <x v="3"/>
      <x v="8"/>
    </i>
    <i r="1">
      <x v="623"/>
      <x v="554"/>
      <x v="979"/>
      <x v="69"/>
      <x v="16"/>
      <x v="12"/>
      <x v="6"/>
      <x v="2"/>
      <x/>
      <x v="54"/>
      <x v="16"/>
      <x v="22"/>
      <x v="5"/>
    </i>
    <i r="1">
      <x v="624"/>
      <x v="557"/>
      <x v="885"/>
      <x v="66"/>
      <x v="34"/>
      <x v="12"/>
      <x v="6"/>
      <x v="2"/>
      <x/>
      <x v="59"/>
      <x v="15"/>
      <x v="3"/>
      <x v="8"/>
    </i>
    <i r="1">
      <x v="627"/>
      <x v="1213"/>
      <x v="102"/>
      <x v="68"/>
      <x v="76"/>
      <x v="14"/>
      <x v="5"/>
      <x v="4"/>
      <x v="1"/>
      <x v="59"/>
      <x v="16"/>
      <x v="21"/>
      <x v="2"/>
    </i>
    <i r="1">
      <x v="631"/>
      <x v="373"/>
      <x v="890"/>
      <x v="65"/>
      <x v="79"/>
      <x v="12"/>
      <x v="6"/>
      <x v="2"/>
      <x/>
      <x v="86"/>
      <x v="15"/>
      <x v="37"/>
      <x v="11"/>
    </i>
    <i r="1">
      <x v="634"/>
      <x v="574"/>
      <x v="264"/>
      <x v="72"/>
      <x v="54"/>
      <x v="12"/>
      <x v="6"/>
      <x v="2"/>
      <x/>
      <x v="50"/>
      <x v="22"/>
      <x v="5"/>
      <x v="10"/>
    </i>
    <i r="1">
      <x v="636"/>
      <x v="1019"/>
      <x v="45"/>
      <x v="72"/>
      <x v="79"/>
      <x v="12"/>
      <x v="6"/>
      <x v="2"/>
      <x/>
      <x v="49"/>
      <x v="22"/>
      <x v="37"/>
      <x v="11"/>
    </i>
    <i r="1">
      <x v="637"/>
      <x v="861"/>
      <x v="277"/>
      <x v="68"/>
      <x v="16"/>
      <x v="12"/>
      <x v="6"/>
      <x v="4"/>
      <x v="1"/>
      <x v="59"/>
      <x v="16"/>
      <x v="16"/>
      <x v="12"/>
    </i>
    <i r="1">
      <x v="644"/>
      <x v="603"/>
      <x v="117"/>
      <x v="71"/>
      <x v="87"/>
      <x v="12"/>
      <x v="6"/>
      <x v="2"/>
      <x/>
      <x v="67"/>
      <x v="22"/>
      <x v="8"/>
      <x v="8"/>
    </i>
    <i r="1">
      <x v="649"/>
      <x v="1302"/>
      <x v="161"/>
      <x v="68"/>
      <x v="16"/>
      <x v="12"/>
      <x v="6"/>
      <x v="2"/>
      <x/>
      <x v="54"/>
      <x v="16"/>
      <x v="3"/>
      <x v="8"/>
    </i>
    <i r="1">
      <x v="650"/>
      <x v="1042"/>
      <x v="11"/>
      <x v="64"/>
      <x v="36"/>
      <x v="12"/>
      <x v="6"/>
      <x v="2"/>
      <x/>
      <x v="52"/>
      <x v="14"/>
      <x v="28"/>
      <x v="4"/>
    </i>
    <i r="1">
      <x v="656"/>
      <x v="1035"/>
      <x v="91"/>
      <x v="72"/>
      <x v="54"/>
      <x v="12"/>
      <x v="6"/>
      <x v="2"/>
      <x/>
      <x v="50"/>
      <x v="22"/>
      <x v="28"/>
      <x v="4"/>
    </i>
    <i r="1">
      <x v="665"/>
      <x v="843"/>
      <x v="353"/>
      <x v="71"/>
      <x v="87"/>
      <x v="12"/>
      <x v="6"/>
      <x v="2"/>
      <x/>
      <x v="67"/>
      <x v="22"/>
      <x v="5"/>
      <x v="10"/>
    </i>
    <i r="1">
      <x v="666"/>
      <x v="34"/>
      <x v="618"/>
      <x v="64"/>
      <x v="36"/>
      <x v="12"/>
      <x v="6"/>
      <x v="4"/>
      <x v="1"/>
      <x v="52"/>
      <x v="14"/>
      <x v="3"/>
      <x v="8"/>
    </i>
    <i r="1">
      <x v="678"/>
      <x v="1107"/>
      <x v="1441"/>
      <x v="71"/>
      <x v="88"/>
      <x v="9"/>
      <x v="6"/>
      <x v="2"/>
      <x/>
      <x v="99"/>
      <x v="22"/>
      <x v="26"/>
      <x v="2"/>
    </i>
    <i r="1">
      <x v="690"/>
      <x v="577"/>
      <x v="1293"/>
      <x v="68"/>
      <x v="79"/>
      <x v="12"/>
      <x v="6"/>
      <x v="2"/>
      <x/>
      <x v="49"/>
      <x v="16"/>
      <x v="37"/>
      <x v="11"/>
    </i>
    <i r="1">
      <x v="701"/>
      <x v="575"/>
      <x v="1268"/>
      <x v="66"/>
      <x v="79"/>
      <x v="12"/>
      <x v="6"/>
      <x v="2"/>
      <x/>
      <x v="86"/>
      <x v="15"/>
      <x v="37"/>
      <x v="11"/>
    </i>
    <i r="1">
      <x v="711"/>
      <x v="1270"/>
      <x v="169"/>
      <x v="67"/>
      <x v="34"/>
      <x v="12"/>
      <x v="6"/>
      <x v="2"/>
      <x/>
      <x v="59"/>
      <x v="15"/>
      <x v="28"/>
      <x v="4"/>
    </i>
    <i r="1">
      <x v="715"/>
      <x v="1094"/>
      <x v="100"/>
      <x v="68"/>
      <x v="79"/>
      <x v="12"/>
      <x v="6"/>
      <x v="2"/>
      <x/>
      <x v="49"/>
      <x v="16"/>
      <x v="26"/>
      <x v="2"/>
    </i>
    <i r="1">
      <x v="717"/>
      <x v="656"/>
      <x v="379"/>
      <x v="72"/>
      <x v="54"/>
      <x v="12"/>
      <x v="6"/>
      <x v="2"/>
      <x/>
      <x v="50"/>
      <x v="22"/>
      <x v="3"/>
      <x v="8"/>
    </i>
    <i r="1">
      <x v="721"/>
      <x v="759"/>
      <x v="619"/>
      <x v="64"/>
      <x v="79"/>
      <x v="12"/>
      <x v="6"/>
      <x v="2"/>
      <x/>
      <x v="49"/>
      <x v="14"/>
      <x v="37"/>
      <x v="11"/>
    </i>
    <i r="1">
      <x v="727"/>
      <x v="1095"/>
      <x v="129"/>
      <x v="64"/>
      <x v="36"/>
      <x v="12"/>
      <x v="6"/>
      <x v="4"/>
      <x v="1"/>
      <x v="52"/>
      <x v="14"/>
      <x v="5"/>
      <x v="10"/>
    </i>
    <i r="1">
      <x v="728"/>
      <x v="883"/>
      <x v="1112"/>
      <x v="71"/>
      <x v="79"/>
      <x v="12"/>
      <x v="6"/>
      <x v="2"/>
      <x/>
      <x v="49"/>
      <x v="22"/>
      <x v="37"/>
      <x v="11"/>
    </i>
    <i r="1">
      <x v="729"/>
      <x v="1106"/>
      <x v="19"/>
      <x v="69"/>
      <x v="79"/>
      <x v="12"/>
      <x v="6"/>
      <x v="2"/>
      <x/>
      <x v="49"/>
      <x v="16"/>
      <x v="26"/>
      <x v="2"/>
    </i>
    <i r="1">
      <x v="736"/>
      <x v="515"/>
      <x v="215"/>
      <x v="70"/>
      <x v="82"/>
      <x v="12"/>
      <x v="6"/>
      <x v="2"/>
      <x/>
      <x v="56"/>
      <x v="16"/>
      <x v="3"/>
      <x v="8"/>
    </i>
    <i r="1">
      <x v="741"/>
      <x v="1276"/>
      <x v="412"/>
      <x v="71"/>
      <x v="87"/>
      <x v="12"/>
      <x v="6"/>
      <x v="2"/>
      <x/>
      <x v="67"/>
      <x v="22"/>
      <x v="3"/>
      <x v="8"/>
    </i>
    <i r="1">
      <x v="742"/>
      <x v="568"/>
      <x v="1179"/>
      <x v="71"/>
      <x v="87"/>
      <x v="12"/>
      <x v="6"/>
      <x v="2"/>
      <x/>
      <x v="67"/>
      <x v="22"/>
      <x v="8"/>
      <x v="8"/>
    </i>
    <i r="1">
      <x v="746"/>
      <x v="761"/>
      <x v="276"/>
      <x v="71"/>
      <x v="87"/>
      <x v="12"/>
      <x v="6"/>
      <x v="2"/>
      <x/>
      <x v="67"/>
      <x v="22"/>
      <x v="8"/>
      <x v="8"/>
    </i>
    <i r="1">
      <x v="750"/>
      <x v="1166"/>
      <x v="769"/>
      <x v="64"/>
      <x v="79"/>
      <x v="12"/>
      <x v="6"/>
      <x v="2"/>
      <x/>
      <x v="49"/>
      <x v="14"/>
      <x v="37"/>
      <x v="11"/>
    </i>
    <i r="1">
      <x v="755"/>
      <x v="746"/>
      <x v="1105"/>
      <x v="72"/>
      <x v="54"/>
      <x v="12"/>
      <x v="6"/>
      <x v="2"/>
      <x/>
      <x v="50"/>
      <x v="22"/>
      <x v="8"/>
      <x v="8"/>
    </i>
    <i r="1">
      <x v="757"/>
      <x v="915"/>
      <x v="248"/>
      <x v="64"/>
      <x v="36"/>
      <x v="12"/>
      <x v="6"/>
      <x v="2"/>
      <x/>
      <x v="52"/>
      <x v="14"/>
      <x v="26"/>
      <x v="2"/>
    </i>
    <i r="1">
      <x v="764"/>
      <x v="762"/>
      <x v="1302"/>
      <x v="64"/>
      <x v="36"/>
      <x v="12"/>
      <x v="6"/>
      <x v="2"/>
      <x/>
      <x v="52"/>
      <x v="14"/>
      <x v="3"/>
      <x v="8"/>
    </i>
    <i r="1">
      <x v="765"/>
      <x v="1237"/>
      <x v="685"/>
      <x v="71"/>
      <x v="79"/>
      <x v="12"/>
      <x v="6"/>
      <x v="2"/>
      <x/>
      <x v="49"/>
      <x v="22"/>
      <x v="37"/>
      <x v="11"/>
    </i>
    <i r="1">
      <x v="768"/>
      <x v="1041"/>
      <x v="857"/>
      <x v="65"/>
      <x v="82"/>
      <x v="12"/>
      <x v="6"/>
      <x v="2"/>
      <x/>
      <x v="56"/>
      <x v="15"/>
      <x v="29"/>
      <x v="4"/>
    </i>
    <i r="1">
      <x v="769"/>
      <x v="928"/>
      <x v="1182"/>
      <x v="67"/>
      <x v="34"/>
      <x v="12"/>
      <x v="6"/>
      <x v="1"/>
      <x v="1"/>
      <x v="56"/>
      <x v="15"/>
      <x v="22"/>
      <x v="5"/>
    </i>
    <i r="1">
      <x v="770"/>
      <x v="605"/>
      <x v="754"/>
      <x v="64"/>
      <x v="36"/>
      <x v="12"/>
      <x v="6"/>
      <x v="2"/>
      <x/>
      <x v="52"/>
      <x v="14"/>
      <x v="26"/>
      <x v="2"/>
    </i>
    <i r="1">
      <x v="771"/>
      <x v="1269"/>
      <x v="1289"/>
      <x v="66"/>
      <x v="34"/>
      <x v="12"/>
      <x v="6"/>
      <x v="2"/>
      <x/>
      <x v="59"/>
      <x v="15"/>
      <x v="3"/>
      <x v="8"/>
    </i>
    <i r="1">
      <x v="772"/>
      <x v="697"/>
      <x v="1074"/>
      <x v="69"/>
      <x v="16"/>
      <x v="12"/>
      <x v="6"/>
      <x v="2"/>
      <x/>
      <x v="54"/>
      <x v="16"/>
      <x v="22"/>
      <x v="5"/>
    </i>
    <i r="1">
      <x v="780"/>
      <x v="570"/>
      <x v="1352"/>
      <x v="71"/>
      <x v="87"/>
      <x v="12"/>
      <x v="6"/>
      <x v="2"/>
      <x/>
      <x v="67"/>
      <x v="22"/>
      <x v="26"/>
      <x v="2"/>
    </i>
    <i r="1">
      <x v="785"/>
      <x v="1180"/>
      <x v="553"/>
      <x v="70"/>
      <x v="79"/>
      <x v="12"/>
      <x v="6"/>
      <x v="2"/>
      <x/>
      <x v="49"/>
      <x v="16"/>
      <x v="26"/>
      <x v="2"/>
    </i>
    <i r="1">
      <x v="799"/>
      <x v="1193"/>
      <x v="962"/>
      <x v="71"/>
      <x v="87"/>
      <x v="12"/>
      <x v="6"/>
      <x v="2"/>
      <x/>
      <x v="59"/>
      <x v="22"/>
      <x v="3"/>
      <x v="8"/>
    </i>
    <i r="1">
      <x v="809"/>
      <x v="810"/>
      <x v="692"/>
      <x v="64"/>
      <x v="36"/>
      <x v="12"/>
      <x v="6"/>
      <x v="2"/>
      <x/>
      <x v="52"/>
      <x v="14"/>
      <x v="3"/>
      <x v="8"/>
    </i>
    <i r="1">
      <x v="822"/>
      <x v="655"/>
      <x v="352"/>
      <x v="64"/>
      <x v="36"/>
      <x v="12"/>
      <x v="6"/>
      <x v="2"/>
      <x/>
      <x v="52"/>
      <x v="14"/>
      <x v="3"/>
      <x v="8"/>
    </i>
    <i r="1">
      <x v="824"/>
      <x v="807"/>
      <x v="1046"/>
      <x v="64"/>
      <x v="36"/>
      <x v="12"/>
      <x v="6"/>
      <x v="2"/>
      <x/>
      <x v="52"/>
      <x v="14"/>
      <x v="3"/>
      <x v="8"/>
    </i>
    <i r="1">
      <x v="846"/>
      <x v="1159"/>
      <x v="1040"/>
      <x v="67"/>
      <x v="79"/>
      <x v="12"/>
      <x v="6"/>
      <x v="2"/>
      <x/>
      <x v="49"/>
      <x v="15"/>
      <x v="34"/>
      <x v="1"/>
    </i>
    <i r="1">
      <x v="848"/>
      <x v="219"/>
      <x v="1167"/>
      <x v="65"/>
      <x v="82"/>
      <x v="12"/>
      <x v="6"/>
      <x v="2"/>
      <x/>
      <x v="56"/>
      <x v="15"/>
      <x v="3"/>
      <x v="8"/>
    </i>
    <i r="1">
      <x v="880"/>
      <x v="395"/>
      <x v="1257"/>
      <x v="69"/>
      <x v="79"/>
      <x v="12"/>
      <x v="6"/>
      <x v="2"/>
      <x/>
      <x v="49"/>
      <x v="16"/>
      <x v="37"/>
      <x v="11"/>
    </i>
    <i r="1">
      <x v="919"/>
      <x v="222"/>
      <x v="1246"/>
      <x v="70"/>
      <x v="34"/>
      <x v="12"/>
      <x v="6"/>
      <x v="1"/>
      <x v="1"/>
      <x v="56"/>
      <x v="16"/>
      <x v="16"/>
      <x v="12"/>
    </i>
    <i r="1">
      <x v="930"/>
      <x v="232"/>
      <x v="875"/>
      <x v="64"/>
      <x v="36"/>
      <x v="12"/>
      <x v="6"/>
      <x v="2"/>
      <x/>
      <x v="52"/>
      <x v="14"/>
      <x v="22"/>
      <x v="5"/>
    </i>
    <i r="1">
      <x v="943"/>
      <x v="216"/>
      <x v="927"/>
      <x v="67"/>
      <x v="34"/>
      <x v="12"/>
      <x v="6"/>
      <x v="2"/>
      <x/>
      <x v="59"/>
      <x v="15"/>
      <x v="16"/>
      <x v="12"/>
    </i>
    <i r="1">
      <x v="954"/>
      <x v="421"/>
      <x v="193"/>
      <x v="71"/>
      <x v="87"/>
      <x v="12"/>
      <x v="6"/>
      <x v="2"/>
      <x/>
      <x v="57"/>
      <x v="22"/>
      <x v="25"/>
      <x v="1"/>
    </i>
    <i r="1">
      <x v="966"/>
      <x v="217"/>
      <x v="987"/>
      <x v="68"/>
      <x v="7"/>
      <x v="9"/>
      <x v="6"/>
      <x v="2"/>
      <x/>
      <x v="58"/>
      <x v="16"/>
      <x v="26"/>
      <x v="2"/>
    </i>
    <i r="1">
      <x v="979"/>
      <x v="844"/>
      <x v="1247"/>
      <x v="66"/>
      <x v="34"/>
      <x v="12"/>
      <x v="6"/>
      <x v="1"/>
      <x v="1"/>
      <x v="56"/>
      <x v="15"/>
      <x v="22"/>
      <x v="5"/>
    </i>
    <i r="1">
      <x v="980"/>
      <x v="758"/>
      <x v="478"/>
      <x v="70"/>
      <x v="16"/>
      <x v="12"/>
      <x v="6"/>
      <x v="1"/>
      <x v="1"/>
      <x v="59"/>
      <x v="16"/>
      <x v="22"/>
      <x v="5"/>
    </i>
    <i r="1">
      <x v="989"/>
      <x v="218"/>
      <x v="1101"/>
      <x v="72"/>
      <x v="54"/>
      <x v="12"/>
      <x v="6"/>
      <x v="2"/>
      <x/>
      <x v="50"/>
      <x v="22"/>
      <x v="3"/>
      <x v="8"/>
    </i>
    <i r="1">
      <x v="1067"/>
      <x v="339"/>
      <x v="473"/>
      <x v="65"/>
      <x v="16"/>
      <x v="12"/>
      <x v="6"/>
      <x v="1"/>
      <x v="1"/>
      <x v="59"/>
      <x v="15"/>
      <x v="22"/>
      <x v="5"/>
    </i>
    <i r="1">
      <x v="1079"/>
      <x v="544"/>
      <x v="1010"/>
      <x v="72"/>
      <x v="54"/>
      <x v="12"/>
      <x v="6"/>
      <x v="2"/>
      <x/>
      <x v="50"/>
      <x v="22"/>
      <x v="26"/>
      <x v="2"/>
    </i>
    <i r="1">
      <x v="1096"/>
      <x v="254"/>
      <x v="745"/>
      <x v="71"/>
      <x v="87"/>
      <x v="12"/>
      <x v="6"/>
      <x v="2"/>
      <x v="1"/>
      <x v="59"/>
      <x v="22"/>
      <x v="17"/>
      <x v="3"/>
    </i>
    <i r="1">
      <x v="1105"/>
      <x v="212"/>
      <x v="712"/>
      <x v="71"/>
      <x v="87"/>
      <x v="12"/>
      <x v="6"/>
      <x v="2"/>
      <x/>
      <x v="67"/>
      <x v="22"/>
      <x v="8"/>
      <x v="8"/>
    </i>
    <i r="1">
      <x v="1124"/>
      <x v="1096"/>
      <x v="95"/>
      <x v="68"/>
      <x v="16"/>
      <x v="12"/>
      <x v="6"/>
      <x v="2"/>
      <x/>
      <x v="54"/>
      <x v="16"/>
      <x v="3"/>
      <x v="8"/>
    </i>
    <i r="1">
      <x v="1125"/>
      <x v="1104"/>
      <x v="351"/>
      <x v="70"/>
      <x v="79"/>
      <x v="12"/>
      <x v="6"/>
      <x v="2"/>
      <x/>
      <x v="49"/>
      <x v="16"/>
      <x v="26"/>
      <x v="2"/>
    </i>
    <i r="1">
      <x v="1127"/>
      <x v="1179"/>
      <x v="180"/>
      <x v="70"/>
      <x v="79"/>
      <x v="12"/>
      <x v="6"/>
      <x v="2"/>
      <x/>
      <x v="49"/>
      <x v="16"/>
      <x v="26"/>
      <x v="2"/>
    </i>
    <i r="1">
      <x v="1129"/>
      <x v="5"/>
      <x v="403"/>
      <x v="68"/>
      <x v="16"/>
      <x v="12"/>
      <x v="6"/>
      <x v="2"/>
      <x/>
      <x v="54"/>
      <x v="16"/>
      <x v="3"/>
      <x v="8"/>
    </i>
    <i r="1">
      <x v="1133"/>
      <x v="1192"/>
      <x v="84"/>
      <x v="68"/>
      <x v="16"/>
      <x v="12"/>
      <x v="6"/>
      <x v="2"/>
      <x/>
      <x v="54"/>
      <x v="16"/>
      <x v="3"/>
      <x v="8"/>
    </i>
    <i r="1">
      <x v="1149"/>
      <x v="1369"/>
      <x v="1056"/>
      <x v="67"/>
      <x v="34"/>
      <x v="12"/>
      <x v="6"/>
      <x v="2"/>
      <x/>
      <x v="59"/>
      <x v="15"/>
      <x v="3"/>
      <x v="8"/>
    </i>
    <i r="1">
      <x v="1162"/>
      <x v="1181"/>
      <x v="496"/>
      <x v="71"/>
      <x v="79"/>
      <x v="12"/>
      <x v="6"/>
      <x v="2"/>
      <x/>
      <x v="49"/>
      <x v="22"/>
      <x v="26"/>
      <x v="2"/>
    </i>
    <i r="1">
      <x v="1190"/>
      <x v="237"/>
      <x v="1270"/>
      <x v="64"/>
      <x v="36"/>
      <x v="12"/>
      <x v="6"/>
      <x v="2"/>
      <x/>
      <x v="52"/>
      <x v="14"/>
      <x v="5"/>
      <x v="10"/>
    </i>
    <i r="1">
      <x v="1201"/>
      <x v="485"/>
      <x v="358"/>
      <x v="72"/>
      <x v="54"/>
      <x v="12"/>
      <x v="6"/>
      <x v="2"/>
      <x/>
      <x v="50"/>
      <x v="22"/>
      <x v="21"/>
      <x v="2"/>
    </i>
    <i r="1">
      <x v="1202"/>
      <x v="206"/>
      <x v="329"/>
      <x v="72"/>
      <x v="54"/>
      <x v="12"/>
      <x v="6"/>
      <x v="2"/>
      <x/>
      <x v="55"/>
      <x v="22"/>
      <x v="26"/>
      <x v="2"/>
    </i>
    <i r="1">
      <x v="1204"/>
      <x v="1372"/>
      <x v="373"/>
      <x v="71"/>
      <x v="87"/>
      <x v="12"/>
      <x v="6"/>
      <x v="2"/>
      <x/>
      <x v="67"/>
      <x v="22"/>
      <x v="22"/>
      <x v="5"/>
    </i>
    <i r="1">
      <x v="1210"/>
      <x v="696"/>
      <x v="839"/>
      <x v="72"/>
      <x v="54"/>
      <x v="12"/>
      <x v="6"/>
      <x v="2"/>
      <x/>
      <x v="55"/>
      <x v="22"/>
      <x v="26"/>
      <x v="2"/>
    </i>
    <i r="1">
      <x v="1228"/>
      <x v="1206"/>
      <x v="1329"/>
      <x v="69"/>
      <x v="79"/>
      <x v="12"/>
      <x v="6"/>
      <x v="2"/>
      <x/>
      <x v="49"/>
      <x v="16"/>
      <x v="26"/>
      <x v="2"/>
    </i>
    <i r="1">
      <x v="1229"/>
      <x v="971"/>
      <x v="1218"/>
      <x v="65"/>
      <x v="82"/>
      <x v="12"/>
      <x v="6"/>
      <x v="2"/>
      <x/>
      <x v="56"/>
      <x v="15"/>
      <x v="3"/>
      <x v="8"/>
    </i>
    <i r="1">
      <x v="1230"/>
      <x v="789"/>
      <x v="239"/>
      <x v="68"/>
      <x v="16"/>
      <x v="12"/>
      <x v="6"/>
      <x v="2"/>
      <x v="1"/>
      <x v="59"/>
      <x v="16"/>
      <x v="21"/>
      <x v="2"/>
    </i>
    <i r="1">
      <x v="1241"/>
      <x v="397"/>
      <x v="677"/>
      <x v="67"/>
      <x v="34"/>
      <x v="12"/>
      <x v="6"/>
      <x v="4"/>
      <x v="1"/>
      <x v="59"/>
      <x v="15"/>
      <x v="15"/>
      <x v="12"/>
    </i>
    <i r="1">
      <x v="1245"/>
      <x v="862"/>
      <x v="322"/>
      <x v="72"/>
      <x v="54"/>
      <x v="12"/>
      <x v="6"/>
      <x v="4"/>
      <x v="1"/>
      <x v="50"/>
      <x v="22"/>
      <x v="8"/>
      <x v="8"/>
    </i>
    <i r="1">
      <x v="1265"/>
      <x v="204"/>
      <x v="224"/>
      <x v="66"/>
      <x v="34"/>
      <x v="12"/>
      <x v="6"/>
      <x v="2"/>
      <x/>
      <x v="59"/>
      <x v="15"/>
      <x v="3"/>
      <x v="8"/>
    </i>
    <i r="1">
      <x v="1281"/>
      <x v="223"/>
      <x v="1386"/>
      <x v="67"/>
      <x v="79"/>
      <x v="12"/>
      <x v="6"/>
      <x v="2"/>
      <x/>
      <x v="49"/>
      <x v="15"/>
      <x v="37"/>
      <x v="11"/>
    </i>
    <i r="1">
      <x v="1285"/>
      <x v="207"/>
      <x v="323"/>
      <x v="71"/>
      <x v="87"/>
      <x v="12"/>
      <x v="6"/>
      <x v="2"/>
      <x/>
      <x v="67"/>
      <x v="22"/>
      <x v="8"/>
      <x v="8"/>
    </i>
    <i r="1">
      <x v="1286"/>
      <x v="585"/>
      <x v="1114"/>
      <x v="69"/>
      <x v="79"/>
      <x v="12"/>
      <x v="6"/>
      <x v="2"/>
      <x/>
      <x v="49"/>
      <x v="16"/>
      <x v="37"/>
      <x v="11"/>
    </i>
    <i r="1">
      <x v="1314"/>
      <x v="654"/>
      <x v="311"/>
      <x v="72"/>
      <x v="79"/>
      <x v="12"/>
      <x v="6"/>
      <x v="2"/>
      <x/>
      <x v="49"/>
      <x v="22"/>
      <x v="37"/>
      <x v="11"/>
    </i>
    <i r="1">
      <x v="1315"/>
      <x v="474"/>
      <x v="969"/>
      <x v="66"/>
      <x v="34"/>
      <x v="12"/>
      <x v="6"/>
      <x v="2"/>
      <x/>
      <x v="59"/>
      <x v="15"/>
      <x v="15"/>
      <x v="12"/>
    </i>
    <i r="1">
      <x v="1317"/>
      <x v="25"/>
      <x v="1125"/>
      <x v="68"/>
      <x v="16"/>
      <x v="12"/>
      <x v="6"/>
      <x v="2"/>
      <x v="1"/>
      <x v="59"/>
      <x v="16"/>
      <x v="17"/>
      <x v="3"/>
    </i>
    <i r="1">
      <x v="1336"/>
      <x v="194"/>
      <x v="883"/>
      <x v="67"/>
      <x v="34"/>
      <x v="12"/>
      <x v="6"/>
      <x v="3"/>
      <x v="1"/>
      <x v="56"/>
      <x v="15"/>
      <x v="3"/>
      <x v="8"/>
    </i>
    <i r="2">
      <x v="211"/>
      <x v="866"/>
      <x v="69"/>
      <x v="36"/>
      <x v="12"/>
      <x v="6"/>
      <x v="3"/>
      <x v="1"/>
      <x v="57"/>
      <x v="16"/>
      <x v="10"/>
      <x v="8"/>
    </i>
    <i r="2">
      <x v="393"/>
      <x v="1127"/>
      <x v="68"/>
      <x v="79"/>
      <x v="12"/>
      <x v="6"/>
      <x v="3"/>
      <x v="1"/>
      <x v="86"/>
      <x v="16"/>
      <x v="24"/>
      <x v="5"/>
    </i>
    <i r="2">
      <x v="506"/>
      <x v="931"/>
      <x v="67"/>
      <x v="34"/>
      <x v="12"/>
      <x v="6"/>
      <x v="3"/>
      <x v="1"/>
      <x v="59"/>
      <x v="15"/>
      <x v="3"/>
      <x v="8"/>
    </i>
    <i r="2">
      <x v="597"/>
      <x v="884"/>
      <x v="67"/>
      <x v="82"/>
      <x v="12"/>
      <x v="6"/>
      <x v="3"/>
      <x v="1"/>
      <x v="57"/>
      <x v="15"/>
      <x v="3"/>
      <x v="8"/>
    </i>
    <i r="2">
      <x v="658"/>
      <x v="474"/>
      <x v="72"/>
      <x v="54"/>
      <x v="12"/>
      <x v="6"/>
      <x v="3"/>
      <x v="1"/>
      <x v="50"/>
      <x v="22"/>
      <x v="8"/>
      <x v="8"/>
    </i>
    <i r="2">
      <x v="773"/>
      <x v="678"/>
      <x v="66"/>
      <x v="34"/>
      <x v="12"/>
      <x v="6"/>
      <x v="3"/>
      <x v="1"/>
      <x v="59"/>
      <x v="15"/>
      <x v="8"/>
      <x v="8"/>
    </i>
    <i r="2">
      <x v="864"/>
      <x v="1121"/>
      <x v="70"/>
      <x v="82"/>
      <x v="12"/>
      <x v="6"/>
      <x v="3"/>
      <x v="1"/>
      <x v="56"/>
      <x v="16"/>
      <x v="3"/>
      <x v="8"/>
    </i>
    <i r="2">
      <x v="914"/>
      <x v="1240"/>
      <x v="66"/>
      <x v="7"/>
      <x v="9"/>
      <x v="6"/>
      <x v="3"/>
      <x v="1"/>
      <x v="57"/>
      <x v="15"/>
      <x v="26"/>
      <x v="2"/>
    </i>
    <i r="2">
      <x v="919"/>
      <x v="583"/>
      <x v="70"/>
      <x v="82"/>
      <x v="12"/>
      <x v="6"/>
      <x v="3"/>
      <x v="1"/>
      <x v="67"/>
      <x v="16"/>
      <x v="22"/>
      <x v="5"/>
    </i>
    <i r="2">
      <x v="1093"/>
      <x v="548"/>
      <x v="70"/>
      <x v="82"/>
      <x v="12"/>
      <x v="6"/>
      <x v="3"/>
      <x v="1"/>
      <x v="67"/>
      <x v="16"/>
      <x v="34"/>
      <x v="1"/>
    </i>
    <i r="2">
      <x v="1105"/>
      <x v="992"/>
      <x v="65"/>
      <x v="3"/>
      <x v="12"/>
      <x v="6"/>
      <x v="3"/>
      <x v="1"/>
      <x v="67"/>
      <x v="15"/>
      <x v="26"/>
      <x v="2"/>
    </i>
    <i r="2">
      <x v="1271"/>
      <x v="1280"/>
      <x v="70"/>
      <x v="82"/>
      <x v="12"/>
      <x v="6"/>
      <x v="3"/>
      <x v="1"/>
      <x v="67"/>
      <x v="16"/>
      <x v="3"/>
      <x v="8"/>
    </i>
    <i r="2">
      <x v="1274"/>
      <x v="96"/>
      <x v="71"/>
      <x v="3"/>
      <x v="12"/>
      <x v="6"/>
      <x v="3"/>
      <x v="1"/>
      <x v="67"/>
      <x v="22"/>
      <x v="3"/>
      <x v="8"/>
    </i>
    <i r="2">
      <x v="1317"/>
      <x v="1364"/>
      <x v="66"/>
      <x v="34"/>
      <x v="12"/>
      <x v="6"/>
      <x v="3"/>
      <x v="1"/>
      <x v="51"/>
      <x v="15"/>
      <x/>
      <x v="8"/>
    </i>
    <i r="2">
      <x v="1335"/>
      <x v="1374"/>
      <x v="71"/>
      <x v="3"/>
      <x v="12"/>
      <x v="6"/>
      <x v="3"/>
      <x v="1"/>
      <x v="54"/>
      <x v="22"/>
      <x v="3"/>
      <x v="8"/>
    </i>
  </rowItems>
  <colItems count="1">
    <i/>
  </colItems>
  <formats count="8">
    <format dxfId="52">
      <pivotArea type="all" dataOnly="0" outline="0" fieldPosition="0"/>
    </format>
    <format dxfId="51">
      <pivotArea dataOnly="0" labelOnly="1" outline="0" fieldPosition="0">
        <references count="1">
          <reference field="4" count="0"/>
        </references>
      </pivotArea>
    </format>
    <format dxfId="50">
      <pivotArea type="all" dataOnly="0" outline="0" fieldPosition="0"/>
    </format>
    <format dxfId="49">
      <pivotArea dataOnly="0" labelOnly="1" outline="0" fieldPosition="0">
        <references count="1">
          <reference field="4" count="0"/>
        </references>
      </pivotArea>
    </format>
    <format dxfId="48">
      <pivotArea type="all" dataOnly="0" outline="0" fieldPosition="0"/>
    </format>
    <format dxfId="47">
      <pivotArea dataOnly="0" labelOnly="1" outline="0" fieldPosition="0">
        <references count="1">
          <reference field="4" count="0"/>
        </references>
      </pivotArea>
    </format>
    <format dxfId="46">
      <pivotArea dataOnly="0" labelOnly="1" outline="0" fieldPosition="0">
        <references count="1">
          <reference field="4" count="0"/>
        </references>
      </pivotArea>
    </format>
    <format dxfId="45">
      <pivotArea dataOnly="0" labelOnly="1" outline="0" fieldPosition="0">
        <references count="1">
          <reference field="0" count="0"/>
        </references>
      </pivotArea>
    </format>
  </formats>
  <pivotTableStyleInfo name="Quadro_Click_Layou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resumo_email" cacheId="833" applyNumberFormats="0" applyBorderFormats="0" applyFontFormats="0" applyPatternFormats="0" applyAlignmentFormats="0" applyWidthHeightFormats="1" dataCaption="Valores" grandTotalCaption="TOTAL" updatedVersion="6" minRefreshableVersion="3" useAutoFormatting="1" itemPrintTitles="1" createdVersion="5" indent="0" outline="1" outlineData="1" multipleFieldFilters="0" rowHeaderCaption="PERFIL">
  <location ref="A17:F25" firstHeaderRow="1" firstDataRow="2" firstDataCol="1" rowPageCount="2" colPageCount="1"/>
  <pivotFields count="31">
    <pivotField showAll="0"/>
    <pivotField showAll="0"/>
    <pivotField showAll="0"/>
    <pivotField showAll="0"/>
    <pivotField axis="axisCol" showAll="0">
      <items count="5">
        <item x="1"/>
        <item x="2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axis="axisRow" dataField="1" showAll="0">
      <items count="14">
        <item m="1" x="12"/>
        <item h="1" x="6"/>
        <item h="1" x="1"/>
        <item h="1" x="8"/>
        <item x="9"/>
        <item x="7"/>
        <item x="0"/>
        <item m="1" x="11"/>
        <item x="4"/>
        <item h="1" x="10"/>
        <item x="3"/>
        <item h="1" x="5"/>
        <item x="2"/>
        <item t="default"/>
      </items>
    </pivotField>
    <pivotField showAll="0"/>
    <pivotField name="SIT_FOLHA" multipleItemSelectionAllowed="1"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/>
    <pivotField showAll="0"/>
    <pivotField showAll="0"/>
    <pivotField axis="axisPage" showAll="0">
      <items count="8">
        <item m="1" x="5"/>
        <item x="2"/>
        <item x="0"/>
        <item x="3"/>
        <item x="1"/>
        <item x="4"/>
        <item m="1" x="6"/>
        <item t="default"/>
      </items>
    </pivotField>
    <pivotField showAll="0"/>
  </pivotFields>
  <rowFields count="1">
    <field x="11"/>
  </rowFields>
  <rowItems count="7">
    <i>
      <x v="4"/>
    </i>
    <i>
      <x v="5"/>
    </i>
    <i>
      <x v="6"/>
    </i>
    <i>
      <x v="8"/>
    </i>
    <i>
      <x v="10"/>
    </i>
    <i>
      <x v="12"/>
    </i>
    <i t="grand">
      <x/>
    </i>
  </rowItems>
  <colFields count="1">
    <field x="4"/>
  </colFields>
  <colItems count="5">
    <i>
      <x/>
    </i>
    <i>
      <x v="1"/>
    </i>
    <i>
      <x v="2"/>
    </i>
    <i>
      <x v="3"/>
    </i>
    <i t="grand">
      <x/>
    </i>
  </colItems>
  <pageFields count="2">
    <pageField fld="29" item="2" hier="-1"/>
    <pageField fld="20" hier="-1"/>
  </pageFields>
  <dataFields count="1">
    <dataField name="Contagem de TIPO" fld="11" subtotal="count" baseField="0" baseItem="0"/>
  </dataFields>
  <formats count="12">
    <format dxfId="11">
      <pivotArea outline="0" collapsedLevelsAreSubtotals="1" fieldPosition="0"/>
    </format>
    <format dxfId="10">
      <pivotArea field="11" type="button" dataOnly="0" labelOnly="1" outline="0" axis="axisRow" fieldPosition="0"/>
    </format>
    <format dxfId="9">
      <pivotArea dataOnly="0" labelOnly="1" fieldPosition="0">
        <references count="1">
          <reference field="11" count="0"/>
        </references>
      </pivotArea>
    </format>
    <format dxfId="8">
      <pivotArea dataOnly="0" labelOnly="1" grandRow="1" outline="0" fieldPosition="0"/>
    </format>
    <format dxfId="7">
      <pivotArea dataOnly="0" labelOnly="1" fieldPosition="0">
        <references count="1">
          <reference field="4" count="0"/>
        </references>
      </pivotArea>
    </format>
    <format dxfId="6">
      <pivotArea dataOnly="0" labelOnly="1" grandCol="1" outline="0" fieldPosition="0"/>
    </format>
    <format dxfId="5">
      <pivotArea outline="0" collapsedLevelsAreSubtotals="1" fieldPosition="0"/>
    </format>
    <format dxfId="4">
      <pivotArea field="11" type="button" dataOnly="0" labelOnly="1" outline="0" axis="axisRow" fieldPosition="0"/>
    </format>
    <format dxfId="3">
      <pivotArea dataOnly="0" labelOnly="1" fieldPosition="0">
        <references count="1">
          <reference field="11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4" count="0"/>
        </references>
      </pivotArea>
    </format>
    <format dxfId="0">
      <pivotArea dataOnly="0" labelOnly="1" grandCol="1" outline="0" fieldPosition="0"/>
    </format>
  </formats>
  <pivotTableStyleInfo name="Quadro_Click_Layou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10.22.75.248 PCP" connectionId="1" autoFormatId="16" applyNumberFormats="0" applyBorderFormats="0" applyFontFormats="0" applyPatternFormats="0" applyAlignmentFormats="0" applyWidthHeightFormats="0">
  <queryTableRefresh nextId="37" unboundColumnsRight="5">
    <queryTableFields count="31">
      <queryTableField id="1" name="NOME" tableColumnId="1"/>
      <queryTableField id="2" name="ID_GESTOR_IMEDIATO" tableColumnId="2"/>
      <queryTableField id="4" name="GH_STATUS" tableColumnId="4"/>
      <queryTableField id="5" name="GH_DATA_SITUACAO" tableColumnId="5"/>
      <queryTableField id="7" name="UF" tableColumnId="7"/>
      <queryTableField id="8" name="SETOR" tableColumnId="8"/>
      <queryTableField id="10" name="SKILLS" tableColumnId="10"/>
      <queryTableField id="11" name="GRA" tableColumnId="11"/>
      <queryTableField id="12" name="REGIONAL" tableColumnId="12"/>
      <queryTableField id="13" name="GRAM" tableColumnId="13"/>
      <queryTableField id="14" name="TIPO_DE_TECNICO" tableColumnId="14"/>
      <queryTableField id="15" name="TIPO" tableColumnId="15"/>
      <queryTableField id="16" name="FUNCAO_FOLHA" tableColumnId="16"/>
      <queryTableField id="17" name="SITUACAO_FOLHA" tableColumnId="17"/>
      <queryTableField id="18" name="SIGLA_GRA" tableColumnId="18"/>
      <queryTableField id="19" name="CPF" tableColumnId="19"/>
      <queryTableField id="20" name="DATA_ATUALIZACAO" tableColumnId="20"/>
      <queryTableField id="21" name="GESTOR_IMEDIATO_GA" tableColumnId="21"/>
      <queryTableField id="22" name="GESTOR_OPERACIONAL_GO" tableColumnId="22"/>
      <queryTableField id="23" name="GESTOR_GERAL_GG" tableColumnId="23"/>
      <queryTableField id="24" name="STATUS_CLICK" tableColumnId="24"/>
      <queryTableField id="31" name="CONTATO_GA" tableColumnId="9"/>
      <queryTableField id="32" name="PRODUTO" tableColumnId="28"/>
      <queryTableField id="34" name="CARGO_AGRUPADO" tableColumnId="31"/>
      <queryTableField id="35" name="MAT_TR" tableColumnId="32"/>
      <queryTableField id="36" name="MAT_FPW" tableColumnId="33"/>
      <queryTableField id="25" dataBound="0" tableColumnId="25"/>
      <queryTableField id="26" dataBound="0" tableColumnId="26"/>
      <queryTableField id="27" dataBound="0" tableColumnId="27"/>
      <queryTableField id="29" dataBound="0" tableColumnId="29"/>
      <queryTableField id="30" dataBound="0" tableColumnId="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UF1" sourceName="UF">
  <pivotTables>
    <pivotTable tabId="2" name="Tabela dinâmica2"/>
  </pivotTables>
  <data>
    <tabular pivotCacheId="1">
      <items count="4">
        <i x="1" s="1"/>
        <i x="2" s="1"/>
        <i x="0" s="1"/>
        <i x="3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ESTOR_AREA" sourceName="GESTOR_AREA">
  <pivotTables>
    <pivotTable tabId="2" name="Tabela dinâmica2"/>
  </pivotTables>
  <data>
    <tabular pivotCacheId="1">
      <items count="89">
        <i x="80" s="1"/>
        <i x="69" s="1"/>
        <i x="61" s="1"/>
        <i x="78" s="1"/>
        <i x="22" s="1"/>
        <i x="85" s="1"/>
        <i x="37" s="1"/>
        <i x="68" s="1"/>
        <i x="0" s="1"/>
        <i x="38" s="1"/>
        <i x="55" s="1"/>
        <i x="60" s="1"/>
        <i x="15" s="1"/>
        <i x="14" s="1"/>
        <i x="70" s="1"/>
        <i x="43" s="1"/>
        <i x="26" s="1"/>
        <i x="1" s="1"/>
        <i x="50" s="1"/>
        <i x="41" s="1"/>
        <i x="83" s="1"/>
        <i x="33" s="1"/>
        <i x="5" s="1"/>
        <i x="53" s="1"/>
        <i x="45" s="1"/>
        <i x="40" s="1"/>
        <i x="17" s="1"/>
        <i x="6" s="1"/>
        <i x="13" s="1"/>
        <i x="75" s="1"/>
        <i x="74" s="1"/>
        <i x="82" s="1"/>
        <i x="8" s="1"/>
        <i x="29" s="1"/>
        <i x="16" s="1"/>
        <i x="27" s="1"/>
        <i x="65" s="1"/>
        <i x="31" s="1"/>
        <i x="25" s="1"/>
        <i x="9" s="1"/>
        <i x="63" s="1"/>
        <i x="39" s="1"/>
        <i x="7" s="1"/>
        <i x="66" s="1"/>
        <i x="52" s="1"/>
        <i x="42" s="1"/>
        <i x="46" s="1"/>
        <i x="34" s="1"/>
        <i x="67" s="1"/>
        <i x="32" s="1"/>
        <i x="72" s="1"/>
        <i x="18" s="1"/>
        <i x="35" s="1"/>
        <i x="21" s="1"/>
        <i x="23" s="1"/>
        <i x="36" s="1"/>
        <i x="76" s="1"/>
        <i x="11" s="1"/>
        <i x="84" s="1"/>
        <i x="71" s="1"/>
        <i x="49" s="1"/>
        <i x="10" s="1"/>
        <i x="81" s="1"/>
        <i x="20" s="1"/>
        <i x="62" s="1"/>
        <i x="54" s="1"/>
        <i x="56" s="1"/>
        <i x="2" s="1"/>
        <i x="3" s="1"/>
        <i x="19" s="1"/>
        <i x="30" s="1"/>
        <i x="57" s="1"/>
        <i x="44" s="1"/>
        <i x="48" s="1"/>
        <i x="64" s="1"/>
        <i x="51" s="1"/>
        <i x="77" s="1"/>
        <i x="59" s="1"/>
        <i x="73" s="1"/>
        <i x="79" s="1"/>
        <i x="47" s="1"/>
        <i x="24" s="1"/>
        <i x="58" s="1"/>
        <i x="12" s="1"/>
        <i x="4" s="1"/>
        <i x="28" s="1"/>
        <i x="86" s="1" nd="1"/>
        <i x="88" s="1" nd="1"/>
        <i x="8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ESTOR_OPERACIONAL" sourceName="GESTOR_OPERACIONAL">
  <pivotTables>
    <pivotTable tabId="2" name="Tabela dinâmica2"/>
  </pivotTables>
  <data>
    <tabular pivotCacheId="1">
      <items count="18">
        <i x="16" s="1"/>
        <i x="4" s="1"/>
        <i x="13" s="1"/>
        <i x="1" s="1"/>
        <i x="9" s="1"/>
        <i x="12" s="1"/>
        <i x="5" s="1"/>
        <i x="14" s="1"/>
        <i x="0" s="1"/>
        <i x="10" s="1"/>
        <i x="2" s="1"/>
        <i x="3" s="1"/>
        <i x="7" s="1"/>
        <i x="15" s="1"/>
        <i x="11" s="1"/>
        <i x="8" s="1"/>
        <i x="6" s="1"/>
        <i x="1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GESTOR_GERAL" sourceName="GESTOR_GERAL">
  <pivotTables>
    <pivotTable tabId="2" name="Tabela dinâmica2"/>
  </pivotTables>
  <data>
    <tabular pivotCacheId="1">
      <items count="8">
        <i x="6" s="1"/>
        <i x="5" s="1"/>
        <i x="2" s="1"/>
        <i x="1" s="1"/>
        <i x="0" s="1"/>
        <i x="4" s="1"/>
        <i x="3" s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TATUS_CLICK" sourceName="STATUS_CLICK">
  <pivotTables>
    <pivotTable tabId="2" name="Tabela dinâmica2"/>
  </pivotTables>
  <data>
    <tabular pivotCacheId="1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SITUAÇÃO_FOLHA" sourceName="SITUAÇÃO_FOLHA">
  <pivotTables>
    <pivotTable tabId="2" name="Tabela dinâmica2"/>
  </pivotTables>
  <data>
    <tabular pivotCacheId="1">
      <items count="7">
        <i x="2" s="1"/>
        <i x="0" s="1"/>
        <i x="3" s="1"/>
        <i x="1" s="1"/>
        <i x="4" s="1"/>
        <i x="5" s="1" nd="1"/>
        <i x="6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TIPO" sourceName="TIPO">
  <pivotTables>
    <pivotTable tabId="2" name="Tabela dinâmica2"/>
  </pivotTables>
  <data>
    <tabular pivotCacheId="1">
      <items count="13">
        <i x="6" s="1"/>
        <i x="1" s="1"/>
        <i x="8" s="1"/>
        <i x="9" s="1"/>
        <i x="7" s="1"/>
        <i x="0" s="1"/>
        <i x="4" s="1"/>
        <i x="10" s="1"/>
        <i x="3" s="1"/>
        <i x="5" s="1"/>
        <i x="2" s="1"/>
        <i x="12" s="1" nd="1"/>
        <i x="1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HC_PCP?" sourceName="HC PCP?">
  <pivotTables>
    <pivotTable tabId="2" name="Tabela dinâmica2"/>
  </pivotTables>
  <data>
    <tabular pivotCacheId="1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PRODUTO" sourceName="PRODUTO">
  <pivotTables>
    <pivotTable tabId="2" name="Tabela dinâmica2"/>
  </pivotTables>
  <data>
    <tabular pivotCacheId="1">
      <items count="18">
        <i x="4" s="1"/>
        <i x="7" s="1"/>
        <i x="15" s="1"/>
        <i x="9" s="1"/>
        <i x="11" s="1"/>
        <i x="12" s="1"/>
        <i x="5" s="1"/>
        <i x="0" s="1"/>
        <i x="1" s="1"/>
        <i x="10" s="1"/>
        <i x="13" s="1"/>
        <i x="2" s="1"/>
        <i x="3" s="1"/>
        <i x="16" s="1"/>
        <i x="8" s="1"/>
        <i x="14" s="1"/>
        <i x="6" s="1"/>
        <i x="17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UF 1" cache="SegmentaçãodeDados_UF1" caption="UF" lockedPosition="1" rowHeight="241300"/>
  <slicer name="GESTOR_AREA" cache="SegmentaçãodeDados_GESTOR_AREA" caption="GESTOR_AREA" columnCount="2" lockedPosition="1" rowHeight="241300"/>
  <slicer name="GESTOR_OPERACIONAL" cache="SegmentaçãodeDados_GESTOR_OPERACIONAL" caption="GESTOR_OPERACIONAL" lockedPosition="1" rowHeight="180000"/>
  <slicer name="GESTOR_GERAL" cache="SegmentaçãodeDados_GESTOR_GERAL" caption="GESTOR_GERAL" lockedPosition="1" rowHeight="241300"/>
  <slicer name="STATUS_CLICK" cache="SegmentaçãodeDados_STATUS_CLICK" caption="STATUS_CLICK" columnCount="2" lockedPosition="1" rowHeight="241300"/>
  <slicer name="SITUAÇÃO_FOLHA" cache="SegmentaçãodeDados_SITUAÇÃO_FOLHA" caption="SITUAÇÃO_FOLHA" columnCount="3" lockedPosition="1" rowHeight="241300"/>
  <slicer name="TIPO" cache="SegmentaçãodeDados_TIPO" caption="TIPO" lockedPosition="1" rowHeight="177800"/>
  <slicer name="HC PCP?" cache="SegmentaçãodeDados_HC_PCP?" caption="HC PCP?" columnCount="2" lockedPosition="1" rowHeight="177800"/>
  <slicer name="PRODUTO" cache="SegmentaçãodeDados_PRODUTO" caption="PRODUTO" startItem="4" lockedPosition="1" rowHeight="1778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base_tc_geral" displayName="base_tc_geral" ref="A1:AE1440" tableType="queryTable" totalsRowShown="0" headerRowDxfId="44" dataDxfId="43">
  <tableColumns count="31">
    <tableColumn id="1" uniqueName="1" name="NOME" queryTableFieldId="1" dataDxfId="42"/>
    <tableColumn id="2" uniqueName="2" name="ID_GESTOR_IMEDIATO" queryTableFieldId="2" dataDxfId="41"/>
    <tableColumn id="4" uniqueName="4" name="GH_STATUS" queryTableFieldId="4" dataDxfId="40"/>
    <tableColumn id="5" uniqueName="5" name="GH_DATA_SITUACAO" queryTableFieldId="5" dataDxfId="39"/>
    <tableColumn id="7" uniqueName="7" name="UF" queryTableFieldId="7" dataDxfId="38"/>
    <tableColumn id="8" uniqueName="8" name="SETOR" queryTableFieldId="8" dataDxfId="37"/>
    <tableColumn id="10" uniqueName="10" name="SKILLS" queryTableFieldId="10" dataDxfId="36"/>
    <tableColumn id="11" uniqueName="11" name="GRA" queryTableFieldId="11" dataDxfId="35"/>
    <tableColumn id="12" uniqueName="12" name="REGIONAL" queryTableFieldId="12" dataDxfId="34"/>
    <tableColumn id="13" uniqueName="13" name="GRAM" queryTableFieldId="13" dataDxfId="33"/>
    <tableColumn id="14" uniqueName="14" name="TIPO_DE_TECNICO" queryTableFieldId="14" dataDxfId="32"/>
    <tableColumn id="15" uniqueName="15" name="TIPO" queryTableFieldId="15" dataDxfId="31"/>
    <tableColumn id="16" uniqueName="16" name="FUNCAO_FOLHA" queryTableFieldId="16" dataDxfId="30"/>
    <tableColumn id="17" uniqueName="17" name="SITUACAO_FOLHA" queryTableFieldId="17" dataDxfId="29"/>
    <tableColumn id="18" uniqueName="18" name="SIGLA_GRA" queryTableFieldId="18" dataDxfId="28"/>
    <tableColumn id="19" uniqueName="19" name="CPF" queryTableFieldId="19" dataDxfId="27"/>
    <tableColumn id="20" uniqueName="20" name="DATA_ATUALIZACAO" queryTableFieldId="20" dataDxfId="26"/>
    <tableColumn id="21" uniqueName="21" name="GESTOR_IMEDIATO_GA" queryTableFieldId="21" dataDxfId="25"/>
    <tableColumn id="22" uniqueName="22" name="GESTOR_OPERACIONAL_GO" queryTableFieldId="22" dataDxfId="24"/>
    <tableColumn id="23" uniqueName="23" name="GESTOR_GERAL_GG" queryTableFieldId="23" dataDxfId="23"/>
    <tableColumn id="24" uniqueName="24" name="STATUS_CLICK" queryTableFieldId="24" dataDxfId="22"/>
    <tableColumn id="9" uniqueName="9" name="CONTATO_GA" queryTableFieldId="31" dataDxfId="21"/>
    <tableColumn id="28" uniqueName="28" name="PRODUTO" queryTableFieldId="32" dataDxfId="20"/>
    <tableColumn id="31" uniqueName="31" name="CARGO_AGRUPADO" queryTableFieldId="34" dataDxfId="19"/>
    <tableColumn id="32" uniqueName="32" name="MAT_TR" queryTableFieldId="35" dataDxfId="18"/>
    <tableColumn id="33" uniqueName="33" name="MAT_FPW" queryTableFieldId="36" dataDxfId="17"/>
    <tableColumn id="25" uniqueName="25" name="GESTOR_AREA" queryTableFieldId="25" dataDxfId="16">
      <calculatedColumnFormula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calculatedColumnFormula>
    </tableColumn>
    <tableColumn id="26" uniqueName="26" name="GESTOR_OPERACIONAL" queryTableFieldId="26" dataDxfId="15">
      <calculatedColumnFormula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calculatedColumnFormula>
    </tableColumn>
    <tableColumn id="27" uniqueName="27" name="GESTOR_GERAL" queryTableFieldId="27" dataDxfId="14">
      <calculatedColumnFormula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calculatedColumnFormula>
    </tableColumn>
    <tableColumn id="29" uniqueName="29" name="SITUAÇÃO_FOLHA" queryTableFieldId="29" dataDxfId="13">
      <calculatedColumnFormula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calculatedColumnFormula>
    </tableColumn>
    <tableColumn id="3" uniqueName="3" name="HC PCP?" queryTableFieldId="30" dataDxfId="12">
      <calculatedColumnFormula>IF(_xlfn.IFNA(INDEX(configuracoes!$A$2:$A$10,MATCH(base_tc_geral[[#This Row],[TIPO]],configuracoes!$A$2:$A$10,0)),"NÃO")="NÃO","NÃO","SIM")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1.emf"/><Relationship Id="rId11" Type="http://schemas.microsoft.com/office/2007/relationships/slicer" Target="../slicers/slicer1.xml"/><Relationship Id="rId5" Type="http://schemas.openxmlformats.org/officeDocument/2006/relationships/control" Target="../activeX/activeX1.xml"/><Relationship Id="rId10" Type="http://schemas.openxmlformats.org/officeDocument/2006/relationships/ctrlProp" Target="../ctrlProps/ctrlProp4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farias.cesar@redeconecta.net.br" TargetMode="External"/><Relationship Id="rId2" Type="http://schemas.openxmlformats.org/officeDocument/2006/relationships/hyperlink" Target="mailto:farias.cesar@redeconecta.net.br" TargetMode="External"/><Relationship Id="rId1" Type="http://schemas.openxmlformats.org/officeDocument/2006/relationships/pivotTable" Target="../pivotTables/pivotTable2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0:N1453"/>
  <sheetViews>
    <sheetView showGridLines="0" showRowColHeaders="0" zoomScale="87" zoomScaleNormal="87" workbookViewId="0">
      <pane ySplit="14" topLeftCell="A15" activePane="bottomLeft" state="frozen"/>
      <selection pane="bottomLeft" activeCell="F19" sqref="F19"/>
    </sheetView>
  </sheetViews>
  <sheetFormatPr defaultRowHeight="15" x14ac:dyDescent="0.25"/>
  <cols>
    <col min="1" max="1" width="8.42578125" bestFit="1" customWidth="1"/>
    <col min="2" max="2" width="14" customWidth="1"/>
    <col min="3" max="3" width="12.85546875" bestFit="1" customWidth="1"/>
    <col min="4" max="4" width="36.5703125" customWidth="1"/>
    <col min="5" max="5" width="17.7109375" bestFit="1" customWidth="1"/>
    <col min="6" max="6" width="21.140625" customWidth="1"/>
    <col min="7" max="7" width="24.42578125" customWidth="1"/>
    <col min="8" max="8" width="19.140625" customWidth="1"/>
    <col min="9" max="9" width="17.42578125" customWidth="1"/>
    <col min="10" max="10" width="15.28515625" customWidth="1"/>
    <col min="11" max="11" width="17.85546875" customWidth="1"/>
    <col min="12" max="12" width="17.7109375" customWidth="1"/>
    <col min="13" max="13" width="12.85546875" customWidth="1"/>
    <col min="14" max="14" width="11.140625" customWidth="1"/>
  </cols>
  <sheetData>
    <row r="10" spans="1:14" x14ac:dyDescent="0.25">
      <c r="K10" s="9"/>
    </row>
    <row r="11" spans="1:14" x14ac:dyDescent="0.25">
      <c r="M11" s="18"/>
    </row>
    <row r="14" spans="1:14" x14ac:dyDescent="0.25">
      <c r="A14" s="3" t="s">
        <v>1</v>
      </c>
      <c r="B14" s="3" t="s">
        <v>6390</v>
      </c>
      <c r="C14" s="3" t="s">
        <v>6389</v>
      </c>
      <c r="D14" s="3" t="s">
        <v>0</v>
      </c>
      <c r="E14" s="3" t="s">
        <v>606</v>
      </c>
      <c r="F14" s="3" t="s">
        <v>4705</v>
      </c>
      <c r="G14" s="3" t="s">
        <v>4706</v>
      </c>
      <c r="H14" s="3" t="s">
        <v>4707</v>
      </c>
      <c r="I14" s="3" t="s">
        <v>4720</v>
      </c>
      <c r="J14" s="3" t="s">
        <v>4695</v>
      </c>
      <c r="K14" s="3" t="s">
        <v>4762</v>
      </c>
      <c r="L14" s="3" t="s">
        <v>2</v>
      </c>
      <c r="M14" s="3" t="s">
        <v>3</v>
      </c>
      <c r="N14" s="3" t="s">
        <v>7</v>
      </c>
    </row>
    <row r="15" spans="1:14" x14ac:dyDescent="0.25">
      <c r="A15" s="1" t="s">
        <v>47</v>
      </c>
      <c r="B15" s="1" t="s">
        <v>5096</v>
      </c>
      <c r="C15" s="1" t="s">
        <v>5094</v>
      </c>
      <c r="D15" s="8" t="s">
        <v>5093</v>
      </c>
      <c r="E15" s="1" t="s">
        <v>264</v>
      </c>
      <c r="F15" s="1" t="s">
        <v>6391</v>
      </c>
      <c r="G15" s="1" t="s">
        <v>4750</v>
      </c>
      <c r="H15" s="1" t="s">
        <v>4747</v>
      </c>
      <c r="I15" s="1" t="s">
        <v>4721</v>
      </c>
      <c r="J15" s="1" t="s">
        <v>12</v>
      </c>
      <c r="K15" s="1" t="s">
        <v>4903</v>
      </c>
      <c r="L15" s="1" t="s">
        <v>227</v>
      </c>
      <c r="M15" s="1" t="s">
        <v>613</v>
      </c>
      <c r="N15" s="1" t="s">
        <v>25</v>
      </c>
    </row>
    <row r="16" spans="1:14" x14ac:dyDescent="0.25">
      <c r="A16" s="1" t="s">
        <v>47</v>
      </c>
      <c r="B16" s="1" t="s">
        <v>5100</v>
      </c>
      <c r="C16" s="1" t="s">
        <v>5098</v>
      </c>
      <c r="D16" s="8" t="s">
        <v>5097</v>
      </c>
      <c r="E16" s="1" t="s">
        <v>264</v>
      </c>
      <c r="F16" s="1" t="s">
        <v>6392</v>
      </c>
      <c r="G16" s="1" t="s">
        <v>4750</v>
      </c>
      <c r="H16" s="1" t="s">
        <v>4747</v>
      </c>
      <c r="I16" s="1" t="s">
        <v>4721</v>
      </c>
      <c r="J16" s="1" t="s">
        <v>12</v>
      </c>
      <c r="K16" s="1" t="s">
        <v>4903</v>
      </c>
      <c r="L16" s="1" t="s">
        <v>227</v>
      </c>
      <c r="M16" s="1" t="s">
        <v>613</v>
      </c>
      <c r="N16" s="1" t="s">
        <v>25</v>
      </c>
    </row>
    <row r="17" spans="1:14" x14ac:dyDescent="0.25">
      <c r="A17" s="1" t="s">
        <v>47</v>
      </c>
      <c r="B17" s="1" t="s">
        <v>5104</v>
      </c>
      <c r="C17" s="1" t="s">
        <v>5102</v>
      </c>
      <c r="D17" s="8" t="s">
        <v>5101</v>
      </c>
      <c r="E17" s="1" t="s">
        <v>98</v>
      </c>
      <c r="F17" s="1" t="s">
        <v>4749</v>
      </c>
      <c r="G17" s="1" t="s">
        <v>4750</v>
      </c>
      <c r="H17" s="1" t="s">
        <v>4747</v>
      </c>
      <c r="I17" s="1" t="s">
        <v>4721</v>
      </c>
      <c r="J17" s="1" t="s">
        <v>12</v>
      </c>
      <c r="K17" s="1" t="s">
        <v>4808</v>
      </c>
      <c r="L17" s="1" t="s">
        <v>56</v>
      </c>
      <c r="M17" s="1" t="s">
        <v>613</v>
      </c>
      <c r="N17" s="1" t="s">
        <v>25</v>
      </c>
    </row>
    <row r="18" spans="1:14" x14ac:dyDescent="0.25">
      <c r="A18" s="1" t="s">
        <v>47</v>
      </c>
      <c r="B18" s="1" t="s">
        <v>4932</v>
      </c>
      <c r="C18" s="1" t="s">
        <v>4929</v>
      </c>
      <c r="D18" s="8" t="s">
        <v>4928</v>
      </c>
      <c r="E18" s="1" t="s">
        <v>264</v>
      </c>
      <c r="F18" s="1" t="s">
        <v>6391</v>
      </c>
      <c r="G18" s="1" t="s">
        <v>4750</v>
      </c>
      <c r="H18" s="1" t="s">
        <v>4747</v>
      </c>
      <c r="I18" s="1" t="s">
        <v>4721</v>
      </c>
      <c r="J18" s="1" t="s">
        <v>12</v>
      </c>
      <c r="K18" s="1" t="s">
        <v>4903</v>
      </c>
      <c r="L18" s="1" t="s">
        <v>227</v>
      </c>
      <c r="M18" s="1" t="s">
        <v>613</v>
      </c>
      <c r="N18" s="1" t="s">
        <v>25</v>
      </c>
    </row>
    <row r="19" spans="1:14" x14ac:dyDescent="0.25">
      <c r="A19" s="1" t="s">
        <v>47</v>
      </c>
      <c r="B19" s="1" t="s">
        <v>4936</v>
      </c>
      <c r="C19" s="1" t="s">
        <v>4934</v>
      </c>
      <c r="D19" s="8" t="s">
        <v>4933</v>
      </c>
      <c r="E19" s="1" t="s">
        <v>251</v>
      </c>
      <c r="F19" s="1" t="s">
        <v>6393</v>
      </c>
      <c r="G19" s="1" t="s">
        <v>4750</v>
      </c>
      <c r="H19" s="1" t="s">
        <v>4747</v>
      </c>
      <c r="I19" s="1" t="s">
        <v>4721</v>
      </c>
      <c r="J19" s="1" t="s">
        <v>12</v>
      </c>
      <c r="K19" s="1" t="s">
        <v>4839</v>
      </c>
      <c r="L19" s="1" t="s">
        <v>224</v>
      </c>
      <c r="M19" s="1" t="s">
        <v>613</v>
      </c>
      <c r="N19" s="1" t="s">
        <v>25</v>
      </c>
    </row>
    <row r="20" spans="1:14" x14ac:dyDescent="0.25">
      <c r="A20" s="1" t="s">
        <v>47</v>
      </c>
      <c r="B20" s="1" t="s">
        <v>5109</v>
      </c>
      <c r="C20" s="1" t="s">
        <v>5107</v>
      </c>
      <c r="D20" s="8" t="s">
        <v>5106</v>
      </c>
      <c r="E20" s="1" t="s">
        <v>264</v>
      </c>
      <c r="F20" s="1" t="s">
        <v>6392</v>
      </c>
      <c r="G20" s="1" t="s">
        <v>4750</v>
      </c>
      <c r="H20" s="1" t="s">
        <v>4747</v>
      </c>
      <c r="I20" s="1" t="s">
        <v>4721</v>
      </c>
      <c r="J20" s="1" t="s">
        <v>12</v>
      </c>
      <c r="K20" s="1" t="s">
        <v>4903</v>
      </c>
      <c r="L20" s="1" t="s">
        <v>227</v>
      </c>
      <c r="M20" s="1" t="s">
        <v>613</v>
      </c>
      <c r="N20" s="1" t="s">
        <v>25</v>
      </c>
    </row>
    <row r="21" spans="1:14" x14ac:dyDescent="0.25">
      <c r="A21" s="1" t="s">
        <v>47</v>
      </c>
      <c r="B21" s="1" t="s">
        <v>4940</v>
      </c>
      <c r="C21" s="1" t="s">
        <v>4938</v>
      </c>
      <c r="D21" s="8" t="s">
        <v>4937</v>
      </c>
      <c r="E21" s="1" t="s">
        <v>98</v>
      </c>
      <c r="F21" s="1" t="s">
        <v>6392</v>
      </c>
      <c r="G21" s="1" t="s">
        <v>4750</v>
      </c>
      <c r="H21" s="1" t="s">
        <v>4747</v>
      </c>
      <c r="I21" s="1" t="s">
        <v>4721</v>
      </c>
      <c r="J21" s="1" t="s">
        <v>12</v>
      </c>
      <c r="K21" s="1" t="s">
        <v>4808</v>
      </c>
      <c r="L21" s="1" t="s">
        <v>56</v>
      </c>
      <c r="M21" s="1" t="s">
        <v>613</v>
      </c>
      <c r="N21" s="1" t="s">
        <v>25</v>
      </c>
    </row>
    <row r="22" spans="1:14" x14ac:dyDescent="0.25">
      <c r="A22" s="1" t="s">
        <v>47</v>
      </c>
      <c r="B22" s="1" t="s">
        <v>4945</v>
      </c>
      <c r="C22" s="1" t="s">
        <v>4943</v>
      </c>
      <c r="D22" s="8" t="s">
        <v>4942</v>
      </c>
      <c r="E22" s="1" t="s">
        <v>251</v>
      </c>
      <c r="F22" s="1" t="s">
        <v>6394</v>
      </c>
      <c r="G22" s="1" t="s">
        <v>4750</v>
      </c>
      <c r="H22" s="1" t="s">
        <v>4747</v>
      </c>
      <c r="I22" s="1" t="s">
        <v>4721</v>
      </c>
      <c r="J22" s="1" t="s">
        <v>12</v>
      </c>
      <c r="K22" s="1" t="s">
        <v>4903</v>
      </c>
      <c r="L22" s="1" t="s">
        <v>224</v>
      </c>
      <c r="M22" s="1" t="s">
        <v>613</v>
      </c>
      <c r="N22" s="1" t="s">
        <v>25</v>
      </c>
    </row>
    <row r="23" spans="1:14" x14ac:dyDescent="0.25">
      <c r="A23" s="1" t="s">
        <v>47</v>
      </c>
      <c r="B23" s="1" t="s">
        <v>5113</v>
      </c>
      <c r="C23" s="1" t="s">
        <v>5111</v>
      </c>
      <c r="D23" s="8" t="s">
        <v>5110</v>
      </c>
      <c r="E23" s="1" t="s">
        <v>264</v>
      </c>
      <c r="F23" s="1" t="s">
        <v>6393</v>
      </c>
      <c r="G23" s="1" t="s">
        <v>4750</v>
      </c>
      <c r="H23" s="1" t="s">
        <v>4747</v>
      </c>
      <c r="I23" s="1" t="s">
        <v>4721</v>
      </c>
      <c r="J23" s="1" t="s">
        <v>12</v>
      </c>
      <c r="K23" s="1" t="s">
        <v>4903</v>
      </c>
      <c r="L23" s="1" t="s">
        <v>227</v>
      </c>
      <c r="M23" s="1" t="s">
        <v>613</v>
      </c>
      <c r="N23" s="1" t="s">
        <v>25</v>
      </c>
    </row>
    <row r="24" spans="1:14" x14ac:dyDescent="0.25">
      <c r="A24" s="1" t="s">
        <v>47</v>
      </c>
      <c r="B24" s="1" t="s">
        <v>5117</v>
      </c>
      <c r="C24" s="1" t="s">
        <v>5115</v>
      </c>
      <c r="D24" s="8" t="s">
        <v>5114</v>
      </c>
      <c r="E24" s="1" t="s">
        <v>98</v>
      </c>
      <c r="F24" s="1" t="s">
        <v>4749</v>
      </c>
      <c r="G24" s="1" t="s">
        <v>4750</v>
      </c>
      <c r="H24" s="1" t="s">
        <v>4747</v>
      </c>
      <c r="I24" s="1" t="s">
        <v>4721</v>
      </c>
      <c r="J24" s="1" t="s">
        <v>12</v>
      </c>
      <c r="K24" s="1" t="s">
        <v>4808</v>
      </c>
      <c r="L24" s="1" t="s">
        <v>56</v>
      </c>
      <c r="M24" s="1" t="s">
        <v>613</v>
      </c>
      <c r="N24" s="1" t="s">
        <v>25</v>
      </c>
    </row>
    <row r="25" spans="1:14" x14ac:dyDescent="0.25">
      <c r="A25" s="1" t="s">
        <v>47</v>
      </c>
      <c r="B25" s="1" t="s">
        <v>5121</v>
      </c>
      <c r="C25" s="1" t="s">
        <v>5119</v>
      </c>
      <c r="D25" s="8" t="s">
        <v>5118</v>
      </c>
      <c r="E25" s="1" t="s">
        <v>159</v>
      </c>
      <c r="F25" s="1" t="s">
        <v>6394</v>
      </c>
      <c r="G25" s="1" t="s">
        <v>4750</v>
      </c>
      <c r="H25" s="1" t="s">
        <v>4747</v>
      </c>
      <c r="I25" s="1" t="s">
        <v>4721</v>
      </c>
      <c r="J25" s="1" t="s">
        <v>12</v>
      </c>
      <c r="K25" s="1" t="s">
        <v>4839</v>
      </c>
      <c r="L25" s="1" t="s">
        <v>60</v>
      </c>
      <c r="M25" s="1" t="s">
        <v>613</v>
      </c>
      <c r="N25" s="1" t="s">
        <v>25</v>
      </c>
    </row>
    <row r="26" spans="1:14" x14ac:dyDescent="0.25">
      <c r="A26" s="1" t="s">
        <v>47</v>
      </c>
      <c r="B26" s="1" t="s">
        <v>4949</v>
      </c>
      <c r="C26" s="1" t="s">
        <v>4947</v>
      </c>
      <c r="D26" s="8" t="s">
        <v>4946</v>
      </c>
      <c r="E26" s="1" t="s">
        <v>251</v>
      </c>
      <c r="F26" s="1" t="s">
        <v>6394</v>
      </c>
      <c r="G26" s="1" t="s">
        <v>4750</v>
      </c>
      <c r="H26" s="1" t="s">
        <v>4747</v>
      </c>
      <c r="I26" s="1" t="s">
        <v>4721</v>
      </c>
      <c r="J26" s="1" t="s">
        <v>12</v>
      </c>
      <c r="K26" s="1" t="s">
        <v>4839</v>
      </c>
      <c r="L26" s="1" t="s">
        <v>224</v>
      </c>
      <c r="M26" s="1" t="s">
        <v>613</v>
      </c>
      <c r="N26" s="1" t="s">
        <v>25</v>
      </c>
    </row>
    <row r="27" spans="1:14" x14ac:dyDescent="0.25">
      <c r="A27" s="1" t="s">
        <v>47</v>
      </c>
      <c r="B27" s="1" t="s">
        <v>5126</v>
      </c>
      <c r="C27" s="1" t="s">
        <v>5124</v>
      </c>
      <c r="D27" s="8" t="s">
        <v>5123</v>
      </c>
      <c r="E27" s="1" t="s">
        <v>251</v>
      </c>
      <c r="F27" s="1" t="s">
        <v>6393</v>
      </c>
      <c r="G27" s="1" t="s">
        <v>4750</v>
      </c>
      <c r="H27" s="1" t="s">
        <v>4747</v>
      </c>
      <c r="I27" s="1" t="s">
        <v>4721</v>
      </c>
      <c r="J27" s="1" t="s">
        <v>12</v>
      </c>
      <c r="K27" s="1" t="s">
        <v>4839</v>
      </c>
      <c r="L27" s="1" t="s">
        <v>224</v>
      </c>
      <c r="M27" s="1" t="s">
        <v>613</v>
      </c>
      <c r="N27" s="1" t="s">
        <v>25</v>
      </c>
    </row>
    <row r="28" spans="1:14" x14ac:dyDescent="0.25">
      <c r="A28" s="1" t="s">
        <v>47</v>
      </c>
      <c r="B28" s="1" t="s">
        <v>4953</v>
      </c>
      <c r="C28" s="1" t="s">
        <v>4951</v>
      </c>
      <c r="D28" s="8" t="s">
        <v>4950</v>
      </c>
      <c r="E28" s="1" t="s">
        <v>264</v>
      </c>
      <c r="F28" s="1" t="s">
        <v>6391</v>
      </c>
      <c r="G28" s="1" t="s">
        <v>4750</v>
      </c>
      <c r="H28" s="1" t="s">
        <v>4747</v>
      </c>
      <c r="I28" s="1" t="s">
        <v>4721</v>
      </c>
      <c r="J28" s="1" t="s">
        <v>12</v>
      </c>
      <c r="K28" s="1" t="s">
        <v>4903</v>
      </c>
      <c r="L28" s="1" t="s">
        <v>227</v>
      </c>
      <c r="M28" s="1" t="s">
        <v>613</v>
      </c>
      <c r="N28" s="1" t="s">
        <v>25</v>
      </c>
    </row>
    <row r="29" spans="1:14" x14ac:dyDescent="0.25">
      <c r="A29" s="1" t="s">
        <v>47</v>
      </c>
      <c r="B29" s="1" t="s">
        <v>5131</v>
      </c>
      <c r="C29" s="1" t="s">
        <v>5129</v>
      </c>
      <c r="D29" s="8" t="s">
        <v>5128</v>
      </c>
      <c r="E29" s="1" t="s">
        <v>159</v>
      </c>
      <c r="F29" s="1" t="s">
        <v>4749</v>
      </c>
      <c r="G29" s="1" t="s">
        <v>4750</v>
      </c>
      <c r="H29" s="1" t="s">
        <v>4747</v>
      </c>
      <c r="I29" s="1" t="s">
        <v>4721</v>
      </c>
      <c r="J29" s="1" t="s">
        <v>12</v>
      </c>
      <c r="K29" s="1" t="s">
        <v>4885</v>
      </c>
      <c r="L29" s="1" t="s">
        <v>60</v>
      </c>
      <c r="M29" s="1" t="s">
        <v>613</v>
      </c>
      <c r="N29" s="1" t="s">
        <v>25</v>
      </c>
    </row>
    <row r="30" spans="1:14" x14ac:dyDescent="0.25">
      <c r="A30" s="1" t="s">
        <v>47</v>
      </c>
      <c r="B30" s="1" t="s">
        <v>4957</v>
      </c>
      <c r="C30" s="1" t="s">
        <v>4955</v>
      </c>
      <c r="D30" s="8" t="s">
        <v>4954</v>
      </c>
      <c r="E30" s="1" t="s">
        <v>159</v>
      </c>
      <c r="F30" s="1" t="s">
        <v>4749</v>
      </c>
      <c r="G30" s="1" t="s">
        <v>4750</v>
      </c>
      <c r="H30" s="1" t="s">
        <v>4747</v>
      </c>
      <c r="I30" s="1" t="s">
        <v>4721</v>
      </c>
      <c r="J30" s="1" t="s">
        <v>12</v>
      </c>
      <c r="K30" s="1" t="s">
        <v>4885</v>
      </c>
      <c r="L30" s="1" t="s">
        <v>60</v>
      </c>
      <c r="M30" s="1" t="s">
        <v>613</v>
      </c>
      <c r="N30" s="1" t="s">
        <v>25</v>
      </c>
    </row>
    <row r="31" spans="1:14" x14ac:dyDescent="0.25">
      <c r="A31" s="1" t="s">
        <v>47</v>
      </c>
      <c r="B31" s="1" t="s">
        <v>4961</v>
      </c>
      <c r="C31" s="1" t="s">
        <v>4959</v>
      </c>
      <c r="D31" s="8" t="s">
        <v>4958</v>
      </c>
      <c r="E31" s="1" t="s">
        <v>98</v>
      </c>
      <c r="F31" s="1" t="s">
        <v>6393</v>
      </c>
      <c r="G31" s="1" t="s">
        <v>4750</v>
      </c>
      <c r="H31" s="1" t="s">
        <v>4747</v>
      </c>
      <c r="I31" s="1" t="s">
        <v>4721</v>
      </c>
      <c r="J31" s="1" t="s">
        <v>12</v>
      </c>
      <c r="K31" s="1" t="s">
        <v>4808</v>
      </c>
      <c r="L31" s="1" t="s">
        <v>56</v>
      </c>
      <c r="M31" s="1" t="s">
        <v>613</v>
      </c>
      <c r="N31" s="1" t="s">
        <v>25</v>
      </c>
    </row>
    <row r="32" spans="1:14" x14ac:dyDescent="0.25">
      <c r="A32" s="1" t="s">
        <v>47</v>
      </c>
      <c r="B32" s="1" t="s">
        <v>5136</v>
      </c>
      <c r="C32" s="1" t="s">
        <v>5134</v>
      </c>
      <c r="D32" s="8" t="s">
        <v>5133</v>
      </c>
      <c r="E32" s="1" t="s">
        <v>98</v>
      </c>
      <c r="F32" s="1" t="s">
        <v>4749</v>
      </c>
      <c r="G32" s="1" t="s">
        <v>4750</v>
      </c>
      <c r="H32" s="1" t="s">
        <v>4747</v>
      </c>
      <c r="I32" s="1" t="s">
        <v>4721</v>
      </c>
      <c r="J32" s="1" t="s">
        <v>12</v>
      </c>
      <c r="K32" s="1" t="s">
        <v>4808</v>
      </c>
      <c r="L32" s="1" t="s">
        <v>56</v>
      </c>
      <c r="M32" s="1" t="s">
        <v>613</v>
      </c>
      <c r="N32" s="1" t="s">
        <v>25</v>
      </c>
    </row>
    <row r="33" spans="1:14" x14ac:dyDescent="0.25">
      <c r="A33" s="1" t="s">
        <v>47</v>
      </c>
      <c r="B33" s="1" t="s">
        <v>5140</v>
      </c>
      <c r="C33" s="1" t="s">
        <v>5138</v>
      </c>
      <c r="D33" s="8" t="s">
        <v>5137</v>
      </c>
      <c r="E33" s="1" t="s">
        <v>264</v>
      </c>
      <c r="F33" s="1" t="s">
        <v>6391</v>
      </c>
      <c r="G33" s="1" t="s">
        <v>4750</v>
      </c>
      <c r="H33" s="1" t="s">
        <v>4747</v>
      </c>
      <c r="I33" s="1" t="s">
        <v>4721</v>
      </c>
      <c r="J33" s="1" t="s">
        <v>12</v>
      </c>
      <c r="K33" s="1" t="s">
        <v>4903</v>
      </c>
      <c r="L33" s="1" t="s">
        <v>227</v>
      </c>
      <c r="M33" s="1" t="s">
        <v>613</v>
      </c>
      <c r="N33" s="1" t="s">
        <v>25</v>
      </c>
    </row>
    <row r="34" spans="1:14" x14ac:dyDescent="0.25">
      <c r="A34" s="1" t="s">
        <v>47</v>
      </c>
      <c r="B34" s="1" t="s">
        <v>5144</v>
      </c>
      <c r="C34" s="1" t="s">
        <v>5142</v>
      </c>
      <c r="D34" s="8" t="s">
        <v>5141</v>
      </c>
      <c r="E34" s="1" t="s">
        <v>264</v>
      </c>
      <c r="F34" s="1" t="s">
        <v>6391</v>
      </c>
      <c r="G34" s="1" t="s">
        <v>4750</v>
      </c>
      <c r="H34" s="1" t="s">
        <v>4747</v>
      </c>
      <c r="I34" s="1" t="s">
        <v>4721</v>
      </c>
      <c r="J34" s="1" t="s">
        <v>12</v>
      </c>
      <c r="K34" s="1" t="s">
        <v>4903</v>
      </c>
      <c r="L34" s="1" t="s">
        <v>227</v>
      </c>
      <c r="M34" s="1" t="s">
        <v>613</v>
      </c>
      <c r="N34" s="1" t="s">
        <v>25</v>
      </c>
    </row>
    <row r="35" spans="1:14" x14ac:dyDescent="0.25">
      <c r="A35" s="1" t="s">
        <v>47</v>
      </c>
      <c r="B35" s="1" t="s">
        <v>5148</v>
      </c>
      <c r="C35" s="1" t="s">
        <v>5146</v>
      </c>
      <c r="D35" s="8" t="s">
        <v>5145</v>
      </c>
      <c r="E35" s="1" t="s">
        <v>251</v>
      </c>
      <c r="F35" s="1" t="s">
        <v>6394</v>
      </c>
      <c r="G35" s="1" t="s">
        <v>4750</v>
      </c>
      <c r="H35" s="1" t="s">
        <v>4747</v>
      </c>
      <c r="I35" s="1" t="s">
        <v>4721</v>
      </c>
      <c r="J35" s="1" t="s">
        <v>12</v>
      </c>
      <c r="K35" s="1" t="s">
        <v>4839</v>
      </c>
      <c r="L35" s="1" t="s">
        <v>224</v>
      </c>
      <c r="M35" s="1" t="s">
        <v>613</v>
      </c>
      <c r="N35" s="1" t="s">
        <v>25</v>
      </c>
    </row>
    <row r="36" spans="1:14" x14ac:dyDescent="0.25">
      <c r="A36" s="1" t="s">
        <v>47</v>
      </c>
      <c r="B36" s="1" t="s">
        <v>5152</v>
      </c>
      <c r="C36" s="1" t="s">
        <v>5150</v>
      </c>
      <c r="D36" s="8" t="s">
        <v>5149</v>
      </c>
      <c r="E36" s="1" t="s">
        <v>264</v>
      </c>
      <c r="F36" s="1" t="s">
        <v>6394</v>
      </c>
      <c r="G36" s="1" t="s">
        <v>4750</v>
      </c>
      <c r="H36" s="1" t="s">
        <v>4747</v>
      </c>
      <c r="I36" s="1" t="s">
        <v>4721</v>
      </c>
      <c r="J36" s="1" t="s">
        <v>12</v>
      </c>
      <c r="K36" s="1" t="s">
        <v>4903</v>
      </c>
      <c r="L36" s="1" t="s">
        <v>227</v>
      </c>
      <c r="M36" s="1" t="s">
        <v>613</v>
      </c>
      <c r="N36" s="1" t="s">
        <v>25</v>
      </c>
    </row>
    <row r="37" spans="1:14" x14ac:dyDescent="0.25">
      <c r="A37" s="1" t="s">
        <v>47</v>
      </c>
      <c r="B37" s="1" t="s">
        <v>5156</v>
      </c>
      <c r="C37" s="1" t="s">
        <v>5154</v>
      </c>
      <c r="D37" s="8" t="s">
        <v>5153</v>
      </c>
      <c r="E37" s="1" t="s">
        <v>98</v>
      </c>
      <c r="F37" s="1" t="s">
        <v>4749</v>
      </c>
      <c r="G37" s="1" t="s">
        <v>4750</v>
      </c>
      <c r="H37" s="1" t="s">
        <v>4747</v>
      </c>
      <c r="I37" s="1" t="s">
        <v>4721</v>
      </c>
      <c r="J37" s="1" t="s">
        <v>12</v>
      </c>
      <c r="K37" s="1" t="s">
        <v>4808</v>
      </c>
      <c r="L37" s="1" t="s">
        <v>56</v>
      </c>
      <c r="M37" s="1" t="s">
        <v>613</v>
      </c>
      <c r="N37" s="1" t="s">
        <v>25</v>
      </c>
    </row>
    <row r="38" spans="1:14" x14ac:dyDescent="0.25">
      <c r="A38" s="1" t="s">
        <v>47</v>
      </c>
      <c r="B38" s="1" t="s">
        <v>4965</v>
      </c>
      <c r="C38" s="1" t="s">
        <v>4963</v>
      </c>
      <c r="D38" s="8" t="s">
        <v>4962</v>
      </c>
      <c r="E38" s="1" t="s">
        <v>159</v>
      </c>
      <c r="F38" s="1" t="s">
        <v>6393</v>
      </c>
      <c r="G38" s="1" t="s">
        <v>4750</v>
      </c>
      <c r="H38" s="1" t="s">
        <v>4747</v>
      </c>
      <c r="I38" s="1" t="s">
        <v>4721</v>
      </c>
      <c r="J38" s="1" t="s">
        <v>12</v>
      </c>
      <c r="K38" s="1" t="s">
        <v>4885</v>
      </c>
      <c r="L38" s="1" t="s">
        <v>60</v>
      </c>
      <c r="M38" s="1" t="s">
        <v>613</v>
      </c>
      <c r="N38" s="1" t="s">
        <v>25</v>
      </c>
    </row>
    <row r="39" spans="1:14" x14ac:dyDescent="0.25">
      <c r="A39" s="1" t="s">
        <v>47</v>
      </c>
      <c r="B39" s="1" t="s">
        <v>4969</v>
      </c>
      <c r="C39" s="1" t="s">
        <v>4967</v>
      </c>
      <c r="D39" s="8" t="s">
        <v>4966</v>
      </c>
      <c r="E39" s="1" t="s">
        <v>264</v>
      </c>
      <c r="F39" s="1" t="s">
        <v>6392</v>
      </c>
      <c r="G39" s="1" t="s">
        <v>4750</v>
      </c>
      <c r="H39" s="1" t="s">
        <v>4747</v>
      </c>
      <c r="I39" s="1" t="s">
        <v>4721</v>
      </c>
      <c r="J39" s="1" t="s">
        <v>12</v>
      </c>
      <c r="K39" s="1" t="s">
        <v>4903</v>
      </c>
      <c r="L39" s="1" t="s">
        <v>227</v>
      </c>
      <c r="M39" s="1" t="s">
        <v>613</v>
      </c>
      <c r="N39" s="1" t="s">
        <v>25</v>
      </c>
    </row>
    <row r="40" spans="1:14" x14ac:dyDescent="0.25">
      <c r="A40" s="1" t="s">
        <v>47</v>
      </c>
      <c r="B40" s="1" t="s">
        <v>5160</v>
      </c>
      <c r="C40" s="1" t="s">
        <v>5158</v>
      </c>
      <c r="D40" s="8" t="s">
        <v>5157</v>
      </c>
      <c r="E40" s="1" t="s">
        <v>159</v>
      </c>
      <c r="F40" s="1" t="s">
        <v>4749</v>
      </c>
      <c r="G40" s="1" t="s">
        <v>4750</v>
      </c>
      <c r="H40" s="1" t="s">
        <v>4747</v>
      </c>
      <c r="I40" s="1" t="s">
        <v>4721</v>
      </c>
      <c r="J40" s="1" t="s">
        <v>12</v>
      </c>
      <c r="K40" s="1" t="s">
        <v>4885</v>
      </c>
      <c r="L40" s="1" t="s">
        <v>60</v>
      </c>
      <c r="M40" s="1" t="s">
        <v>613</v>
      </c>
      <c r="N40" s="1" t="s">
        <v>25</v>
      </c>
    </row>
    <row r="41" spans="1:14" x14ac:dyDescent="0.25">
      <c r="A41" s="1" t="s">
        <v>47</v>
      </c>
      <c r="B41" s="1" t="s">
        <v>4973</v>
      </c>
      <c r="C41" s="1" t="s">
        <v>4971</v>
      </c>
      <c r="D41" s="8" t="s">
        <v>4970</v>
      </c>
      <c r="E41" s="1" t="s">
        <v>159</v>
      </c>
      <c r="F41" s="1" t="s">
        <v>6393</v>
      </c>
      <c r="G41" s="1" t="s">
        <v>4750</v>
      </c>
      <c r="H41" s="1" t="s">
        <v>4747</v>
      </c>
      <c r="I41" s="1" t="s">
        <v>4721</v>
      </c>
      <c r="J41" s="1" t="s">
        <v>12</v>
      </c>
      <c r="K41" s="1" t="s">
        <v>4885</v>
      </c>
      <c r="L41" s="1" t="s">
        <v>60</v>
      </c>
      <c r="M41" s="1" t="s">
        <v>613</v>
      </c>
      <c r="N41" s="1" t="s">
        <v>25</v>
      </c>
    </row>
    <row r="42" spans="1:14" x14ac:dyDescent="0.25">
      <c r="A42" s="1" t="s">
        <v>47</v>
      </c>
      <c r="B42" s="1" t="s">
        <v>4977</v>
      </c>
      <c r="C42" s="1" t="s">
        <v>4975</v>
      </c>
      <c r="D42" s="8" t="s">
        <v>4974</v>
      </c>
      <c r="E42" s="1" t="s">
        <v>264</v>
      </c>
      <c r="F42" s="1" t="s">
        <v>6391</v>
      </c>
      <c r="G42" s="1" t="s">
        <v>4750</v>
      </c>
      <c r="H42" s="1" t="s">
        <v>4747</v>
      </c>
      <c r="I42" s="1" t="s">
        <v>4721</v>
      </c>
      <c r="J42" s="1" t="s">
        <v>12</v>
      </c>
      <c r="K42" s="1" t="s">
        <v>4903</v>
      </c>
      <c r="L42" s="1" t="s">
        <v>227</v>
      </c>
      <c r="M42" s="1" t="s">
        <v>613</v>
      </c>
      <c r="N42" s="1" t="s">
        <v>25</v>
      </c>
    </row>
    <row r="43" spans="1:14" x14ac:dyDescent="0.25">
      <c r="A43" s="1" t="s">
        <v>47</v>
      </c>
      <c r="B43" s="1" t="s">
        <v>4981</v>
      </c>
      <c r="C43" s="1" t="s">
        <v>4979</v>
      </c>
      <c r="D43" s="8" t="s">
        <v>4978</v>
      </c>
      <c r="E43" s="1" t="s">
        <v>159</v>
      </c>
      <c r="F43" s="1" t="s">
        <v>6394</v>
      </c>
      <c r="G43" s="1" t="s">
        <v>4750</v>
      </c>
      <c r="H43" s="1" t="s">
        <v>4747</v>
      </c>
      <c r="I43" s="1" t="s">
        <v>4721</v>
      </c>
      <c r="J43" s="1" t="s">
        <v>12</v>
      </c>
      <c r="K43" s="1" t="s">
        <v>4885</v>
      </c>
      <c r="L43" s="1" t="s">
        <v>60</v>
      </c>
      <c r="M43" s="1" t="s">
        <v>613</v>
      </c>
      <c r="N43" s="1" t="s">
        <v>25</v>
      </c>
    </row>
    <row r="44" spans="1:14" x14ac:dyDescent="0.25">
      <c r="A44" s="1" t="s">
        <v>47</v>
      </c>
      <c r="B44" s="1" t="s">
        <v>5161</v>
      </c>
      <c r="C44" s="1" t="s">
        <v>1723</v>
      </c>
      <c r="D44" s="8" t="s">
        <v>1161</v>
      </c>
      <c r="E44" s="1" t="s">
        <v>181</v>
      </c>
      <c r="F44" s="1" t="s">
        <v>6395</v>
      </c>
      <c r="G44" s="1" t="s">
        <v>4748</v>
      </c>
      <c r="H44" s="1" t="s">
        <v>4747</v>
      </c>
      <c r="I44" s="1" t="s">
        <v>4721</v>
      </c>
      <c r="J44" s="1" t="s">
        <v>12</v>
      </c>
      <c r="K44" s="1" t="s">
        <v>4792</v>
      </c>
      <c r="L44" s="1" t="s">
        <v>66</v>
      </c>
      <c r="M44" s="1" t="s">
        <v>245</v>
      </c>
      <c r="N44" s="1" t="s">
        <v>21</v>
      </c>
    </row>
    <row r="45" spans="1:14" x14ac:dyDescent="0.25">
      <c r="A45" s="1" t="s">
        <v>47</v>
      </c>
      <c r="B45" s="1" t="s">
        <v>4983</v>
      </c>
      <c r="C45" s="1" t="s">
        <v>4242</v>
      </c>
      <c r="D45" s="8" t="s">
        <v>4241</v>
      </c>
      <c r="E45" s="1" t="s">
        <v>2862</v>
      </c>
      <c r="F45" s="1" t="s">
        <v>6396</v>
      </c>
      <c r="G45" s="1" t="s">
        <v>4748</v>
      </c>
      <c r="H45" s="1" t="s">
        <v>4747</v>
      </c>
      <c r="I45" s="1" t="s">
        <v>4722</v>
      </c>
      <c r="J45" s="1" t="s">
        <v>39</v>
      </c>
      <c r="K45" s="1" t="s">
        <v>4845</v>
      </c>
      <c r="L45" s="1" t="s">
        <v>141</v>
      </c>
      <c r="M45" s="1" t="s">
        <v>99</v>
      </c>
      <c r="N45" s="1" t="s">
        <v>25</v>
      </c>
    </row>
    <row r="46" spans="1:14" x14ac:dyDescent="0.25">
      <c r="A46" s="1" t="s">
        <v>47</v>
      </c>
      <c r="B46" s="1" t="s">
        <v>5163</v>
      </c>
      <c r="C46" s="1" t="s">
        <v>4179</v>
      </c>
      <c r="D46" s="8" t="s">
        <v>4178</v>
      </c>
      <c r="E46" s="1" t="s">
        <v>398</v>
      </c>
      <c r="F46" s="1" t="s">
        <v>6397</v>
      </c>
      <c r="G46" s="1" t="s">
        <v>4746</v>
      </c>
      <c r="H46" s="1" t="s">
        <v>4747</v>
      </c>
      <c r="I46" s="1" t="s">
        <v>4721</v>
      </c>
      <c r="J46" s="1" t="s">
        <v>12</v>
      </c>
      <c r="K46" s="1" t="s">
        <v>4813</v>
      </c>
      <c r="L46" s="1" t="s">
        <v>60</v>
      </c>
      <c r="M46" s="1" t="s">
        <v>245</v>
      </c>
      <c r="N46" s="1" t="s">
        <v>21</v>
      </c>
    </row>
    <row r="47" spans="1:14" x14ac:dyDescent="0.25">
      <c r="A47" s="1" t="s">
        <v>47</v>
      </c>
      <c r="B47" s="1" t="s">
        <v>5165</v>
      </c>
      <c r="C47" s="1" t="s">
        <v>4294</v>
      </c>
      <c r="D47" s="8" t="s">
        <v>4293</v>
      </c>
      <c r="E47" s="1" t="s">
        <v>511</v>
      </c>
      <c r="F47" s="1" t="s">
        <v>4752</v>
      </c>
      <c r="G47" s="1" t="s">
        <v>4746</v>
      </c>
      <c r="H47" s="1" t="s">
        <v>4747</v>
      </c>
      <c r="I47" s="1" t="s">
        <v>4721</v>
      </c>
      <c r="J47" s="1" t="s">
        <v>12</v>
      </c>
      <c r="K47" s="1" t="s">
        <v>4861</v>
      </c>
      <c r="L47" s="1" t="s">
        <v>48</v>
      </c>
      <c r="M47" s="1" t="s">
        <v>630</v>
      </c>
      <c r="N47" s="1" t="s">
        <v>21</v>
      </c>
    </row>
    <row r="48" spans="1:14" x14ac:dyDescent="0.25">
      <c r="A48" s="1" t="s">
        <v>47</v>
      </c>
      <c r="B48" s="1" t="s">
        <v>5167</v>
      </c>
      <c r="C48" s="1" t="s">
        <v>2969</v>
      </c>
      <c r="D48" s="8" t="s">
        <v>2968</v>
      </c>
      <c r="E48" s="1" t="s">
        <v>181</v>
      </c>
      <c r="F48" s="1" t="s">
        <v>6395</v>
      </c>
      <c r="G48" s="1" t="s">
        <v>4748</v>
      </c>
      <c r="H48" s="1" t="s">
        <v>4747</v>
      </c>
      <c r="I48" s="1" t="s">
        <v>4721</v>
      </c>
      <c r="J48" s="1" t="s">
        <v>12</v>
      </c>
      <c r="K48" s="1" t="s">
        <v>4792</v>
      </c>
      <c r="L48" s="1" t="s">
        <v>66</v>
      </c>
      <c r="M48" s="1" t="s">
        <v>58</v>
      </c>
      <c r="N48" s="1" t="s">
        <v>61</v>
      </c>
    </row>
    <row r="49" spans="1:14" x14ac:dyDescent="0.25">
      <c r="A49" s="1" t="s">
        <v>47</v>
      </c>
      <c r="B49" s="1" t="s">
        <v>5168</v>
      </c>
      <c r="C49" s="1" t="s">
        <v>692</v>
      </c>
      <c r="D49" s="8" t="s">
        <v>691</v>
      </c>
      <c r="E49" s="1" t="s">
        <v>225</v>
      </c>
      <c r="F49" s="1" t="s">
        <v>4751</v>
      </c>
      <c r="G49" s="1" t="s">
        <v>4748</v>
      </c>
      <c r="H49" s="1" t="s">
        <v>4747</v>
      </c>
      <c r="I49" s="1" t="s">
        <v>4721</v>
      </c>
      <c r="J49" s="1" t="s">
        <v>12</v>
      </c>
      <c r="K49" s="1" t="s">
        <v>4844</v>
      </c>
      <c r="L49" s="1" t="s">
        <v>224</v>
      </c>
      <c r="M49" s="1" t="s">
        <v>245</v>
      </c>
      <c r="N49" s="1" t="s">
        <v>21</v>
      </c>
    </row>
    <row r="50" spans="1:14" x14ac:dyDescent="0.25">
      <c r="A50" s="1" t="s">
        <v>47</v>
      </c>
      <c r="B50" s="1" t="s">
        <v>4988</v>
      </c>
      <c r="C50" s="1" t="s">
        <v>710</v>
      </c>
      <c r="D50" s="8" t="s">
        <v>709</v>
      </c>
      <c r="E50" s="1" t="s">
        <v>225</v>
      </c>
      <c r="F50" s="1" t="s">
        <v>4751</v>
      </c>
      <c r="G50" s="1" t="s">
        <v>4748</v>
      </c>
      <c r="H50" s="1" t="s">
        <v>4747</v>
      </c>
      <c r="I50" s="1" t="s">
        <v>4721</v>
      </c>
      <c r="J50" s="1" t="s">
        <v>12</v>
      </c>
      <c r="K50" s="1" t="s">
        <v>4844</v>
      </c>
      <c r="L50" s="1" t="s">
        <v>224</v>
      </c>
      <c r="M50" s="1" t="s">
        <v>711</v>
      </c>
      <c r="N50" s="1" t="s">
        <v>126</v>
      </c>
    </row>
    <row r="51" spans="1:14" x14ac:dyDescent="0.25">
      <c r="A51" s="1" t="s">
        <v>47</v>
      </c>
      <c r="B51" s="1" t="s">
        <v>4990</v>
      </c>
      <c r="C51" s="1" t="s">
        <v>2912</v>
      </c>
      <c r="D51" s="8" t="s">
        <v>2911</v>
      </c>
      <c r="E51" s="1" t="s">
        <v>511</v>
      </c>
      <c r="F51" s="1" t="s">
        <v>4752</v>
      </c>
      <c r="G51" s="1" t="s">
        <v>4746</v>
      </c>
      <c r="H51" s="1" t="s">
        <v>4747</v>
      </c>
      <c r="I51" s="1" t="s">
        <v>4721</v>
      </c>
      <c r="J51" s="1" t="s">
        <v>12</v>
      </c>
      <c r="K51" s="1" t="s">
        <v>4861</v>
      </c>
      <c r="L51" s="1" t="s">
        <v>48</v>
      </c>
      <c r="M51" s="1" t="s">
        <v>637</v>
      </c>
      <c r="N51" s="1" t="s">
        <v>19</v>
      </c>
    </row>
    <row r="52" spans="1:14" x14ac:dyDescent="0.25">
      <c r="A52" s="1" t="s">
        <v>47</v>
      </c>
      <c r="B52" s="1" t="s">
        <v>4991</v>
      </c>
      <c r="C52" s="1" t="s">
        <v>1386</v>
      </c>
      <c r="D52" s="8" t="s">
        <v>1385</v>
      </c>
      <c r="E52" s="1" t="s">
        <v>278</v>
      </c>
      <c r="F52" s="1" t="s">
        <v>6398</v>
      </c>
      <c r="G52" s="1" t="s">
        <v>4746</v>
      </c>
      <c r="H52" s="1" t="s">
        <v>4747</v>
      </c>
      <c r="I52" s="1" t="s">
        <v>4721</v>
      </c>
      <c r="J52" s="1" t="s">
        <v>12</v>
      </c>
      <c r="K52" s="1" t="s">
        <v>4821</v>
      </c>
      <c r="L52" s="1" t="s">
        <v>60</v>
      </c>
      <c r="M52" s="1" t="s">
        <v>883</v>
      </c>
      <c r="N52" s="1" t="s">
        <v>21</v>
      </c>
    </row>
    <row r="53" spans="1:14" x14ac:dyDescent="0.25">
      <c r="A53" s="1" t="s">
        <v>47</v>
      </c>
      <c r="B53" s="1" t="s">
        <v>4994</v>
      </c>
      <c r="C53" s="1" t="s">
        <v>1926</v>
      </c>
      <c r="D53" s="8" t="s">
        <v>1924</v>
      </c>
      <c r="E53" s="1" t="s">
        <v>312</v>
      </c>
      <c r="F53" s="1" t="s">
        <v>6399</v>
      </c>
      <c r="G53" s="1" t="s">
        <v>6399</v>
      </c>
      <c r="H53" s="1" t="s">
        <v>6400</v>
      </c>
      <c r="I53" s="1" t="s">
        <v>4722</v>
      </c>
      <c r="J53" s="1" t="s">
        <v>39</v>
      </c>
      <c r="K53" s="1" t="s">
        <v>4909</v>
      </c>
      <c r="L53" s="1" t="s">
        <v>311</v>
      </c>
      <c r="M53" s="1" t="s">
        <v>135</v>
      </c>
      <c r="N53" s="1" t="s">
        <v>61</v>
      </c>
    </row>
    <row r="54" spans="1:14" x14ac:dyDescent="0.25">
      <c r="A54" s="1" t="s">
        <v>47</v>
      </c>
      <c r="B54" s="1" t="s">
        <v>4996</v>
      </c>
      <c r="C54" s="1" t="s">
        <v>789</v>
      </c>
      <c r="D54" s="8" t="s">
        <v>788</v>
      </c>
      <c r="E54" s="1" t="s">
        <v>264</v>
      </c>
      <c r="F54" s="1" t="s">
        <v>6391</v>
      </c>
      <c r="G54" s="1" t="s">
        <v>4750</v>
      </c>
      <c r="H54" s="1" t="s">
        <v>4747</v>
      </c>
      <c r="I54" s="1" t="s">
        <v>4721</v>
      </c>
      <c r="J54" s="1" t="s">
        <v>12</v>
      </c>
      <c r="K54" s="1" t="s">
        <v>4903</v>
      </c>
      <c r="L54" s="1" t="s">
        <v>227</v>
      </c>
      <c r="M54" s="1" t="s">
        <v>613</v>
      </c>
      <c r="N54" s="1" t="s">
        <v>25</v>
      </c>
    </row>
    <row r="55" spans="1:14" x14ac:dyDescent="0.25">
      <c r="A55" s="1" t="s">
        <v>47</v>
      </c>
      <c r="B55" s="1" t="s">
        <v>5169</v>
      </c>
      <c r="C55" s="1" t="s">
        <v>4441</v>
      </c>
      <c r="D55" s="8" t="s">
        <v>4440</v>
      </c>
      <c r="E55" s="1" t="s">
        <v>601</v>
      </c>
      <c r="F55" s="1" t="s">
        <v>6401</v>
      </c>
      <c r="G55" s="1" t="s">
        <v>4746</v>
      </c>
      <c r="H55" s="1" t="s">
        <v>4747</v>
      </c>
      <c r="I55" s="1" t="s">
        <v>4721</v>
      </c>
      <c r="J55" s="1" t="s">
        <v>12</v>
      </c>
      <c r="K55" s="1" t="s">
        <v>4810</v>
      </c>
      <c r="L55" s="1" t="s">
        <v>60</v>
      </c>
      <c r="M55" s="1" t="s">
        <v>172</v>
      </c>
      <c r="N55" s="1" t="s">
        <v>17</v>
      </c>
    </row>
    <row r="56" spans="1:14" x14ac:dyDescent="0.25">
      <c r="A56" s="1" t="s">
        <v>47</v>
      </c>
      <c r="B56" s="1" t="s">
        <v>5170</v>
      </c>
      <c r="C56" s="1" t="s">
        <v>3383</v>
      </c>
      <c r="D56" s="8" t="s">
        <v>3382</v>
      </c>
      <c r="E56" s="1" t="s">
        <v>49</v>
      </c>
      <c r="F56" s="1" t="s">
        <v>6402</v>
      </c>
      <c r="G56" s="1" t="s">
        <v>4746</v>
      </c>
      <c r="H56" s="1" t="s">
        <v>4747</v>
      </c>
      <c r="I56" s="1" t="s">
        <v>4721</v>
      </c>
      <c r="J56" s="1" t="s">
        <v>12</v>
      </c>
      <c r="K56" s="1" t="s">
        <v>4860</v>
      </c>
      <c r="L56" s="1" t="s">
        <v>48</v>
      </c>
      <c r="M56" s="1" t="s">
        <v>630</v>
      </c>
      <c r="N56" s="1" t="s">
        <v>21</v>
      </c>
    </row>
    <row r="57" spans="1:14" x14ac:dyDescent="0.25">
      <c r="A57" s="1" t="s">
        <v>47</v>
      </c>
      <c r="B57" s="1" t="s">
        <v>4997</v>
      </c>
      <c r="C57" s="1" t="s">
        <v>1930</v>
      </c>
      <c r="D57" s="8" t="s">
        <v>1929</v>
      </c>
      <c r="E57" s="1" t="s">
        <v>269</v>
      </c>
      <c r="F57" s="1" t="s">
        <v>6401</v>
      </c>
      <c r="G57" s="1" t="s">
        <v>4746</v>
      </c>
      <c r="H57" s="1" t="s">
        <v>4747</v>
      </c>
      <c r="I57" s="1" t="s">
        <v>4721</v>
      </c>
      <c r="J57" s="1" t="s">
        <v>12</v>
      </c>
      <c r="K57" s="1" t="s">
        <v>4810</v>
      </c>
      <c r="L57" s="1" t="s">
        <v>227</v>
      </c>
      <c r="M57" s="1" t="s">
        <v>172</v>
      </c>
      <c r="N57" s="1" t="s">
        <v>17</v>
      </c>
    </row>
    <row r="58" spans="1:14" x14ac:dyDescent="0.25">
      <c r="A58" s="1" t="s">
        <v>47</v>
      </c>
      <c r="B58" s="1" t="s">
        <v>5171</v>
      </c>
      <c r="C58" s="1" t="s">
        <v>3371</v>
      </c>
      <c r="D58" s="8" t="s">
        <v>3370</v>
      </c>
      <c r="E58" s="1" t="s">
        <v>49</v>
      </c>
      <c r="F58" s="1" t="s">
        <v>6402</v>
      </c>
      <c r="G58" s="1" t="s">
        <v>4746</v>
      </c>
      <c r="H58" s="1" t="s">
        <v>4747</v>
      </c>
      <c r="I58" s="1" t="s">
        <v>4721</v>
      </c>
      <c r="J58" s="1" t="s">
        <v>12</v>
      </c>
      <c r="K58" s="1" t="s">
        <v>4860</v>
      </c>
      <c r="L58" s="1" t="s">
        <v>48</v>
      </c>
      <c r="M58" s="1" t="s">
        <v>364</v>
      </c>
      <c r="N58" s="1" t="s">
        <v>37</v>
      </c>
    </row>
    <row r="59" spans="1:14" x14ac:dyDescent="0.25">
      <c r="A59" s="1" t="s">
        <v>47</v>
      </c>
      <c r="B59" s="1" t="s">
        <v>5172</v>
      </c>
      <c r="C59" s="1" t="s">
        <v>4727</v>
      </c>
      <c r="D59" s="8" t="s">
        <v>4726</v>
      </c>
      <c r="E59" s="1" t="s">
        <v>244</v>
      </c>
      <c r="F59" s="1" t="s">
        <v>6403</v>
      </c>
      <c r="G59" s="1" t="s">
        <v>4746</v>
      </c>
      <c r="H59" s="1" t="s">
        <v>4747</v>
      </c>
      <c r="I59" s="1" t="s">
        <v>4721</v>
      </c>
      <c r="J59" s="1" t="s">
        <v>39</v>
      </c>
      <c r="K59" s="1" t="s">
        <v>4778</v>
      </c>
      <c r="L59" s="1" t="s">
        <v>60</v>
      </c>
      <c r="M59" s="1" t="s">
        <v>136</v>
      </c>
      <c r="N59" s="1" t="s">
        <v>72</v>
      </c>
    </row>
    <row r="60" spans="1:14" x14ac:dyDescent="0.25">
      <c r="A60" s="1" t="s">
        <v>47</v>
      </c>
      <c r="B60" s="1" t="s">
        <v>5173</v>
      </c>
      <c r="C60" s="1" t="s">
        <v>2182</v>
      </c>
      <c r="D60" s="8" t="s">
        <v>2181</v>
      </c>
      <c r="E60" s="1" t="s">
        <v>244</v>
      </c>
      <c r="F60" s="1" t="s">
        <v>6403</v>
      </c>
      <c r="G60" s="1" t="s">
        <v>4746</v>
      </c>
      <c r="H60" s="1" t="s">
        <v>4747</v>
      </c>
      <c r="I60" s="1" t="s">
        <v>4721</v>
      </c>
      <c r="J60" s="1" t="s">
        <v>12</v>
      </c>
      <c r="K60" s="1" t="s">
        <v>4778</v>
      </c>
      <c r="L60" s="1" t="s">
        <v>60</v>
      </c>
      <c r="M60" s="1" t="s">
        <v>4780</v>
      </c>
      <c r="N60" s="1" t="s">
        <v>21</v>
      </c>
    </row>
    <row r="61" spans="1:14" x14ac:dyDescent="0.25">
      <c r="A61" s="1" t="s">
        <v>47</v>
      </c>
      <c r="B61" s="1" t="s">
        <v>5174</v>
      </c>
      <c r="C61" s="1" t="s">
        <v>3037</v>
      </c>
      <c r="D61" s="8" t="s">
        <v>3036</v>
      </c>
      <c r="E61" s="1" t="s">
        <v>350</v>
      </c>
      <c r="F61" s="1" t="s">
        <v>6404</v>
      </c>
      <c r="G61" s="1" t="s">
        <v>4748</v>
      </c>
      <c r="H61" s="1" t="s">
        <v>4747</v>
      </c>
      <c r="I61" s="1" t="s">
        <v>4721</v>
      </c>
      <c r="J61" s="1" t="s">
        <v>12</v>
      </c>
      <c r="K61" s="1" t="s">
        <v>4829</v>
      </c>
      <c r="L61" s="1" t="s">
        <v>227</v>
      </c>
      <c r="M61" s="1" t="s">
        <v>245</v>
      </c>
      <c r="N61" s="1" t="s">
        <v>21</v>
      </c>
    </row>
    <row r="62" spans="1:14" x14ac:dyDescent="0.25">
      <c r="A62" s="1" t="s">
        <v>47</v>
      </c>
      <c r="B62" s="1" t="s">
        <v>5005</v>
      </c>
      <c r="C62" s="1" t="s">
        <v>2623</v>
      </c>
      <c r="D62" s="8" t="s">
        <v>2622</v>
      </c>
      <c r="E62" s="1" t="s">
        <v>433</v>
      </c>
      <c r="F62" s="1" t="s">
        <v>6405</v>
      </c>
      <c r="G62" s="1" t="s">
        <v>4746</v>
      </c>
      <c r="H62" s="1" t="s">
        <v>4747</v>
      </c>
      <c r="I62" s="1" t="s">
        <v>4721</v>
      </c>
      <c r="J62" s="1" t="s">
        <v>12</v>
      </c>
      <c r="K62" s="1" t="s">
        <v>4779</v>
      </c>
      <c r="L62" s="1" t="s">
        <v>56</v>
      </c>
      <c r="M62" s="1" t="s">
        <v>58</v>
      </c>
      <c r="N62" s="1" t="s">
        <v>61</v>
      </c>
    </row>
    <row r="63" spans="1:14" x14ac:dyDescent="0.25">
      <c r="A63" s="1" t="s">
        <v>47</v>
      </c>
      <c r="B63" s="1" t="s">
        <v>5008</v>
      </c>
      <c r="C63" s="1" t="s">
        <v>3570</v>
      </c>
      <c r="D63" s="8" t="s">
        <v>3569</v>
      </c>
      <c r="E63" s="1" t="s">
        <v>67</v>
      </c>
      <c r="F63" s="1" t="s">
        <v>6406</v>
      </c>
      <c r="G63" s="1" t="s">
        <v>4748</v>
      </c>
      <c r="H63" s="1" t="s">
        <v>4747</v>
      </c>
      <c r="I63" s="1" t="s">
        <v>4722</v>
      </c>
      <c r="J63" s="1" t="s">
        <v>39</v>
      </c>
      <c r="K63" s="1" t="s">
        <v>4787</v>
      </c>
      <c r="L63" s="1" t="s">
        <v>66</v>
      </c>
      <c r="M63" s="1" t="s">
        <v>883</v>
      </c>
      <c r="N63" s="1" t="s">
        <v>21</v>
      </c>
    </row>
    <row r="64" spans="1:14" x14ac:dyDescent="0.25">
      <c r="A64" s="1" t="s">
        <v>47</v>
      </c>
      <c r="B64" s="1" t="s">
        <v>5177</v>
      </c>
      <c r="C64" s="1" t="s">
        <v>1010</v>
      </c>
      <c r="D64" s="8" t="s">
        <v>1009</v>
      </c>
      <c r="E64" s="1" t="s">
        <v>159</v>
      </c>
      <c r="F64" s="1" t="s">
        <v>6391</v>
      </c>
      <c r="G64" s="1" t="s">
        <v>4750</v>
      </c>
      <c r="H64" s="1" t="s">
        <v>4747</v>
      </c>
      <c r="I64" s="1" t="s">
        <v>4721</v>
      </c>
      <c r="J64" s="1" t="s">
        <v>12</v>
      </c>
      <c r="K64" s="1" t="s">
        <v>4809</v>
      </c>
      <c r="L64" s="1" t="s">
        <v>60</v>
      </c>
      <c r="M64" s="1" t="s">
        <v>99</v>
      </c>
      <c r="N64" s="1" t="s">
        <v>25</v>
      </c>
    </row>
    <row r="65" spans="1:14" x14ac:dyDescent="0.25">
      <c r="A65" s="1" t="s">
        <v>47</v>
      </c>
      <c r="B65" s="1" t="s">
        <v>5018</v>
      </c>
      <c r="C65" s="1" t="s">
        <v>1721</v>
      </c>
      <c r="D65" s="8" t="s">
        <v>1720</v>
      </c>
      <c r="E65" s="1" t="s">
        <v>181</v>
      </c>
      <c r="F65" s="1" t="s">
        <v>6395</v>
      </c>
      <c r="G65" s="1" t="s">
        <v>4748</v>
      </c>
      <c r="H65" s="1" t="s">
        <v>4747</v>
      </c>
      <c r="I65" s="1" t="s">
        <v>4721</v>
      </c>
      <c r="J65" s="1" t="s">
        <v>12</v>
      </c>
      <c r="K65" s="1" t="s">
        <v>4792</v>
      </c>
      <c r="L65" s="1" t="s">
        <v>66</v>
      </c>
      <c r="M65" s="1" t="s">
        <v>245</v>
      </c>
      <c r="N65" s="1" t="s">
        <v>21</v>
      </c>
    </row>
    <row r="66" spans="1:14" x14ac:dyDescent="0.25">
      <c r="A66" s="1" t="s">
        <v>47</v>
      </c>
      <c r="B66" s="1" t="s">
        <v>5188</v>
      </c>
      <c r="C66" s="1" t="s">
        <v>807</v>
      </c>
      <c r="D66" s="8" t="s">
        <v>806</v>
      </c>
      <c r="E66" s="1" t="s">
        <v>225</v>
      </c>
      <c r="F66" s="1" t="s">
        <v>4751</v>
      </c>
      <c r="G66" s="1" t="s">
        <v>4748</v>
      </c>
      <c r="H66" s="1" t="s">
        <v>4747</v>
      </c>
      <c r="I66" s="1" t="s">
        <v>6407</v>
      </c>
      <c r="J66" s="1" t="s">
        <v>39</v>
      </c>
      <c r="K66" s="1" t="s">
        <v>4844</v>
      </c>
      <c r="L66" s="1" t="s">
        <v>224</v>
      </c>
      <c r="M66" s="1" t="s">
        <v>245</v>
      </c>
      <c r="N66" s="1" t="s">
        <v>21</v>
      </c>
    </row>
    <row r="67" spans="1:14" x14ac:dyDescent="0.25">
      <c r="A67" s="1" t="s">
        <v>47</v>
      </c>
      <c r="B67" s="1" t="s">
        <v>5026</v>
      </c>
      <c r="C67" s="1" t="s">
        <v>2874</v>
      </c>
      <c r="D67" s="8" t="s">
        <v>2873</v>
      </c>
      <c r="E67" s="1" t="s">
        <v>142</v>
      </c>
      <c r="F67" s="1" t="s">
        <v>6396</v>
      </c>
      <c r="G67" s="1" t="s">
        <v>4748</v>
      </c>
      <c r="H67" s="1" t="s">
        <v>4747</v>
      </c>
      <c r="I67" s="1" t="s">
        <v>4721</v>
      </c>
      <c r="J67" s="1" t="s">
        <v>12</v>
      </c>
      <c r="K67" s="1" t="s">
        <v>4845</v>
      </c>
      <c r="L67" s="1" t="s">
        <v>141</v>
      </c>
      <c r="M67" s="1" t="s">
        <v>58</v>
      </c>
      <c r="N67" s="1" t="s">
        <v>61</v>
      </c>
    </row>
    <row r="68" spans="1:14" x14ac:dyDescent="0.25">
      <c r="A68" s="1" t="s">
        <v>47</v>
      </c>
      <c r="B68" s="1" t="s">
        <v>5194</v>
      </c>
      <c r="C68" s="1" t="s">
        <v>774</v>
      </c>
      <c r="D68" s="8" t="s">
        <v>773</v>
      </c>
      <c r="E68" s="1" t="s">
        <v>159</v>
      </c>
      <c r="F68" s="1" t="s">
        <v>6391</v>
      </c>
      <c r="G68" s="1" t="s">
        <v>4750</v>
      </c>
      <c r="H68" s="1" t="s">
        <v>4747</v>
      </c>
      <c r="I68" s="1" t="s">
        <v>4721</v>
      </c>
      <c r="J68" s="1" t="s">
        <v>12</v>
      </c>
      <c r="K68" s="1" t="s">
        <v>4809</v>
      </c>
      <c r="L68" s="1" t="s">
        <v>60</v>
      </c>
      <c r="M68" s="1" t="s">
        <v>99</v>
      </c>
      <c r="N68" s="1" t="s">
        <v>25</v>
      </c>
    </row>
    <row r="69" spans="1:14" x14ac:dyDescent="0.25">
      <c r="A69" s="1" t="s">
        <v>47</v>
      </c>
      <c r="B69" s="1" t="s">
        <v>5027</v>
      </c>
      <c r="C69" s="1" t="s">
        <v>1967</v>
      </c>
      <c r="D69" s="8" t="s">
        <v>1966</v>
      </c>
      <c r="E69" s="1" t="s">
        <v>1112</v>
      </c>
      <c r="F69" s="1" t="s">
        <v>6408</v>
      </c>
      <c r="G69" s="1" t="s">
        <v>4748</v>
      </c>
      <c r="H69" s="1" t="s">
        <v>4747</v>
      </c>
      <c r="I69" s="1" t="s">
        <v>4721</v>
      </c>
      <c r="J69" s="1" t="s">
        <v>12</v>
      </c>
      <c r="K69" s="1" t="s">
        <v>4817</v>
      </c>
      <c r="L69" s="1" t="s">
        <v>224</v>
      </c>
      <c r="M69" s="1" t="s">
        <v>883</v>
      </c>
      <c r="N69" s="1" t="s">
        <v>21</v>
      </c>
    </row>
    <row r="70" spans="1:14" x14ac:dyDescent="0.25">
      <c r="A70" s="1" t="s">
        <v>47</v>
      </c>
      <c r="B70" s="1" t="s">
        <v>5200</v>
      </c>
      <c r="C70" s="1" t="s">
        <v>798</v>
      </c>
      <c r="D70" s="8" t="s">
        <v>797</v>
      </c>
      <c r="E70" s="1" t="s">
        <v>159</v>
      </c>
      <c r="F70" s="1" t="s">
        <v>6391</v>
      </c>
      <c r="G70" s="1" t="s">
        <v>4750</v>
      </c>
      <c r="H70" s="1" t="s">
        <v>4747</v>
      </c>
      <c r="I70" s="1" t="s">
        <v>4721</v>
      </c>
      <c r="J70" s="1" t="s">
        <v>12</v>
      </c>
      <c r="K70" s="1" t="s">
        <v>4809</v>
      </c>
      <c r="L70" s="1" t="s">
        <v>60</v>
      </c>
      <c r="M70" s="1" t="s">
        <v>99</v>
      </c>
      <c r="N70" s="1" t="s">
        <v>25</v>
      </c>
    </row>
    <row r="71" spans="1:14" x14ac:dyDescent="0.25">
      <c r="A71" s="1" t="s">
        <v>47</v>
      </c>
      <c r="B71" s="1" t="s">
        <v>5030</v>
      </c>
      <c r="C71" s="1" t="s">
        <v>4096</v>
      </c>
      <c r="D71" s="8" t="s">
        <v>4095</v>
      </c>
      <c r="E71" s="1" t="s">
        <v>225</v>
      </c>
      <c r="F71" s="1" t="s">
        <v>6409</v>
      </c>
      <c r="G71" s="1" t="s">
        <v>6410</v>
      </c>
      <c r="H71" s="1" t="s">
        <v>4747</v>
      </c>
      <c r="I71" s="1" t="s">
        <v>4721</v>
      </c>
      <c r="J71" s="1" t="s">
        <v>12</v>
      </c>
      <c r="K71" s="1" t="s">
        <v>4866</v>
      </c>
      <c r="L71" s="1" t="s">
        <v>224</v>
      </c>
      <c r="M71" s="1" t="s">
        <v>41</v>
      </c>
      <c r="N71" s="1" t="s">
        <v>42</v>
      </c>
    </row>
    <row r="72" spans="1:14" x14ac:dyDescent="0.25">
      <c r="A72" s="1" t="s">
        <v>47</v>
      </c>
      <c r="B72" s="1" t="s">
        <v>5203</v>
      </c>
      <c r="C72" s="1" t="s">
        <v>3915</v>
      </c>
      <c r="D72" s="8" t="s">
        <v>3914</v>
      </c>
      <c r="E72" s="1" t="s">
        <v>601</v>
      </c>
      <c r="F72" s="1" t="s">
        <v>6403</v>
      </c>
      <c r="G72" s="1" t="s">
        <v>4746</v>
      </c>
      <c r="H72" s="1" t="s">
        <v>4747</v>
      </c>
      <c r="I72" s="1" t="s">
        <v>4721</v>
      </c>
      <c r="J72" s="1" t="s">
        <v>12</v>
      </c>
      <c r="K72" s="1" t="s">
        <v>4778</v>
      </c>
      <c r="L72" s="1" t="s">
        <v>60</v>
      </c>
      <c r="M72" s="1" t="s">
        <v>4780</v>
      </c>
      <c r="N72" s="1" t="s">
        <v>21</v>
      </c>
    </row>
    <row r="73" spans="1:14" x14ac:dyDescent="0.25">
      <c r="A73" s="1" t="s">
        <v>47</v>
      </c>
      <c r="B73" s="1" t="s">
        <v>5033</v>
      </c>
      <c r="C73" s="1" t="s">
        <v>2909</v>
      </c>
      <c r="D73" s="8" t="s">
        <v>2908</v>
      </c>
      <c r="E73" s="1" t="s">
        <v>511</v>
      </c>
      <c r="F73" s="1" t="s">
        <v>4752</v>
      </c>
      <c r="G73" s="1" t="s">
        <v>4746</v>
      </c>
      <c r="H73" s="1" t="s">
        <v>4747</v>
      </c>
      <c r="I73" s="1" t="s">
        <v>4721</v>
      </c>
      <c r="J73" s="1" t="s">
        <v>12</v>
      </c>
      <c r="K73" s="1" t="s">
        <v>4861</v>
      </c>
      <c r="L73" s="1" t="s">
        <v>48</v>
      </c>
      <c r="M73" s="1" t="s">
        <v>637</v>
      </c>
      <c r="N73" s="1" t="s">
        <v>19</v>
      </c>
    </row>
    <row r="74" spans="1:14" x14ac:dyDescent="0.25">
      <c r="A74" s="1" t="s">
        <v>47</v>
      </c>
      <c r="B74" s="1" t="s">
        <v>5587</v>
      </c>
      <c r="C74" s="1" t="s">
        <v>2122</v>
      </c>
      <c r="D74" s="8" t="s">
        <v>2121</v>
      </c>
      <c r="E74" s="1" t="s">
        <v>341</v>
      </c>
      <c r="F74" s="1" t="s">
        <v>6411</v>
      </c>
      <c r="G74" s="1" t="s">
        <v>4746</v>
      </c>
      <c r="H74" s="1" t="s">
        <v>4747</v>
      </c>
      <c r="I74" s="1" t="s">
        <v>4721</v>
      </c>
      <c r="J74" s="1" t="s">
        <v>39</v>
      </c>
      <c r="K74" s="1" t="s">
        <v>4866</v>
      </c>
      <c r="L74" s="1" t="s">
        <v>56</v>
      </c>
      <c r="M74" s="1" t="s">
        <v>136</v>
      </c>
      <c r="N74" s="1" t="s">
        <v>72</v>
      </c>
    </row>
    <row r="75" spans="1:14" x14ac:dyDescent="0.25">
      <c r="A75" s="1" t="s">
        <v>47</v>
      </c>
      <c r="B75" s="1" t="s">
        <v>5593</v>
      </c>
      <c r="C75" s="1" t="s">
        <v>4111</v>
      </c>
      <c r="D75" s="8" t="s">
        <v>4110</v>
      </c>
      <c r="E75" s="1" t="s">
        <v>142</v>
      </c>
      <c r="F75" s="1" t="s">
        <v>6409</v>
      </c>
      <c r="G75" s="1" t="s">
        <v>6410</v>
      </c>
      <c r="H75" s="1" t="s">
        <v>4747</v>
      </c>
      <c r="I75" s="1" t="s">
        <v>4721</v>
      </c>
      <c r="J75" s="1" t="s">
        <v>12</v>
      </c>
      <c r="K75" s="1" t="s">
        <v>4845</v>
      </c>
      <c r="L75" s="1" t="s">
        <v>141</v>
      </c>
      <c r="M75" s="1" t="s">
        <v>41</v>
      </c>
      <c r="N75" s="1" t="s">
        <v>42</v>
      </c>
    </row>
    <row r="76" spans="1:14" x14ac:dyDescent="0.25">
      <c r="A76" s="1" t="s">
        <v>47</v>
      </c>
      <c r="B76" s="1" t="s">
        <v>5039</v>
      </c>
      <c r="C76" s="1" t="s">
        <v>2146</v>
      </c>
      <c r="D76" s="8" t="s">
        <v>2145</v>
      </c>
      <c r="E76" s="1" t="s">
        <v>244</v>
      </c>
      <c r="F76" s="1" t="s">
        <v>6403</v>
      </c>
      <c r="G76" s="1" t="s">
        <v>4746</v>
      </c>
      <c r="H76" s="1" t="s">
        <v>4747</v>
      </c>
      <c r="I76" s="1" t="s">
        <v>4721</v>
      </c>
      <c r="J76" s="1" t="s">
        <v>12</v>
      </c>
      <c r="K76" s="1" t="s">
        <v>4778</v>
      </c>
      <c r="L76" s="1" t="s">
        <v>60</v>
      </c>
      <c r="M76" s="1" t="s">
        <v>883</v>
      </c>
      <c r="N76" s="1" t="s">
        <v>21</v>
      </c>
    </row>
    <row r="77" spans="1:14" x14ac:dyDescent="0.25">
      <c r="A77" s="1" t="s">
        <v>47</v>
      </c>
      <c r="B77" s="1" t="s">
        <v>5595</v>
      </c>
      <c r="C77" s="1" t="s">
        <v>2942</v>
      </c>
      <c r="D77" s="8" t="s">
        <v>2941</v>
      </c>
      <c r="E77" s="1" t="s">
        <v>464</v>
      </c>
      <c r="F77" s="1" t="s">
        <v>4752</v>
      </c>
      <c r="G77" s="1" t="s">
        <v>4746</v>
      </c>
      <c r="H77" s="1" t="s">
        <v>4747</v>
      </c>
      <c r="I77" s="1" t="s">
        <v>4721</v>
      </c>
      <c r="J77" s="1" t="s">
        <v>12</v>
      </c>
      <c r="K77" s="1" t="s">
        <v>4861</v>
      </c>
      <c r="L77" s="1" t="s">
        <v>48</v>
      </c>
      <c r="M77" s="1" t="s">
        <v>5594</v>
      </c>
      <c r="N77" s="1" t="s">
        <v>19</v>
      </c>
    </row>
    <row r="78" spans="1:14" x14ac:dyDescent="0.25">
      <c r="A78" s="1" t="s">
        <v>47</v>
      </c>
      <c r="B78" s="1" t="s">
        <v>5040</v>
      </c>
      <c r="C78" s="1" t="s">
        <v>4248</v>
      </c>
      <c r="D78" s="8" t="s">
        <v>4247</v>
      </c>
      <c r="E78" s="1" t="s">
        <v>2862</v>
      </c>
      <c r="F78" s="1" t="s">
        <v>6396</v>
      </c>
      <c r="G78" s="1" t="s">
        <v>4748</v>
      </c>
      <c r="H78" s="1" t="s">
        <v>4747</v>
      </c>
      <c r="I78" s="1" t="s">
        <v>4722</v>
      </c>
      <c r="J78" s="1" t="s">
        <v>39</v>
      </c>
      <c r="K78" s="1" t="s">
        <v>4845</v>
      </c>
      <c r="L78" s="1" t="s">
        <v>141</v>
      </c>
      <c r="M78" s="1" t="s">
        <v>99</v>
      </c>
      <c r="N78" s="1" t="s">
        <v>25</v>
      </c>
    </row>
    <row r="79" spans="1:14" x14ac:dyDescent="0.25">
      <c r="A79" s="1" t="s">
        <v>47</v>
      </c>
      <c r="B79" s="1" t="s">
        <v>5042</v>
      </c>
      <c r="C79" s="1" t="s">
        <v>2924</v>
      </c>
      <c r="D79" s="8" t="s">
        <v>2923</v>
      </c>
      <c r="E79" s="1" t="s">
        <v>511</v>
      </c>
      <c r="F79" s="1" t="s">
        <v>4752</v>
      </c>
      <c r="G79" s="1" t="s">
        <v>4746</v>
      </c>
      <c r="H79" s="1" t="s">
        <v>4747</v>
      </c>
      <c r="I79" s="1" t="s">
        <v>4721</v>
      </c>
      <c r="J79" s="1" t="s">
        <v>12</v>
      </c>
      <c r="K79" s="1" t="s">
        <v>4861</v>
      </c>
      <c r="L79" s="1" t="s">
        <v>48</v>
      </c>
      <c r="M79" s="1" t="s">
        <v>637</v>
      </c>
      <c r="N79" s="1" t="s">
        <v>19</v>
      </c>
    </row>
    <row r="80" spans="1:14" x14ac:dyDescent="0.25">
      <c r="A80" s="1" t="s">
        <v>47</v>
      </c>
      <c r="B80" s="1" t="s">
        <v>5601</v>
      </c>
      <c r="C80" s="1" t="s">
        <v>2889</v>
      </c>
      <c r="D80" s="8" t="s">
        <v>2888</v>
      </c>
      <c r="E80" s="1" t="s">
        <v>464</v>
      </c>
      <c r="F80" s="1" t="s">
        <v>4752</v>
      </c>
      <c r="G80" s="1" t="s">
        <v>4746</v>
      </c>
      <c r="H80" s="1" t="s">
        <v>4747</v>
      </c>
      <c r="I80" s="1" t="s">
        <v>4721</v>
      </c>
      <c r="J80" s="1" t="s">
        <v>12</v>
      </c>
      <c r="K80" s="1" t="s">
        <v>4861</v>
      </c>
      <c r="L80" s="1" t="s">
        <v>48</v>
      </c>
      <c r="M80" s="1" t="s">
        <v>5594</v>
      </c>
      <c r="N80" s="1" t="s">
        <v>19</v>
      </c>
    </row>
    <row r="81" spans="1:14" x14ac:dyDescent="0.25">
      <c r="A81" s="1" t="s">
        <v>47</v>
      </c>
      <c r="B81" s="1" t="s">
        <v>5046</v>
      </c>
      <c r="C81" s="1" t="s">
        <v>2779</v>
      </c>
      <c r="D81" s="8" t="s">
        <v>2777</v>
      </c>
      <c r="E81" s="1" t="s">
        <v>244</v>
      </c>
      <c r="F81" s="1" t="s">
        <v>6412</v>
      </c>
      <c r="G81" s="1" t="s">
        <v>6399</v>
      </c>
      <c r="H81" s="1" t="s">
        <v>6400</v>
      </c>
      <c r="I81" s="1" t="s">
        <v>4721</v>
      </c>
      <c r="J81" s="1" t="s">
        <v>39</v>
      </c>
      <c r="K81" s="1" t="s">
        <v>4907</v>
      </c>
      <c r="L81" s="1" t="s">
        <v>60</v>
      </c>
      <c r="M81" s="1" t="s">
        <v>149</v>
      </c>
      <c r="N81" s="1" t="s">
        <v>61</v>
      </c>
    </row>
    <row r="82" spans="1:14" x14ac:dyDescent="0.25">
      <c r="A82" s="1" t="s">
        <v>47</v>
      </c>
      <c r="B82" s="1" t="s">
        <v>5048</v>
      </c>
      <c r="C82" s="1" t="s">
        <v>4114</v>
      </c>
      <c r="D82" s="8" t="s">
        <v>4113</v>
      </c>
      <c r="E82" s="1" t="s">
        <v>350</v>
      </c>
      <c r="F82" s="1" t="s">
        <v>6409</v>
      </c>
      <c r="G82" s="1" t="s">
        <v>6410</v>
      </c>
      <c r="H82" s="1" t="s">
        <v>4747</v>
      </c>
      <c r="I82" s="1" t="s">
        <v>4721</v>
      </c>
      <c r="J82" s="1" t="s">
        <v>12</v>
      </c>
      <c r="K82" s="1" t="s">
        <v>4844</v>
      </c>
      <c r="L82" s="1" t="s">
        <v>227</v>
      </c>
      <c r="M82" s="1" t="s">
        <v>41</v>
      </c>
      <c r="N82" s="1" t="s">
        <v>42</v>
      </c>
    </row>
    <row r="83" spans="1:14" x14ac:dyDescent="0.25">
      <c r="A83" s="1" t="s">
        <v>47</v>
      </c>
      <c r="B83" s="1" t="s">
        <v>5603</v>
      </c>
      <c r="C83" s="1" t="s">
        <v>2837</v>
      </c>
      <c r="D83" s="8" t="s">
        <v>2836</v>
      </c>
      <c r="E83" s="1" t="s">
        <v>312</v>
      </c>
      <c r="F83" s="1" t="s">
        <v>6396</v>
      </c>
      <c r="G83" s="1" t="s">
        <v>4748</v>
      </c>
      <c r="H83" s="1" t="s">
        <v>4747</v>
      </c>
      <c r="I83" s="1" t="s">
        <v>4722</v>
      </c>
      <c r="J83" s="1" t="s">
        <v>39</v>
      </c>
      <c r="K83" s="1" t="s">
        <v>4845</v>
      </c>
      <c r="L83" s="1" t="s">
        <v>311</v>
      </c>
      <c r="M83" s="1" t="s">
        <v>883</v>
      </c>
      <c r="N83" s="1" t="s">
        <v>21</v>
      </c>
    </row>
    <row r="84" spans="1:14" x14ac:dyDescent="0.25">
      <c r="A84" s="1" t="s">
        <v>47</v>
      </c>
      <c r="B84" s="1" t="s">
        <v>5049</v>
      </c>
      <c r="C84" s="1" t="s">
        <v>2834</v>
      </c>
      <c r="D84" s="8" t="s">
        <v>2833</v>
      </c>
      <c r="E84" s="1" t="s">
        <v>312</v>
      </c>
      <c r="F84" s="1" t="s">
        <v>6396</v>
      </c>
      <c r="G84" s="1" t="s">
        <v>4748</v>
      </c>
      <c r="H84" s="1" t="s">
        <v>4747</v>
      </c>
      <c r="I84" s="1" t="s">
        <v>4721</v>
      </c>
      <c r="J84" s="1" t="s">
        <v>12</v>
      </c>
      <c r="K84" s="1" t="s">
        <v>4845</v>
      </c>
      <c r="L84" s="1" t="s">
        <v>311</v>
      </c>
      <c r="M84" s="1" t="s">
        <v>883</v>
      </c>
      <c r="N84" s="1" t="s">
        <v>21</v>
      </c>
    </row>
    <row r="85" spans="1:14" x14ac:dyDescent="0.25">
      <c r="A85" s="1" t="s">
        <v>47</v>
      </c>
      <c r="B85" s="1" t="s">
        <v>5604</v>
      </c>
      <c r="C85" s="1" t="s">
        <v>367</v>
      </c>
      <c r="D85" s="8" t="s">
        <v>366</v>
      </c>
      <c r="E85" s="1" t="s">
        <v>368</v>
      </c>
      <c r="F85" s="1" t="s">
        <v>4749</v>
      </c>
      <c r="G85" s="1" t="s">
        <v>4750</v>
      </c>
      <c r="H85" s="1" t="s">
        <v>4747</v>
      </c>
      <c r="I85" s="1" t="s">
        <v>4721</v>
      </c>
      <c r="J85" s="1" t="s">
        <v>12</v>
      </c>
      <c r="K85" s="1" t="s">
        <v>4817</v>
      </c>
      <c r="L85" s="1" t="s">
        <v>227</v>
      </c>
      <c r="M85" s="1" t="s">
        <v>245</v>
      </c>
      <c r="N85" s="1" t="s">
        <v>21</v>
      </c>
    </row>
    <row r="86" spans="1:14" x14ac:dyDescent="0.25">
      <c r="A86" s="1" t="s">
        <v>47</v>
      </c>
      <c r="B86" s="1" t="s">
        <v>5605</v>
      </c>
      <c r="C86" s="1" t="s">
        <v>3281</v>
      </c>
      <c r="D86" s="8" t="s">
        <v>3280</v>
      </c>
      <c r="E86" s="1" t="s">
        <v>159</v>
      </c>
      <c r="F86" s="1" t="s">
        <v>6392</v>
      </c>
      <c r="G86" s="1" t="s">
        <v>4750</v>
      </c>
      <c r="H86" s="1" t="s">
        <v>4747</v>
      </c>
      <c r="I86" s="1" t="s">
        <v>4721</v>
      </c>
      <c r="J86" s="1" t="s">
        <v>12</v>
      </c>
      <c r="K86" s="1" t="s">
        <v>4807</v>
      </c>
      <c r="L86" s="1" t="s">
        <v>60</v>
      </c>
      <c r="M86" s="1" t="s">
        <v>99</v>
      </c>
      <c r="N86" s="1" t="s">
        <v>25</v>
      </c>
    </row>
    <row r="87" spans="1:14" x14ac:dyDescent="0.25">
      <c r="A87" s="1" t="s">
        <v>47</v>
      </c>
      <c r="B87" s="1" t="s">
        <v>5606</v>
      </c>
      <c r="C87" s="1" t="s">
        <v>4429</v>
      </c>
      <c r="D87" s="8" t="s">
        <v>4428</v>
      </c>
      <c r="E87" s="1" t="s">
        <v>464</v>
      </c>
      <c r="F87" s="1" t="s">
        <v>6401</v>
      </c>
      <c r="G87" s="1" t="s">
        <v>4746</v>
      </c>
      <c r="H87" s="1" t="s">
        <v>4747</v>
      </c>
      <c r="I87" s="1" t="s">
        <v>4721</v>
      </c>
      <c r="J87" s="1" t="s">
        <v>12</v>
      </c>
      <c r="K87" s="1" t="s">
        <v>4786</v>
      </c>
      <c r="L87" s="1" t="s">
        <v>48</v>
      </c>
      <c r="M87" s="1" t="s">
        <v>172</v>
      </c>
      <c r="N87" s="1" t="s">
        <v>17</v>
      </c>
    </row>
    <row r="88" spans="1:14" x14ac:dyDescent="0.25">
      <c r="A88" s="1" t="s">
        <v>47</v>
      </c>
      <c r="B88" s="1" t="s">
        <v>5050</v>
      </c>
      <c r="C88" s="1" t="s">
        <v>450</v>
      </c>
      <c r="D88" s="8" t="s">
        <v>449</v>
      </c>
      <c r="E88" s="1" t="s">
        <v>49</v>
      </c>
      <c r="F88" s="1" t="s">
        <v>6409</v>
      </c>
      <c r="G88" s="1" t="s">
        <v>6410</v>
      </c>
      <c r="H88" s="1" t="s">
        <v>4747</v>
      </c>
      <c r="I88" s="1" t="s">
        <v>4721</v>
      </c>
      <c r="J88" s="1" t="s">
        <v>12</v>
      </c>
      <c r="K88" s="1" t="s">
        <v>4860</v>
      </c>
      <c r="L88" s="1" t="s">
        <v>48</v>
      </c>
      <c r="M88" s="1" t="s">
        <v>41</v>
      </c>
      <c r="N88" s="1" t="s">
        <v>42</v>
      </c>
    </row>
    <row r="89" spans="1:14" x14ac:dyDescent="0.25">
      <c r="A89" s="1" t="s">
        <v>47</v>
      </c>
      <c r="B89" s="1" t="s">
        <v>5051</v>
      </c>
      <c r="C89" s="1" t="s">
        <v>3308</v>
      </c>
      <c r="D89" s="8" t="s">
        <v>3307</v>
      </c>
      <c r="E89" s="1" t="s">
        <v>49</v>
      </c>
      <c r="F89" s="1" t="s">
        <v>6402</v>
      </c>
      <c r="G89" s="1" t="s">
        <v>4746</v>
      </c>
      <c r="H89" s="1" t="s">
        <v>4747</v>
      </c>
      <c r="I89" s="1" t="s">
        <v>4721</v>
      </c>
      <c r="J89" s="1" t="s">
        <v>12</v>
      </c>
      <c r="K89" s="1" t="s">
        <v>4860</v>
      </c>
      <c r="L89" s="1" t="s">
        <v>48</v>
      </c>
      <c r="M89" s="1" t="s">
        <v>637</v>
      </c>
      <c r="N89" s="1" t="s">
        <v>19</v>
      </c>
    </row>
    <row r="90" spans="1:14" x14ac:dyDescent="0.25">
      <c r="A90" s="1" t="s">
        <v>47</v>
      </c>
      <c r="B90" s="1" t="s">
        <v>5608</v>
      </c>
      <c r="C90" s="1" t="s">
        <v>4191</v>
      </c>
      <c r="D90" s="8" t="s">
        <v>4190</v>
      </c>
      <c r="E90" s="1" t="s">
        <v>303</v>
      </c>
      <c r="F90" s="1" t="s">
        <v>6397</v>
      </c>
      <c r="G90" s="1" t="s">
        <v>4746</v>
      </c>
      <c r="H90" s="1" t="s">
        <v>4747</v>
      </c>
      <c r="I90" s="1" t="s">
        <v>4722</v>
      </c>
      <c r="J90" s="1" t="s">
        <v>39</v>
      </c>
      <c r="K90" s="1" t="s">
        <v>4813</v>
      </c>
      <c r="L90" s="1" t="s">
        <v>60</v>
      </c>
      <c r="M90" s="1" t="s">
        <v>245</v>
      </c>
      <c r="N90" s="1" t="s">
        <v>21</v>
      </c>
    </row>
    <row r="91" spans="1:14" x14ac:dyDescent="0.25">
      <c r="A91" s="1" t="s">
        <v>47</v>
      </c>
      <c r="B91" s="1" t="s">
        <v>5053</v>
      </c>
      <c r="C91" s="1" t="s">
        <v>683</v>
      </c>
      <c r="D91" s="8" t="s">
        <v>682</v>
      </c>
      <c r="E91" s="1" t="s">
        <v>98</v>
      </c>
      <c r="F91" s="1" t="s">
        <v>6391</v>
      </c>
      <c r="G91" s="1" t="s">
        <v>4750</v>
      </c>
      <c r="H91" s="1" t="s">
        <v>4747</v>
      </c>
      <c r="I91" s="1" t="s">
        <v>4721</v>
      </c>
      <c r="J91" s="1" t="s">
        <v>12</v>
      </c>
      <c r="K91" s="1" t="s">
        <v>4809</v>
      </c>
      <c r="L91" s="1" t="s">
        <v>56</v>
      </c>
      <c r="M91" s="1" t="s">
        <v>613</v>
      </c>
      <c r="N91" s="1" t="s">
        <v>25</v>
      </c>
    </row>
    <row r="92" spans="1:14" x14ac:dyDescent="0.25">
      <c r="A92" s="1" t="s">
        <v>47</v>
      </c>
      <c r="B92" s="1" t="s">
        <v>5054</v>
      </c>
      <c r="C92" s="1" t="s">
        <v>2110</v>
      </c>
      <c r="D92" s="8" t="s">
        <v>2109</v>
      </c>
      <c r="E92" s="1" t="s">
        <v>2104</v>
      </c>
      <c r="F92" s="1" t="s">
        <v>6411</v>
      </c>
      <c r="G92" s="1" t="s">
        <v>4746</v>
      </c>
      <c r="H92" s="1" t="s">
        <v>4747</v>
      </c>
      <c r="I92" s="1" t="s">
        <v>4721</v>
      </c>
      <c r="J92" s="1" t="s">
        <v>12</v>
      </c>
      <c r="K92" s="1" t="s">
        <v>4866</v>
      </c>
      <c r="L92" s="1" t="s">
        <v>56</v>
      </c>
      <c r="M92" s="1" t="s">
        <v>58</v>
      </c>
      <c r="N92" s="1" t="s">
        <v>61</v>
      </c>
    </row>
    <row r="93" spans="1:14" x14ac:dyDescent="0.25">
      <c r="A93" s="1" t="s">
        <v>47</v>
      </c>
      <c r="B93" s="1" t="s">
        <v>5610</v>
      </c>
      <c r="C93" s="1" t="s">
        <v>662</v>
      </c>
      <c r="D93" s="8" t="s">
        <v>661</v>
      </c>
      <c r="E93" s="1" t="s">
        <v>159</v>
      </c>
      <c r="F93" s="1" t="s">
        <v>6391</v>
      </c>
      <c r="G93" s="1" t="s">
        <v>4750</v>
      </c>
      <c r="H93" s="1" t="s">
        <v>4747</v>
      </c>
      <c r="I93" s="1" t="s">
        <v>4721</v>
      </c>
      <c r="J93" s="1" t="s">
        <v>12</v>
      </c>
      <c r="K93" s="1" t="s">
        <v>4809</v>
      </c>
      <c r="L93" s="1" t="s">
        <v>60</v>
      </c>
      <c r="M93" s="1" t="s">
        <v>99</v>
      </c>
      <c r="N93" s="1" t="s">
        <v>25</v>
      </c>
    </row>
    <row r="94" spans="1:14" x14ac:dyDescent="0.25">
      <c r="A94" s="1" t="s">
        <v>47</v>
      </c>
      <c r="B94" s="1" t="s">
        <v>5055</v>
      </c>
      <c r="C94" s="1" t="s">
        <v>263</v>
      </c>
      <c r="D94" s="8" t="s">
        <v>262</v>
      </c>
      <c r="E94" s="1" t="s">
        <v>264</v>
      </c>
      <c r="F94" s="1" t="s">
        <v>6391</v>
      </c>
      <c r="G94" s="1" t="s">
        <v>4750</v>
      </c>
      <c r="H94" s="1" t="s">
        <v>4747</v>
      </c>
      <c r="I94" s="1" t="s">
        <v>4721</v>
      </c>
      <c r="J94" s="1" t="s">
        <v>12</v>
      </c>
      <c r="K94" s="1" t="s">
        <v>4806</v>
      </c>
      <c r="L94" s="1" t="s">
        <v>227</v>
      </c>
      <c r="M94" s="1" t="s">
        <v>648</v>
      </c>
      <c r="N94" s="1" t="s">
        <v>25</v>
      </c>
    </row>
    <row r="95" spans="1:14" x14ac:dyDescent="0.25">
      <c r="A95" s="1" t="s">
        <v>47</v>
      </c>
      <c r="B95" s="1" t="s">
        <v>5057</v>
      </c>
      <c r="C95" s="1" t="s">
        <v>3266</v>
      </c>
      <c r="D95" s="8" t="s">
        <v>3265</v>
      </c>
      <c r="E95" s="1" t="s">
        <v>269</v>
      </c>
      <c r="F95" s="1" t="s">
        <v>6404</v>
      </c>
      <c r="G95" s="1" t="s">
        <v>4748</v>
      </c>
      <c r="H95" s="1" t="s">
        <v>4747</v>
      </c>
      <c r="I95" s="1" t="s">
        <v>4721</v>
      </c>
      <c r="J95" s="1" t="s">
        <v>12</v>
      </c>
      <c r="K95" s="1" t="s">
        <v>4829</v>
      </c>
      <c r="L95" s="1" t="s">
        <v>227</v>
      </c>
      <c r="M95" s="1" t="s">
        <v>58</v>
      </c>
      <c r="N95" s="1" t="s">
        <v>61</v>
      </c>
    </row>
    <row r="96" spans="1:14" x14ac:dyDescent="0.25">
      <c r="A96" s="1" t="s">
        <v>47</v>
      </c>
      <c r="B96" s="1" t="s">
        <v>5059</v>
      </c>
      <c r="C96" s="1" t="s">
        <v>3353</v>
      </c>
      <c r="D96" s="8" t="s">
        <v>3352</v>
      </c>
      <c r="E96" s="1" t="s">
        <v>251</v>
      </c>
      <c r="F96" s="1" t="s">
        <v>6393</v>
      </c>
      <c r="G96" s="1" t="s">
        <v>4750</v>
      </c>
      <c r="H96" s="1" t="s">
        <v>4747</v>
      </c>
      <c r="I96" s="1" t="s">
        <v>4721</v>
      </c>
      <c r="J96" s="1" t="s">
        <v>12</v>
      </c>
      <c r="K96" s="1" t="s">
        <v>4838</v>
      </c>
      <c r="L96" s="1" t="s">
        <v>224</v>
      </c>
      <c r="M96" s="1" t="s">
        <v>648</v>
      </c>
      <c r="N96" s="1" t="s">
        <v>25</v>
      </c>
    </row>
    <row r="97" spans="1:14" x14ac:dyDescent="0.25">
      <c r="A97" s="1" t="s">
        <v>47</v>
      </c>
      <c r="B97" s="1" t="s">
        <v>5060</v>
      </c>
      <c r="C97" s="1" t="s">
        <v>4170</v>
      </c>
      <c r="D97" s="8" t="s">
        <v>4169</v>
      </c>
      <c r="E97" s="1" t="s">
        <v>368</v>
      </c>
      <c r="F97" s="1" t="s">
        <v>4749</v>
      </c>
      <c r="G97" s="1" t="s">
        <v>4750</v>
      </c>
      <c r="H97" s="1" t="s">
        <v>4747</v>
      </c>
      <c r="I97" s="1" t="s">
        <v>4721</v>
      </c>
      <c r="J97" s="1" t="s">
        <v>12</v>
      </c>
      <c r="K97" s="1" t="s">
        <v>4885</v>
      </c>
      <c r="L97" s="1" t="s">
        <v>227</v>
      </c>
      <c r="M97" s="1" t="s">
        <v>446</v>
      </c>
      <c r="N97" s="1" t="s">
        <v>72</v>
      </c>
    </row>
    <row r="98" spans="1:14" x14ac:dyDescent="0.25">
      <c r="A98" s="1" t="s">
        <v>47</v>
      </c>
      <c r="B98" s="1" t="s">
        <v>5061</v>
      </c>
      <c r="C98" s="1" t="s">
        <v>3909</v>
      </c>
      <c r="D98" s="8" t="s">
        <v>3908</v>
      </c>
      <c r="E98" s="1" t="s">
        <v>601</v>
      </c>
      <c r="F98" s="1" t="s">
        <v>6403</v>
      </c>
      <c r="G98" s="1" t="s">
        <v>4746</v>
      </c>
      <c r="H98" s="1" t="s">
        <v>4747</v>
      </c>
      <c r="I98" s="1" t="s">
        <v>4721</v>
      </c>
      <c r="J98" s="1" t="s">
        <v>12</v>
      </c>
      <c r="K98" s="1" t="s">
        <v>4778</v>
      </c>
      <c r="L98" s="1" t="s">
        <v>60</v>
      </c>
      <c r="M98" s="1" t="s">
        <v>58</v>
      </c>
      <c r="N98" s="1" t="s">
        <v>61</v>
      </c>
    </row>
    <row r="99" spans="1:14" x14ac:dyDescent="0.25">
      <c r="A99" s="1" t="s">
        <v>47</v>
      </c>
      <c r="B99" s="1" t="s">
        <v>5062</v>
      </c>
      <c r="C99" s="1" t="s">
        <v>3638</v>
      </c>
      <c r="D99" s="8" t="s">
        <v>3637</v>
      </c>
      <c r="E99" s="1" t="s">
        <v>225</v>
      </c>
      <c r="F99" s="1" t="s">
        <v>6401</v>
      </c>
      <c r="G99" s="1" t="s">
        <v>4746</v>
      </c>
      <c r="H99" s="1" t="s">
        <v>4747</v>
      </c>
      <c r="I99" s="1" t="s">
        <v>4721</v>
      </c>
      <c r="J99" s="1" t="s">
        <v>12</v>
      </c>
      <c r="K99" s="1" t="s">
        <v>4810</v>
      </c>
      <c r="L99" s="1" t="s">
        <v>224</v>
      </c>
      <c r="M99" s="1" t="s">
        <v>172</v>
      </c>
      <c r="N99" s="1" t="s">
        <v>17</v>
      </c>
    </row>
    <row r="100" spans="1:14" x14ac:dyDescent="0.25">
      <c r="A100" s="1" t="s">
        <v>47</v>
      </c>
      <c r="B100" s="1" t="s">
        <v>5612</v>
      </c>
      <c r="C100" s="1" t="s">
        <v>4173</v>
      </c>
      <c r="D100" s="8" t="s">
        <v>4172</v>
      </c>
      <c r="E100" s="1" t="s">
        <v>368</v>
      </c>
      <c r="F100" s="1" t="s">
        <v>4749</v>
      </c>
      <c r="G100" s="1" t="s">
        <v>4750</v>
      </c>
      <c r="H100" s="1" t="s">
        <v>4747</v>
      </c>
      <c r="I100" s="1" t="s">
        <v>4721</v>
      </c>
      <c r="J100" s="1" t="s">
        <v>39</v>
      </c>
      <c r="K100" s="1" t="s">
        <v>4834</v>
      </c>
      <c r="L100" s="1" t="s">
        <v>227</v>
      </c>
      <c r="M100" s="1" t="s">
        <v>136</v>
      </c>
      <c r="N100" s="1" t="s">
        <v>72</v>
      </c>
    </row>
    <row r="101" spans="1:14" x14ac:dyDescent="0.25">
      <c r="A101" s="1" t="s">
        <v>47</v>
      </c>
      <c r="B101" s="1" t="s">
        <v>5614</v>
      </c>
      <c r="C101" s="1" t="s">
        <v>4212</v>
      </c>
      <c r="D101" s="8" t="s">
        <v>4211</v>
      </c>
      <c r="E101" s="1" t="s">
        <v>142</v>
      </c>
      <c r="F101" s="1" t="s">
        <v>6396</v>
      </c>
      <c r="G101" s="1" t="s">
        <v>4748</v>
      </c>
      <c r="H101" s="1" t="s">
        <v>4747</v>
      </c>
      <c r="I101" s="1" t="s">
        <v>4721</v>
      </c>
      <c r="J101" s="1" t="s">
        <v>12</v>
      </c>
      <c r="K101" s="1" t="s">
        <v>4845</v>
      </c>
      <c r="L101" s="1" t="s">
        <v>141</v>
      </c>
      <c r="M101" s="1" t="s">
        <v>1350</v>
      </c>
      <c r="N101" s="1" t="s">
        <v>126</v>
      </c>
    </row>
    <row r="102" spans="1:14" x14ac:dyDescent="0.25">
      <c r="A102" s="1" t="s">
        <v>47</v>
      </c>
      <c r="B102" s="1" t="s">
        <v>5065</v>
      </c>
      <c r="C102" s="1" t="s">
        <v>2877</v>
      </c>
      <c r="D102" s="8" t="s">
        <v>2876</v>
      </c>
      <c r="E102" s="1" t="s">
        <v>312</v>
      </c>
      <c r="F102" s="1" t="s">
        <v>6396</v>
      </c>
      <c r="G102" s="1" t="s">
        <v>4748</v>
      </c>
      <c r="H102" s="1" t="s">
        <v>4747</v>
      </c>
      <c r="I102" s="1" t="s">
        <v>4722</v>
      </c>
      <c r="J102" s="1" t="s">
        <v>39</v>
      </c>
      <c r="K102" s="1" t="s">
        <v>4844</v>
      </c>
      <c r="L102" s="1" t="s">
        <v>311</v>
      </c>
      <c r="M102" s="1" t="s">
        <v>58</v>
      </c>
      <c r="N102" s="1" t="s">
        <v>61</v>
      </c>
    </row>
    <row r="103" spans="1:14" x14ac:dyDescent="0.25">
      <c r="A103" s="1" t="s">
        <v>47</v>
      </c>
      <c r="B103" s="1" t="s">
        <v>5616</v>
      </c>
      <c r="C103" s="1" t="s">
        <v>2337</v>
      </c>
      <c r="D103" s="8" t="s">
        <v>2336</v>
      </c>
      <c r="E103" s="1" t="s">
        <v>433</v>
      </c>
      <c r="F103" s="1" t="s">
        <v>6405</v>
      </c>
      <c r="G103" s="1" t="s">
        <v>4746</v>
      </c>
      <c r="H103" s="1" t="s">
        <v>4747</v>
      </c>
      <c r="I103" s="1" t="s">
        <v>4721</v>
      </c>
      <c r="J103" s="1" t="s">
        <v>12</v>
      </c>
      <c r="K103" s="1" t="s">
        <v>4779</v>
      </c>
      <c r="L103" s="1" t="s">
        <v>56</v>
      </c>
      <c r="M103" s="1" t="s">
        <v>5453</v>
      </c>
      <c r="N103" s="1" t="s">
        <v>76</v>
      </c>
    </row>
    <row r="104" spans="1:14" x14ac:dyDescent="0.25">
      <c r="A104" s="1" t="s">
        <v>47</v>
      </c>
      <c r="B104" s="1" t="s">
        <v>5617</v>
      </c>
      <c r="C104" s="1" t="s">
        <v>3386</v>
      </c>
      <c r="D104" s="8" t="s">
        <v>3385</v>
      </c>
      <c r="E104" s="1" t="s">
        <v>49</v>
      </c>
      <c r="F104" s="1" t="s">
        <v>6402</v>
      </c>
      <c r="G104" s="1" t="s">
        <v>4746</v>
      </c>
      <c r="H104" s="1" t="s">
        <v>4747</v>
      </c>
      <c r="I104" s="1" t="s">
        <v>4721</v>
      </c>
      <c r="J104" s="1" t="s">
        <v>12</v>
      </c>
      <c r="K104" s="1" t="s">
        <v>4860</v>
      </c>
      <c r="L104" s="1" t="s">
        <v>48</v>
      </c>
      <c r="M104" s="1" t="s">
        <v>630</v>
      </c>
      <c r="N104" s="1" t="s">
        <v>21</v>
      </c>
    </row>
    <row r="105" spans="1:14" x14ac:dyDescent="0.25">
      <c r="A105" s="1" t="s">
        <v>47</v>
      </c>
      <c r="B105" s="1" t="s">
        <v>5618</v>
      </c>
      <c r="C105" s="1" t="s">
        <v>780</v>
      </c>
      <c r="D105" s="8" t="s">
        <v>779</v>
      </c>
      <c r="E105" s="1" t="s">
        <v>264</v>
      </c>
      <c r="F105" s="1" t="s">
        <v>6391</v>
      </c>
      <c r="G105" s="1" t="s">
        <v>4750</v>
      </c>
      <c r="H105" s="1" t="s">
        <v>4747</v>
      </c>
      <c r="I105" s="1" t="s">
        <v>4721</v>
      </c>
      <c r="J105" s="1" t="s">
        <v>12</v>
      </c>
      <c r="K105" s="1" t="s">
        <v>4809</v>
      </c>
      <c r="L105" s="1" t="s">
        <v>227</v>
      </c>
      <c r="M105" s="1" t="s">
        <v>648</v>
      </c>
      <c r="N105" s="1" t="s">
        <v>25</v>
      </c>
    </row>
    <row r="106" spans="1:14" x14ac:dyDescent="0.25">
      <c r="A106" s="1" t="s">
        <v>47</v>
      </c>
      <c r="B106" s="1" t="s">
        <v>5068</v>
      </c>
      <c r="C106" s="1" t="s">
        <v>2155</v>
      </c>
      <c r="D106" s="8" t="s">
        <v>2154</v>
      </c>
      <c r="E106" s="1" t="s">
        <v>601</v>
      </c>
      <c r="F106" s="1" t="s">
        <v>6403</v>
      </c>
      <c r="G106" s="1" t="s">
        <v>4746</v>
      </c>
      <c r="H106" s="1" t="s">
        <v>4747</v>
      </c>
      <c r="I106" s="1" t="s">
        <v>4721</v>
      </c>
      <c r="J106" s="1" t="s">
        <v>12</v>
      </c>
      <c r="K106" s="1" t="s">
        <v>4779</v>
      </c>
      <c r="L106" s="1" t="s">
        <v>60</v>
      </c>
      <c r="M106" s="1" t="s">
        <v>630</v>
      </c>
      <c r="N106" s="1" t="s">
        <v>21</v>
      </c>
    </row>
    <row r="107" spans="1:14" x14ac:dyDescent="0.25">
      <c r="A107" s="1" t="s">
        <v>47</v>
      </c>
      <c r="B107" s="1" t="s">
        <v>5623</v>
      </c>
      <c r="C107" s="1" t="s">
        <v>2729</v>
      </c>
      <c r="D107" s="8" t="s">
        <v>2728</v>
      </c>
      <c r="E107" s="1" t="s">
        <v>181</v>
      </c>
      <c r="F107" s="1" t="s">
        <v>6395</v>
      </c>
      <c r="G107" s="1" t="s">
        <v>4748</v>
      </c>
      <c r="H107" s="1" t="s">
        <v>4747</v>
      </c>
      <c r="I107" s="1" t="s">
        <v>4721</v>
      </c>
      <c r="J107" s="1" t="s">
        <v>39</v>
      </c>
      <c r="K107" s="1" t="s">
        <v>4792</v>
      </c>
      <c r="L107" s="1" t="s">
        <v>66</v>
      </c>
      <c r="M107" s="1" t="s">
        <v>172</v>
      </c>
      <c r="N107" s="1" t="s">
        <v>17</v>
      </c>
    </row>
    <row r="108" spans="1:14" x14ac:dyDescent="0.25">
      <c r="A108" s="1" t="s">
        <v>47</v>
      </c>
      <c r="B108" s="1" t="s">
        <v>5624</v>
      </c>
      <c r="C108" s="1" t="s">
        <v>1150</v>
      </c>
      <c r="D108" s="8" t="s">
        <v>1149</v>
      </c>
      <c r="E108" s="1" t="s">
        <v>1112</v>
      </c>
      <c r="F108" s="1" t="s">
        <v>6408</v>
      </c>
      <c r="G108" s="1" t="s">
        <v>4748</v>
      </c>
      <c r="H108" s="1" t="s">
        <v>4747</v>
      </c>
      <c r="I108" s="1" t="s">
        <v>4721</v>
      </c>
      <c r="J108" s="1" t="s">
        <v>12</v>
      </c>
      <c r="K108" s="1" t="s">
        <v>4817</v>
      </c>
      <c r="L108" s="1" t="s">
        <v>224</v>
      </c>
      <c r="M108" s="1" t="s">
        <v>89</v>
      </c>
      <c r="N108" s="1" t="s">
        <v>37</v>
      </c>
    </row>
    <row r="109" spans="1:14" x14ac:dyDescent="0.25">
      <c r="A109" s="1" t="s">
        <v>47</v>
      </c>
      <c r="B109" s="1" t="s">
        <v>5072</v>
      </c>
      <c r="C109" s="1" t="s">
        <v>3635</v>
      </c>
      <c r="D109" s="8" t="s">
        <v>3634</v>
      </c>
      <c r="E109" s="1" t="s">
        <v>511</v>
      </c>
      <c r="F109" s="1" t="s">
        <v>6401</v>
      </c>
      <c r="G109" s="1" t="s">
        <v>4746</v>
      </c>
      <c r="H109" s="1" t="s">
        <v>4747</v>
      </c>
      <c r="I109" s="1" t="s">
        <v>4721</v>
      </c>
      <c r="J109" s="1" t="s">
        <v>12</v>
      </c>
      <c r="K109" s="1" t="s">
        <v>4810</v>
      </c>
      <c r="L109" s="1" t="s">
        <v>48</v>
      </c>
      <c r="M109" s="1" t="s">
        <v>172</v>
      </c>
      <c r="N109" s="1" t="s">
        <v>17</v>
      </c>
    </row>
    <row r="110" spans="1:14" x14ac:dyDescent="0.25">
      <c r="A110" s="1" t="s">
        <v>47</v>
      </c>
      <c r="B110" s="1" t="s">
        <v>5627</v>
      </c>
      <c r="C110" s="1" t="s">
        <v>2754</v>
      </c>
      <c r="D110" s="8" t="s">
        <v>2753</v>
      </c>
      <c r="E110" s="1" t="s">
        <v>57</v>
      </c>
      <c r="F110" s="1" t="s">
        <v>6409</v>
      </c>
      <c r="G110" s="1" t="s">
        <v>6410</v>
      </c>
      <c r="H110" s="1" t="s">
        <v>4747</v>
      </c>
      <c r="I110" s="1" t="s">
        <v>4721</v>
      </c>
      <c r="J110" s="1" t="s">
        <v>12</v>
      </c>
      <c r="K110" s="1" t="s">
        <v>4821</v>
      </c>
      <c r="L110" s="1" t="s">
        <v>56</v>
      </c>
      <c r="M110" s="1" t="s">
        <v>41</v>
      </c>
      <c r="N110" s="1" t="s">
        <v>42</v>
      </c>
    </row>
    <row r="111" spans="1:14" x14ac:dyDescent="0.25">
      <c r="A111" s="1" t="s">
        <v>47</v>
      </c>
      <c r="B111" s="1" t="s">
        <v>5631</v>
      </c>
      <c r="C111" s="1" t="s">
        <v>481</v>
      </c>
      <c r="D111" s="8" t="s">
        <v>480</v>
      </c>
      <c r="E111" s="1" t="s">
        <v>225</v>
      </c>
      <c r="F111" s="1" t="s">
        <v>6408</v>
      </c>
      <c r="G111" s="1" t="s">
        <v>4748</v>
      </c>
      <c r="H111" s="1" t="s">
        <v>4747</v>
      </c>
      <c r="I111" s="1" t="s">
        <v>4721</v>
      </c>
      <c r="J111" s="1" t="s">
        <v>12</v>
      </c>
      <c r="K111" s="1" t="s">
        <v>4817</v>
      </c>
      <c r="L111" s="1" t="s">
        <v>224</v>
      </c>
      <c r="M111" s="1" t="s">
        <v>883</v>
      </c>
      <c r="N111" s="1" t="s">
        <v>21</v>
      </c>
    </row>
    <row r="112" spans="1:14" x14ac:dyDescent="0.25">
      <c r="A112" s="1" t="s">
        <v>47</v>
      </c>
      <c r="B112" s="1" t="s">
        <v>5077</v>
      </c>
      <c r="C112" s="1" t="s">
        <v>2512</v>
      </c>
      <c r="D112" s="8" t="s">
        <v>2511</v>
      </c>
      <c r="E112" s="1" t="s">
        <v>278</v>
      </c>
      <c r="F112" s="1" t="s">
        <v>6398</v>
      </c>
      <c r="G112" s="1" t="s">
        <v>4746</v>
      </c>
      <c r="H112" s="1" t="s">
        <v>4747</v>
      </c>
      <c r="I112" s="1" t="s">
        <v>4722</v>
      </c>
      <c r="J112" s="1" t="s">
        <v>39</v>
      </c>
      <c r="K112" s="1" t="s">
        <v>4821</v>
      </c>
      <c r="L112" s="1" t="s">
        <v>60</v>
      </c>
      <c r="M112" s="1" t="s">
        <v>245</v>
      </c>
      <c r="N112" s="1" t="s">
        <v>21</v>
      </c>
    </row>
    <row r="113" spans="1:14" x14ac:dyDescent="0.25">
      <c r="A113" s="1" t="s">
        <v>47</v>
      </c>
      <c r="B113" s="1" t="s">
        <v>5634</v>
      </c>
      <c r="C113" s="1" t="s">
        <v>4465</v>
      </c>
      <c r="D113" s="8" t="s">
        <v>4464</v>
      </c>
      <c r="E113" s="1" t="s">
        <v>159</v>
      </c>
      <c r="F113" s="1" t="s">
        <v>6392</v>
      </c>
      <c r="G113" s="1" t="s">
        <v>4750</v>
      </c>
      <c r="H113" s="1" t="s">
        <v>4747</v>
      </c>
      <c r="I113" s="1" t="s">
        <v>4721</v>
      </c>
      <c r="J113" s="1" t="s">
        <v>12</v>
      </c>
      <c r="K113" s="1" t="s">
        <v>4806</v>
      </c>
      <c r="L113" s="1" t="s">
        <v>60</v>
      </c>
      <c r="M113" s="1" t="s">
        <v>99</v>
      </c>
      <c r="N113" s="1" t="s">
        <v>25</v>
      </c>
    </row>
    <row r="114" spans="1:14" x14ac:dyDescent="0.25">
      <c r="A114" s="1" t="s">
        <v>47</v>
      </c>
      <c r="B114" s="1" t="s">
        <v>5079</v>
      </c>
      <c r="C114" s="1" t="s">
        <v>4453</v>
      </c>
      <c r="D114" s="8" t="s">
        <v>4452</v>
      </c>
      <c r="E114" s="1" t="s">
        <v>251</v>
      </c>
      <c r="F114" s="1" t="s">
        <v>6392</v>
      </c>
      <c r="G114" s="1" t="s">
        <v>4750</v>
      </c>
      <c r="H114" s="1" t="s">
        <v>4747</v>
      </c>
      <c r="I114" s="1" t="s">
        <v>4721</v>
      </c>
      <c r="J114" s="1" t="s">
        <v>12</v>
      </c>
      <c r="K114" s="1" t="s">
        <v>4806</v>
      </c>
      <c r="L114" s="1" t="s">
        <v>224</v>
      </c>
      <c r="M114" s="1" t="s">
        <v>648</v>
      </c>
      <c r="N114" s="1" t="s">
        <v>25</v>
      </c>
    </row>
    <row r="115" spans="1:14" x14ac:dyDescent="0.25">
      <c r="A115" s="1" t="s">
        <v>47</v>
      </c>
      <c r="B115" s="1" t="s">
        <v>5081</v>
      </c>
      <c r="C115" s="1" t="s">
        <v>4255</v>
      </c>
      <c r="D115" s="8" t="s">
        <v>4254</v>
      </c>
      <c r="E115" s="1" t="s">
        <v>398</v>
      </c>
      <c r="F115" s="1" t="s">
        <v>6397</v>
      </c>
      <c r="G115" s="1" t="s">
        <v>4746</v>
      </c>
      <c r="H115" s="1" t="s">
        <v>4747</v>
      </c>
      <c r="I115" s="1" t="s">
        <v>4721</v>
      </c>
      <c r="J115" s="1" t="s">
        <v>12</v>
      </c>
      <c r="K115" s="1" t="s">
        <v>4813</v>
      </c>
      <c r="L115" s="1" t="s">
        <v>60</v>
      </c>
      <c r="M115" s="1" t="s">
        <v>89</v>
      </c>
      <c r="N115" s="1" t="s">
        <v>37</v>
      </c>
    </row>
    <row r="116" spans="1:14" x14ac:dyDescent="0.25">
      <c r="A116" s="1" t="s">
        <v>47</v>
      </c>
      <c r="B116" s="1" t="s">
        <v>5637</v>
      </c>
      <c r="C116" s="1" t="s">
        <v>4823</v>
      </c>
      <c r="D116" s="8" t="s">
        <v>4822</v>
      </c>
      <c r="E116" s="1" t="s">
        <v>1112</v>
      </c>
      <c r="F116" s="1" t="s">
        <v>6408</v>
      </c>
      <c r="G116" s="1" t="s">
        <v>4748</v>
      </c>
      <c r="H116" s="1" t="s">
        <v>4747</v>
      </c>
      <c r="I116" s="1" t="s">
        <v>4721</v>
      </c>
      <c r="J116" s="1" t="s">
        <v>39</v>
      </c>
      <c r="K116" s="1" t="s">
        <v>4817</v>
      </c>
      <c r="L116" s="1" t="s">
        <v>224</v>
      </c>
      <c r="M116" s="1" t="s">
        <v>136</v>
      </c>
      <c r="N116" s="1" t="s">
        <v>72</v>
      </c>
    </row>
    <row r="117" spans="1:14" x14ac:dyDescent="0.25">
      <c r="A117" s="1" t="s">
        <v>47</v>
      </c>
      <c r="B117" s="1" t="s">
        <v>5083</v>
      </c>
      <c r="C117" s="1" t="s">
        <v>3906</v>
      </c>
      <c r="D117" s="8" t="s">
        <v>3905</v>
      </c>
      <c r="E117" s="1" t="s">
        <v>244</v>
      </c>
      <c r="F117" s="1" t="s">
        <v>6403</v>
      </c>
      <c r="G117" s="1" t="s">
        <v>4746</v>
      </c>
      <c r="H117" s="1" t="s">
        <v>4747</v>
      </c>
      <c r="I117" s="1" t="s">
        <v>4722</v>
      </c>
      <c r="J117" s="1" t="s">
        <v>39</v>
      </c>
      <c r="K117" s="1" t="s">
        <v>4778</v>
      </c>
      <c r="L117" s="1" t="s">
        <v>60</v>
      </c>
      <c r="M117" s="1" t="s">
        <v>4780</v>
      </c>
      <c r="N117" s="1" t="s">
        <v>21</v>
      </c>
    </row>
    <row r="118" spans="1:14" x14ac:dyDescent="0.25">
      <c r="A118" s="1" t="s">
        <v>47</v>
      </c>
      <c r="B118" s="1" t="s">
        <v>5084</v>
      </c>
      <c r="C118" s="1" t="s">
        <v>4194</v>
      </c>
      <c r="D118" s="8" t="s">
        <v>4193</v>
      </c>
      <c r="E118" s="1" t="s">
        <v>303</v>
      </c>
      <c r="F118" s="1" t="s">
        <v>6397</v>
      </c>
      <c r="G118" s="1" t="s">
        <v>4746</v>
      </c>
      <c r="H118" s="1" t="s">
        <v>4747</v>
      </c>
      <c r="I118" s="1" t="s">
        <v>4721</v>
      </c>
      <c r="J118" s="1" t="s">
        <v>12</v>
      </c>
      <c r="K118" s="1" t="s">
        <v>4813</v>
      </c>
      <c r="L118" s="1" t="s">
        <v>60</v>
      </c>
      <c r="M118" s="1" t="s">
        <v>58</v>
      </c>
      <c r="N118" s="1" t="s">
        <v>61</v>
      </c>
    </row>
    <row r="119" spans="1:14" x14ac:dyDescent="0.25">
      <c r="A119" s="1" t="s">
        <v>47</v>
      </c>
      <c r="B119" s="1" t="s">
        <v>5085</v>
      </c>
      <c r="C119" s="1" t="s">
        <v>2757</v>
      </c>
      <c r="D119" s="8" t="s">
        <v>2756</v>
      </c>
      <c r="E119" s="1" t="s">
        <v>225</v>
      </c>
      <c r="F119" s="1" t="s">
        <v>6409</v>
      </c>
      <c r="G119" s="1" t="s">
        <v>6410</v>
      </c>
      <c r="H119" s="1" t="s">
        <v>4747</v>
      </c>
      <c r="I119" s="1" t="s">
        <v>4721</v>
      </c>
      <c r="J119" s="1" t="s">
        <v>12</v>
      </c>
      <c r="K119" s="1" t="s">
        <v>4817</v>
      </c>
      <c r="L119" s="1" t="s">
        <v>224</v>
      </c>
      <c r="M119" s="1" t="s">
        <v>41</v>
      </c>
      <c r="N119" s="1" t="s">
        <v>42</v>
      </c>
    </row>
    <row r="120" spans="1:14" x14ac:dyDescent="0.25">
      <c r="A120" s="1" t="s">
        <v>47</v>
      </c>
      <c r="B120" s="1" t="s">
        <v>5086</v>
      </c>
      <c r="C120" s="1" t="s">
        <v>3404</v>
      </c>
      <c r="D120" s="8" t="s">
        <v>3403</v>
      </c>
      <c r="E120" s="1" t="s">
        <v>49</v>
      </c>
      <c r="F120" s="1" t="s">
        <v>6402</v>
      </c>
      <c r="G120" s="1" t="s">
        <v>4746</v>
      </c>
      <c r="H120" s="1" t="s">
        <v>4747</v>
      </c>
      <c r="I120" s="1" t="s">
        <v>4722</v>
      </c>
      <c r="J120" s="1" t="s">
        <v>39</v>
      </c>
      <c r="K120" s="1" t="s">
        <v>4860</v>
      </c>
      <c r="L120" s="1" t="s">
        <v>48</v>
      </c>
      <c r="M120" s="1" t="s">
        <v>883</v>
      </c>
      <c r="N120" s="1" t="s">
        <v>21</v>
      </c>
    </row>
    <row r="121" spans="1:14" x14ac:dyDescent="0.25">
      <c r="A121" s="1" t="s">
        <v>47</v>
      </c>
      <c r="B121" s="1" t="s">
        <v>5646</v>
      </c>
      <c r="C121" s="1" t="s">
        <v>65</v>
      </c>
      <c r="D121" s="8" t="s">
        <v>64</v>
      </c>
      <c r="E121" s="1" t="s">
        <v>67</v>
      </c>
      <c r="F121" s="1" t="s">
        <v>6406</v>
      </c>
      <c r="G121" s="1" t="s">
        <v>4748</v>
      </c>
      <c r="H121" s="1" t="s">
        <v>4747</v>
      </c>
      <c r="I121" s="1" t="s">
        <v>4721</v>
      </c>
      <c r="J121" s="1" t="s">
        <v>39</v>
      </c>
      <c r="K121" s="1" t="s">
        <v>4787</v>
      </c>
      <c r="L121" s="1" t="s">
        <v>66</v>
      </c>
      <c r="M121" s="1" t="s">
        <v>172</v>
      </c>
      <c r="N121" s="1" t="s">
        <v>17</v>
      </c>
    </row>
    <row r="122" spans="1:14" x14ac:dyDescent="0.25">
      <c r="A122" s="1" t="s">
        <v>47</v>
      </c>
      <c r="B122" s="1" t="s">
        <v>5647</v>
      </c>
      <c r="C122" s="1" t="s">
        <v>783</v>
      </c>
      <c r="D122" s="8" t="s">
        <v>782</v>
      </c>
      <c r="E122" s="1" t="s">
        <v>159</v>
      </c>
      <c r="F122" s="1" t="s">
        <v>6391</v>
      </c>
      <c r="G122" s="1" t="s">
        <v>4750</v>
      </c>
      <c r="H122" s="1" t="s">
        <v>4747</v>
      </c>
      <c r="I122" s="1" t="s">
        <v>4721</v>
      </c>
      <c r="J122" s="1" t="s">
        <v>12</v>
      </c>
      <c r="K122" s="1" t="s">
        <v>4903</v>
      </c>
      <c r="L122" s="1" t="s">
        <v>60</v>
      </c>
      <c r="M122" s="1" t="s">
        <v>99</v>
      </c>
      <c r="N122" s="1" t="s">
        <v>25</v>
      </c>
    </row>
    <row r="123" spans="1:14" x14ac:dyDescent="0.25">
      <c r="A123" s="1" t="s">
        <v>47</v>
      </c>
      <c r="B123" s="1" t="s">
        <v>5210</v>
      </c>
      <c r="C123" s="1" t="s">
        <v>2996</v>
      </c>
      <c r="D123" s="8" t="s">
        <v>2995</v>
      </c>
      <c r="E123" s="1" t="s">
        <v>398</v>
      </c>
      <c r="F123" s="1" t="s">
        <v>6395</v>
      </c>
      <c r="G123" s="1" t="s">
        <v>4748</v>
      </c>
      <c r="H123" s="1" t="s">
        <v>4747</v>
      </c>
      <c r="I123" s="1" t="s">
        <v>4721</v>
      </c>
      <c r="J123" s="1" t="s">
        <v>12</v>
      </c>
      <c r="K123" s="1" t="s">
        <v>4786</v>
      </c>
      <c r="L123" s="1" t="s">
        <v>60</v>
      </c>
      <c r="M123" s="1" t="s">
        <v>883</v>
      </c>
      <c r="N123" s="1" t="s">
        <v>21</v>
      </c>
    </row>
    <row r="124" spans="1:14" x14ac:dyDescent="0.25">
      <c r="A124" s="1" t="s">
        <v>47</v>
      </c>
      <c r="B124" s="1" t="s">
        <v>5215</v>
      </c>
      <c r="C124" s="1" t="s">
        <v>1700</v>
      </c>
      <c r="D124" s="8" t="s">
        <v>1698</v>
      </c>
      <c r="E124" s="1" t="s">
        <v>181</v>
      </c>
      <c r="F124" s="1" t="s">
        <v>6395</v>
      </c>
      <c r="G124" s="1" t="s">
        <v>4748</v>
      </c>
      <c r="H124" s="1" t="s">
        <v>4747</v>
      </c>
      <c r="I124" s="1" t="s">
        <v>4722</v>
      </c>
      <c r="J124" s="1" t="s">
        <v>39</v>
      </c>
      <c r="K124" s="1" t="s">
        <v>4792</v>
      </c>
      <c r="L124" s="1" t="s">
        <v>66</v>
      </c>
      <c r="M124" s="1" t="s">
        <v>630</v>
      </c>
      <c r="N124" s="1" t="s">
        <v>21</v>
      </c>
    </row>
    <row r="125" spans="1:14" x14ac:dyDescent="0.25">
      <c r="A125" s="1" t="s">
        <v>47</v>
      </c>
      <c r="B125" s="1" t="s">
        <v>5653</v>
      </c>
      <c r="C125" s="1" t="s">
        <v>46</v>
      </c>
      <c r="D125" s="8" t="s">
        <v>45</v>
      </c>
      <c r="E125" s="1" t="s">
        <v>49</v>
      </c>
      <c r="F125" s="1" t="s">
        <v>6402</v>
      </c>
      <c r="G125" s="1" t="s">
        <v>4746</v>
      </c>
      <c r="H125" s="1" t="s">
        <v>4747</v>
      </c>
      <c r="I125" s="1" t="s">
        <v>4721</v>
      </c>
      <c r="J125" s="1" t="s">
        <v>12</v>
      </c>
      <c r="K125" s="1" t="s">
        <v>4860</v>
      </c>
      <c r="L125" s="1" t="s">
        <v>48</v>
      </c>
      <c r="M125" s="1" t="s">
        <v>245</v>
      </c>
      <c r="N125" s="1" t="s">
        <v>21</v>
      </c>
    </row>
    <row r="126" spans="1:14" x14ac:dyDescent="0.25">
      <c r="A126" s="1" t="s">
        <v>47</v>
      </c>
      <c r="B126" s="1" t="s">
        <v>5655</v>
      </c>
      <c r="C126" s="1" t="s">
        <v>3290</v>
      </c>
      <c r="D126" s="8" t="s">
        <v>3289</v>
      </c>
      <c r="E126" s="1" t="s">
        <v>159</v>
      </c>
      <c r="F126" s="1" t="s">
        <v>6392</v>
      </c>
      <c r="G126" s="1" t="s">
        <v>4750</v>
      </c>
      <c r="H126" s="1" t="s">
        <v>4747</v>
      </c>
      <c r="I126" s="1" t="s">
        <v>4721</v>
      </c>
      <c r="J126" s="1" t="s">
        <v>12</v>
      </c>
      <c r="K126" s="1" t="s">
        <v>4808</v>
      </c>
      <c r="L126" s="1" t="s">
        <v>60</v>
      </c>
      <c r="M126" s="1" t="s">
        <v>99</v>
      </c>
      <c r="N126" s="1" t="s">
        <v>25</v>
      </c>
    </row>
    <row r="127" spans="1:14" x14ac:dyDescent="0.25">
      <c r="A127" s="1" t="s">
        <v>47</v>
      </c>
      <c r="B127" s="1" t="s">
        <v>5656</v>
      </c>
      <c r="C127" s="1" t="s">
        <v>650</v>
      </c>
      <c r="D127" s="8" t="s">
        <v>649</v>
      </c>
      <c r="E127" s="1" t="s">
        <v>159</v>
      </c>
      <c r="F127" s="1" t="s">
        <v>6391</v>
      </c>
      <c r="G127" s="1" t="s">
        <v>4750</v>
      </c>
      <c r="H127" s="1" t="s">
        <v>4747</v>
      </c>
      <c r="I127" s="1" t="s">
        <v>4721</v>
      </c>
      <c r="J127" s="1" t="s">
        <v>12</v>
      </c>
      <c r="K127" s="1" t="s">
        <v>4809</v>
      </c>
      <c r="L127" s="1" t="s">
        <v>60</v>
      </c>
      <c r="M127" s="1" t="s">
        <v>99</v>
      </c>
      <c r="N127" s="1" t="s">
        <v>25</v>
      </c>
    </row>
    <row r="128" spans="1:14" x14ac:dyDescent="0.25">
      <c r="A128" s="1" t="s">
        <v>47</v>
      </c>
      <c r="B128" s="1" t="s">
        <v>5217</v>
      </c>
      <c r="C128" s="1" t="s">
        <v>3377</v>
      </c>
      <c r="D128" s="8" t="s">
        <v>3376</v>
      </c>
      <c r="E128" s="1" t="s">
        <v>433</v>
      </c>
      <c r="F128" s="1" t="s">
        <v>6402</v>
      </c>
      <c r="G128" s="1" t="s">
        <v>4746</v>
      </c>
      <c r="H128" s="1" t="s">
        <v>4747</v>
      </c>
      <c r="I128" s="1" t="s">
        <v>4721</v>
      </c>
      <c r="J128" s="1" t="s">
        <v>12</v>
      </c>
      <c r="K128" s="1" t="s">
        <v>4860</v>
      </c>
      <c r="L128" s="1" t="s">
        <v>56</v>
      </c>
      <c r="M128" s="1" t="s">
        <v>883</v>
      </c>
      <c r="N128" s="1" t="s">
        <v>21</v>
      </c>
    </row>
    <row r="129" spans="1:14" x14ac:dyDescent="0.25">
      <c r="A129" s="1" t="s">
        <v>47</v>
      </c>
      <c r="B129" s="1" t="s">
        <v>5218</v>
      </c>
      <c r="C129" s="1" t="s">
        <v>4221</v>
      </c>
      <c r="D129" s="8" t="s">
        <v>4220</v>
      </c>
      <c r="E129" s="1" t="s">
        <v>142</v>
      </c>
      <c r="F129" s="1" t="s">
        <v>6396</v>
      </c>
      <c r="G129" s="1" t="s">
        <v>4748</v>
      </c>
      <c r="H129" s="1" t="s">
        <v>4747</v>
      </c>
      <c r="I129" s="1" t="s">
        <v>4721</v>
      </c>
      <c r="J129" s="1" t="s">
        <v>12</v>
      </c>
      <c r="K129" s="1" t="s">
        <v>4845</v>
      </c>
      <c r="L129" s="1" t="s">
        <v>141</v>
      </c>
      <c r="M129" s="1" t="s">
        <v>637</v>
      </c>
      <c r="N129" s="1" t="s">
        <v>19</v>
      </c>
    </row>
    <row r="130" spans="1:14" x14ac:dyDescent="0.25">
      <c r="A130" s="1" t="s">
        <v>47</v>
      </c>
      <c r="B130" s="1" t="s">
        <v>5666</v>
      </c>
      <c r="C130" s="1" t="s">
        <v>3287</v>
      </c>
      <c r="D130" s="8" t="s">
        <v>3286</v>
      </c>
      <c r="E130" s="1" t="s">
        <v>98</v>
      </c>
      <c r="F130" s="1" t="s">
        <v>6392</v>
      </c>
      <c r="G130" s="1" t="s">
        <v>4750</v>
      </c>
      <c r="H130" s="1" t="s">
        <v>4747</v>
      </c>
      <c r="I130" s="1" t="s">
        <v>4721</v>
      </c>
      <c r="J130" s="1" t="s">
        <v>12</v>
      </c>
      <c r="K130" s="1" t="s">
        <v>4806</v>
      </c>
      <c r="L130" s="1" t="s">
        <v>56</v>
      </c>
      <c r="M130" s="1" t="s">
        <v>648</v>
      </c>
      <c r="N130" s="1" t="s">
        <v>25</v>
      </c>
    </row>
    <row r="131" spans="1:14" x14ac:dyDescent="0.25">
      <c r="A131" s="1" t="s">
        <v>47</v>
      </c>
      <c r="B131" s="1" t="s">
        <v>5667</v>
      </c>
      <c r="C131" s="1" t="s">
        <v>3647</v>
      </c>
      <c r="D131" s="8" t="s">
        <v>3646</v>
      </c>
      <c r="E131" s="1" t="s">
        <v>464</v>
      </c>
      <c r="F131" s="1" t="s">
        <v>6401</v>
      </c>
      <c r="G131" s="1" t="s">
        <v>4746</v>
      </c>
      <c r="H131" s="1" t="s">
        <v>4747</v>
      </c>
      <c r="I131" s="1" t="s">
        <v>4721</v>
      </c>
      <c r="J131" s="1" t="s">
        <v>39</v>
      </c>
      <c r="K131" s="1" t="s">
        <v>4810</v>
      </c>
      <c r="L131" s="1" t="s">
        <v>48</v>
      </c>
      <c r="M131" s="1" t="s">
        <v>172</v>
      </c>
      <c r="N131" s="1" t="s">
        <v>17</v>
      </c>
    </row>
    <row r="132" spans="1:14" x14ac:dyDescent="0.25">
      <c r="A132" s="1" t="s">
        <v>47</v>
      </c>
      <c r="B132" s="1" t="s">
        <v>5225</v>
      </c>
      <c r="C132" s="1" t="s">
        <v>4218</v>
      </c>
      <c r="D132" s="8" t="s">
        <v>4217</v>
      </c>
      <c r="E132" s="1" t="s">
        <v>2862</v>
      </c>
      <c r="F132" s="1" t="s">
        <v>6396</v>
      </c>
      <c r="G132" s="1" t="s">
        <v>4748</v>
      </c>
      <c r="H132" s="1" t="s">
        <v>4747</v>
      </c>
      <c r="I132" s="1" t="s">
        <v>4721</v>
      </c>
      <c r="J132" s="1" t="s">
        <v>12</v>
      </c>
      <c r="K132" s="1" t="s">
        <v>4845</v>
      </c>
      <c r="L132" s="1" t="s">
        <v>141</v>
      </c>
      <c r="M132" s="1" t="s">
        <v>99</v>
      </c>
      <c r="N132" s="1" t="s">
        <v>25</v>
      </c>
    </row>
    <row r="133" spans="1:14" x14ac:dyDescent="0.25">
      <c r="A133" s="1" t="s">
        <v>47</v>
      </c>
      <c r="B133" s="1" t="s">
        <v>5673</v>
      </c>
      <c r="C133" s="1" t="s">
        <v>4471</v>
      </c>
      <c r="D133" s="8" t="s">
        <v>4470</v>
      </c>
      <c r="E133" s="1" t="s">
        <v>464</v>
      </c>
      <c r="F133" s="1" t="s">
        <v>6401</v>
      </c>
      <c r="G133" s="1" t="s">
        <v>4746</v>
      </c>
      <c r="H133" s="1" t="s">
        <v>4747</v>
      </c>
      <c r="I133" s="1" t="s">
        <v>4721</v>
      </c>
      <c r="J133" s="1" t="s">
        <v>12</v>
      </c>
      <c r="K133" s="1" t="s">
        <v>4810</v>
      </c>
      <c r="L133" s="1" t="s">
        <v>48</v>
      </c>
      <c r="M133" s="1" t="s">
        <v>172</v>
      </c>
      <c r="N133" s="1" t="s">
        <v>17</v>
      </c>
    </row>
    <row r="134" spans="1:14" x14ac:dyDescent="0.25">
      <c r="A134" s="1" t="s">
        <v>47</v>
      </c>
      <c r="B134" s="1" t="s">
        <v>5230</v>
      </c>
      <c r="C134" s="1" t="s">
        <v>2061</v>
      </c>
      <c r="D134" s="8" t="s">
        <v>2060</v>
      </c>
      <c r="E134" s="1" t="s">
        <v>225</v>
      </c>
      <c r="F134" s="1" t="s">
        <v>6408</v>
      </c>
      <c r="G134" s="1" t="s">
        <v>4748</v>
      </c>
      <c r="H134" s="1" t="s">
        <v>4747</v>
      </c>
      <c r="I134" s="1" t="s">
        <v>4721</v>
      </c>
      <c r="J134" s="1" t="s">
        <v>12</v>
      </c>
      <c r="K134" s="1" t="s">
        <v>4817</v>
      </c>
      <c r="L134" s="1" t="s">
        <v>224</v>
      </c>
      <c r="M134" s="1" t="s">
        <v>883</v>
      </c>
      <c r="N134" s="1" t="s">
        <v>21</v>
      </c>
    </row>
    <row r="135" spans="1:14" x14ac:dyDescent="0.25">
      <c r="A135" s="1" t="s">
        <v>47</v>
      </c>
      <c r="B135" s="1" t="s">
        <v>5231</v>
      </c>
      <c r="C135" s="1" t="s">
        <v>4733</v>
      </c>
      <c r="D135" s="8" t="s">
        <v>4732</v>
      </c>
      <c r="E135" s="1" t="s">
        <v>49</v>
      </c>
      <c r="F135" s="1" t="s">
        <v>6402</v>
      </c>
      <c r="G135" s="1" t="s">
        <v>4746</v>
      </c>
      <c r="H135" s="1" t="s">
        <v>4747</v>
      </c>
      <c r="I135" s="1" t="s">
        <v>4721</v>
      </c>
      <c r="J135" s="1" t="s">
        <v>39</v>
      </c>
      <c r="K135" s="1" t="s">
        <v>4860</v>
      </c>
      <c r="L135" s="1" t="s">
        <v>48</v>
      </c>
      <c r="M135" s="1" t="s">
        <v>136</v>
      </c>
      <c r="N135" s="1" t="s">
        <v>72</v>
      </c>
    </row>
    <row r="136" spans="1:14" x14ac:dyDescent="0.25">
      <c r="A136" s="1" t="s">
        <v>47</v>
      </c>
      <c r="B136" s="1" t="s">
        <v>5236</v>
      </c>
      <c r="C136" s="1" t="s">
        <v>698</v>
      </c>
      <c r="D136" s="8" t="s">
        <v>697</v>
      </c>
      <c r="E136" s="1" t="s">
        <v>225</v>
      </c>
      <c r="F136" s="1" t="s">
        <v>4751</v>
      </c>
      <c r="G136" s="1" t="s">
        <v>4748</v>
      </c>
      <c r="H136" s="1" t="s">
        <v>4747</v>
      </c>
      <c r="I136" s="1" t="s">
        <v>4721</v>
      </c>
      <c r="J136" s="1" t="s">
        <v>12</v>
      </c>
      <c r="K136" s="1" t="s">
        <v>4866</v>
      </c>
      <c r="L136" s="1" t="s">
        <v>224</v>
      </c>
      <c r="M136" s="1" t="s">
        <v>58</v>
      </c>
      <c r="N136" s="1" t="s">
        <v>61</v>
      </c>
    </row>
    <row r="137" spans="1:14" x14ac:dyDescent="0.25">
      <c r="A137" s="1" t="s">
        <v>47</v>
      </c>
      <c r="B137" s="1" t="s">
        <v>5684</v>
      </c>
      <c r="C137" s="1" t="s">
        <v>4261</v>
      </c>
      <c r="D137" s="8" t="s">
        <v>4260</v>
      </c>
      <c r="E137" s="1" t="s">
        <v>142</v>
      </c>
      <c r="F137" s="1" t="s">
        <v>6396</v>
      </c>
      <c r="G137" s="1" t="s">
        <v>4748</v>
      </c>
      <c r="H137" s="1" t="s">
        <v>4747</v>
      </c>
      <c r="I137" s="1" t="s">
        <v>4721</v>
      </c>
      <c r="J137" s="1" t="s">
        <v>12</v>
      </c>
      <c r="K137" s="1" t="s">
        <v>4845</v>
      </c>
      <c r="L137" s="1" t="s">
        <v>141</v>
      </c>
      <c r="M137" s="1" t="s">
        <v>883</v>
      </c>
      <c r="N137" s="1" t="s">
        <v>21</v>
      </c>
    </row>
    <row r="138" spans="1:14" x14ac:dyDescent="0.25">
      <c r="A138" s="1" t="s">
        <v>47</v>
      </c>
      <c r="B138" s="1" t="s">
        <v>5240</v>
      </c>
      <c r="C138" s="1" t="s">
        <v>4276</v>
      </c>
      <c r="D138" s="8" t="s">
        <v>4275</v>
      </c>
      <c r="E138" s="1" t="s">
        <v>464</v>
      </c>
      <c r="F138" s="1" t="s">
        <v>4752</v>
      </c>
      <c r="G138" s="1" t="s">
        <v>4746</v>
      </c>
      <c r="H138" s="1" t="s">
        <v>4747</v>
      </c>
      <c r="I138" s="1" t="s">
        <v>4722</v>
      </c>
      <c r="J138" s="1" t="s">
        <v>39</v>
      </c>
      <c r="K138" s="1" t="s">
        <v>4861</v>
      </c>
      <c r="L138" s="1" t="s">
        <v>48</v>
      </c>
      <c r="M138" s="1" t="s">
        <v>1570</v>
      </c>
      <c r="N138" s="1" t="s">
        <v>21</v>
      </c>
    </row>
    <row r="139" spans="1:14" x14ac:dyDescent="0.25">
      <c r="A139" s="1" t="s">
        <v>47</v>
      </c>
      <c r="B139" s="1" t="s">
        <v>5688</v>
      </c>
      <c r="C139" s="1" t="s">
        <v>4264</v>
      </c>
      <c r="D139" s="8" t="s">
        <v>4263</v>
      </c>
      <c r="E139" s="1" t="s">
        <v>142</v>
      </c>
      <c r="F139" s="1" t="s">
        <v>6396</v>
      </c>
      <c r="G139" s="1" t="s">
        <v>4748</v>
      </c>
      <c r="H139" s="1" t="s">
        <v>4747</v>
      </c>
      <c r="I139" s="1" t="s">
        <v>4722</v>
      </c>
      <c r="J139" s="1" t="s">
        <v>39</v>
      </c>
      <c r="K139" s="1" t="s">
        <v>4845</v>
      </c>
      <c r="L139" s="1" t="s">
        <v>141</v>
      </c>
      <c r="M139" s="1" t="s">
        <v>58</v>
      </c>
      <c r="N139" s="1" t="s">
        <v>61</v>
      </c>
    </row>
    <row r="140" spans="1:14" x14ac:dyDescent="0.25">
      <c r="A140" s="1" t="s">
        <v>47</v>
      </c>
      <c r="B140" s="1" t="s">
        <v>5242</v>
      </c>
      <c r="C140" s="1" t="s">
        <v>3579</v>
      </c>
      <c r="D140" s="8" t="s">
        <v>3578</v>
      </c>
      <c r="E140" s="1" t="s">
        <v>181</v>
      </c>
      <c r="F140" s="1" t="s">
        <v>6406</v>
      </c>
      <c r="G140" s="1" t="s">
        <v>4748</v>
      </c>
      <c r="H140" s="1" t="s">
        <v>4747</v>
      </c>
      <c r="I140" s="1" t="s">
        <v>4721</v>
      </c>
      <c r="J140" s="1" t="s">
        <v>12</v>
      </c>
      <c r="K140" s="1" t="s">
        <v>4787</v>
      </c>
      <c r="L140" s="1" t="s">
        <v>66</v>
      </c>
      <c r="M140" s="1" t="s">
        <v>41</v>
      </c>
      <c r="N140" s="1" t="s">
        <v>42</v>
      </c>
    </row>
    <row r="141" spans="1:14" x14ac:dyDescent="0.25">
      <c r="A141" s="1" t="s">
        <v>47</v>
      </c>
      <c r="B141" s="1" t="s">
        <v>5244</v>
      </c>
      <c r="C141" s="1" t="s">
        <v>2978</v>
      </c>
      <c r="D141" s="8" t="s">
        <v>2977</v>
      </c>
      <c r="E141" s="1" t="s">
        <v>181</v>
      </c>
      <c r="F141" s="1" t="s">
        <v>6395</v>
      </c>
      <c r="G141" s="1" t="s">
        <v>4748</v>
      </c>
      <c r="H141" s="1" t="s">
        <v>4747</v>
      </c>
      <c r="I141" s="1" t="s">
        <v>4721</v>
      </c>
      <c r="J141" s="1" t="s">
        <v>39</v>
      </c>
      <c r="K141" s="1" t="s">
        <v>4792</v>
      </c>
      <c r="L141" s="1" t="s">
        <v>66</v>
      </c>
      <c r="M141" s="1" t="s">
        <v>136</v>
      </c>
      <c r="N141" s="1" t="s">
        <v>72</v>
      </c>
    </row>
    <row r="142" spans="1:14" x14ac:dyDescent="0.25">
      <c r="A142" s="1" t="s">
        <v>47</v>
      </c>
      <c r="B142" s="1" t="s">
        <v>5696</v>
      </c>
      <c r="C142" s="1" t="s">
        <v>2972</v>
      </c>
      <c r="D142" s="8" t="s">
        <v>2971</v>
      </c>
      <c r="E142" s="1" t="s">
        <v>341</v>
      </c>
      <c r="F142" s="1" t="s">
        <v>6395</v>
      </c>
      <c r="G142" s="1" t="s">
        <v>4748</v>
      </c>
      <c r="H142" s="1" t="s">
        <v>4747</v>
      </c>
      <c r="I142" s="1" t="s">
        <v>4721</v>
      </c>
      <c r="J142" s="1" t="s">
        <v>12</v>
      </c>
      <c r="K142" s="1" t="s">
        <v>4792</v>
      </c>
      <c r="L142" s="1" t="s">
        <v>56</v>
      </c>
      <c r="M142" s="1" t="s">
        <v>41</v>
      </c>
      <c r="N142" s="1" t="s">
        <v>42</v>
      </c>
    </row>
    <row r="143" spans="1:14" x14ac:dyDescent="0.25">
      <c r="A143" s="1" t="s">
        <v>47</v>
      </c>
      <c r="B143" s="1" t="s">
        <v>6055</v>
      </c>
      <c r="C143" s="1" t="s">
        <v>3392</v>
      </c>
      <c r="D143" s="8" t="s">
        <v>3391</v>
      </c>
      <c r="E143" s="1" t="s">
        <v>49</v>
      </c>
      <c r="F143" s="1" t="s">
        <v>6402</v>
      </c>
      <c r="G143" s="1" t="s">
        <v>4746</v>
      </c>
      <c r="H143" s="1" t="s">
        <v>4747</v>
      </c>
      <c r="I143" s="1" t="s">
        <v>4721</v>
      </c>
      <c r="J143" s="1" t="s">
        <v>12</v>
      </c>
      <c r="K143" s="1" t="s">
        <v>4860</v>
      </c>
      <c r="L143" s="1" t="s">
        <v>48</v>
      </c>
      <c r="M143" s="1" t="s">
        <v>630</v>
      </c>
      <c r="N143" s="1" t="s">
        <v>21</v>
      </c>
    </row>
    <row r="144" spans="1:14" x14ac:dyDescent="0.25">
      <c r="A144" s="1" t="s">
        <v>47</v>
      </c>
      <c r="B144" s="1" t="s">
        <v>6057</v>
      </c>
      <c r="C144" s="1" t="s">
        <v>4832</v>
      </c>
      <c r="D144" s="8" t="s">
        <v>4831</v>
      </c>
      <c r="E144" s="1" t="s">
        <v>303</v>
      </c>
      <c r="F144" s="1" t="s">
        <v>6398</v>
      </c>
      <c r="G144" s="1" t="s">
        <v>4746</v>
      </c>
      <c r="H144" s="1" t="s">
        <v>4747</v>
      </c>
      <c r="I144" s="1" t="s">
        <v>4721</v>
      </c>
      <c r="J144" s="1" t="s">
        <v>39</v>
      </c>
      <c r="K144" s="1" t="s">
        <v>4821</v>
      </c>
      <c r="L144" s="1" t="s">
        <v>60</v>
      </c>
      <c r="M144" s="1" t="s">
        <v>136</v>
      </c>
      <c r="N144" s="1" t="s">
        <v>72</v>
      </c>
    </row>
    <row r="145" spans="1:14" x14ac:dyDescent="0.25">
      <c r="A145" s="1" t="s">
        <v>47</v>
      </c>
      <c r="B145" s="1" t="s">
        <v>5464</v>
      </c>
      <c r="C145" s="1" t="s">
        <v>2629</v>
      </c>
      <c r="D145" s="8" t="s">
        <v>2628</v>
      </c>
      <c r="E145" s="1" t="s">
        <v>433</v>
      </c>
      <c r="F145" s="1" t="s">
        <v>6405</v>
      </c>
      <c r="G145" s="1" t="s">
        <v>4746</v>
      </c>
      <c r="H145" s="1" t="s">
        <v>4747</v>
      </c>
      <c r="I145" s="1" t="s">
        <v>4721</v>
      </c>
      <c r="J145" s="1" t="s">
        <v>12</v>
      </c>
      <c r="K145" s="1" t="s">
        <v>4810</v>
      </c>
      <c r="L145" s="1" t="s">
        <v>56</v>
      </c>
      <c r="M145" s="1" t="s">
        <v>4780</v>
      </c>
      <c r="N145" s="1" t="s">
        <v>21</v>
      </c>
    </row>
    <row r="146" spans="1:14" x14ac:dyDescent="0.25">
      <c r="A146" s="1" t="s">
        <v>47</v>
      </c>
      <c r="B146" s="1" t="s">
        <v>5465</v>
      </c>
      <c r="C146" s="1" t="s">
        <v>2906</v>
      </c>
      <c r="D146" s="8" t="s">
        <v>2905</v>
      </c>
      <c r="E146" s="1" t="s">
        <v>464</v>
      </c>
      <c r="F146" s="1" t="s">
        <v>4752</v>
      </c>
      <c r="G146" s="1" t="s">
        <v>4746</v>
      </c>
      <c r="H146" s="1" t="s">
        <v>4747</v>
      </c>
      <c r="I146" s="1" t="s">
        <v>4721</v>
      </c>
      <c r="J146" s="1" t="s">
        <v>12</v>
      </c>
      <c r="K146" s="1" t="s">
        <v>4861</v>
      </c>
      <c r="L146" s="1" t="s">
        <v>48</v>
      </c>
      <c r="M146" s="1" t="s">
        <v>364</v>
      </c>
      <c r="N146" s="1" t="s">
        <v>37</v>
      </c>
    </row>
    <row r="147" spans="1:14" x14ac:dyDescent="0.25">
      <c r="A147" s="1" t="s">
        <v>47</v>
      </c>
      <c r="B147" s="1" t="s">
        <v>5466</v>
      </c>
      <c r="C147" s="1" t="s">
        <v>2173</v>
      </c>
      <c r="D147" s="8" t="s">
        <v>2172</v>
      </c>
      <c r="E147" s="1" t="s">
        <v>601</v>
      </c>
      <c r="F147" s="1" t="s">
        <v>6403</v>
      </c>
      <c r="G147" s="1" t="s">
        <v>4746</v>
      </c>
      <c r="H147" s="1" t="s">
        <v>4747</v>
      </c>
      <c r="I147" s="1" t="s">
        <v>4722</v>
      </c>
      <c r="J147" s="1" t="s">
        <v>39</v>
      </c>
      <c r="K147" s="1" t="s">
        <v>4778</v>
      </c>
      <c r="L147" s="1" t="s">
        <v>60</v>
      </c>
      <c r="M147" s="1" t="s">
        <v>883</v>
      </c>
      <c r="N147" s="1" t="s">
        <v>21</v>
      </c>
    </row>
    <row r="148" spans="1:14" x14ac:dyDescent="0.25">
      <c r="A148" s="1" t="s">
        <v>47</v>
      </c>
      <c r="B148" s="1" t="s">
        <v>6068</v>
      </c>
      <c r="C148" s="1" t="s">
        <v>4209</v>
      </c>
      <c r="D148" s="8" t="s">
        <v>4208</v>
      </c>
      <c r="E148" s="1" t="s">
        <v>398</v>
      </c>
      <c r="F148" s="1" t="s">
        <v>6397</v>
      </c>
      <c r="G148" s="1" t="s">
        <v>4746</v>
      </c>
      <c r="H148" s="1" t="s">
        <v>4747</v>
      </c>
      <c r="I148" s="1" t="s">
        <v>4721</v>
      </c>
      <c r="J148" s="1" t="s">
        <v>12</v>
      </c>
      <c r="K148" s="1" t="s">
        <v>4813</v>
      </c>
      <c r="L148" s="1" t="s">
        <v>60</v>
      </c>
      <c r="M148" s="1" t="s">
        <v>58</v>
      </c>
      <c r="N148" s="1" t="s">
        <v>61</v>
      </c>
    </row>
    <row r="149" spans="1:14" x14ac:dyDescent="0.25">
      <c r="A149" s="1" t="s">
        <v>47</v>
      </c>
      <c r="B149" s="1" t="s">
        <v>6071</v>
      </c>
      <c r="C149" s="1" t="s">
        <v>2748</v>
      </c>
      <c r="D149" s="8" t="s">
        <v>2747</v>
      </c>
      <c r="E149" s="1" t="s">
        <v>244</v>
      </c>
      <c r="F149" s="1" t="s">
        <v>6409</v>
      </c>
      <c r="G149" s="1" t="s">
        <v>6410</v>
      </c>
      <c r="H149" s="1" t="s">
        <v>4747</v>
      </c>
      <c r="I149" s="1" t="s">
        <v>4721</v>
      </c>
      <c r="J149" s="1" t="s">
        <v>12</v>
      </c>
      <c r="K149" s="1" t="s">
        <v>4821</v>
      </c>
      <c r="L149" s="1" t="s">
        <v>60</v>
      </c>
      <c r="M149" s="1" t="s">
        <v>41</v>
      </c>
      <c r="N149" s="1" t="s">
        <v>42</v>
      </c>
    </row>
    <row r="150" spans="1:14" x14ac:dyDescent="0.25">
      <c r="A150" s="1" t="s">
        <v>47</v>
      </c>
      <c r="B150" s="1" t="s">
        <v>5470</v>
      </c>
      <c r="C150" s="1" t="s">
        <v>3389</v>
      </c>
      <c r="D150" s="8" t="s">
        <v>3388</v>
      </c>
      <c r="E150" s="1" t="s">
        <v>49</v>
      </c>
      <c r="F150" s="1" t="s">
        <v>6402</v>
      </c>
      <c r="G150" s="1" t="s">
        <v>4746</v>
      </c>
      <c r="H150" s="1" t="s">
        <v>4747</v>
      </c>
      <c r="I150" s="1" t="s">
        <v>4722</v>
      </c>
      <c r="J150" s="1" t="s">
        <v>39</v>
      </c>
      <c r="K150" s="1" t="s">
        <v>4860</v>
      </c>
      <c r="L150" s="1" t="s">
        <v>48</v>
      </c>
      <c r="M150" s="1" t="s">
        <v>630</v>
      </c>
      <c r="N150" s="1" t="s">
        <v>21</v>
      </c>
    </row>
    <row r="151" spans="1:14" x14ac:dyDescent="0.25">
      <c r="A151" s="1" t="s">
        <v>47</v>
      </c>
      <c r="B151" s="1" t="s">
        <v>6072</v>
      </c>
      <c r="C151" s="1" t="s">
        <v>1703</v>
      </c>
      <c r="D151" s="8" t="s">
        <v>1702</v>
      </c>
      <c r="E151" s="1" t="s">
        <v>181</v>
      </c>
      <c r="F151" s="1" t="s">
        <v>6395</v>
      </c>
      <c r="G151" s="1" t="s">
        <v>4748</v>
      </c>
      <c r="H151" s="1" t="s">
        <v>4747</v>
      </c>
      <c r="I151" s="1" t="s">
        <v>4721</v>
      </c>
      <c r="J151" s="1" t="s">
        <v>12</v>
      </c>
      <c r="K151" s="1" t="s">
        <v>4792</v>
      </c>
      <c r="L151" s="1" t="s">
        <v>66</v>
      </c>
      <c r="M151" s="1" t="s">
        <v>172</v>
      </c>
      <c r="N151" s="1" t="s">
        <v>17</v>
      </c>
    </row>
    <row r="152" spans="1:14" x14ac:dyDescent="0.25">
      <c r="A152" s="1" t="s">
        <v>47</v>
      </c>
      <c r="B152" s="1" t="s">
        <v>6073</v>
      </c>
      <c r="C152" s="1" t="s">
        <v>4462</v>
      </c>
      <c r="D152" s="8" t="s">
        <v>4461</v>
      </c>
      <c r="E152" s="1" t="s">
        <v>98</v>
      </c>
      <c r="F152" s="1" t="s">
        <v>6392</v>
      </c>
      <c r="G152" s="1" t="s">
        <v>4750</v>
      </c>
      <c r="H152" s="1" t="s">
        <v>4747</v>
      </c>
      <c r="I152" s="1" t="s">
        <v>4721</v>
      </c>
      <c r="J152" s="1" t="s">
        <v>12</v>
      </c>
      <c r="K152" s="1" t="s">
        <v>4806</v>
      </c>
      <c r="L152" s="1" t="s">
        <v>56</v>
      </c>
      <c r="M152" s="1" t="s">
        <v>648</v>
      </c>
      <c r="N152" s="1" t="s">
        <v>25</v>
      </c>
    </row>
    <row r="153" spans="1:14" x14ac:dyDescent="0.25">
      <c r="A153" s="1" t="s">
        <v>47</v>
      </c>
      <c r="B153" s="1" t="s">
        <v>5472</v>
      </c>
      <c r="C153" s="1" t="s">
        <v>3419</v>
      </c>
      <c r="D153" s="8" t="s">
        <v>3418</v>
      </c>
      <c r="E153" s="1" t="s">
        <v>251</v>
      </c>
      <c r="F153" s="1" t="s">
        <v>6393</v>
      </c>
      <c r="G153" s="1" t="s">
        <v>4750</v>
      </c>
      <c r="H153" s="1" t="s">
        <v>4747</v>
      </c>
      <c r="I153" s="1" t="s">
        <v>4721</v>
      </c>
      <c r="J153" s="1" t="s">
        <v>12</v>
      </c>
      <c r="K153" s="1" t="s">
        <v>4838</v>
      </c>
      <c r="L153" s="1" t="s">
        <v>224</v>
      </c>
      <c r="M153" s="1" t="s">
        <v>648</v>
      </c>
      <c r="N153" s="1" t="s">
        <v>25</v>
      </c>
    </row>
    <row r="154" spans="1:14" x14ac:dyDescent="0.25">
      <c r="A154" s="1" t="s">
        <v>47</v>
      </c>
      <c r="B154" s="1" t="s">
        <v>6097</v>
      </c>
      <c r="C154" s="1" t="s">
        <v>243</v>
      </c>
      <c r="D154" s="8" t="s">
        <v>242</v>
      </c>
      <c r="E154" s="1" t="s">
        <v>244</v>
      </c>
      <c r="F154" s="1" t="s">
        <v>4749</v>
      </c>
      <c r="G154" s="1" t="s">
        <v>4750</v>
      </c>
      <c r="H154" s="1" t="s">
        <v>4747</v>
      </c>
      <c r="I154" s="1" t="s">
        <v>4721</v>
      </c>
      <c r="J154" s="1" t="s">
        <v>12</v>
      </c>
      <c r="K154" s="1" t="s">
        <v>4778</v>
      </c>
      <c r="L154" s="1" t="s">
        <v>60</v>
      </c>
      <c r="M154" s="1" t="s">
        <v>4780</v>
      </c>
      <c r="N154" s="1" t="s">
        <v>21</v>
      </c>
    </row>
    <row r="155" spans="1:14" x14ac:dyDescent="0.25">
      <c r="A155" s="1" t="s">
        <v>47</v>
      </c>
      <c r="B155" s="1" t="s">
        <v>5479</v>
      </c>
      <c r="C155" s="1" t="s">
        <v>3338</v>
      </c>
      <c r="D155" s="8" t="s">
        <v>3337</v>
      </c>
      <c r="E155" s="1" t="s">
        <v>98</v>
      </c>
      <c r="F155" s="1" t="s">
        <v>6393</v>
      </c>
      <c r="G155" s="1" t="s">
        <v>4750</v>
      </c>
      <c r="H155" s="1" t="s">
        <v>4747</v>
      </c>
      <c r="I155" s="1" t="s">
        <v>4721</v>
      </c>
      <c r="J155" s="1" t="s">
        <v>12</v>
      </c>
      <c r="K155" s="1" t="s">
        <v>4811</v>
      </c>
      <c r="L155" s="1" t="s">
        <v>56</v>
      </c>
      <c r="M155" s="1" t="s">
        <v>613</v>
      </c>
      <c r="N155" s="1" t="s">
        <v>25</v>
      </c>
    </row>
    <row r="156" spans="1:14" x14ac:dyDescent="0.25">
      <c r="A156" s="1" t="s">
        <v>47</v>
      </c>
      <c r="B156" s="1" t="s">
        <v>5482</v>
      </c>
      <c r="C156" s="1" t="s">
        <v>2149</v>
      </c>
      <c r="D156" s="8" t="s">
        <v>2148</v>
      </c>
      <c r="E156" s="1" t="s">
        <v>244</v>
      </c>
      <c r="F156" s="1" t="s">
        <v>6403</v>
      </c>
      <c r="G156" s="1" t="s">
        <v>4746</v>
      </c>
      <c r="H156" s="1" t="s">
        <v>4747</v>
      </c>
      <c r="I156" s="1" t="s">
        <v>6407</v>
      </c>
      <c r="J156" s="1" t="s">
        <v>39</v>
      </c>
      <c r="K156" s="1" t="s">
        <v>4778</v>
      </c>
      <c r="L156" s="1" t="s">
        <v>60</v>
      </c>
      <c r="M156" s="1" t="s">
        <v>883</v>
      </c>
      <c r="N156" s="1" t="s">
        <v>21</v>
      </c>
    </row>
    <row r="157" spans="1:14" x14ac:dyDescent="0.25">
      <c r="A157" s="1" t="s">
        <v>47</v>
      </c>
      <c r="B157" s="1" t="s">
        <v>5483</v>
      </c>
      <c r="C157" s="1" t="s">
        <v>786</v>
      </c>
      <c r="D157" s="8" t="s">
        <v>785</v>
      </c>
      <c r="E157" s="1" t="s">
        <v>159</v>
      </c>
      <c r="F157" s="1" t="s">
        <v>6391</v>
      </c>
      <c r="G157" s="1" t="s">
        <v>4750</v>
      </c>
      <c r="H157" s="1" t="s">
        <v>4747</v>
      </c>
      <c r="I157" s="1" t="s">
        <v>4721</v>
      </c>
      <c r="J157" s="1" t="s">
        <v>12</v>
      </c>
      <c r="K157" s="1" t="s">
        <v>4870</v>
      </c>
      <c r="L157" s="1" t="s">
        <v>60</v>
      </c>
      <c r="M157" s="1" t="s">
        <v>99</v>
      </c>
      <c r="N157" s="1" t="s">
        <v>25</v>
      </c>
    </row>
    <row r="158" spans="1:14" x14ac:dyDescent="0.25">
      <c r="A158" s="1" t="s">
        <v>47</v>
      </c>
      <c r="B158" s="1" t="s">
        <v>5484</v>
      </c>
      <c r="C158" s="1" t="s">
        <v>1408</v>
      </c>
      <c r="D158" s="8" t="s">
        <v>1407</v>
      </c>
      <c r="E158" s="1" t="s">
        <v>368</v>
      </c>
      <c r="F158" s="1" t="s">
        <v>4749</v>
      </c>
      <c r="G158" s="1" t="s">
        <v>4750</v>
      </c>
      <c r="H158" s="1" t="s">
        <v>4747</v>
      </c>
      <c r="I158" s="1" t="s">
        <v>4721</v>
      </c>
      <c r="J158" s="1" t="s">
        <v>12</v>
      </c>
      <c r="K158" s="1" t="s">
        <v>4834</v>
      </c>
      <c r="L158" s="1" t="s">
        <v>227</v>
      </c>
      <c r="M158" s="1" t="s">
        <v>245</v>
      </c>
      <c r="N158" s="1" t="s">
        <v>21</v>
      </c>
    </row>
    <row r="159" spans="1:14" x14ac:dyDescent="0.25">
      <c r="A159" s="1" t="s">
        <v>47</v>
      </c>
      <c r="B159" s="1" t="s">
        <v>6104</v>
      </c>
      <c r="C159" s="1" t="s">
        <v>2852</v>
      </c>
      <c r="D159" s="8" t="s">
        <v>2851</v>
      </c>
      <c r="E159" s="1" t="s">
        <v>312</v>
      </c>
      <c r="F159" s="1" t="s">
        <v>6396</v>
      </c>
      <c r="G159" s="1" t="s">
        <v>4748</v>
      </c>
      <c r="H159" s="1" t="s">
        <v>4747</v>
      </c>
      <c r="I159" s="1" t="s">
        <v>4721</v>
      </c>
      <c r="J159" s="1" t="s">
        <v>12</v>
      </c>
      <c r="K159" s="1" t="s">
        <v>4845</v>
      </c>
      <c r="L159" s="1" t="s">
        <v>311</v>
      </c>
      <c r="M159" s="1" t="s">
        <v>630</v>
      </c>
      <c r="N159" s="1" t="s">
        <v>21</v>
      </c>
    </row>
    <row r="160" spans="1:14" x14ac:dyDescent="0.25">
      <c r="A160" s="1" t="s">
        <v>47</v>
      </c>
      <c r="B160" s="1" t="s">
        <v>6106</v>
      </c>
      <c r="C160" s="1" t="s">
        <v>3885</v>
      </c>
      <c r="D160" s="8" t="s">
        <v>3884</v>
      </c>
      <c r="E160" s="1" t="s">
        <v>2104</v>
      </c>
      <c r="F160" s="1" t="s">
        <v>6411</v>
      </c>
      <c r="G160" s="1" t="s">
        <v>4746</v>
      </c>
      <c r="H160" s="1" t="s">
        <v>4747</v>
      </c>
      <c r="I160" s="1" t="s">
        <v>4721</v>
      </c>
      <c r="J160" s="1" t="s">
        <v>12</v>
      </c>
      <c r="K160" s="1" t="s">
        <v>4866</v>
      </c>
      <c r="L160" s="1" t="s">
        <v>56</v>
      </c>
      <c r="M160" s="1" t="s">
        <v>245</v>
      </c>
      <c r="N160" s="1" t="s">
        <v>21</v>
      </c>
    </row>
    <row r="161" spans="1:14" x14ac:dyDescent="0.25">
      <c r="A161" s="1" t="s">
        <v>47</v>
      </c>
      <c r="B161" s="1" t="s">
        <v>5489</v>
      </c>
      <c r="C161" s="1" t="s">
        <v>3293</v>
      </c>
      <c r="D161" s="8" t="s">
        <v>3292</v>
      </c>
      <c r="E161" s="1" t="s">
        <v>159</v>
      </c>
      <c r="F161" s="1" t="s">
        <v>6392</v>
      </c>
      <c r="G161" s="1" t="s">
        <v>4750</v>
      </c>
      <c r="H161" s="1" t="s">
        <v>4747</v>
      </c>
      <c r="I161" s="1" t="s">
        <v>4721</v>
      </c>
      <c r="J161" s="1" t="s">
        <v>12</v>
      </c>
      <c r="K161" s="1" t="s">
        <v>4806</v>
      </c>
      <c r="L161" s="1" t="s">
        <v>60</v>
      </c>
      <c r="M161" s="1" t="s">
        <v>99</v>
      </c>
      <c r="N161" s="1" t="s">
        <v>25</v>
      </c>
    </row>
    <row r="162" spans="1:14" x14ac:dyDescent="0.25">
      <c r="A162" s="1" t="s">
        <v>47</v>
      </c>
      <c r="B162" s="1" t="s">
        <v>5491</v>
      </c>
      <c r="C162" s="1" t="s">
        <v>2125</v>
      </c>
      <c r="D162" s="8" t="s">
        <v>2124</v>
      </c>
      <c r="E162" s="1" t="s">
        <v>2104</v>
      </c>
      <c r="F162" s="1" t="s">
        <v>6411</v>
      </c>
      <c r="G162" s="1" t="s">
        <v>4746</v>
      </c>
      <c r="H162" s="1" t="s">
        <v>4747</v>
      </c>
      <c r="I162" s="1" t="s">
        <v>4721</v>
      </c>
      <c r="J162" s="1" t="s">
        <v>12</v>
      </c>
      <c r="K162" s="1" t="s">
        <v>4866</v>
      </c>
      <c r="L162" s="1" t="s">
        <v>56</v>
      </c>
      <c r="M162" s="1" t="s">
        <v>883</v>
      </c>
      <c r="N162" s="1" t="s">
        <v>21</v>
      </c>
    </row>
    <row r="163" spans="1:14" x14ac:dyDescent="0.25">
      <c r="A163" s="1" t="s">
        <v>47</v>
      </c>
      <c r="B163" s="1" t="s">
        <v>5492</v>
      </c>
      <c r="C163" s="1" t="s">
        <v>4318</v>
      </c>
      <c r="D163" s="8" t="s">
        <v>4317</v>
      </c>
      <c r="E163" s="1" t="s">
        <v>511</v>
      </c>
      <c r="F163" s="1" t="s">
        <v>4752</v>
      </c>
      <c r="G163" s="1" t="s">
        <v>4746</v>
      </c>
      <c r="H163" s="1" t="s">
        <v>4747</v>
      </c>
      <c r="I163" s="1" t="s">
        <v>4721</v>
      </c>
      <c r="J163" s="1" t="s">
        <v>39</v>
      </c>
      <c r="K163" s="1" t="s">
        <v>4861</v>
      </c>
      <c r="L163" s="1" t="s">
        <v>48</v>
      </c>
      <c r="M163" s="1" t="s">
        <v>136</v>
      </c>
      <c r="N163" s="1" t="s">
        <v>72</v>
      </c>
    </row>
    <row r="164" spans="1:14" x14ac:dyDescent="0.25">
      <c r="A164" s="1" t="s">
        <v>47</v>
      </c>
      <c r="B164" s="1" t="s">
        <v>6110</v>
      </c>
      <c r="C164" s="1" t="s">
        <v>463</v>
      </c>
      <c r="D164" s="8" t="s">
        <v>462</v>
      </c>
      <c r="E164" s="1" t="s">
        <v>464</v>
      </c>
      <c r="F164" s="1" t="s">
        <v>6401</v>
      </c>
      <c r="G164" s="1" t="s">
        <v>4746</v>
      </c>
      <c r="H164" s="1" t="s">
        <v>4747</v>
      </c>
      <c r="I164" s="1" t="s">
        <v>4721</v>
      </c>
      <c r="J164" s="1" t="s">
        <v>39</v>
      </c>
      <c r="K164" s="1" t="s">
        <v>4810</v>
      </c>
      <c r="L164" s="1" t="s">
        <v>48</v>
      </c>
      <c r="M164" s="1" t="s">
        <v>172</v>
      </c>
      <c r="N164" s="1" t="s">
        <v>17</v>
      </c>
    </row>
    <row r="165" spans="1:14" x14ac:dyDescent="0.25">
      <c r="A165" s="1" t="s">
        <v>47</v>
      </c>
      <c r="B165" s="1" t="s">
        <v>6112</v>
      </c>
      <c r="C165" s="1" t="s">
        <v>4435</v>
      </c>
      <c r="D165" s="8" t="s">
        <v>4434</v>
      </c>
      <c r="E165" s="1" t="s">
        <v>464</v>
      </c>
      <c r="F165" s="1" t="s">
        <v>6401</v>
      </c>
      <c r="G165" s="1" t="s">
        <v>4746</v>
      </c>
      <c r="H165" s="1" t="s">
        <v>4747</v>
      </c>
      <c r="I165" s="1" t="s">
        <v>4721</v>
      </c>
      <c r="J165" s="1" t="s">
        <v>12</v>
      </c>
      <c r="K165" s="1" t="s">
        <v>4810</v>
      </c>
      <c r="L165" s="1" t="s">
        <v>48</v>
      </c>
      <c r="M165" s="1" t="s">
        <v>870</v>
      </c>
      <c r="N165" s="1" t="s">
        <v>76</v>
      </c>
    </row>
    <row r="166" spans="1:14" x14ac:dyDescent="0.25">
      <c r="A166" s="1" t="s">
        <v>47</v>
      </c>
      <c r="B166" s="1" t="s">
        <v>5498</v>
      </c>
      <c r="C166" s="1" t="s">
        <v>3043</v>
      </c>
      <c r="D166" s="8" t="s">
        <v>3042</v>
      </c>
      <c r="E166" s="1" t="s">
        <v>269</v>
      </c>
      <c r="F166" s="1" t="s">
        <v>6404</v>
      </c>
      <c r="G166" s="1" t="s">
        <v>4748</v>
      </c>
      <c r="H166" s="1" t="s">
        <v>4747</v>
      </c>
      <c r="I166" s="1" t="s">
        <v>4721</v>
      </c>
      <c r="J166" s="1" t="s">
        <v>12</v>
      </c>
      <c r="K166" s="1" t="s">
        <v>4829</v>
      </c>
      <c r="L166" s="1" t="s">
        <v>227</v>
      </c>
      <c r="M166" s="1" t="s">
        <v>245</v>
      </c>
      <c r="N166" s="1" t="s">
        <v>21</v>
      </c>
    </row>
    <row r="167" spans="1:14" x14ac:dyDescent="0.25">
      <c r="A167" s="1" t="s">
        <v>47</v>
      </c>
      <c r="B167" s="1" t="s">
        <v>5499</v>
      </c>
      <c r="C167" s="1" t="s">
        <v>4857</v>
      </c>
      <c r="D167" s="8" t="s">
        <v>4856</v>
      </c>
      <c r="E167" s="1" t="s">
        <v>225</v>
      </c>
      <c r="F167" s="1" t="s">
        <v>4751</v>
      </c>
      <c r="G167" s="1" t="s">
        <v>4748</v>
      </c>
      <c r="H167" s="1" t="s">
        <v>4747</v>
      </c>
      <c r="I167" s="1" t="s">
        <v>4721</v>
      </c>
      <c r="J167" s="1" t="s">
        <v>39</v>
      </c>
      <c r="K167" s="1" t="s">
        <v>4844</v>
      </c>
      <c r="L167" s="1" t="s">
        <v>224</v>
      </c>
      <c r="M167" s="1" t="s">
        <v>136</v>
      </c>
      <c r="N167" s="1" t="s">
        <v>72</v>
      </c>
    </row>
    <row r="168" spans="1:14" x14ac:dyDescent="0.25">
      <c r="A168" s="1" t="s">
        <v>47</v>
      </c>
      <c r="B168" s="1" t="s">
        <v>6114</v>
      </c>
      <c r="C168" s="1" t="s">
        <v>148</v>
      </c>
      <c r="D168" s="8" t="s">
        <v>147</v>
      </c>
      <c r="E168" s="1" t="s">
        <v>142</v>
      </c>
      <c r="F168" s="1" t="s">
        <v>6413</v>
      </c>
      <c r="G168" s="1" t="s">
        <v>6410</v>
      </c>
      <c r="H168" s="1" t="s">
        <v>4747</v>
      </c>
      <c r="I168" s="1" t="s">
        <v>4721</v>
      </c>
      <c r="J168" s="1" t="s">
        <v>12</v>
      </c>
      <c r="K168" s="1" t="s">
        <v>4845</v>
      </c>
      <c r="L168" s="1" t="s">
        <v>141</v>
      </c>
      <c r="M168" s="1" t="s">
        <v>149</v>
      </c>
      <c r="N168" s="1" t="s">
        <v>61</v>
      </c>
    </row>
    <row r="169" spans="1:14" x14ac:dyDescent="0.25">
      <c r="A169" s="1" t="s">
        <v>47</v>
      </c>
      <c r="B169" s="1" t="s">
        <v>6116</v>
      </c>
      <c r="C169" s="1" t="s">
        <v>4432</v>
      </c>
      <c r="D169" s="8" t="s">
        <v>4431</v>
      </c>
      <c r="E169" s="1" t="s">
        <v>464</v>
      </c>
      <c r="F169" s="1" t="s">
        <v>6401</v>
      </c>
      <c r="G169" s="1" t="s">
        <v>4746</v>
      </c>
      <c r="H169" s="1" t="s">
        <v>4747</v>
      </c>
      <c r="I169" s="1" t="s">
        <v>4721</v>
      </c>
      <c r="J169" s="1" t="s">
        <v>39</v>
      </c>
      <c r="K169" s="1" t="s">
        <v>4810</v>
      </c>
      <c r="L169" s="1" t="s">
        <v>48</v>
      </c>
      <c r="M169" s="1" t="s">
        <v>172</v>
      </c>
      <c r="N169" s="1" t="s">
        <v>17</v>
      </c>
    </row>
    <row r="170" spans="1:14" x14ac:dyDescent="0.25">
      <c r="A170" s="1" t="s">
        <v>47</v>
      </c>
      <c r="B170" s="1" t="s">
        <v>5501</v>
      </c>
      <c r="C170" s="1" t="s">
        <v>310</v>
      </c>
      <c r="D170" s="8" t="s">
        <v>309</v>
      </c>
      <c r="E170" s="1" t="s">
        <v>312</v>
      </c>
      <c r="F170" s="1" t="s">
        <v>6396</v>
      </c>
      <c r="G170" s="1" t="s">
        <v>4748</v>
      </c>
      <c r="H170" s="1" t="s">
        <v>4747</v>
      </c>
      <c r="I170" s="1" t="s">
        <v>4722</v>
      </c>
      <c r="J170" s="1" t="s">
        <v>39</v>
      </c>
      <c r="K170" s="1" t="s">
        <v>4845</v>
      </c>
      <c r="L170" s="1" t="s">
        <v>311</v>
      </c>
      <c r="M170" s="1" t="s">
        <v>89</v>
      </c>
      <c r="N170" s="1" t="s">
        <v>37</v>
      </c>
    </row>
    <row r="171" spans="1:14" x14ac:dyDescent="0.25">
      <c r="A171" s="1" t="s">
        <v>47</v>
      </c>
      <c r="B171" s="1" t="s">
        <v>6120</v>
      </c>
      <c r="C171" s="1" t="s">
        <v>2918</v>
      </c>
      <c r="D171" s="8" t="s">
        <v>2917</v>
      </c>
      <c r="E171" s="1" t="s">
        <v>464</v>
      </c>
      <c r="F171" s="1" t="s">
        <v>4752</v>
      </c>
      <c r="G171" s="1" t="s">
        <v>4746</v>
      </c>
      <c r="H171" s="1" t="s">
        <v>4747</v>
      </c>
      <c r="I171" s="1" t="s">
        <v>4721</v>
      </c>
      <c r="J171" s="1" t="s">
        <v>12</v>
      </c>
      <c r="K171" s="1" t="s">
        <v>4861</v>
      </c>
      <c r="L171" s="1" t="s">
        <v>48</v>
      </c>
      <c r="M171" s="1" t="s">
        <v>245</v>
      </c>
      <c r="N171" s="1" t="s">
        <v>21</v>
      </c>
    </row>
    <row r="172" spans="1:14" x14ac:dyDescent="0.25">
      <c r="A172" s="1" t="s">
        <v>47</v>
      </c>
      <c r="B172" s="1" t="s">
        <v>6121</v>
      </c>
      <c r="C172" s="1" t="s">
        <v>2763</v>
      </c>
      <c r="D172" s="8" t="s">
        <v>2762</v>
      </c>
      <c r="E172" s="1" t="s">
        <v>341</v>
      </c>
      <c r="F172" s="1" t="s">
        <v>6409</v>
      </c>
      <c r="G172" s="1" t="s">
        <v>6410</v>
      </c>
      <c r="H172" s="1" t="s">
        <v>4747</v>
      </c>
      <c r="I172" s="1" t="s">
        <v>4721</v>
      </c>
      <c r="J172" s="1" t="s">
        <v>39</v>
      </c>
      <c r="K172" s="1" t="s">
        <v>4779</v>
      </c>
      <c r="L172" s="1" t="s">
        <v>56</v>
      </c>
      <c r="M172" s="1" t="s">
        <v>317</v>
      </c>
      <c r="N172" s="1" t="s">
        <v>42</v>
      </c>
    </row>
    <row r="173" spans="1:14" x14ac:dyDescent="0.25">
      <c r="A173" s="1" t="s">
        <v>47</v>
      </c>
      <c r="B173" s="1" t="s">
        <v>5504</v>
      </c>
      <c r="C173" s="1" t="s">
        <v>2742</v>
      </c>
      <c r="D173" s="8" t="s">
        <v>2741</v>
      </c>
      <c r="E173" s="1" t="s">
        <v>278</v>
      </c>
      <c r="F173" s="1" t="s">
        <v>6409</v>
      </c>
      <c r="G173" s="1" t="s">
        <v>6410</v>
      </c>
      <c r="H173" s="1" t="s">
        <v>4747</v>
      </c>
      <c r="I173" s="1" t="s">
        <v>4721</v>
      </c>
      <c r="J173" s="1" t="s">
        <v>12</v>
      </c>
      <c r="K173" s="1" t="s">
        <v>4778</v>
      </c>
      <c r="L173" s="1" t="s">
        <v>60</v>
      </c>
      <c r="M173" s="1" t="s">
        <v>41</v>
      </c>
      <c r="N173" s="1" t="s">
        <v>42</v>
      </c>
    </row>
    <row r="174" spans="1:14" x14ac:dyDescent="0.25">
      <c r="A174" s="1" t="s">
        <v>47</v>
      </c>
      <c r="B174" s="1" t="s">
        <v>5506</v>
      </c>
      <c r="C174" s="1" t="s">
        <v>3918</v>
      </c>
      <c r="D174" s="8" t="s">
        <v>3917</v>
      </c>
      <c r="E174" s="1" t="s">
        <v>244</v>
      </c>
      <c r="F174" s="1" t="s">
        <v>6403</v>
      </c>
      <c r="G174" s="1" t="s">
        <v>4746</v>
      </c>
      <c r="H174" s="1" t="s">
        <v>4747</v>
      </c>
      <c r="I174" s="1" t="s">
        <v>4721</v>
      </c>
      <c r="J174" s="1" t="s">
        <v>12</v>
      </c>
      <c r="K174" s="1" t="s">
        <v>4778</v>
      </c>
      <c r="L174" s="1" t="s">
        <v>60</v>
      </c>
      <c r="M174" s="1" t="s">
        <v>364</v>
      </c>
      <c r="N174" s="1" t="s">
        <v>37</v>
      </c>
    </row>
    <row r="175" spans="1:14" x14ac:dyDescent="0.25">
      <c r="A175" s="1" t="s">
        <v>47</v>
      </c>
      <c r="B175" s="1" t="s">
        <v>6124</v>
      </c>
      <c r="C175" s="1" t="s">
        <v>2825</v>
      </c>
      <c r="D175" s="8" t="s">
        <v>2824</v>
      </c>
      <c r="E175" s="1" t="s">
        <v>303</v>
      </c>
      <c r="F175" s="1" t="s">
        <v>6397</v>
      </c>
      <c r="G175" s="1" t="s">
        <v>4746</v>
      </c>
      <c r="H175" s="1" t="s">
        <v>4747</v>
      </c>
      <c r="I175" s="1" t="s">
        <v>4721</v>
      </c>
      <c r="J175" s="1" t="s">
        <v>12</v>
      </c>
      <c r="K175" s="1" t="s">
        <v>4813</v>
      </c>
      <c r="L175" s="1" t="s">
        <v>60</v>
      </c>
      <c r="M175" s="1" t="s">
        <v>883</v>
      </c>
      <c r="N175" s="1" t="s">
        <v>21</v>
      </c>
    </row>
    <row r="176" spans="1:14" x14ac:dyDescent="0.25">
      <c r="A176" s="1" t="s">
        <v>47</v>
      </c>
      <c r="B176" s="1" t="s">
        <v>6127</v>
      </c>
      <c r="C176" s="1" t="s">
        <v>3764</v>
      </c>
      <c r="D176" s="8" t="s">
        <v>3763</v>
      </c>
      <c r="E176" s="1" t="s">
        <v>181</v>
      </c>
      <c r="F176" s="1" t="s">
        <v>6406</v>
      </c>
      <c r="G176" s="1" t="s">
        <v>4748</v>
      </c>
      <c r="H176" s="1" t="s">
        <v>4747</v>
      </c>
      <c r="I176" s="1" t="s">
        <v>4721</v>
      </c>
      <c r="J176" s="1" t="s">
        <v>12</v>
      </c>
      <c r="K176" s="1" t="s">
        <v>4793</v>
      </c>
      <c r="L176" s="1" t="s">
        <v>66</v>
      </c>
      <c r="M176" s="1" t="s">
        <v>172</v>
      </c>
      <c r="N176" s="1" t="s">
        <v>17</v>
      </c>
    </row>
    <row r="177" spans="1:14" x14ac:dyDescent="0.25">
      <c r="A177" s="1" t="s">
        <v>47</v>
      </c>
      <c r="B177" s="1" t="s">
        <v>5511</v>
      </c>
      <c r="C177" s="1" t="s">
        <v>4270</v>
      </c>
      <c r="D177" s="8" t="s">
        <v>4269</v>
      </c>
      <c r="E177" s="1" t="s">
        <v>464</v>
      </c>
      <c r="F177" s="1" t="s">
        <v>4752</v>
      </c>
      <c r="G177" s="1" t="s">
        <v>4746</v>
      </c>
      <c r="H177" s="1" t="s">
        <v>4747</v>
      </c>
      <c r="I177" s="1" t="s">
        <v>4721</v>
      </c>
      <c r="J177" s="1" t="s">
        <v>12</v>
      </c>
      <c r="K177" s="1" t="s">
        <v>4861</v>
      </c>
      <c r="L177" s="1" t="s">
        <v>48</v>
      </c>
      <c r="M177" s="1" t="s">
        <v>136</v>
      </c>
      <c r="N177" s="1" t="s">
        <v>72</v>
      </c>
    </row>
    <row r="178" spans="1:14" x14ac:dyDescent="0.25">
      <c r="A178" s="1" t="s">
        <v>47</v>
      </c>
      <c r="B178" s="1" t="s">
        <v>5514</v>
      </c>
      <c r="C178" s="1" t="s">
        <v>2951</v>
      </c>
      <c r="D178" s="8" t="s">
        <v>2950</v>
      </c>
      <c r="E178" s="1" t="s">
        <v>464</v>
      </c>
      <c r="F178" s="1" t="s">
        <v>4752</v>
      </c>
      <c r="G178" s="1" t="s">
        <v>4746</v>
      </c>
      <c r="H178" s="1" t="s">
        <v>4747</v>
      </c>
      <c r="I178" s="1" t="s">
        <v>4721</v>
      </c>
      <c r="J178" s="1" t="s">
        <v>12</v>
      </c>
      <c r="K178" s="1" t="s">
        <v>4861</v>
      </c>
      <c r="L178" s="1" t="s">
        <v>48</v>
      </c>
      <c r="M178" s="1" t="s">
        <v>245</v>
      </c>
      <c r="N178" s="1" t="s">
        <v>21</v>
      </c>
    </row>
    <row r="179" spans="1:14" x14ac:dyDescent="0.25">
      <c r="A179" s="1" t="s">
        <v>47</v>
      </c>
      <c r="B179" s="1" t="s">
        <v>5520</v>
      </c>
      <c r="C179" s="1" t="s">
        <v>4815</v>
      </c>
      <c r="D179" s="8" t="s">
        <v>4814</v>
      </c>
      <c r="E179" s="1" t="s">
        <v>303</v>
      </c>
      <c r="F179" s="1" t="s">
        <v>6397</v>
      </c>
      <c r="G179" s="1" t="s">
        <v>4746</v>
      </c>
      <c r="H179" s="1" t="s">
        <v>4747</v>
      </c>
      <c r="I179" s="1" t="s">
        <v>4721</v>
      </c>
      <c r="J179" s="1" t="s">
        <v>39</v>
      </c>
      <c r="K179" s="1" t="s">
        <v>4813</v>
      </c>
      <c r="L179" s="1" t="s">
        <v>60</v>
      </c>
      <c r="M179" s="1" t="s">
        <v>136</v>
      </c>
      <c r="N179" s="1" t="s">
        <v>72</v>
      </c>
    </row>
    <row r="180" spans="1:14" x14ac:dyDescent="0.25">
      <c r="A180" s="1" t="s">
        <v>47</v>
      </c>
      <c r="B180" s="1" t="s">
        <v>6140</v>
      </c>
      <c r="C180" s="1" t="s">
        <v>804</v>
      </c>
      <c r="D180" s="8" t="s">
        <v>803</v>
      </c>
      <c r="E180" s="1" t="s">
        <v>225</v>
      </c>
      <c r="F180" s="1" t="s">
        <v>4751</v>
      </c>
      <c r="G180" s="1" t="s">
        <v>4748</v>
      </c>
      <c r="H180" s="1" t="s">
        <v>4747</v>
      </c>
      <c r="I180" s="1" t="s">
        <v>4721</v>
      </c>
      <c r="J180" s="1" t="s">
        <v>12</v>
      </c>
      <c r="K180" s="1" t="s">
        <v>4844</v>
      </c>
      <c r="L180" s="1" t="s">
        <v>224</v>
      </c>
      <c r="M180" s="1" t="s">
        <v>245</v>
      </c>
      <c r="N180" s="1" t="s">
        <v>21</v>
      </c>
    </row>
    <row r="181" spans="1:14" x14ac:dyDescent="0.25">
      <c r="A181" s="1" t="s">
        <v>47</v>
      </c>
      <c r="B181" s="1" t="s">
        <v>6141</v>
      </c>
      <c r="C181" s="1" t="s">
        <v>4303</v>
      </c>
      <c r="D181" s="8" t="s">
        <v>4302</v>
      </c>
      <c r="E181" s="1" t="s">
        <v>464</v>
      </c>
      <c r="F181" s="1" t="s">
        <v>4752</v>
      </c>
      <c r="G181" s="1" t="s">
        <v>4746</v>
      </c>
      <c r="H181" s="1" t="s">
        <v>4747</v>
      </c>
      <c r="I181" s="1" t="s">
        <v>4721</v>
      </c>
      <c r="J181" s="1" t="s">
        <v>12</v>
      </c>
      <c r="K181" s="1" t="s">
        <v>4861</v>
      </c>
      <c r="L181" s="1" t="s">
        <v>48</v>
      </c>
      <c r="M181" s="1" t="s">
        <v>637</v>
      </c>
      <c r="N181" s="1" t="s">
        <v>19</v>
      </c>
    </row>
    <row r="182" spans="1:14" x14ac:dyDescent="0.25">
      <c r="A182" s="1" t="s">
        <v>47</v>
      </c>
      <c r="B182" s="1" t="s">
        <v>6143</v>
      </c>
      <c r="C182" s="1" t="s">
        <v>346</v>
      </c>
      <c r="D182" s="8" t="s">
        <v>345</v>
      </c>
      <c r="E182" s="1" t="s">
        <v>264</v>
      </c>
      <c r="F182" s="1" t="s">
        <v>6393</v>
      </c>
      <c r="G182" s="1" t="s">
        <v>4750</v>
      </c>
      <c r="H182" s="1" t="s">
        <v>4747</v>
      </c>
      <c r="I182" s="1" t="s">
        <v>4721</v>
      </c>
      <c r="J182" s="1" t="s">
        <v>12</v>
      </c>
      <c r="K182" s="1" t="s">
        <v>4838</v>
      </c>
      <c r="L182" s="1" t="s">
        <v>227</v>
      </c>
      <c r="M182" s="1" t="s">
        <v>648</v>
      </c>
      <c r="N182" s="1" t="s">
        <v>25</v>
      </c>
    </row>
    <row r="183" spans="1:14" x14ac:dyDescent="0.25">
      <c r="A183" s="1" t="s">
        <v>47</v>
      </c>
      <c r="B183" s="1" t="s">
        <v>6144</v>
      </c>
      <c r="C183" s="1" t="s">
        <v>2957</v>
      </c>
      <c r="D183" s="8" t="s">
        <v>2956</v>
      </c>
      <c r="E183" s="1" t="s">
        <v>511</v>
      </c>
      <c r="F183" s="1" t="s">
        <v>4752</v>
      </c>
      <c r="G183" s="1" t="s">
        <v>4746</v>
      </c>
      <c r="H183" s="1" t="s">
        <v>4747</v>
      </c>
      <c r="I183" s="1" t="s">
        <v>4721</v>
      </c>
      <c r="J183" s="1" t="s">
        <v>12</v>
      </c>
      <c r="K183" s="1" t="s">
        <v>4861</v>
      </c>
      <c r="L183" s="1" t="s">
        <v>48</v>
      </c>
      <c r="M183" s="1" t="s">
        <v>637</v>
      </c>
      <c r="N183" s="1" t="s">
        <v>19</v>
      </c>
    </row>
    <row r="184" spans="1:14" x14ac:dyDescent="0.25">
      <c r="A184" s="1" t="s">
        <v>47</v>
      </c>
      <c r="B184" s="1" t="s">
        <v>6148</v>
      </c>
      <c r="C184" s="1" t="s">
        <v>3374</v>
      </c>
      <c r="D184" s="8" t="s">
        <v>3373</v>
      </c>
      <c r="E184" s="1" t="s">
        <v>49</v>
      </c>
      <c r="F184" s="1" t="s">
        <v>6402</v>
      </c>
      <c r="G184" s="1" t="s">
        <v>4746</v>
      </c>
      <c r="H184" s="1" t="s">
        <v>4747</v>
      </c>
      <c r="I184" s="1" t="s">
        <v>4721</v>
      </c>
      <c r="J184" s="1" t="s">
        <v>12</v>
      </c>
      <c r="K184" s="1" t="s">
        <v>4860</v>
      </c>
      <c r="L184" s="1" t="s">
        <v>48</v>
      </c>
      <c r="M184" s="1" t="s">
        <v>58</v>
      </c>
      <c r="N184" s="1" t="s">
        <v>61</v>
      </c>
    </row>
    <row r="185" spans="1:14" x14ac:dyDescent="0.25">
      <c r="A185" s="1" t="s">
        <v>47</v>
      </c>
      <c r="B185" s="1" t="s">
        <v>5529</v>
      </c>
      <c r="C185" s="1" t="s">
        <v>2975</v>
      </c>
      <c r="D185" s="8" t="s">
        <v>2974</v>
      </c>
      <c r="E185" s="1" t="s">
        <v>181</v>
      </c>
      <c r="F185" s="1" t="s">
        <v>6395</v>
      </c>
      <c r="G185" s="1" t="s">
        <v>4748</v>
      </c>
      <c r="H185" s="1" t="s">
        <v>4747</v>
      </c>
      <c r="I185" s="1" t="s">
        <v>4722</v>
      </c>
      <c r="J185" s="1" t="s">
        <v>39</v>
      </c>
      <c r="K185" s="1" t="s">
        <v>4792</v>
      </c>
      <c r="L185" s="1" t="s">
        <v>66</v>
      </c>
      <c r="M185" s="1" t="s">
        <v>883</v>
      </c>
      <c r="N185" s="1" t="s">
        <v>21</v>
      </c>
    </row>
    <row r="186" spans="1:14" x14ac:dyDescent="0.25">
      <c r="A186" s="1" t="s">
        <v>47</v>
      </c>
      <c r="B186" s="1" t="s">
        <v>6153</v>
      </c>
      <c r="C186" s="1" t="s">
        <v>4450</v>
      </c>
      <c r="D186" s="8" t="s">
        <v>4449</v>
      </c>
      <c r="E186" s="1" t="s">
        <v>159</v>
      </c>
      <c r="F186" s="1" t="s">
        <v>6392</v>
      </c>
      <c r="G186" s="1" t="s">
        <v>4750</v>
      </c>
      <c r="H186" s="1" t="s">
        <v>4747</v>
      </c>
      <c r="I186" s="1" t="s">
        <v>4721</v>
      </c>
      <c r="J186" s="1" t="s">
        <v>12</v>
      </c>
      <c r="K186" s="1" t="s">
        <v>4806</v>
      </c>
      <c r="L186" s="1" t="s">
        <v>60</v>
      </c>
      <c r="M186" s="1" t="s">
        <v>99</v>
      </c>
      <c r="N186" s="1" t="s">
        <v>25</v>
      </c>
    </row>
    <row r="187" spans="1:14" x14ac:dyDescent="0.25">
      <c r="A187" s="1" t="s">
        <v>47</v>
      </c>
      <c r="B187" s="1" t="s">
        <v>6155</v>
      </c>
      <c r="C187" s="1" t="s">
        <v>3350</v>
      </c>
      <c r="D187" s="8" t="s">
        <v>3349</v>
      </c>
      <c r="E187" s="1" t="s">
        <v>98</v>
      </c>
      <c r="F187" s="1" t="s">
        <v>6393</v>
      </c>
      <c r="G187" s="1" t="s">
        <v>4750</v>
      </c>
      <c r="H187" s="1" t="s">
        <v>4747</v>
      </c>
      <c r="I187" s="1" t="s">
        <v>4721</v>
      </c>
      <c r="J187" s="1" t="s">
        <v>12</v>
      </c>
      <c r="K187" s="1" t="s">
        <v>4838</v>
      </c>
      <c r="L187" s="1" t="s">
        <v>56</v>
      </c>
      <c r="M187" s="1" t="s">
        <v>648</v>
      </c>
      <c r="N187" s="1" t="s">
        <v>25</v>
      </c>
    </row>
    <row r="188" spans="1:14" x14ac:dyDescent="0.25">
      <c r="A188" s="1" t="s">
        <v>47</v>
      </c>
      <c r="B188" s="1" t="s">
        <v>5537</v>
      </c>
      <c r="C188" s="1" t="s">
        <v>4868</v>
      </c>
      <c r="D188" s="8" t="s">
        <v>4867</v>
      </c>
      <c r="E188" s="1" t="s">
        <v>303</v>
      </c>
      <c r="F188" s="1" t="s">
        <v>6397</v>
      </c>
      <c r="G188" s="1" t="s">
        <v>4746</v>
      </c>
      <c r="H188" s="1" t="s">
        <v>4747</v>
      </c>
      <c r="I188" s="1" t="s">
        <v>4721</v>
      </c>
      <c r="J188" s="1" t="s">
        <v>39</v>
      </c>
      <c r="K188" s="1" t="s">
        <v>4813</v>
      </c>
      <c r="L188" s="1" t="s">
        <v>60</v>
      </c>
      <c r="M188" s="1" t="s">
        <v>136</v>
      </c>
      <c r="N188" s="1" t="s">
        <v>72</v>
      </c>
    </row>
    <row r="189" spans="1:14" x14ac:dyDescent="0.25">
      <c r="A189" s="1" t="s">
        <v>47</v>
      </c>
      <c r="B189" s="1" t="s">
        <v>5539</v>
      </c>
      <c r="C189" s="1" t="s">
        <v>600</v>
      </c>
      <c r="D189" s="8" t="s">
        <v>599</v>
      </c>
      <c r="E189" s="1" t="s">
        <v>303</v>
      </c>
      <c r="F189" s="1" t="s">
        <v>6401</v>
      </c>
      <c r="G189" s="1" t="s">
        <v>4746</v>
      </c>
      <c r="H189" s="1" t="s">
        <v>4747</v>
      </c>
      <c r="I189" s="1" t="s">
        <v>4721</v>
      </c>
      <c r="J189" s="1" t="s">
        <v>12</v>
      </c>
      <c r="K189" s="1" t="s">
        <v>4810</v>
      </c>
      <c r="L189" s="1" t="s">
        <v>60</v>
      </c>
      <c r="M189" s="1" t="s">
        <v>172</v>
      </c>
      <c r="N189" s="1" t="s">
        <v>17</v>
      </c>
    </row>
    <row r="190" spans="1:14" x14ac:dyDescent="0.25">
      <c r="A190" s="1" t="s">
        <v>47</v>
      </c>
      <c r="B190" s="1" t="s">
        <v>6158</v>
      </c>
      <c r="C190" s="1" t="s">
        <v>4826</v>
      </c>
      <c r="D190" s="8" t="s">
        <v>4825</v>
      </c>
      <c r="E190" s="1" t="s">
        <v>1112</v>
      </c>
      <c r="F190" s="1" t="s">
        <v>6408</v>
      </c>
      <c r="G190" s="1" t="s">
        <v>4748</v>
      </c>
      <c r="H190" s="1" t="s">
        <v>4747</v>
      </c>
      <c r="I190" s="1" t="s">
        <v>4722</v>
      </c>
      <c r="J190" s="1" t="s">
        <v>39</v>
      </c>
      <c r="K190" s="1" t="s">
        <v>4817</v>
      </c>
      <c r="L190" s="1" t="s">
        <v>224</v>
      </c>
      <c r="M190" s="1" t="s">
        <v>136</v>
      </c>
      <c r="N190" s="1" t="s">
        <v>72</v>
      </c>
    </row>
    <row r="191" spans="1:14" x14ac:dyDescent="0.25">
      <c r="A191" s="1" t="s">
        <v>47</v>
      </c>
      <c r="B191" s="1" t="s">
        <v>5541</v>
      </c>
      <c r="C191" s="1" t="s">
        <v>3561</v>
      </c>
      <c r="D191" s="8" t="s">
        <v>3560</v>
      </c>
      <c r="E191" s="1" t="s">
        <v>67</v>
      </c>
      <c r="F191" s="1" t="s">
        <v>6406</v>
      </c>
      <c r="G191" s="1" t="s">
        <v>4748</v>
      </c>
      <c r="H191" s="1" t="s">
        <v>4747</v>
      </c>
      <c r="I191" s="1" t="s">
        <v>4721</v>
      </c>
      <c r="J191" s="1" t="s">
        <v>12</v>
      </c>
      <c r="K191" s="1" t="s">
        <v>4787</v>
      </c>
      <c r="L191" s="1" t="s">
        <v>66</v>
      </c>
      <c r="M191" s="1" t="s">
        <v>364</v>
      </c>
      <c r="N191" s="1" t="s">
        <v>37</v>
      </c>
    </row>
    <row r="192" spans="1:14" x14ac:dyDescent="0.25">
      <c r="A192" s="1" t="s">
        <v>47</v>
      </c>
      <c r="B192" s="1" t="s">
        <v>5542</v>
      </c>
      <c r="C192" s="1" t="s">
        <v>4108</v>
      </c>
      <c r="D192" s="8" t="s">
        <v>4107</v>
      </c>
      <c r="E192" s="1" t="s">
        <v>225</v>
      </c>
      <c r="F192" s="1" t="s">
        <v>6409</v>
      </c>
      <c r="G192" s="1" t="s">
        <v>6410</v>
      </c>
      <c r="H192" s="1" t="s">
        <v>4747</v>
      </c>
      <c r="I192" s="1" t="s">
        <v>4721</v>
      </c>
      <c r="J192" s="1" t="s">
        <v>12</v>
      </c>
      <c r="K192" s="1" t="s">
        <v>4844</v>
      </c>
      <c r="L192" s="1" t="s">
        <v>224</v>
      </c>
      <c r="M192" s="1" t="s">
        <v>446</v>
      </c>
      <c r="N192" s="1" t="s">
        <v>72</v>
      </c>
    </row>
    <row r="193" spans="1:14" x14ac:dyDescent="0.25">
      <c r="A193" s="1" t="s">
        <v>47</v>
      </c>
      <c r="B193" s="1" t="s">
        <v>6159</v>
      </c>
      <c r="C193" s="1" t="s">
        <v>3272</v>
      </c>
      <c r="D193" s="8" t="s">
        <v>3271</v>
      </c>
      <c r="E193" s="1" t="s">
        <v>159</v>
      </c>
      <c r="F193" s="1" t="s">
        <v>6392</v>
      </c>
      <c r="G193" s="1" t="s">
        <v>4750</v>
      </c>
      <c r="H193" s="1" t="s">
        <v>4747</v>
      </c>
      <c r="I193" s="1" t="s">
        <v>4721</v>
      </c>
      <c r="J193" s="1" t="s">
        <v>12</v>
      </c>
      <c r="K193" s="1" t="s">
        <v>4806</v>
      </c>
      <c r="L193" s="1" t="s">
        <v>60</v>
      </c>
      <c r="M193" s="1" t="s">
        <v>99</v>
      </c>
      <c r="N193" s="1" t="s">
        <v>25</v>
      </c>
    </row>
    <row r="194" spans="1:14" x14ac:dyDescent="0.25">
      <c r="A194" s="1" t="s">
        <v>47</v>
      </c>
      <c r="B194" s="1" t="s">
        <v>5549</v>
      </c>
      <c r="C194" s="1" t="s">
        <v>3305</v>
      </c>
      <c r="D194" s="8" t="s">
        <v>3304</v>
      </c>
      <c r="E194" s="1" t="s">
        <v>49</v>
      </c>
      <c r="F194" s="1" t="s">
        <v>6402</v>
      </c>
      <c r="G194" s="1" t="s">
        <v>4746</v>
      </c>
      <c r="H194" s="1" t="s">
        <v>4747</v>
      </c>
      <c r="I194" s="1" t="s">
        <v>4721</v>
      </c>
      <c r="J194" s="1" t="s">
        <v>12</v>
      </c>
      <c r="K194" s="1" t="s">
        <v>4860</v>
      </c>
      <c r="L194" s="1" t="s">
        <v>48</v>
      </c>
      <c r="M194" s="1" t="s">
        <v>630</v>
      </c>
      <c r="N194" s="1" t="s">
        <v>21</v>
      </c>
    </row>
    <row r="195" spans="1:14" x14ac:dyDescent="0.25">
      <c r="A195" s="1" t="s">
        <v>47</v>
      </c>
      <c r="B195" s="1" t="s">
        <v>5556</v>
      </c>
      <c r="C195" s="1" t="s">
        <v>293</v>
      </c>
      <c r="D195" s="8" t="s">
        <v>292</v>
      </c>
      <c r="E195" s="1" t="s">
        <v>264</v>
      </c>
      <c r="F195" s="1" t="s">
        <v>6391</v>
      </c>
      <c r="G195" s="1" t="s">
        <v>4750</v>
      </c>
      <c r="H195" s="1" t="s">
        <v>4747</v>
      </c>
      <c r="I195" s="1" t="s">
        <v>4721</v>
      </c>
      <c r="J195" s="1" t="s">
        <v>12</v>
      </c>
      <c r="K195" s="1" t="s">
        <v>4809</v>
      </c>
      <c r="L195" s="1" t="s">
        <v>227</v>
      </c>
      <c r="M195" s="1" t="s">
        <v>648</v>
      </c>
      <c r="N195" s="1" t="s">
        <v>25</v>
      </c>
    </row>
    <row r="196" spans="1:14" x14ac:dyDescent="0.25">
      <c r="A196" s="1" t="s">
        <v>47</v>
      </c>
      <c r="B196" s="1" t="s">
        <v>5564</v>
      </c>
      <c r="C196" s="1" t="s">
        <v>659</v>
      </c>
      <c r="D196" s="8" t="s">
        <v>658</v>
      </c>
      <c r="E196" s="1" t="s">
        <v>159</v>
      </c>
      <c r="F196" s="1" t="s">
        <v>6391</v>
      </c>
      <c r="G196" s="1" t="s">
        <v>4750</v>
      </c>
      <c r="H196" s="1" t="s">
        <v>4747</v>
      </c>
      <c r="I196" s="1" t="s">
        <v>4721</v>
      </c>
      <c r="J196" s="1" t="s">
        <v>12</v>
      </c>
      <c r="K196" s="1" t="s">
        <v>4809</v>
      </c>
      <c r="L196" s="1" t="s">
        <v>60</v>
      </c>
      <c r="M196" s="1" t="s">
        <v>99</v>
      </c>
      <c r="N196" s="1" t="s">
        <v>25</v>
      </c>
    </row>
    <row r="197" spans="1:14" x14ac:dyDescent="0.25">
      <c r="A197" s="1" t="s">
        <v>47</v>
      </c>
      <c r="B197" s="1" t="s">
        <v>5567</v>
      </c>
      <c r="C197" s="1" t="s">
        <v>3558</v>
      </c>
      <c r="D197" s="8" t="s">
        <v>3557</v>
      </c>
      <c r="E197" s="1" t="s">
        <v>67</v>
      </c>
      <c r="F197" s="1" t="s">
        <v>6406</v>
      </c>
      <c r="G197" s="1" t="s">
        <v>4748</v>
      </c>
      <c r="H197" s="1" t="s">
        <v>4747</v>
      </c>
      <c r="I197" s="1" t="s">
        <v>4721</v>
      </c>
      <c r="J197" s="1" t="s">
        <v>12</v>
      </c>
      <c r="K197" s="1" t="s">
        <v>4787</v>
      </c>
      <c r="L197" s="1" t="s">
        <v>66</v>
      </c>
      <c r="M197" s="1" t="s">
        <v>58</v>
      </c>
      <c r="N197" s="1" t="s">
        <v>61</v>
      </c>
    </row>
    <row r="198" spans="1:14" x14ac:dyDescent="0.25">
      <c r="A198" s="1" t="s">
        <v>47</v>
      </c>
      <c r="B198" s="1" t="s">
        <v>5569</v>
      </c>
      <c r="C198" s="1" t="s">
        <v>2533</v>
      </c>
      <c r="D198" s="8" t="s">
        <v>2532</v>
      </c>
      <c r="E198" s="1" t="s">
        <v>1405</v>
      </c>
      <c r="F198" s="1" t="s">
        <v>4749</v>
      </c>
      <c r="G198" s="1" t="s">
        <v>4750</v>
      </c>
      <c r="H198" s="1" t="s">
        <v>4747</v>
      </c>
      <c r="I198" s="1" t="s">
        <v>4721</v>
      </c>
      <c r="J198" s="1" t="s">
        <v>12</v>
      </c>
      <c r="K198" s="1" t="s">
        <v>4834</v>
      </c>
      <c r="L198" s="1" t="s">
        <v>227</v>
      </c>
      <c r="M198" s="1" t="s">
        <v>245</v>
      </c>
      <c r="N198" s="1" t="s">
        <v>21</v>
      </c>
    </row>
    <row r="199" spans="1:14" x14ac:dyDescent="0.25">
      <c r="A199" s="1" t="s">
        <v>47</v>
      </c>
      <c r="B199" s="1" t="s">
        <v>6169</v>
      </c>
      <c r="C199" s="1" t="s">
        <v>4315</v>
      </c>
      <c r="D199" s="8" t="s">
        <v>4314</v>
      </c>
      <c r="E199" s="1" t="s">
        <v>464</v>
      </c>
      <c r="F199" s="1" t="s">
        <v>4752</v>
      </c>
      <c r="G199" s="1" t="s">
        <v>4746</v>
      </c>
      <c r="H199" s="1" t="s">
        <v>4747</v>
      </c>
      <c r="I199" s="1" t="s">
        <v>4721</v>
      </c>
      <c r="J199" s="1" t="s">
        <v>12</v>
      </c>
      <c r="K199" s="1" t="s">
        <v>4861</v>
      </c>
      <c r="L199" s="1" t="s">
        <v>48</v>
      </c>
      <c r="M199" s="1" t="s">
        <v>883</v>
      </c>
      <c r="N199" s="1" t="s">
        <v>21</v>
      </c>
    </row>
    <row r="200" spans="1:14" x14ac:dyDescent="0.25">
      <c r="A200" s="1" t="s">
        <v>47</v>
      </c>
      <c r="B200" s="1" t="s">
        <v>5571</v>
      </c>
      <c r="C200" s="1" t="s">
        <v>2566</v>
      </c>
      <c r="D200" s="8" t="s">
        <v>2565</v>
      </c>
      <c r="E200" s="1" t="s">
        <v>269</v>
      </c>
      <c r="F200" s="1" t="s">
        <v>6404</v>
      </c>
      <c r="G200" s="1" t="s">
        <v>4748</v>
      </c>
      <c r="H200" s="1" t="s">
        <v>4747</v>
      </c>
      <c r="I200" s="1" t="s">
        <v>4721</v>
      </c>
      <c r="J200" s="1" t="s">
        <v>12</v>
      </c>
      <c r="K200" s="1" t="s">
        <v>4829</v>
      </c>
      <c r="L200" s="1" t="s">
        <v>227</v>
      </c>
      <c r="M200" s="1" t="s">
        <v>245</v>
      </c>
      <c r="N200" s="1" t="s">
        <v>21</v>
      </c>
    </row>
    <row r="201" spans="1:14" x14ac:dyDescent="0.25">
      <c r="A201" s="1" t="s">
        <v>47</v>
      </c>
      <c r="B201" s="1" t="s">
        <v>6172</v>
      </c>
      <c r="C201" s="1" t="s">
        <v>4230</v>
      </c>
      <c r="D201" s="8" t="s">
        <v>4229</v>
      </c>
      <c r="E201" s="1" t="s">
        <v>312</v>
      </c>
      <c r="F201" s="1" t="s">
        <v>6396</v>
      </c>
      <c r="G201" s="1" t="s">
        <v>4748</v>
      </c>
      <c r="H201" s="1" t="s">
        <v>4747</v>
      </c>
      <c r="I201" s="1" t="s">
        <v>4721</v>
      </c>
      <c r="J201" s="1" t="s">
        <v>39</v>
      </c>
      <c r="K201" s="1" t="s">
        <v>4845</v>
      </c>
      <c r="L201" s="1" t="s">
        <v>311</v>
      </c>
      <c r="M201" s="1" t="s">
        <v>172</v>
      </c>
      <c r="N201" s="1" t="s">
        <v>17</v>
      </c>
    </row>
    <row r="202" spans="1:14" x14ac:dyDescent="0.25">
      <c r="A202" s="1" t="s">
        <v>47</v>
      </c>
      <c r="B202" s="1" t="s">
        <v>5573</v>
      </c>
      <c r="C202" s="1" t="s">
        <v>2632</v>
      </c>
      <c r="D202" s="8" t="s">
        <v>2631</v>
      </c>
      <c r="E202" s="1" t="s">
        <v>57</v>
      </c>
      <c r="F202" s="1" t="s">
        <v>6405</v>
      </c>
      <c r="G202" s="1" t="s">
        <v>4746</v>
      </c>
      <c r="H202" s="1" t="s">
        <v>4747</v>
      </c>
      <c r="I202" s="1" t="s">
        <v>4722</v>
      </c>
      <c r="J202" s="1" t="s">
        <v>39</v>
      </c>
      <c r="K202" s="1" t="s">
        <v>4779</v>
      </c>
      <c r="L202" s="1" t="s">
        <v>56</v>
      </c>
      <c r="M202" s="1" t="s">
        <v>245</v>
      </c>
      <c r="N202" s="1" t="s">
        <v>21</v>
      </c>
    </row>
    <row r="203" spans="1:14" x14ac:dyDescent="0.25">
      <c r="A203" s="1" t="s">
        <v>47</v>
      </c>
      <c r="B203" s="1" t="s">
        <v>5699</v>
      </c>
      <c r="C203" s="1" t="s">
        <v>3555</v>
      </c>
      <c r="D203" s="8" t="s">
        <v>3554</v>
      </c>
      <c r="E203" s="1" t="s">
        <v>67</v>
      </c>
      <c r="F203" s="1" t="s">
        <v>6406</v>
      </c>
      <c r="G203" s="1" t="s">
        <v>4748</v>
      </c>
      <c r="H203" s="1" t="s">
        <v>4747</v>
      </c>
      <c r="I203" s="1" t="s">
        <v>4721</v>
      </c>
      <c r="J203" s="1" t="s">
        <v>12</v>
      </c>
      <c r="K203" s="1" t="s">
        <v>4787</v>
      </c>
      <c r="L203" s="1" t="s">
        <v>66</v>
      </c>
      <c r="M203" s="1" t="s">
        <v>172</v>
      </c>
      <c r="N203" s="1" t="s">
        <v>17</v>
      </c>
    </row>
    <row r="204" spans="1:14" x14ac:dyDescent="0.25">
      <c r="A204" s="1" t="s">
        <v>47</v>
      </c>
      <c r="B204" s="1" t="s">
        <v>5252</v>
      </c>
      <c r="C204" s="1" t="s">
        <v>1395</v>
      </c>
      <c r="D204" s="8" t="s">
        <v>1394</v>
      </c>
      <c r="E204" s="1" t="s">
        <v>278</v>
      </c>
      <c r="F204" s="1" t="s">
        <v>6398</v>
      </c>
      <c r="G204" s="1" t="s">
        <v>4746</v>
      </c>
      <c r="H204" s="1" t="s">
        <v>4747</v>
      </c>
      <c r="I204" s="1" t="s">
        <v>4721</v>
      </c>
      <c r="J204" s="1" t="s">
        <v>12</v>
      </c>
      <c r="K204" s="1" t="s">
        <v>4821</v>
      </c>
      <c r="L204" s="1" t="s">
        <v>60</v>
      </c>
      <c r="M204" s="1" t="s">
        <v>58</v>
      </c>
      <c r="N204" s="1" t="s">
        <v>61</v>
      </c>
    </row>
    <row r="205" spans="1:14" x14ac:dyDescent="0.25">
      <c r="A205" s="1" t="s">
        <v>47</v>
      </c>
      <c r="B205" s="1" t="s">
        <v>5704</v>
      </c>
      <c r="C205" s="1" t="s">
        <v>3713</v>
      </c>
      <c r="D205" s="8" t="s">
        <v>3712</v>
      </c>
      <c r="E205" s="1" t="s">
        <v>341</v>
      </c>
      <c r="F205" s="1" t="s">
        <v>6414</v>
      </c>
      <c r="G205" s="1" t="s">
        <v>6399</v>
      </c>
      <c r="H205" s="1" t="s">
        <v>6400</v>
      </c>
      <c r="I205" s="1" t="s">
        <v>4721</v>
      </c>
      <c r="J205" s="1" t="s">
        <v>12</v>
      </c>
      <c r="K205" s="1" t="s">
        <v>4830</v>
      </c>
      <c r="L205" s="1" t="s">
        <v>56</v>
      </c>
      <c r="M205" s="1" t="s">
        <v>58</v>
      </c>
      <c r="N205" s="1" t="s">
        <v>61</v>
      </c>
    </row>
    <row r="206" spans="1:14" x14ac:dyDescent="0.25">
      <c r="A206" s="1" t="s">
        <v>47</v>
      </c>
      <c r="B206" s="1" t="s">
        <v>5255</v>
      </c>
      <c r="C206" s="1" t="s">
        <v>4474</v>
      </c>
      <c r="D206" s="8" t="s">
        <v>4473</v>
      </c>
      <c r="E206" s="1" t="s">
        <v>264</v>
      </c>
      <c r="F206" s="1" t="s">
        <v>6392</v>
      </c>
      <c r="G206" s="1" t="s">
        <v>4750</v>
      </c>
      <c r="H206" s="1" t="s">
        <v>4747</v>
      </c>
      <c r="I206" s="1" t="s">
        <v>4721</v>
      </c>
      <c r="J206" s="1" t="s">
        <v>12</v>
      </c>
      <c r="K206" s="1" t="s">
        <v>4809</v>
      </c>
      <c r="L206" s="1" t="s">
        <v>227</v>
      </c>
      <c r="M206" s="1" t="s">
        <v>613</v>
      </c>
      <c r="N206" s="1" t="s">
        <v>25</v>
      </c>
    </row>
    <row r="207" spans="1:14" x14ac:dyDescent="0.25">
      <c r="A207" s="1" t="s">
        <v>47</v>
      </c>
      <c r="B207" s="1" t="s">
        <v>5705</v>
      </c>
      <c r="C207" s="1" t="s">
        <v>622</v>
      </c>
      <c r="D207" s="8" t="s">
        <v>621</v>
      </c>
      <c r="E207" s="1" t="s">
        <v>98</v>
      </c>
      <c r="F207" s="1" t="s">
        <v>6394</v>
      </c>
      <c r="G207" s="1" t="s">
        <v>4750</v>
      </c>
      <c r="H207" s="1" t="s">
        <v>4747</v>
      </c>
      <c r="I207" s="1" t="s">
        <v>4721</v>
      </c>
      <c r="J207" s="1" t="s">
        <v>12</v>
      </c>
      <c r="K207" s="1" t="s">
        <v>4808</v>
      </c>
      <c r="L207" s="1" t="s">
        <v>56</v>
      </c>
      <c r="M207" s="1" t="s">
        <v>613</v>
      </c>
      <c r="N207" s="1" t="s">
        <v>25</v>
      </c>
    </row>
    <row r="208" spans="1:14" x14ac:dyDescent="0.25">
      <c r="A208" s="1" t="s">
        <v>47</v>
      </c>
      <c r="B208" s="1" t="s">
        <v>5706</v>
      </c>
      <c r="C208" s="1" t="s">
        <v>3296</v>
      </c>
      <c r="D208" s="8" t="s">
        <v>3295</v>
      </c>
      <c r="E208" s="1" t="s">
        <v>264</v>
      </c>
      <c r="F208" s="1" t="s">
        <v>6392</v>
      </c>
      <c r="G208" s="1" t="s">
        <v>4750</v>
      </c>
      <c r="H208" s="1" t="s">
        <v>4747</v>
      </c>
      <c r="I208" s="1" t="s">
        <v>4721</v>
      </c>
      <c r="J208" s="1" t="s">
        <v>12</v>
      </c>
      <c r="K208" s="1" t="s">
        <v>4809</v>
      </c>
      <c r="L208" s="1" t="s">
        <v>227</v>
      </c>
      <c r="M208" s="1" t="s">
        <v>613</v>
      </c>
      <c r="N208" s="1" t="s">
        <v>25</v>
      </c>
    </row>
    <row r="209" spans="1:14" x14ac:dyDescent="0.25">
      <c r="A209" s="1" t="s">
        <v>47</v>
      </c>
      <c r="B209" s="1" t="s">
        <v>5270</v>
      </c>
      <c r="C209" s="1" t="s">
        <v>4872</v>
      </c>
      <c r="D209" s="8" t="s">
        <v>4871</v>
      </c>
      <c r="E209" s="1" t="s">
        <v>1112</v>
      </c>
      <c r="F209" s="1" t="s">
        <v>6408</v>
      </c>
      <c r="G209" s="1" t="s">
        <v>4748</v>
      </c>
      <c r="H209" s="1" t="s">
        <v>4747</v>
      </c>
      <c r="I209" s="1" t="s">
        <v>4721</v>
      </c>
      <c r="J209" s="1" t="s">
        <v>39</v>
      </c>
      <c r="K209" s="1" t="s">
        <v>4817</v>
      </c>
      <c r="L209" s="1" t="s">
        <v>224</v>
      </c>
      <c r="M209" s="1" t="s">
        <v>136</v>
      </c>
      <c r="N209" s="1" t="s">
        <v>72</v>
      </c>
    </row>
    <row r="210" spans="1:14" x14ac:dyDescent="0.25">
      <c r="A210" s="1" t="s">
        <v>47</v>
      </c>
      <c r="B210" s="1" t="s">
        <v>5272</v>
      </c>
      <c r="C210" s="1" t="s">
        <v>3692</v>
      </c>
      <c r="D210" s="8" t="s">
        <v>3691</v>
      </c>
      <c r="E210" s="1" t="s">
        <v>98</v>
      </c>
      <c r="F210" s="1" t="s">
        <v>6392</v>
      </c>
      <c r="G210" s="1" t="s">
        <v>4750</v>
      </c>
      <c r="H210" s="1" t="s">
        <v>4747</v>
      </c>
      <c r="I210" s="1" t="s">
        <v>4721</v>
      </c>
      <c r="J210" s="1" t="s">
        <v>12</v>
      </c>
      <c r="K210" s="1" t="s">
        <v>4806</v>
      </c>
      <c r="L210" s="1" t="s">
        <v>56</v>
      </c>
      <c r="M210" s="1" t="s">
        <v>648</v>
      </c>
      <c r="N210" s="1" t="s">
        <v>25</v>
      </c>
    </row>
    <row r="211" spans="1:14" x14ac:dyDescent="0.25">
      <c r="A211" s="1" t="s">
        <v>47</v>
      </c>
      <c r="B211" s="1" t="s">
        <v>5274</v>
      </c>
      <c r="C211" s="1" t="s">
        <v>680</v>
      </c>
      <c r="D211" s="8" t="s">
        <v>679</v>
      </c>
      <c r="E211" s="1" t="s">
        <v>264</v>
      </c>
      <c r="F211" s="1" t="s">
        <v>6391</v>
      </c>
      <c r="G211" s="1" t="s">
        <v>4750</v>
      </c>
      <c r="H211" s="1" t="s">
        <v>4747</v>
      </c>
      <c r="I211" s="1" t="s">
        <v>4721</v>
      </c>
      <c r="J211" s="1" t="s">
        <v>12</v>
      </c>
      <c r="K211" s="1" t="s">
        <v>4809</v>
      </c>
      <c r="L211" s="1" t="s">
        <v>227</v>
      </c>
      <c r="M211" s="1" t="s">
        <v>648</v>
      </c>
      <c r="N211" s="1" t="s">
        <v>25</v>
      </c>
    </row>
    <row r="212" spans="1:14" x14ac:dyDescent="0.25">
      <c r="A212" s="1" t="s">
        <v>47</v>
      </c>
      <c r="B212" s="1" t="s">
        <v>5275</v>
      </c>
      <c r="C212" s="1" t="s">
        <v>3416</v>
      </c>
      <c r="D212" s="8" t="s">
        <v>3415</v>
      </c>
      <c r="E212" s="1" t="s">
        <v>251</v>
      </c>
      <c r="F212" s="1" t="s">
        <v>6393</v>
      </c>
      <c r="G212" s="1" t="s">
        <v>4750</v>
      </c>
      <c r="H212" s="1" t="s">
        <v>4747</v>
      </c>
      <c r="I212" s="1" t="s">
        <v>4721</v>
      </c>
      <c r="J212" s="1" t="s">
        <v>12</v>
      </c>
      <c r="K212" s="1" t="s">
        <v>4839</v>
      </c>
      <c r="L212" s="1" t="s">
        <v>224</v>
      </c>
      <c r="M212" s="1" t="s">
        <v>648</v>
      </c>
      <c r="N212" s="1" t="s">
        <v>25</v>
      </c>
    </row>
    <row r="213" spans="1:14" x14ac:dyDescent="0.25">
      <c r="A213" s="1" t="s">
        <v>47</v>
      </c>
      <c r="B213" s="1" t="s">
        <v>5715</v>
      </c>
      <c r="C213" s="1" t="s">
        <v>3484</v>
      </c>
      <c r="D213" s="8" t="s">
        <v>3482</v>
      </c>
      <c r="E213" s="1" t="s">
        <v>398</v>
      </c>
      <c r="F213" s="1" t="s">
        <v>6414</v>
      </c>
      <c r="G213" s="1" t="s">
        <v>6399</v>
      </c>
      <c r="H213" s="1" t="s">
        <v>6400</v>
      </c>
      <c r="I213" s="1" t="s">
        <v>4721</v>
      </c>
      <c r="J213" s="1" t="s">
        <v>12</v>
      </c>
      <c r="K213" s="1" t="s">
        <v>4801</v>
      </c>
      <c r="L213" s="1" t="s">
        <v>60</v>
      </c>
      <c r="M213" s="1" t="s">
        <v>58</v>
      </c>
      <c r="N213" s="1" t="s">
        <v>61</v>
      </c>
    </row>
    <row r="214" spans="1:14" x14ac:dyDescent="0.25">
      <c r="A214" s="1" t="s">
        <v>47</v>
      </c>
      <c r="B214" s="1" t="s">
        <v>5278</v>
      </c>
      <c r="C214" s="1" t="s">
        <v>3689</v>
      </c>
      <c r="D214" s="8" t="s">
        <v>3688</v>
      </c>
      <c r="E214" s="1" t="s">
        <v>98</v>
      </c>
      <c r="F214" s="1" t="s">
        <v>6392</v>
      </c>
      <c r="G214" s="1" t="s">
        <v>4750</v>
      </c>
      <c r="H214" s="1" t="s">
        <v>4747</v>
      </c>
      <c r="I214" s="1" t="s">
        <v>4721</v>
      </c>
      <c r="J214" s="1" t="s">
        <v>12</v>
      </c>
      <c r="K214" s="1" t="s">
        <v>4806</v>
      </c>
      <c r="L214" s="1" t="s">
        <v>56</v>
      </c>
      <c r="M214" s="1" t="s">
        <v>648</v>
      </c>
      <c r="N214" s="1" t="s">
        <v>25</v>
      </c>
    </row>
    <row r="215" spans="1:14" x14ac:dyDescent="0.25">
      <c r="A215" s="1" t="s">
        <v>47</v>
      </c>
      <c r="B215" s="1" t="s">
        <v>5280</v>
      </c>
      <c r="C215" s="1" t="s">
        <v>3614</v>
      </c>
      <c r="D215" s="8" t="s">
        <v>3613</v>
      </c>
      <c r="E215" s="1" t="s">
        <v>1112</v>
      </c>
      <c r="F215" s="1" t="s">
        <v>6401</v>
      </c>
      <c r="G215" s="1" t="s">
        <v>4746</v>
      </c>
      <c r="H215" s="1" t="s">
        <v>4747</v>
      </c>
      <c r="I215" s="1" t="s">
        <v>4721</v>
      </c>
      <c r="J215" s="1" t="s">
        <v>12</v>
      </c>
      <c r="K215" s="1" t="s">
        <v>4810</v>
      </c>
      <c r="L215" s="1" t="s">
        <v>224</v>
      </c>
      <c r="M215" s="1" t="s">
        <v>172</v>
      </c>
      <c r="N215" s="1" t="s">
        <v>17</v>
      </c>
    </row>
    <row r="216" spans="1:14" x14ac:dyDescent="0.25">
      <c r="A216" s="1" t="s">
        <v>47</v>
      </c>
      <c r="B216" s="1" t="s">
        <v>5718</v>
      </c>
      <c r="C216" s="1" t="s">
        <v>3284</v>
      </c>
      <c r="D216" s="8" t="s">
        <v>3283</v>
      </c>
      <c r="E216" s="1" t="s">
        <v>159</v>
      </c>
      <c r="F216" s="1" t="s">
        <v>6392</v>
      </c>
      <c r="G216" s="1" t="s">
        <v>4750</v>
      </c>
      <c r="H216" s="1" t="s">
        <v>4747</v>
      </c>
      <c r="I216" s="1" t="s">
        <v>4721</v>
      </c>
      <c r="J216" s="1" t="s">
        <v>12</v>
      </c>
      <c r="K216" s="1" t="s">
        <v>4806</v>
      </c>
      <c r="L216" s="1" t="s">
        <v>60</v>
      </c>
      <c r="M216" s="1" t="s">
        <v>99</v>
      </c>
      <c r="N216" s="1" t="s">
        <v>25</v>
      </c>
    </row>
    <row r="217" spans="1:14" x14ac:dyDescent="0.25">
      <c r="A217" s="1" t="s">
        <v>47</v>
      </c>
      <c r="B217" s="1" t="s">
        <v>5284</v>
      </c>
      <c r="C217" s="1" t="s">
        <v>2984</v>
      </c>
      <c r="D217" s="8" t="s">
        <v>2983</v>
      </c>
      <c r="E217" s="1" t="s">
        <v>181</v>
      </c>
      <c r="F217" s="1" t="s">
        <v>6395</v>
      </c>
      <c r="G217" s="1" t="s">
        <v>4748</v>
      </c>
      <c r="H217" s="1" t="s">
        <v>4747</v>
      </c>
      <c r="I217" s="1" t="s">
        <v>4721</v>
      </c>
      <c r="J217" s="1" t="s">
        <v>12</v>
      </c>
      <c r="K217" s="1" t="s">
        <v>4792</v>
      </c>
      <c r="L217" s="1" t="s">
        <v>66</v>
      </c>
      <c r="M217" s="1" t="s">
        <v>172</v>
      </c>
      <c r="N217" s="1" t="s">
        <v>17</v>
      </c>
    </row>
    <row r="218" spans="1:14" x14ac:dyDescent="0.25">
      <c r="A218" s="1" t="s">
        <v>47</v>
      </c>
      <c r="B218" s="1" t="s">
        <v>5285</v>
      </c>
      <c r="C218" s="1" t="s">
        <v>4185</v>
      </c>
      <c r="D218" s="8" t="s">
        <v>4184</v>
      </c>
      <c r="E218" s="1" t="s">
        <v>303</v>
      </c>
      <c r="F218" s="1" t="s">
        <v>6397</v>
      </c>
      <c r="G218" s="1" t="s">
        <v>4746</v>
      </c>
      <c r="H218" s="1" t="s">
        <v>4747</v>
      </c>
      <c r="I218" s="1" t="s">
        <v>4722</v>
      </c>
      <c r="J218" s="1" t="s">
        <v>39</v>
      </c>
      <c r="K218" s="1" t="s">
        <v>4813</v>
      </c>
      <c r="L218" s="1" t="s">
        <v>60</v>
      </c>
      <c r="M218" s="1" t="s">
        <v>58</v>
      </c>
      <c r="N218" s="1" t="s">
        <v>61</v>
      </c>
    </row>
    <row r="219" spans="1:14" x14ac:dyDescent="0.25">
      <c r="A219" s="1" t="s">
        <v>47</v>
      </c>
      <c r="B219" s="1" t="s">
        <v>5294</v>
      </c>
      <c r="C219" s="1" t="s">
        <v>97</v>
      </c>
      <c r="D219" s="8" t="s">
        <v>96</v>
      </c>
      <c r="E219" s="1" t="s">
        <v>98</v>
      </c>
      <c r="F219" s="1" t="s">
        <v>6392</v>
      </c>
      <c r="G219" s="1" t="s">
        <v>4750</v>
      </c>
      <c r="H219" s="1" t="s">
        <v>4747</v>
      </c>
      <c r="I219" s="1" t="s">
        <v>4721</v>
      </c>
      <c r="J219" s="1" t="s">
        <v>12</v>
      </c>
      <c r="K219" s="1" t="s">
        <v>4806</v>
      </c>
      <c r="L219" s="1" t="s">
        <v>56</v>
      </c>
      <c r="M219" s="1" t="s">
        <v>648</v>
      </c>
      <c r="N219" s="1" t="s">
        <v>25</v>
      </c>
    </row>
    <row r="220" spans="1:14" x14ac:dyDescent="0.25">
      <c r="A220" s="1" t="s">
        <v>47</v>
      </c>
      <c r="B220" s="1" t="s">
        <v>5304</v>
      </c>
      <c r="C220" s="1" t="s">
        <v>1898</v>
      </c>
      <c r="D220" s="8" t="s">
        <v>1897</v>
      </c>
      <c r="E220" s="1" t="s">
        <v>1112</v>
      </c>
      <c r="F220" s="1" t="s">
        <v>6408</v>
      </c>
      <c r="G220" s="1" t="s">
        <v>4748</v>
      </c>
      <c r="H220" s="1" t="s">
        <v>4747</v>
      </c>
      <c r="I220" s="1" t="s">
        <v>4721</v>
      </c>
      <c r="J220" s="1" t="s">
        <v>12</v>
      </c>
      <c r="K220" s="1" t="s">
        <v>4817</v>
      </c>
      <c r="L220" s="1" t="s">
        <v>224</v>
      </c>
      <c r="M220" s="1" t="s">
        <v>870</v>
      </c>
      <c r="N220" s="1" t="s">
        <v>76</v>
      </c>
    </row>
    <row r="221" spans="1:14" x14ac:dyDescent="0.25">
      <c r="A221" s="1" t="s">
        <v>47</v>
      </c>
      <c r="B221" s="1" t="s">
        <v>5326</v>
      </c>
      <c r="C221" s="1" t="s">
        <v>3368</v>
      </c>
      <c r="D221" s="8" t="s">
        <v>3367</v>
      </c>
      <c r="E221" s="1" t="s">
        <v>251</v>
      </c>
      <c r="F221" s="1" t="s">
        <v>6393</v>
      </c>
      <c r="G221" s="1" t="s">
        <v>4750</v>
      </c>
      <c r="H221" s="1" t="s">
        <v>4747</v>
      </c>
      <c r="I221" s="1" t="s">
        <v>4721</v>
      </c>
      <c r="J221" s="1" t="s">
        <v>12</v>
      </c>
      <c r="K221" s="1" t="s">
        <v>4811</v>
      </c>
      <c r="L221" s="1" t="s">
        <v>224</v>
      </c>
      <c r="M221" s="1" t="s">
        <v>613</v>
      </c>
      <c r="N221" s="1" t="s">
        <v>25</v>
      </c>
    </row>
    <row r="222" spans="1:14" x14ac:dyDescent="0.25">
      <c r="A222" s="1" t="s">
        <v>47</v>
      </c>
      <c r="B222" s="1" t="s">
        <v>5760</v>
      </c>
      <c r="C222" s="1" t="s">
        <v>3435</v>
      </c>
      <c r="D222" s="8" t="s">
        <v>3434</v>
      </c>
      <c r="E222" s="1" t="s">
        <v>251</v>
      </c>
      <c r="F222" s="1" t="s">
        <v>6393</v>
      </c>
      <c r="G222" s="1" t="s">
        <v>4750</v>
      </c>
      <c r="H222" s="1" t="s">
        <v>4747</v>
      </c>
      <c r="I222" s="1" t="s">
        <v>4721</v>
      </c>
      <c r="J222" s="1" t="s">
        <v>12</v>
      </c>
      <c r="K222" s="1" t="s">
        <v>4811</v>
      </c>
      <c r="L222" s="1" t="s">
        <v>224</v>
      </c>
      <c r="M222" s="1" t="s">
        <v>648</v>
      </c>
      <c r="N222" s="1" t="s">
        <v>25</v>
      </c>
    </row>
    <row r="223" spans="1:14" x14ac:dyDescent="0.25">
      <c r="A223" s="1" t="s">
        <v>47</v>
      </c>
      <c r="B223" s="1" t="s">
        <v>5342</v>
      </c>
      <c r="C223" s="1" t="s">
        <v>3879</v>
      </c>
      <c r="D223" s="8" t="s">
        <v>3878</v>
      </c>
      <c r="E223" s="1" t="s">
        <v>341</v>
      </c>
      <c r="F223" s="1" t="s">
        <v>6411</v>
      </c>
      <c r="G223" s="1" t="s">
        <v>4746</v>
      </c>
      <c r="H223" s="1" t="s">
        <v>4747</v>
      </c>
      <c r="I223" s="1" t="s">
        <v>4722</v>
      </c>
      <c r="J223" s="1" t="s">
        <v>39</v>
      </c>
      <c r="K223" s="1" t="s">
        <v>4866</v>
      </c>
      <c r="L223" s="1" t="s">
        <v>56</v>
      </c>
      <c r="M223" s="1" t="s">
        <v>245</v>
      </c>
      <c r="N223" s="1" t="s">
        <v>21</v>
      </c>
    </row>
    <row r="224" spans="1:14" x14ac:dyDescent="0.25">
      <c r="A224" s="1" t="s">
        <v>47</v>
      </c>
      <c r="B224" s="1" t="s">
        <v>5771</v>
      </c>
      <c r="C224" s="1" t="s">
        <v>375</v>
      </c>
      <c r="D224" s="8" t="s">
        <v>374</v>
      </c>
      <c r="E224" s="1" t="s">
        <v>67</v>
      </c>
      <c r="F224" s="1" t="s">
        <v>6406</v>
      </c>
      <c r="G224" s="1" t="s">
        <v>4748</v>
      </c>
      <c r="H224" s="1" t="s">
        <v>4747</v>
      </c>
      <c r="I224" s="1" t="s">
        <v>4721</v>
      </c>
      <c r="J224" s="1" t="s">
        <v>12</v>
      </c>
      <c r="K224" s="1" t="s">
        <v>4786</v>
      </c>
      <c r="L224" s="1" t="s">
        <v>66</v>
      </c>
      <c r="M224" s="1" t="s">
        <v>883</v>
      </c>
      <c r="N224" s="1" t="s">
        <v>21</v>
      </c>
    </row>
    <row r="225" spans="1:14" x14ac:dyDescent="0.25">
      <c r="A225" s="1" t="s">
        <v>47</v>
      </c>
      <c r="B225" s="1" t="s">
        <v>5785</v>
      </c>
      <c r="C225" s="1" t="s">
        <v>3522</v>
      </c>
      <c r="D225" s="8" t="s">
        <v>3521</v>
      </c>
      <c r="E225" s="1" t="s">
        <v>67</v>
      </c>
      <c r="F225" s="1" t="s">
        <v>6406</v>
      </c>
      <c r="G225" s="1" t="s">
        <v>4748</v>
      </c>
      <c r="H225" s="1" t="s">
        <v>4747</v>
      </c>
      <c r="I225" s="1" t="s">
        <v>4722</v>
      </c>
      <c r="J225" s="1" t="s">
        <v>39</v>
      </c>
      <c r="K225" s="1" t="s">
        <v>4787</v>
      </c>
      <c r="L225" s="1" t="s">
        <v>66</v>
      </c>
      <c r="M225" s="1" t="s">
        <v>172</v>
      </c>
      <c r="N225" s="1" t="s">
        <v>17</v>
      </c>
    </row>
    <row r="226" spans="1:14" x14ac:dyDescent="0.25">
      <c r="A226" s="1" t="s">
        <v>47</v>
      </c>
      <c r="B226" s="1" t="s">
        <v>5814</v>
      </c>
      <c r="C226" s="1" t="s">
        <v>1159</v>
      </c>
      <c r="D226" s="8" t="s">
        <v>1158</v>
      </c>
      <c r="E226" s="1" t="s">
        <v>1112</v>
      </c>
      <c r="F226" s="1" t="s">
        <v>6408</v>
      </c>
      <c r="G226" s="1" t="s">
        <v>4748</v>
      </c>
      <c r="H226" s="1" t="s">
        <v>4747</v>
      </c>
      <c r="I226" s="1" t="s">
        <v>4721</v>
      </c>
      <c r="J226" s="1" t="s">
        <v>39</v>
      </c>
      <c r="K226" s="1" t="s">
        <v>4817</v>
      </c>
      <c r="L226" s="1" t="s">
        <v>224</v>
      </c>
      <c r="M226" s="1" t="s">
        <v>149</v>
      </c>
      <c r="N226" s="1" t="s">
        <v>61</v>
      </c>
    </row>
    <row r="227" spans="1:14" x14ac:dyDescent="0.25">
      <c r="A227" s="1" t="s">
        <v>47</v>
      </c>
      <c r="B227" s="1" t="s">
        <v>5856</v>
      </c>
      <c r="C227" s="1" t="s">
        <v>2855</v>
      </c>
      <c r="D227" s="8" t="s">
        <v>2854</v>
      </c>
      <c r="E227" s="1" t="s">
        <v>312</v>
      </c>
      <c r="F227" s="1" t="s">
        <v>6396</v>
      </c>
      <c r="G227" s="1" t="s">
        <v>4748</v>
      </c>
      <c r="H227" s="1" t="s">
        <v>4747</v>
      </c>
      <c r="I227" s="1" t="s">
        <v>4722</v>
      </c>
      <c r="J227" s="1" t="s">
        <v>39</v>
      </c>
      <c r="K227" s="1" t="s">
        <v>4845</v>
      </c>
      <c r="L227" s="1" t="s">
        <v>311</v>
      </c>
      <c r="M227" s="1" t="s">
        <v>364</v>
      </c>
      <c r="N227" s="1" t="s">
        <v>37</v>
      </c>
    </row>
    <row r="228" spans="1:14" x14ac:dyDescent="0.25">
      <c r="A228" s="1" t="s">
        <v>47</v>
      </c>
      <c r="B228" s="1" t="s">
        <v>5857</v>
      </c>
      <c r="C228" s="1" t="s">
        <v>2831</v>
      </c>
      <c r="D228" s="8" t="s">
        <v>2830</v>
      </c>
      <c r="E228" s="1" t="s">
        <v>398</v>
      </c>
      <c r="F228" s="1" t="s">
        <v>6397</v>
      </c>
      <c r="G228" s="1" t="s">
        <v>4746</v>
      </c>
      <c r="H228" s="1" t="s">
        <v>4747</v>
      </c>
      <c r="I228" s="1" t="s">
        <v>4722</v>
      </c>
      <c r="J228" s="1" t="s">
        <v>39</v>
      </c>
      <c r="K228" s="1" t="s">
        <v>4813</v>
      </c>
      <c r="L228" s="1" t="s">
        <v>60</v>
      </c>
      <c r="M228" s="1" t="s">
        <v>136</v>
      </c>
      <c r="N228" s="1" t="s">
        <v>72</v>
      </c>
    </row>
    <row r="229" spans="1:14" x14ac:dyDescent="0.25">
      <c r="A229" s="1" t="s">
        <v>47</v>
      </c>
      <c r="B229" s="1" t="s">
        <v>5858</v>
      </c>
      <c r="C229" s="1" t="s">
        <v>2849</v>
      </c>
      <c r="D229" s="8" t="s">
        <v>2848</v>
      </c>
      <c r="E229" s="1" t="s">
        <v>312</v>
      </c>
      <c r="F229" s="1" t="s">
        <v>6396</v>
      </c>
      <c r="G229" s="1" t="s">
        <v>4748</v>
      </c>
      <c r="H229" s="1" t="s">
        <v>4747</v>
      </c>
      <c r="I229" s="1" t="s">
        <v>4722</v>
      </c>
      <c r="J229" s="1" t="s">
        <v>39</v>
      </c>
      <c r="K229" s="1" t="s">
        <v>4845</v>
      </c>
      <c r="L229" s="1" t="s">
        <v>311</v>
      </c>
      <c r="M229" s="1" t="s">
        <v>883</v>
      </c>
      <c r="N229" s="1" t="s">
        <v>21</v>
      </c>
    </row>
    <row r="230" spans="1:14" x14ac:dyDescent="0.25">
      <c r="A230" s="1" t="s">
        <v>47</v>
      </c>
      <c r="B230" s="1" t="s">
        <v>5859</v>
      </c>
      <c r="C230" s="1" t="s">
        <v>4468</v>
      </c>
      <c r="D230" s="8" t="s">
        <v>4467</v>
      </c>
      <c r="E230" s="1" t="s">
        <v>341</v>
      </c>
      <c r="F230" s="1" t="s">
        <v>6401</v>
      </c>
      <c r="G230" s="1" t="s">
        <v>4746</v>
      </c>
      <c r="H230" s="1" t="s">
        <v>4747</v>
      </c>
      <c r="I230" s="1" t="s">
        <v>4721</v>
      </c>
      <c r="J230" s="1" t="s">
        <v>12</v>
      </c>
      <c r="K230" s="1" t="s">
        <v>4810</v>
      </c>
      <c r="L230" s="1" t="s">
        <v>56</v>
      </c>
      <c r="M230" s="1" t="s">
        <v>172</v>
      </c>
      <c r="N230" s="1" t="s">
        <v>17</v>
      </c>
    </row>
    <row r="231" spans="1:14" x14ac:dyDescent="0.25">
      <c r="A231" s="1" t="s">
        <v>47</v>
      </c>
      <c r="B231" s="1" t="s">
        <v>5862</v>
      </c>
      <c r="C231" s="1" t="s">
        <v>4842</v>
      </c>
      <c r="D231" s="8" t="s">
        <v>4841</v>
      </c>
      <c r="E231" s="1" t="s">
        <v>225</v>
      </c>
      <c r="F231" s="1" t="s">
        <v>4751</v>
      </c>
      <c r="G231" s="1" t="s">
        <v>4748</v>
      </c>
      <c r="H231" s="1" t="s">
        <v>4747</v>
      </c>
      <c r="I231" s="1" t="s">
        <v>4721</v>
      </c>
      <c r="J231" s="1" t="s">
        <v>39</v>
      </c>
      <c r="K231" s="1" t="s">
        <v>4844</v>
      </c>
      <c r="L231" s="1" t="s">
        <v>224</v>
      </c>
      <c r="M231" s="1" t="s">
        <v>136</v>
      </c>
      <c r="N231" s="1" t="s">
        <v>72</v>
      </c>
    </row>
    <row r="232" spans="1:14" x14ac:dyDescent="0.25">
      <c r="A232" s="1" t="s">
        <v>47</v>
      </c>
      <c r="B232" s="1" t="s">
        <v>6196</v>
      </c>
      <c r="C232" s="1" t="s">
        <v>1153</v>
      </c>
      <c r="D232" s="8" t="s">
        <v>1152</v>
      </c>
      <c r="E232" s="1" t="s">
        <v>1112</v>
      </c>
      <c r="F232" s="1" t="s">
        <v>6408</v>
      </c>
      <c r="G232" s="1" t="s">
        <v>4748</v>
      </c>
      <c r="H232" s="1" t="s">
        <v>4747</v>
      </c>
      <c r="I232" s="1" t="s">
        <v>4721</v>
      </c>
      <c r="J232" s="1" t="s">
        <v>12</v>
      </c>
      <c r="K232" s="1" t="s">
        <v>4817</v>
      </c>
      <c r="L232" s="1" t="s">
        <v>224</v>
      </c>
      <c r="M232" s="1" t="s">
        <v>89</v>
      </c>
      <c r="N232" s="1" t="s">
        <v>37</v>
      </c>
    </row>
    <row r="233" spans="1:14" x14ac:dyDescent="0.25">
      <c r="A233" s="1" t="s">
        <v>47</v>
      </c>
      <c r="B233" s="1" t="s">
        <v>5863</v>
      </c>
      <c r="C233" s="1" t="s">
        <v>4438</v>
      </c>
      <c r="D233" s="8" t="s">
        <v>4437</v>
      </c>
      <c r="E233" s="1" t="s">
        <v>398</v>
      </c>
      <c r="F233" s="1" t="s">
        <v>6401</v>
      </c>
      <c r="G233" s="1" t="s">
        <v>4746</v>
      </c>
      <c r="H233" s="1" t="s">
        <v>4747</v>
      </c>
      <c r="I233" s="1" t="s">
        <v>4721</v>
      </c>
      <c r="J233" s="1" t="s">
        <v>39</v>
      </c>
      <c r="K233" s="1" t="s">
        <v>4810</v>
      </c>
      <c r="L233" s="1" t="s">
        <v>60</v>
      </c>
      <c r="M233" s="1" t="s">
        <v>172</v>
      </c>
      <c r="N233" s="1" t="s">
        <v>17</v>
      </c>
    </row>
    <row r="234" spans="1:14" x14ac:dyDescent="0.25">
      <c r="A234" s="1" t="s">
        <v>47</v>
      </c>
      <c r="B234" s="1" t="s">
        <v>5864</v>
      </c>
      <c r="C234" s="1" t="s">
        <v>3432</v>
      </c>
      <c r="D234" s="8" t="s">
        <v>3431</v>
      </c>
      <c r="E234" s="1" t="s">
        <v>251</v>
      </c>
      <c r="F234" s="1" t="s">
        <v>6393</v>
      </c>
      <c r="G234" s="1" t="s">
        <v>4750</v>
      </c>
      <c r="H234" s="1" t="s">
        <v>4747</v>
      </c>
      <c r="I234" s="1" t="s">
        <v>4721</v>
      </c>
      <c r="J234" s="1" t="s">
        <v>12</v>
      </c>
      <c r="K234" s="1" t="s">
        <v>4806</v>
      </c>
      <c r="L234" s="1" t="s">
        <v>224</v>
      </c>
      <c r="M234" s="1" t="s">
        <v>648</v>
      </c>
      <c r="N234" s="1" t="s">
        <v>25</v>
      </c>
    </row>
    <row r="235" spans="1:14" x14ac:dyDescent="0.25">
      <c r="A235" s="1" t="s">
        <v>47</v>
      </c>
      <c r="B235" s="1" t="s">
        <v>6198</v>
      </c>
      <c r="C235" s="1" t="s">
        <v>2530</v>
      </c>
      <c r="D235" s="8" t="s">
        <v>2529</v>
      </c>
      <c r="E235" s="1" t="s">
        <v>1405</v>
      </c>
      <c r="F235" s="1" t="s">
        <v>4749</v>
      </c>
      <c r="G235" s="1" t="s">
        <v>4750</v>
      </c>
      <c r="H235" s="1" t="s">
        <v>4747</v>
      </c>
      <c r="I235" s="1" t="s">
        <v>4721</v>
      </c>
      <c r="J235" s="1" t="s">
        <v>12</v>
      </c>
      <c r="K235" s="1" t="s">
        <v>4834</v>
      </c>
      <c r="L235" s="1" t="s">
        <v>227</v>
      </c>
      <c r="M235" s="1" t="s">
        <v>245</v>
      </c>
      <c r="N235" s="1" t="s">
        <v>21</v>
      </c>
    </row>
    <row r="236" spans="1:14" x14ac:dyDescent="0.25">
      <c r="A236" s="1" t="s">
        <v>47</v>
      </c>
      <c r="B236" s="1" t="s">
        <v>6322</v>
      </c>
      <c r="C236" s="1" t="s">
        <v>2915</v>
      </c>
      <c r="D236" s="8" t="s">
        <v>2914</v>
      </c>
      <c r="E236" s="1" t="s">
        <v>464</v>
      </c>
      <c r="F236" s="1" t="s">
        <v>4752</v>
      </c>
      <c r="G236" s="1" t="s">
        <v>4746</v>
      </c>
      <c r="H236" s="1" t="s">
        <v>4747</v>
      </c>
      <c r="I236" s="1" t="s">
        <v>4721</v>
      </c>
      <c r="J236" s="1" t="s">
        <v>12</v>
      </c>
      <c r="K236" s="1" t="s">
        <v>4861</v>
      </c>
      <c r="L236" s="1" t="s">
        <v>48</v>
      </c>
      <c r="M236" s="1" t="s">
        <v>364</v>
      </c>
      <c r="N236" s="1" t="s">
        <v>37</v>
      </c>
    </row>
    <row r="237" spans="1:14" x14ac:dyDescent="0.25">
      <c r="A237" s="1" t="s">
        <v>47</v>
      </c>
      <c r="B237" s="1" t="s">
        <v>6323</v>
      </c>
      <c r="C237" s="1" t="s">
        <v>1147</v>
      </c>
      <c r="D237" s="8" t="s">
        <v>1146</v>
      </c>
      <c r="E237" s="1" t="s">
        <v>1112</v>
      </c>
      <c r="F237" s="1" t="s">
        <v>6408</v>
      </c>
      <c r="G237" s="1" t="s">
        <v>4748</v>
      </c>
      <c r="H237" s="1" t="s">
        <v>4747</v>
      </c>
      <c r="I237" s="1" t="s">
        <v>4721</v>
      </c>
      <c r="J237" s="1" t="s">
        <v>12</v>
      </c>
      <c r="K237" s="1" t="s">
        <v>4817</v>
      </c>
      <c r="L237" s="1" t="s">
        <v>224</v>
      </c>
      <c r="M237" s="1" t="s">
        <v>245</v>
      </c>
      <c r="N237" s="1" t="s">
        <v>21</v>
      </c>
    </row>
    <row r="238" spans="1:14" x14ac:dyDescent="0.25">
      <c r="A238" s="1" t="s">
        <v>47</v>
      </c>
      <c r="B238" s="1" t="s">
        <v>6324</v>
      </c>
      <c r="C238" s="1" t="s">
        <v>4789</v>
      </c>
      <c r="D238" s="8" t="s">
        <v>4788</v>
      </c>
      <c r="E238" s="1" t="s">
        <v>181</v>
      </c>
      <c r="F238" s="1" t="s">
        <v>6406</v>
      </c>
      <c r="G238" s="1" t="s">
        <v>4748</v>
      </c>
      <c r="H238" s="1" t="s">
        <v>4747</v>
      </c>
      <c r="I238" s="1" t="s">
        <v>4721</v>
      </c>
      <c r="J238" s="1" t="s">
        <v>39</v>
      </c>
      <c r="K238" s="1" t="s">
        <v>4792</v>
      </c>
      <c r="L238" s="1" t="s">
        <v>66</v>
      </c>
      <c r="M238" s="1" t="s">
        <v>136</v>
      </c>
      <c r="N238" s="1" t="s">
        <v>72</v>
      </c>
    </row>
    <row r="239" spans="1:14" x14ac:dyDescent="0.25">
      <c r="A239" s="1" t="s">
        <v>47</v>
      </c>
      <c r="B239" s="1" t="s">
        <v>5865</v>
      </c>
      <c r="C239" s="1" t="s">
        <v>378</v>
      </c>
      <c r="D239" s="8" t="s">
        <v>377</v>
      </c>
      <c r="E239" s="1" t="s">
        <v>312</v>
      </c>
      <c r="F239" s="1" t="s">
        <v>6396</v>
      </c>
      <c r="G239" s="1" t="s">
        <v>4748</v>
      </c>
      <c r="H239" s="1" t="s">
        <v>4747</v>
      </c>
      <c r="I239" s="1" t="s">
        <v>4721</v>
      </c>
      <c r="J239" s="1" t="s">
        <v>12</v>
      </c>
      <c r="K239" s="1" t="s">
        <v>4845</v>
      </c>
      <c r="L239" s="1" t="s">
        <v>311</v>
      </c>
      <c r="M239" s="1" t="s">
        <v>883</v>
      </c>
      <c r="N239" s="1" t="s">
        <v>21</v>
      </c>
    </row>
    <row r="240" spans="1:14" x14ac:dyDescent="0.25">
      <c r="A240" s="1" t="s">
        <v>47</v>
      </c>
      <c r="B240" s="1" t="s">
        <v>5866</v>
      </c>
      <c r="C240" s="1" t="s">
        <v>4206</v>
      </c>
      <c r="D240" s="8" t="s">
        <v>4205</v>
      </c>
      <c r="E240" s="1" t="s">
        <v>398</v>
      </c>
      <c r="F240" s="1" t="s">
        <v>6397</v>
      </c>
      <c r="G240" s="1" t="s">
        <v>4746</v>
      </c>
      <c r="H240" s="1" t="s">
        <v>4747</v>
      </c>
      <c r="I240" s="1" t="s">
        <v>4721</v>
      </c>
      <c r="J240" s="1" t="s">
        <v>12</v>
      </c>
      <c r="K240" s="1" t="s">
        <v>4813</v>
      </c>
      <c r="L240" s="1" t="s">
        <v>60</v>
      </c>
      <c r="M240" s="1" t="s">
        <v>245</v>
      </c>
      <c r="N240" s="1" t="s">
        <v>21</v>
      </c>
    </row>
    <row r="241" spans="1:14" x14ac:dyDescent="0.25">
      <c r="A241" s="1" t="s">
        <v>47</v>
      </c>
      <c r="B241" s="1" t="s">
        <v>5867</v>
      </c>
      <c r="C241" s="1" t="s">
        <v>4836</v>
      </c>
      <c r="D241" s="8" t="s">
        <v>4835</v>
      </c>
      <c r="E241" s="1" t="s">
        <v>350</v>
      </c>
      <c r="F241" s="1" t="s">
        <v>6404</v>
      </c>
      <c r="G241" s="1" t="s">
        <v>4748</v>
      </c>
      <c r="H241" s="1" t="s">
        <v>4747</v>
      </c>
      <c r="I241" s="1" t="s">
        <v>4721</v>
      </c>
      <c r="J241" s="1" t="s">
        <v>39</v>
      </c>
      <c r="K241" s="1" t="s">
        <v>4829</v>
      </c>
      <c r="L241" s="1" t="s">
        <v>227</v>
      </c>
      <c r="M241" s="1" t="s">
        <v>136</v>
      </c>
      <c r="N241" s="1" t="s">
        <v>72</v>
      </c>
    </row>
    <row r="242" spans="1:14" x14ac:dyDescent="0.25">
      <c r="A242" s="1" t="s">
        <v>47</v>
      </c>
      <c r="B242" s="1" t="s">
        <v>5868</v>
      </c>
      <c r="C242" s="1" t="s">
        <v>1594</v>
      </c>
      <c r="D242" s="8" t="s">
        <v>1593</v>
      </c>
      <c r="E242" s="1" t="s">
        <v>1112</v>
      </c>
      <c r="F242" s="1" t="s">
        <v>6415</v>
      </c>
      <c r="G242" s="1" t="s">
        <v>6399</v>
      </c>
      <c r="H242" s="1" t="s">
        <v>6400</v>
      </c>
      <c r="I242" s="1" t="s">
        <v>4721</v>
      </c>
      <c r="J242" s="1" t="s">
        <v>39</v>
      </c>
      <c r="K242" s="1" t="s">
        <v>4830</v>
      </c>
      <c r="L242" s="1" t="s">
        <v>224</v>
      </c>
      <c r="M242" s="1" t="s">
        <v>135</v>
      </c>
      <c r="N242" s="1" t="s">
        <v>61</v>
      </c>
    </row>
    <row r="243" spans="1:14" x14ac:dyDescent="0.25">
      <c r="A243" s="1" t="s">
        <v>47</v>
      </c>
      <c r="B243" s="1" t="s">
        <v>6326</v>
      </c>
      <c r="C243" s="1" t="s">
        <v>3323</v>
      </c>
      <c r="D243" s="8" t="s">
        <v>3322</v>
      </c>
      <c r="E243" s="1" t="s">
        <v>49</v>
      </c>
      <c r="F243" s="1" t="s">
        <v>6402</v>
      </c>
      <c r="G243" s="1" t="s">
        <v>4746</v>
      </c>
      <c r="H243" s="1" t="s">
        <v>4747</v>
      </c>
      <c r="I243" s="1" t="s">
        <v>4721</v>
      </c>
      <c r="J243" s="1" t="s">
        <v>12</v>
      </c>
      <c r="K243" s="1" t="s">
        <v>4860</v>
      </c>
      <c r="L243" s="1" t="s">
        <v>48</v>
      </c>
      <c r="M243" s="1" t="s">
        <v>630</v>
      </c>
      <c r="N243" s="1" t="s">
        <v>21</v>
      </c>
    </row>
    <row r="244" spans="1:14" x14ac:dyDescent="0.25">
      <c r="A244" s="1" t="s">
        <v>47</v>
      </c>
      <c r="B244" s="1" t="s">
        <v>5877</v>
      </c>
      <c r="C244" s="1" t="s">
        <v>3438</v>
      </c>
      <c r="D244" s="8" t="s">
        <v>3437</v>
      </c>
      <c r="E244" s="1" t="s">
        <v>251</v>
      </c>
      <c r="F244" s="1" t="s">
        <v>6393</v>
      </c>
      <c r="G244" s="1" t="s">
        <v>4750</v>
      </c>
      <c r="H244" s="1" t="s">
        <v>4747</v>
      </c>
      <c r="I244" s="1" t="s">
        <v>4721</v>
      </c>
      <c r="J244" s="1" t="s">
        <v>12</v>
      </c>
      <c r="K244" s="1" t="s">
        <v>4806</v>
      </c>
      <c r="L244" s="1" t="s">
        <v>224</v>
      </c>
      <c r="M244" s="1" t="s">
        <v>648</v>
      </c>
      <c r="N244" s="1" t="s">
        <v>25</v>
      </c>
    </row>
    <row r="245" spans="1:14" x14ac:dyDescent="0.25">
      <c r="A245" s="1" t="s">
        <v>47</v>
      </c>
      <c r="B245" s="1" t="s">
        <v>6328</v>
      </c>
      <c r="C245" s="1" t="s">
        <v>4224</v>
      </c>
      <c r="D245" s="8" t="s">
        <v>4223</v>
      </c>
      <c r="E245" s="1" t="s">
        <v>142</v>
      </c>
      <c r="F245" s="1" t="s">
        <v>6396</v>
      </c>
      <c r="G245" s="1" t="s">
        <v>4748</v>
      </c>
      <c r="H245" s="1" t="s">
        <v>4747</v>
      </c>
      <c r="I245" s="1" t="s">
        <v>4721</v>
      </c>
      <c r="J245" s="1" t="s">
        <v>39</v>
      </c>
      <c r="K245" s="1" t="s">
        <v>4845</v>
      </c>
      <c r="L245" s="1" t="s">
        <v>141</v>
      </c>
      <c r="M245" s="1" t="s">
        <v>172</v>
      </c>
      <c r="N245" s="1" t="s">
        <v>17</v>
      </c>
    </row>
    <row r="246" spans="1:14" x14ac:dyDescent="0.25">
      <c r="A246" s="1" t="s">
        <v>47</v>
      </c>
      <c r="B246" s="1" t="s">
        <v>5879</v>
      </c>
      <c r="C246" s="1" t="s">
        <v>4297</v>
      </c>
      <c r="D246" s="8" t="s">
        <v>4296</v>
      </c>
      <c r="E246" s="1" t="s">
        <v>464</v>
      </c>
      <c r="F246" s="1" t="s">
        <v>4752</v>
      </c>
      <c r="G246" s="1" t="s">
        <v>4746</v>
      </c>
      <c r="H246" s="1" t="s">
        <v>4747</v>
      </c>
      <c r="I246" s="1" t="s">
        <v>4722</v>
      </c>
      <c r="J246" s="1" t="s">
        <v>39</v>
      </c>
      <c r="K246" s="1" t="s">
        <v>4861</v>
      </c>
      <c r="L246" s="1" t="s">
        <v>48</v>
      </c>
      <c r="M246" s="1" t="s">
        <v>637</v>
      </c>
      <c r="N246" s="1" t="s">
        <v>19</v>
      </c>
    </row>
    <row r="247" spans="1:14" x14ac:dyDescent="0.25">
      <c r="A247" s="1" t="s">
        <v>47</v>
      </c>
      <c r="B247" s="1" t="s">
        <v>6329</v>
      </c>
      <c r="C247" s="1" t="s">
        <v>3576</v>
      </c>
      <c r="D247" s="8" t="s">
        <v>3575</v>
      </c>
      <c r="E247" s="1" t="s">
        <v>67</v>
      </c>
      <c r="F247" s="1" t="s">
        <v>6406</v>
      </c>
      <c r="G247" s="1" t="s">
        <v>4748</v>
      </c>
      <c r="H247" s="1" t="s">
        <v>4747</v>
      </c>
      <c r="I247" s="1" t="s">
        <v>4721</v>
      </c>
      <c r="J247" s="1" t="s">
        <v>12</v>
      </c>
      <c r="K247" s="1" t="s">
        <v>4786</v>
      </c>
      <c r="L247" s="1" t="s">
        <v>66</v>
      </c>
      <c r="M247" s="1" t="s">
        <v>245</v>
      </c>
      <c r="N247" s="1" t="s">
        <v>21</v>
      </c>
    </row>
    <row r="248" spans="1:14" x14ac:dyDescent="0.25">
      <c r="A248" s="1" t="s">
        <v>47</v>
      </c>
      <c r="B248" s="1" t="s">
        <v>6330</v>
      </c>
      <c r="C248" s="1" t="s">
        <v>1411</v>
      </c>
      <c r="D248" s="8" t="s">
        <v>1410</v>
      </c>
      <c r="E248" s="1" t="s">
        <v>269</v>
      </c>
      <c r="F248" s="1" t="s">
        <v>4749</v>
      </c>
      <c r="G248" s="1" t="s">
        <v>4750</v>
      </c>
      <c r="H248" s="1" t="s">
        <v>4747</v>
      </c>
      <c r="I248" s="1" t="s">
        <v>4721</v>
      </c>
      <c r="J248" s="1" t="s">
        <v>12</v>
      </c>
      <c r="K248" s="1" t="s">
        <v>4834</v>
      </c>
      <c r="L248" s="1" t="s">
        <v>227</v>
      </c>
      <c r="M248" s="1" t="s">
        <v>630</v>
      </c>
      <c r="N248" s="1" t="s">
        <v>21</v>
      </c>
    </row>
    <row r="249" spans="1:14" x14ac:dyDescent="0.25">
      <c r="A249" s="1" t="s">
        <v>47</v>
      </c>
      <c r="B249" s="1" t="s">
        <v>5880</v>
      </c>
      <c r="C249" s="1" t="s">
        <v>2858</v>
      </c>
      <c r="D249" s="8" t="s">
        <v>2857</v>
      </c>
      <c r="E249" s="1" t="s">
        <v>312</v>
      </c>
      <c r="F249" s="1" t="s">
        <v>6396</v>
      </c>
      <c r="G249" s="1" t="s">
        <v>4748</v>
      </c>
      <c r="H249" s="1" t="s">
        <v>4747</v>
      </c>
      <c r="I249" s="1" t="s">
        <v>4721</v>
      </c>
      <c r="J249" s="1" t="s">
        <v>12</v>
      </c>
      <c r="K249" s="1" t="s">
        <v>4845</v>
      </c>
      <c r="L249" s="1" t="s">
        <v>311</v>
      </c>
      <c r="M249" s="1" t="s">
        <v>637</v>
      </c>
      <c r="N249" s="1" t="s">
        <v>19</v>
      </c>
    </row>
    <row r="250" spans="1:14" x14ac:dyDescent="0.25">
      <c r="A250" s="1" t="s">
        <v>47</v>
      </c>
      <c r="B250" s="1" t="s">
        <v>5888</v>
      </c>
      <c r="C250" s="1" t="s">
        <v>358</v>
      </c>
      <c r="D250" s="8" t="s">
        <v>357</v>
      </c>
      <c r="E250" s="1" t="s">
        <v>181</v>
      </c>
      <c r="F250" s="1" t="s">
        <v>6413</v>
      </c>
      <c r="G250" s="1" t="s">
        <v>6410</v>
      </c>
      <c r="H250" s="1" t="s">
        <v>4747</v>
      </c>
      <c r="I250" s="1" t="s">
        <v>4721</v>
      </c>
      <c r="J250" s="1" t="s">
        <v>12</v>
      </c>
      <c r="K250" s="1" t="s">
        <v>4906</v>
      </c>
      <c r="L250" s="1" t="s">
        <v>66</v>
      </c>
      <c r="M250" s="1" t="s">
        <v>58</v>
      </c>
      <c r="N250" s="1" t="s">
        <v>61</v>
      </c>
    </row>
    <row r="251" spans="1:14" x14ac:dyDescent="0.25">
      <c r="A251" s="1" t="s">
        <v>47</v>
      </c>
      <c r="B251" s="1" t="s">
        <v>6332</v>
      </c>
      <c r="C251" s="1" t="s">
        <v>2334</v>
      </c>
      <c r="D251" s="8" t="s">
        <v>2333</v>
      </c>
      <c r="E251" s="1" t="s">
        <v>433</v>
      </c>
      <c r="F251" s="1" t="s">
        <v>6405</v>
      </c>
      <c r="G251" s="1" t="s">
        <v>4746</v>
      </c>
      <c r="H251" s="1" t="s">
        <v>4747</v>
      </c>
      <c r="I251" s="1" t="s">
        <v>4721</v>
      </c>
      <c r="J251" s="1" t="s">
        <v>12</v>
      </c>
      <c r="K251" s="1" t="s">
        <v>4779</v>
      </c>
      <c r="L251" s="1" t="s">
        <v>56</v>
      </c>
      <c r="M251" s="1" t="s">
        <v>4780</v>
      </c>
      <c r="N251" s="1" t="s">
        <v>21</v>
      </c>
    </row>
    <row r="252" spans="1:14" x14ac:dyDescent="0.25">
      <c r="A252" s="1" t="s">
        <v>47</v>
      </c>
      <c r="B252" s="1" t="s">
        <v>5889</v>
      </c>
      <c r="C252" s="1" t="s">
        <v>4227</v>
      </c>
      <c r="D252" s="8" t="s">
        <v>4226</v>
      </c>
      <c r="E252" s="1" t="s">
        <v>142</v>
      </c>
      <c r="F252" s="1" t="s">
        <v>6396</v>
      </c>
      <c r="G252" s="1" t="s">
        <v>4748</v>
      </c>
      <c r="H252" s="1" t="s">
        <v>4747</v>
      </c>
      <c r="I252" s="1" t="s">
        <v>4721</v>
      </c>
      <c r="J252" s="1" t="s">
        <v>12</v>
      </c>
      <c r="K252" s="1" t="s">
        <v>4845</v>
      </c>
      <c r="L252" s="1" t="s">
        <v>141</v>
      </c>
      <c r="M252" s="1" t="s">
        <v>172</v>
      </c>
      <c r="N252" s="1" t="s">
        <v>17</v>
      </c>
    </row>
    <row r="253" spans="1:14" x14ac:dyDescent="0.25">
      <c r="A253" s="1" t="s">
        <v>47</v>
      </c>
      <c r="B253" s="1" t="s">
        <v>5890</v>
      </c>
      <c r="C253" s="1" t="s">
        <v>3240</v>
      </c>
      <c r="D253" s="8" t="s">
        <v>3239</v>
      </c>
      <c r="E253" s="1" t="s">
        <v>269</v>
      </c>
      <c r="F253" s="1" t="s">
        <v>6404</v>
      </c>
      <c r="G253" s="1" t="s">
        <v>4748</v>
      </c>
      <c r="H253" s="1" t="s">
        <v>4747</v>
      </c>
      <c r="I253" s="1" t="s">
        <v>4721</v>
      </c>
      <c r="J253" s="1" t="s">
        <v>12</v>
      </c>
      <c r="K253" s="1" t="s">
        <v>4829</v>
      </c>
      <c r="L253" s="1" t="s">
        <v>227</v>
      </c>
      <c r="M253" s="1" t="s">
        <v>245</v>
      </c>
      <c r="N253" s="1" t="s">
        <v>21</v>
      </c>
    </row>
    <row r="254" spans="1:14" x14ac:dyDescent="0.25">
      <c r="A254" s="1" t="s">
        <v>47</v>
      </c>
      <c r="B254" s="1" t="s">
        <v>6333</v>
      </c>
      <c r="C254" s="1" t="s">
        <v>3921</v>
      </c>
      <c r="D254" s="8" t="s">
        <v>3920</v>
      </c>
      <c r="E254" s="1" t="s">
        <v>601</v>
      </c>
      <c r="F254" s="1" t="s">
        <v>6403</v>
      </c>
      <c r="G254" s="1" t="s">
        <v>4746</v>
      </c>
      <c r="H254" s="1" t="s">
        <v>4747</v>
      </c>
      <c r="I254" s="1" t="s">
        <v>4721</v>
      </c>
      <c r="J254" s="1" t="s">
        <v>12</v>
      </c>
      <c r="K254" s="1" t="s">
        <v>4778</v>
      </c>
      <c r="L254" s="1" t="s">
        <v>60</v>
      </c>
      <c r="M254" s="1" t="s">
        <v>245</v>
      </c>
      <c r="N254" s="1" t="s">
        <v>21</v>
      </c>
    </row>
    <row r="255" spans="1:14" x14ac:dyDescent="0.25">
      <c r="A255" s="1" t="s">
        <v>47</v>
      </c>
      <c r="B255" s="1" t="s">
        <v>5892</v>
      </c>
      <c r="C255" s="1" t="s">
        <v>3882</v>
      </c>
      <c r="D255" s="8" t="s">
        <v>3881</v>
      </c>
      <c r="E255" s="1" t="s">
        <v>341</v>
      </c>
      <c r="F255" s="1" t="s">
        <v>6411</v>
      </c>
      <c r="G255" s="1" t="s">
        <v>4746</v>
      </c>
      <c r="H255" s="1" t="s">
        <v>4747</v>
      </c>
      <c r="I255" s="1" t="s">
        <v>4721</v>
      </c>
      <c r="J255" s="1" t="s">
        <v>12</v>
      </c>
      <c r="K255" s="1" t="s">
        <v>4866</v>
      </c>
      <c r="L255" s="1" t="s">
        <v>56</v>
      </c>
      <c r="M255" s="1" t="s">
        <v>245</v>
      </c>
      <c r="N255" s="1" t="s">
        <v>21</v>
      </c>
    </row>
    <row r="256" spans="1:14" x14ac:dyDescent="0.25">
      <c r="A256" s="1" t="s">
        <v>47</v>
      </c>
      <c r="B256" s="1" t="s">
        <v>5894</v>
      </c>
      <c r="C256" s="1" t="s">
        <v>1609</v>
      </c>
      <c r="D256" s="8" t="s">
        <v>1608</v>
      </c>
      <c r="E256" s="1" t="s">
        <v>269</v>
      </c>
      <c r="F256" s="1" t="s">
        <v>6416</v>
      </c>
      <c r="G256" s="1" t="s">
        <v>6410</v>
      </c>
      <c r="H256" s="1" t="s">
        <v>4747</v>
      </c>
      <c r="I256" s="1" t="s">
        <v>4721</v>
      </c>
      <c r="J256" s="1" t="s">
        <v>12</v>
      </c>
      <c r="K256" s="1" t="s">
        <v>4855</v>
      </c>
      <c r="L256" s="1" t="s">
        <v>227</v>
      </c>
      <c r="M256" s="1" t="s">
        <v>58</v>
      </c>
      <c r="N256" s="1" t="s">
        <v>61</v>
      </c>
    </row>
    <row r="257" spans="1:14" x14ac:dyDescent="0.25">
      <c r="A257" s="1" t="s">
        <v>47</v>
      </c>
      <c r="B257" s="1" t="s">
        <v>6335</v>
      </c>
      <c r="C257" s="1" t="s">
        <v>2886</v>
      </c>
      <c r="D257" s="8" t="s">
        <v>2885</v>
      </c>
      <c r="E257" s="1" t="s">
        <v>464</v>
      </c>
      <c r="F257" s="1" t="s">
        <v>4752</v>
      </c>
      <c r="G257" s="1" t="s">
        <v>4746</v>
      </c>
      <c r="H257" s="1" t="s">
        <v>4747</v>
      </c>
      <c r="I257" s="1" t="s">
        <v>4721</v>
      </c>
      <c r="J257" s="1" t="s">
        <v>12</v>
      </c>
      <c r="K257" s="1" t="s">
        <v>4861</v>
      </c>
      <c r="L257" s="1" t="s">
        <v>48</v>
      </c>
      <c r="M257" s="1" t="s">
        <v>637</v>
      </c>
      <c r="N257" s="1" t="s">
        <v>19</v>
      </c>
    </row>
    <row r="258" spans="1:14" x14ac:dyDescent="0.25">
      <c r="A258" s="1" t="s">
        <v>47</v>
      </c>
      <c r="B258" s="1" t="s">
        <v>5895</v>
      </c>
      <c r="C258" s="1" t="s">
        <v>4459</v>
      </c>
      <c r="D258" s="8" t="s">
        <v>4458</v>
      </c>
      <c r="E258" s="1" t="s">
        <v>98</v>
      </c>
      <c r="F258" s="1" t="s">
        <v>6392</v>
      </c>
      <c r="G258" s="1" t="s">
        <v>4750</v>
      </c>
      <c r="H258" s="1" t="s">
        <v>4747</v>
      </c>
      <c r="I258" s="1" t="s">
        <v>4721</v>
      </c>
      <c r="J258" s="1" t="s">
        <v>12</v>
      </c>
      <c r="K258" s="1" t="s">
        <v>4806</v>
      </c>
      <c r="L258" s="1" t="s">
        <v>56</v>
      </c>
      <c r="M258" s="1" t="s">
        <v>648</v>
      </c>
      <c r="N258" s="1" t="s">
        <v>25</v>
      </c>
    </row>
    <row r="259" spans="1:14" x14ac:dyDescent="0.25">
      <c r="A259" s="1" t="s">
        <v>47</v>
      </c>
      <c r="B259" s="1" t="s">
        <v>6337</v>
      </c>
      <c r="C259" s="1" t="s">
        <v>4239</v>
      </c>
      <c r="D259" s="8" t="s">
        <v>4238</v>
      </c>
      <c r="E259" s="1" t="s">
        <v>2862</v>
      </c>
      <c r="F259" s="1" t="s">
        <v>6396</v>
      </c>
      <c r="G259" s="1" t="s">
        <v>4748</v>
      </c>
      <c r="H259" s="1" t="s">
        <v>4747</v>
      </c>
      <c r="I259" s="1" t="s">
        <v>4721</v>
      </c>
      <c r="J259" s="1" t="s">
        <v>12</v>
      </c>
      <c r="K259" s="1" t="s">
        <v>4845</v>
      </c>
      <c r="L259" s="1" t="s">
        <v>141</v>
      </c>
      <c r="M259" s="1" t="s">
        <v>99</v>
      </c>
      <c r="N259" s="1" t="s">
        <v>25</v>
      </c>
    </row>
    <row r="260" spans="1:14" x14ac:dyDescent="0.25">
      <c r="A260" s="1" t="s">
        <v>47</v>
      </c>
      <c r="B260" s="1" t="s">
        <v>6339</v>
      </c>
      <c r="C260" s="1" t="s">
        <v>2816</v>
      </c>
      <c r="D260" s="8" t="s">
        <v>2815</v>
      </c>
      <c r="E260" s="1" t="s">
        <v>368</v>
      </c>
      <c r="F260" s="1" t="s">
        <v>4749</v>
      </c>
      <c r="G260" s="1" t="s">
        <v>4750</v>
      </c>
      <c r="H260" s="1" t="s">
        <v>4747</v>
      </c>
      <c r="I260" s="1" t="s">
        <v>4721</v>
      </c>
      <c r="J260" s="1" t="s">
        <v>12</v>
      </c>
      <c r="K260" s="1" t="s">
        <v>4834</v>
      </c>
      <c r="L260" s="1" t="s">
        <v>227</v>
      </c>
      <c r="M260" s="1" t="s">
        <v>89</v>
      </c>
      <c r="N260" s="1" t="s">
        <v>37</v>
      </c>
    </row>
    <row r="261" spans="1:14" x14ac:dyDescent="0.25">
      <c r="A261" s="1" t="s">
        <v>47</v>
      </c>
      <c r="B261" s="1" t="s">
        <v>6340</v>
      </c>
      <c r="C261" s="1" t="s">
        <v>3326</v>
      </c>
      <c r="D261" s="8" t="s">
        <v>3325</v>
      </c>
      <c r="E261" s="1" t="s">
        <v>251</v>
      </c>
      <c r="F261" s="1" t="s">
        <v>6393</v>
      </c>
      <c r="G261" s="1" t="s">
        <v>4750</v>
      </c>
      <c r="H261" s="1" t="s">
        <v>4747</v>
      </c>
      <c r="I261" s="1" t="s">
        <v>4721</v>
      </c>
      <c r="J261" s="1" t="s">
        <v>12</v>
      </c>
      <c r="K261" s="1" t="s">
        <v>4866</v>
      </c>
      <c r="L261" s="1" t="s">
        <v>224</v>
      </c>
      <c r="M261" s="1" t="s">
        <v>648</v>
      </c>
      <c r="N261" s="1" t="s">
        <v>25</v>
      </c>
    </row>
    <row r="262" spans="1:14" x14ac:dyDescent="0.25">
      <c r="A262" s="1" t="s">
        <v>47</v>
      </c>
      <c r="B262" s="1" t="s">
        <v>5898</v>
      </c>
      <c r="C262" s="1" t="s">
        <v>349</v>
      </c>
      <c r="D262" s="8" t="s">
        <v>348</v>
      </c>
      <c r="E262" s="1" t="s">
        <v>350</v>
      </c>
      <c r="F262" s="1" t="s">
        <v>4749</v>
      </c>
      <c r="G262" s="1" t="s">
        <v>4750</v>
      </c>
      <c r="H262" s="1" t="s">
        <v>4747</v>
      </c>
      <c r="I262" s="1" t="s">
        <v>4721</v>
      </c>
      <c r="J262" s="1" t="s">
        <v>39</v>
      </c>
      <c r="K262" s="1" t="s">
        <v>4834</v>
      </c>
      <c r="L262" s="1" t="s">
        <v>227</v>
      </c>
      <c r="M262" s="1" t="s">
        <v>149</v>
      </c>
      <c r="N262" s="1" t="s">
        <v>61</v>
      </c>
    </row>
    <row r="263" spans="1:14" x14ac:dyDescent="0.25">
      <c r="A263" s="1" t="s">
        <v>47</v>
      </c>
      <c r="B263" s="1" t="s">
        <v>5901</v>
      </c>
      <c r="C263" s="1" t="s">
        <v>4233</v>
      </c>
      <c r="D263" s="8" t="s">
        <v>4232</v>
      </c>
      <c r="E263" s="1" t="s">
        <v>142</v>
      </c>
      <c r="F263" s="1" t="s">
        <v>6396</v>
      </c>
      <c r="G263" s="1" t="s">
        <v>4748</v>
      </c>
      <c r="H263" s="1" t="s">
        <v>4747</v>
      </c>
      <c r="I263" s="1" t="s">
        <v>4721</v>
      </c>
      <c r="J263" s="1" t="s">
        <v>39</v>
      </c>
      <c r="K263" s="1" t="s">
        <v>4845</v>
      </c>
      <c r="L263" s="1" t="s">
        <v>141</v>
      </c>
      <c r="M263" s="1" t="s">
        <v>172</v>
      </c>
      <c r="N263" s="1" t="s">
        <v>17</v>
      </c>
    </row>
    <row r="264" spans="1:14" x14ac:dyDescent="0.25">
      <c r="A264" s="1" t="s">
        <v>47</v>
      </c>
      <c r="B264" s="1" t="s">
        <v>5905</v>
      </c>
      <c r="C264" s="1" t="s">
        <v>158</v>
      </c>
      <c r="D264" s="8" t="s">
        <v>157</v>
      </c>
      <c r="E264" s="1" t="s">
        <v>159</v>
      </c>
      <c r="F264" s="1" t="s">
        <v>6392</v>
      </c>
      <c r="G264" s="1" t="s">
        <v>4750</v>
      </c>
      <c r="H264" s="1" t="s">
        <v>4747</v>
      </c>
      <c r="I264" s="1" t="s">
        <v>4721</v>
      </c>
      <c r="J264" s="1" t="s">
        <v>12</v>
      </c>
      <c r="K264" s="1" t="s">
        <v>4806</v>
      </c>
      <c r="L264" s="1" t="s">
        <v>60</v>
      </c>
      <c r="M264" s="1" t="s">
        <v>99</v>
      </c>
      <c r="N264" s="1" t="s">
        <v>25</v>
      </c>
    </row>
    <row r="265" spans="1:14" x14ac:dyDescent="0.25">
      <c r="A265" s="1" t="s">
        <v>47</v>
      </c>
      <c r="B265" s="1" t="s">
        <v>5906</v>
      </c>
      <c r="C265" s="1" t="s">
        <v>2871</v>
      </c>
      <c r="D265" s="8" t="s">
        <v>2870</v>
      </c>
      <c r="E265" s="1" t="s">
        <v>398</v>
      </c>
      <c r="F265" s="1" t="s">
        <v>6397</v>
      </c>
      <c r="G265" s="1" t="s">
        <v>4746</v>
      </c>
      <c r="H265" s="1" t="s">
        <v>4747</v>
      </c>
      <c r="I265" s="1" t="s">
        <v>4721</v>
      </c>
      <c r="J265" s="1" t="s">
        <v>12</v>
      </c>
      <c r="K265" s="1" t="s">
        <v>4813</v>
      </c>
      <c r="L265" s="1" t="s">
        <v>60</v>
      </c>
      <c r="M265" s="1" t="s">
        <v>245</v>
      </c>
      <c r="N265" s="1" t="s">
        <v>21</v>
      </c>
    </row>
    <row r="266" spans="1:14" x14ac:dyDescent="0.25">
      <c r="A266" s="1" t="s">
        <v>47</v>
      </c>
      <c r="B266" s="1" t="s">
        <v>5907</v>
      </c>
      <c r="C266" s="1" t="s">
        <v>3894</v>
      </c>
      <c r="D266" s="8" t="s">
        <v>3893</v>
      </c>
      <c r="E266" s="1" t="s">
        <v>2104</v>
      </c>
      <c r="F266" s="1" t="s">
        <v>6411</v>
      </c>
      <c r="G266" s="1" t="s">
        <v>4746</v>
      </c>
      <c r="H266" s="1" t="s">
        <v>4747</v>
      </c>
      <c r="I266" s="1" t="s">
        <v>4721</v>
      </c>
      <c r="J266" s="1" t="s">
        <v>12</v>
      </c>
      <c r="K266" s="1" t="s">
        <v>4866</v>
      </c>
      <c r="L266" s="1" t="s">
        <v>56</v>
      </c>
      <c r="M266" s="1" t="s">
        <v>883</v>
      </c>
      <c r="N266" s="1" t="s">
        <v>21</v>
      </c>
    </row>
    <row r="267" spans="1:14" x14ac:dyDescent="0.25">
      <c r="A267" s="1" t="s">
        <v>47</v>
      </c>
      <c r="B267" s="1" t="s">
        <v>6346</v>
      </c>
      <c r="C267" s="1" t="s">
        <v>2726</v>
      </c>
      <c r="D267" s="8" t="s">
        <v>2725</v>
      </c>
      <c r="E267" s="1" t="s">
        <v>368</v>
      </c>
      <c r="F267" s="1" t="s">
        <v>4749</v>
      </c>
      <c r="G267" s="1" t="s">
        <v>4750</v>
      </c>
      <c r="H267" s="1" t="s">
        <v>4747</v>
      </c>
      <c r="I267" s="1" t="s">
        <v>4722</v>
      </c>
      <c r="J267" s="1" t="s">
        <v>39</v>
      </c>
      <c r="K267" s="1" t="s">
        <v>4834</v>
      </c>
      <c r="L267" s="1" t="s">
        <v>227</v>
      </c>
      <c r="M267" s="1" t="s">
        <v>245</v>
      </c>
      <c r="N267" s="1" t="s">
        <v>21</v>
      </c>
    </row>
    <row r="268" spans="1:14" x14ac:dyDescent="0.25">
      <c r="A268" s="1" t="s">
        <v>47</v>
      </c>
      <c r="B268" s="1" t="s">
        <v>5909</v>
      </c>
      <c r="C268" s="1" t="s">
        <v>1404</v>
      </c>
      <c r="D268" s="8" t="s">
        <v>1403</v>
      </c>
      <c r="E268" s="1" t="s">
        <v>1405</v>
      </c>
      <c r="F268" s="1" t="s">
        <v>4749</v>
      </c>
      <c r="G268" s="1" t="s">
        <v>4750</v>
      </c>
      <c r="H268" s="1" t="s">
        <v>4747</v>
      </c>
      <c r="I268" s="1" t="s">
        <v>4721</v>
      </c>
      <c r="J268" s="1" t="s">
        <v>12</v>
      </c>
      <c r="K268" s="1" t="s">
        <v>4834</v>
      </c>
      <c r="L268" s="1" t="s">
        <v>227</v>
      </c>
      <c r="M268" s="1" t="s">
        <v>245</v>
      </c>
      <c r="N268" s="1" t="s">
        <v>21</v>
      </c>
    </row>
    <row r="269" spans="1:14" x14ac:dyDescent="0.25">
      <c r="A269" s="1" t="s">
        <v>47</v>
      </c>
      <c r="B269" s="1" t="s">
        <v>6348</v>
      </c>
      <c r="C269" s="1" t="s">
        <v>1162</v>
      </c>
      <c r="D269" s="8" t="s">
        <v>1161</v>
      </c>
      <c r="E269" s="1" t="s">
        <v>1112</v>
      </c>
      <c r="F269" s="1" t="s">
        <v>6408</v>
      </c>
      <c r="G269" s="1" t="s">
        <v>4748</v>
      </c>
      <c r="H269" s="1" t="s">
        <v>4747</v>
      </c>
      <c r="I269" s="1" t="s">
        <v>4721</v>
      </c>
      <c r="J269" s="1" t="s">
        <v>12</v>
      </c>
      <c r="K269" s="1" t="s">
        <v>4817</v>
      </c>
      <c r="L269" s="1" t="s">
        <v>224</v>
      </c>
      <c r="M269" s="1" t="s">
        <v>245</v>
      </c>
      <c r="N269" s="1" t="s">
        <v>21</v>
      </c>
    </row>
    <row r="270" spans="1:14" x14ac:dyDescent="0.25">
      <c r="A270" s="1" t="s">
        <v>47</v>
      </c>
      <c r="B270" s="1" t="s">
        <v>5910</v>
      </c>
      <c r="C270" s="1" t="s">
        <v>3401</v>
      </c>
      <c r="D270" s="8" t="s">
        <v>3400</v>
      </c>
      <c r="E270" s="1" t="s">
        <v>49</v>
      </c>
      <c r="F270" s="1" t="s">
        <v>6402</v>
      </c>
      <c r="G270" s="1" t="s">
        <v>4746</v>
      </c>
      <c r="H270" s="1" t="s">
        <v>4747</v>
      </c>
      <c r="I270" s="1" t="s">
        <v>4721</v>
      </c>
      <c r="J270" s="1" t="s">
        <v>12</v>
      </c>
      <c r="K270" s="1" t="s">
        <v>4860</v>
      </c>
      <c r="L270" s="1" t="s">
        <v>48</v>
      </c>
      <c r="M270" s="1" t="s">
        <v>630</v>
      </c>
      <c r="N270" s="1" t="s">
        <v>21</v>
      </c>
    </row>
    <row r="271" spans="1:14" x14ac:dyDescent="0.25">
      <c r="A271" s="1" t="s">
        <v>47</v>
      </c>
      <c r="B271" s="1" t="s">
        <v>6350</v>
      </c>
      <c r="C271" s="1" t="s">
        <v>771</v>
      </c>
      <c r="D271" s="8" t="s">
        <v>770</v>
      </c>
      <c r="E271" s="1" t="s">
        <v>98</v>
      </c>
      <c r="F271" s="1" t="s">
        <v>6391</v>
      </c>
      <c r="G271" s="1" t="s">
        <v>4750</v>
      </c>
      <c r="H271" s="1" t="s">
        <v>4747</v>
      </c>
      <c r="I271" s="1" t="s">
        <v>4721</v>
      </c>
      <c r="J271" s="1" t="s">
        <v>12</v>
      </c>
      <c r="K271" s="1" t="s">
        <v>4809</v>
      </c>
      <c r="L271" s="1" t="s">
        <v>56</v>
      </c>
      <c r="M271" s="1" t="s">
        <v>99</v>
      </c>
      <c r="N271" s="1" t="s">
        <v>25</v>
      </c>
    </row>
    <row r="272" spans="1:14" x14ac:dyDescent="0.25">
      <c r="A272" s="1" t="s">
        <v>47</v>
      </c>
      <c r="B272" s="1" t="s">
        <v>6353</v>
      </c>
      <c r="C272" s="1" t="s">
        <v>484</v>
      </c>
      <c r="D272" s="8" t="s">
        <v>483</v>
      </c>
      <c r="E272" s="1" t="s">
        <v>49</v>
      </c>
      <c r="F272" s="1" t="s">
        <v>6401</v>
      </c>
      <c r="G272" s="1" t="s">
        <v>4746</v>
      </c>
      <c r="H272" s="1" t="s">
        <v>4747</v>
      </c>
      <c r="I272" s="1" t="s">
        <v>4721</v>
      </c>
      <c r="J272" s="1" t="s">
        <v>12</v>
      </c>
      <c r="K272" s="1" t="s">
        <v>4810</v>
      </c>
      <c r="L272" s="1" t="s">
        <v>48</v>
      </c>
      <c r="M272" s="1" t="s">
        <v>172</v>
      </c>
      <c r="N272" s="1" t="s">
        <v>17</v>
      </c>
    </row>
    <row r="273" spans="1:14" x14ac:dyDescent="0.25">
      <c r="A273" s="1" t="s">
        <v>47</v>
      </c>
      <c r="B273" s="1" t="s">
        <v>5914</v>
      </c>
      <c r="C273" s="1" t="s">
        <v>2732</v>
      </c>
      <c r="D273" s="8" t="s">
        <v>2731</v>
      </c>
      <c r="E273" s="1" t="s">
        <v>181</v>
      </c>
      <c r="F273" s="1" t="s">
        <v>6395</v>
      </c>
      <c r="G273" s="1" t="s">
        <v>4748</v>
      </c>
      <c r="H273" s="1" t="s">
        <v>4747</v>
      </c>
      <c r="I273" s="1" t="s">
        <v>4722</v>
      </c>
      <c r="J273" s="1" t="s">
        <v>39</v>
      </c>
      <c r="K273" s="1" t="s">
        <v>4792</v>
      </c>
      <c r="L273" s="1" t="s">
        <v>66</v>
      </c>
      <c r="M273" s="1" t="s">
        <v>172</v>
      </c>
      <c r="N273" s="1" t="s">
        <v>17</v>
      </c>
    </row>
    <row r="274" spans="1:14" x14ac:dyDescent="0.25">
      <c r="A274" s="1" t="s">
        <v>47</v>
      </c>
      <c r="B274" s="1" t="s">
        <v>5916</v>
      </c>
      <c r="C274" s="1" t="s">
        <v>1476</v>
      </c>
      <c r="D274" s="8" t="s">
        <v>1475</v>
      </c>
      <c r="E274" s="1" t="s">
        <v>350</v>
      </c>
      <c r="F274" s="1" t="s">
        <v>6404</v>
      </c>
      <c r="G274" s="1" t="s">
        <v>4748</v>
      </c>
      <c r="H274" s="1" t="s">
        <v>4747</v>
      </c>
      <c r="I274" s="1" t="s">
        <v>4721</v>
      </c>
      <c r="J274" s="1" t="s">
        <v>12</v>
      </c>
      <c r="K274" s="1" t="s">
        <v>4829</v>
      </c>
      <c r="L274" s="1" t="s">
        <v>227</v>
      </c>
      <c r="M274" s="1" t="s">
        <v>364</v>
      </c>
      <c r="N274" s="1" t="s">
        <v>37</v>
      </c>
    </row>
    <row r="275" spans="1:14" x14ac:dyDescent="0.25">
      <c r="A275" s="1" t="s">
        <v>47</v>
      </c>
      <c r="B275" s="1" t="s">
        <v>6354</v>
      </c>
      <c r="C275" s="1" t="s">
        <v>653</v>
      </c>
      <c r="D275" s="8" t="s">
        <v>652</v>
      </c>
      <c r="E275" s="1" t="s">
        <v>264</v>
      </c>
      <c r="F275" s="1" t="s">
        <v>6391</v>
      </c>
      <c r="G275" s="1" t="s">
        <v>4750</v>
      </c>
      <c r="H275" s="1" t="s">
        <v>4747</v>
      </c>
      <c r="I275" s="1" t="s">
        <v>4721</v>
      </c>
      <c r="J275" s="1" t="s">
        <v>12</v>
      </c>
      <c r="K275" s="1" t="s">
        <v>4809</v>
      </c>
      <c r="L275" s="1" t="s">
        <v>227</v>
      </c>
      <c r="M275" s="1" t="s">
        <v>648</v>
      </c>
      <c r="N275" s="1" t="s">
        <v>25</v>
      </c>
    </row>
    <row r="276" spans="1:14" x14ac:dyDescent="0.25">
      <c r="A276" s="1" t="s">
        <v>47</v>
      </c>
      <c r="B276" s="1" t="s">
        <v>6357</v>
      </c>
      <c r="C276" s="1" t="s">
        <v>2524</v>
      </c>
      <c r="D276" s="8" t="s">
        <v>2523</v>
      </c>
      <c r="E276" s="1" t="s">
        <v>278</v>
      </c>
      <c r="F276" s="1" t="s">
        <v>6398</v>
      </c>
      <c r="G276" s="1" t="s">
        <v>4746</v>
      </c>
      <c r="H276" s="1" t="s">
        <v>4747</v>
      </c>
      <c r="I276" s="1" t="s">
        <v>4721</v>
      </c>
      <c r="J276" s="1" t="s">
        <v>12</v>
      </c>
      <c r="K276" s="1" t="s">
        <v>4821</v>
      </c>
      <c r="L276" s="1" t="s">
        <v>60</v>
      </c>
      <c r="M276" s="1" t="s">
        <v>364</v>
      </c>
      <c r="N276" s="1" t="s">
        <v>37</v>
      </c>
    </row>
    <row r="277" spans="1:14" x14ac:dyDescent="0.25">
      <c r="A277" s="1" t="s">
        <v>47</v>
      </c>
      <c r="B277" s="1" t="s">
        <v>5391</v>
      </c>
      <c r="C277" s="1" t="s">
        <v>277</v>
      </c>
      <c r="D277" s="8" t="s">
        <v>276</v>
      </c>
      <c r="E277" s="1" t="s">
        <v>278</v>
      </c>
      <c r="F277" s="1" t="s">
        <v>6398</v>
      </c>
      <c r="G277" s="1" t="s">
        <v>4746</v>
      </c>
      <c r="H277" s="1" t="s">
        <v>4747</v>
      </c>
      <c r="I277" s="1" t="s">
        <v>4721</v>
      </c>
      <c r="J277" s="1" t="s">
        <v>12</v>
      </c>
      <c r="K277" s="1" t="s">
        <v>4821</v>
      </c>
      <c r="L277" s="1" t="s">
        <v>60</v>
      </c>
      <c r="M277" s="1" t="s">
        <v>58</v>
      </c>
      <c r="N277" s="1" t="s">
        <v>61</v>
      </c>
    </row>
    <row r="278" spans="1:14" x14ac:dyDescent="0.25">
      <c r="A278" s="1" t="s">
        <v>47</v>
      </c>
      <c r="B278" s="1" t="s">
        <v>5815</v>
      </c>
      <c r="C278" s="1" t="s">
        <v>2140</v>
      </c>
      <c r="D278" s="8" t="s">
        <v>2139</v>
      </c>
      <c r="E278" s="1" t="s">
        <v>244</v>
      </c>
      <c r="F278" s="1" t="s">
        <v>6403</v>
      </c>
      <c r="G278" s="1" t="s">
        <v>4746</v>
      </c>
      <c r="H278" s="1" t="s">
        <v>4747</v>
      </c>
      <c r="I278" s="1" t="s">
        <v>4721</v>
      </c>
      <c r="J278" s="1" t="s">
        <v>12</v>
      </c>
      <c r="K278" s="1" t="s">
        <v>4778</v>
      </c>
      <c r="L278" s="1" t="s">
        <v>60</v>
      </c>
      <c r="M278" s="1" t="s">
        <v>4780</v>
      </c>
      <c r="N278" s="1" t="s">
        <v>21</v>
      </c>
    </row>
    <row r="279" spans="1:14" x14ac:dyDescent="0.25">
      <c r="A279" s="1" t="s">
        <v>47</v>
      </c>
      <c r="B279" s="1" t="s">
        <v>5392</v>
      </c>
      <c r="C279" s="1" t="s">
        <v>3903</v>
      </c>
      <c r="D279" s="8" t="s">
        <v>3902</v>
      </c>
      <c r="E279" s="1" t="s">
        <v>244</v>
      </c>
      <c r="F279" s="1" t="s">
        <v>6403</v>
      </c>
      <c r="G279" s="1" t="s">
        <v>4746</v>
      </c>
      <c r="H279" s="1" t="s">
        <v>4747</v>
      </c>
      <c r="I279" s="1" t="s">
        <v>4722</v>
      </c>
      <c r="J279" s="1" t="s">
        <v>39</v>
      </c>
      <c r="K279" s="1" t="s">
        <v>4778</v>
      </c>
      <c r="L279" s="1" t="s">
        <v>60</v>
      </c>
      <c r="M279" s="1" t="s">
        <v>4780</v>
      </c>
      <c r="N279" s="1" t="s">
        <v>21</v>
      </c>
    </row>
    <row r="280" spans="1:14" x14ac:dyDescent="0.25">
      <c r="A280" s="1" t="s">
        <v>47</v>
      </c>
      <c r="B280" s="1" t="s">
        <v>5393</v>
      </c>
      <c r="C280" s="1" t="s">
        <v>1712</v>
      </c>
      <c r="D280" s="8" t="s">
        <v>1711</v>
      </c>
      <c r="E280" s="1" t="s">
        <v>181</v>
      </c>
      <c r="F280" s="1" t="s">
        <v>6395</v>
      </c>
      <c r="G280" s="1" t="s">
        <v>4748</v>
      </c>
      <c r="H280" s="1" t="s">
        <v>4747</v>
      </c>
      <c r="I280" s="1" t="s">
        <v>4721</v>
      </c>
      <c r="J280" s="1" t="s">
        <v>12</v>
      </c>
      <c r="K280" s="1" t="s">
        <v>4792</v>
      </c>
      <c r="L280" s="1" t="s">
        <v>66</v>
      </c>
      <c r="M280" s="1" t="s">
        <v>883</v>
      </c>
      <c r="N280" s="1" t="s">
        <v>21</v>
      </c>
    </row>
    <row r="281" spans="1:14" x14ac:dyDescent="0.25">
      <c r="A281" s="1" t="s">
        <v>47</v>
      </c>
      <c r="B281" s="1" t="s">
        <v>5394</v>
      </c>
      <c r="C281" s="1" t="s">
        <v>432</v>
      </c>
      <c r="D281" s="8" t="s">
        <v>431</v>
      </c>
      <c r="E281" s="1" t="s">
        <v>433</v>
      </c>
      <c r="F281" s="1" t="s">
        <v>6405</v>
      </c>
      <c r="G281" s="1" t="s">
        <v>4746</v>
      </c>
      <c r="H281" s="1" t="s">
        <v>4747</v>
      </c>
      <c r="I281" s="1" t="s">
        <v>4722</v>
      </c>
      <c r="J281" s="1" t="s">
        <v>39</v>
      </c>
      <c r="K281" s="1" t="s">
        <v>4779</v>
      </c>
      <c r="L281" s="1" t="s">
        <v>56</v>
      </c>
      <c r="M281" s="1" t="s">
        <v>4780</v>
      </c>
      <c r="N281" s="1" t="s">
        <v>21</v>
      </c>
    </row>
    <row r="282" spans="1:14" x14ac:dyDescent="0.25">
      <c r="A282" s="1" t="s">
        <v>47</v>
      </c>
      <c r="B282" s="1" t="s">
        <v>5395</v>
      </c>
      <c r="C282" s="1" t="s">
        <v>3034</v>
      </c>
      <c r="D282" s="8" t="s">
        <v>3033</v>
      </c>
      <c r="E282" s="1" t="s">
        <v>181</v>
      </c>
      <c r="F282" s="1" t="s">
        <v>6395</v>
      </c>
      <c r="G282" s="1" t="s">
        <v>4748</v>
      </c>
      <c r="H282" s="1" t="s">
        <v>4747</v>
      </c>
      <c r="I282" s="1" t="s">
        <v>4722</v>
      </c>
      <c r="J282" s="1" t="s">
        <v>39</v>
      </c>
      <c r="K282" s="1" t="s">
        <v>4792</v>
      </c>
      <c r="L282" s="1" t="s">
        <v>66</v>
      </c>
      <c r="M282" s="1" t="s">
        <v>172</v>
      </c>
      <c r="N282" s="1" t="s">
        <v>17</v>
      </c>
    </row>
    <row r="283" spans="1:14" x14ac:dyDescent="0.25">
      <c r="A283" s="1" t="s">
        <v>47</v>
      </c>
      <c r="B283" s="1" t="s">
        <v>5396</v>
      </c>
      <c r="C283" s="1" t="s">
        <v>686</v>
      </c>
      <c r="D283" s="8" t="s">
        <v>685</v>
      </c>
      <c r="E283" s="1" t="s">
        <v>225</v>
      </c>
      <c r="F283" s="1" t="s">
        <v>4751</v>
      </c>
      <c r="G283" s="1" t="s">
        <v>4748</v>
      </c>
      <c r="H283" s="1" t="s">
        <v>4747</v>
      </c>
      <c r="I283" s="1" t="s">
        <v>4722</v>
      </c>
      <c r="J283" s="1" t="s">
        <v>39</v>
      </c>
      <c r="K283" s="1" t="s">
        <v>4834</v>
      </c>
      <c r="L283" s="1" t="s">
        <v>224</v>
      </c>
      <c r="M283" s="1" t="s">
        <v>245</v>
      </c>
      <c r="N283" s="1" t="s">
        <v>21</v>
      </c>
    </row>
    <row r="284" spans="1:14" x14ac:dyDescent="0.25">
      <c r="A284" s="1" t="s">
        <v>47</v>
      </c>
      <c r="B284" s="1" t="s">
        <v>5821</v>
      </c>
      <c r="C284" s="1" t="s">
        <v>1603</v>
      </c>
      <c r="D284" s="8" t="s">
        <v>1602</v>
      </c>
      <c r="E284" s="1" t="s">
        <v>350</v>
      </c>
      <c r="F284" s="1" t="s">
        <v>6416</v>
      </c>
      <c r="G284" s="1" t="s">
        <v>6410</v>
      </c>
      <c r="H284" s="1" t="s">
        <v>4747</v>
      </c>
      <c r="I284" s="1" t="s">
        <v>4721</v>
      </c>
      <c r="J284" s="1" t="s">
        <v>12</v>
      </c>
      <c r="K284" s="1" t="s">
        <v>4829</v>
      </c>
      <c r="L284" s="1" t="s">
        <v>227</v>
      </c>
      <c r="M284" s="1" t="s">
        <v>149</v>
      </c>
      <c r="N284" s="1" t="s">
        <v>61</v>
      </c>
    </row>
    <row r="285" spans="1:14" x14ac:dyDescent="0.25">
      <c r="A285" s="1" t="s">
        <v>47</v>
      </c>
      <c r="B285" s="1" t="s">
        <v>5398</v>
      </c>
      <c r="C285" s="1" t="s">
        <v>4863</v>
      </c>
      <c r="D285" s="8" t="s">
        <v>4862</v>
      </c>
      <c r="E285" s="1" t="s">
        <v>49</v>
      </c>
      <c r="F285" s="1" t="s">
        <v>6402</v>
      </c>
      <c r="G285" s="1" t="s">
        <v>4746</v>
      </c>
      <c r="H285" s="1" t="s">
        <v>4747</v>
      </c>
      <c r="I285" s="1" t="s">
        <v>4721</v>
      </c>
      <c r="J285" s="1" t="s">
        <v>39</v>
      </c>
      <c r="K285" s="1" t="s">
        <v>4860</v>
      </c>
      <c r="L285" s="1" t="s">
        <v>48</v>
      </c>
      <c r="M285" s="1" t="s">
        <v>136</v>
      </c>
      <c r="N285" s="1" t="s">
        <v>72</v>
      </c>
    </row>
    <row r="286" spans="1:14" x14ac:dyDescent="0.25">
      <c r="A286" s="1" t="s">
        <v>47</v>
      </c>
      <c r="B286" s="1" t="s">
        <v>5399</v>
      </c>
      <c r="C286" s="1" t="s">
        <v>2563</v>
      </c>
      <c r="D286" s="8" t="s">
        <v>2562</v>
      </c>
      <c r="E286" s="1" t="s">
        <v>350</v>
      </c>
      <c r="F286" s="1" t="s">
        <v>6404</v>
      </c>
      <c r="G286" s="1" t="s">
        <v>4748</v>
      </c>
      <c r="H286" s="1" t="s">
        <v>4747</v>
      </c>
      <c r="I286" s="1" t="s">
        <v>4721</v>
      </c>
      <c r="J286" s="1" t="s">
        <v>12</v>
      </c>
      <c r="K286" s="1" t="s">
        <v>4829</v>
      </c>
      <c r="L286" s="1" t="s">
        <v>227</v>
      </c>
      <c r="M286" s="1" t="s">
        <v>245</v>
      </c>
      <c r="N286" s="1" t="s">
        <v>21</v>
      </c>
    </row>
    <row r="287" spans="1:14" x14ac:dyDescent="0.25">
      <c r="A287" s="1" t="s">
        <v>47</v>
      </c>
      <c r="B287" s="1" t="s">
        <v>5822</v>
      </c>
      <c r="C287" s="1" t="s">
        <v>384</v>
      </c>
      <c r="D287" s="8" t="s">
        <v>383</v>
      </c>
      <c r="E287" s="1" t="s">
        <v>49</v>
      </c>
      <c r="F287" s="1" t="s">
        <v>6402</v>
      </c>
      <c r="G287" s="1" t="s">
        <v>4746</v>
      </c>
      <c r="H287" s="1" t="s">
        <v>4747</v>
      </c>
      <c r="I287" s="1" t="s">
        <v>4721</v>
      </c>
      <c r="J287" s="1" t="s">
        <v>12</v>
      </c>
      <c r="K287" s="1" t="s">
        <v>4860</v>
      </c>
      <c r="L287" s="1" t="s">
        <v>48</v>
      </c>
      <c r="M287" s="1" t="s">
        <v>630</v>
      </c>
      <c r="N287" s="1" t="s">
        <v>21</v>
      </c>
    </row>
    <row r="288" spans="1:14" x14ac:dyDescent="0.25">
      <c r="A288" s="1" t="s">
        <v>47</v>
      </c>
      <c r="B288" s="1" t="s">
        <v>5400</v>
      </c>
      <c r="C288" s="1" t="s">
        <v>2527</v>
      </c>
      <c r="D288" s="8" t="s">
        <v>2526</v>
      </c>
      <c r="E288" s="1" t="s">
        <v>159</v>
      </c>
      <c r="F288" s="1" t="s">
        <v>4749</v>
      </c>
      <c r="G288" s="1" t="s">
        <v>4750</v>
      </c>
      <c r="H288" s="1" t="s">
        <v>4747</v>
      </c>
      <c r="I288" s="1" t="s">
        <v>4721</v>
      </c>
      <c r="J288" s="1" t="s">
        <v>12</v>
      </c>
      <c r="K288" s="1" t="s">
        <v>4834</v>
      </c>
      <c r="L288" s="1" t="s">
        <v>60</v>
      </c>
      <c r="M288" s="1" t="s">
        <v>99</v>
      </c>
      <c r="N288" s="1" t="s">
        <v>25</v>
      </c>
    </row>
    <row r="289" spans="1:14" x14ac:dyDescent="0.25">
      <c r="A289" s="1" t="s">
        <v>47</v>
      </c>
      <c r="B289" s="1" t="s">
        <v>5824</v>
      </c>
      <c r="C289" s="1" t="s">
        <v>1190</v>
      </c>
      <c r="D289" s="8" t="s">
        <v>1189</v>
      </c>
      <c r="E289" s="1" t="s">
        <v>57</v>
      </c>
      <c r="F289" s="1" t="s">
        <v>6405</v>
      </c>
      <c r="G289" s="1" t="s">
        <v>4746</v>
      </c>
      <c r="H289" s="1" t="s">
        <v>4747</v>
      </c>
      <c r="I289" s="1" t="s">
        <v>4721</v>
      </c>
      <c r="J289" s="1" t="s">
        <v>12</v>
      </c>
      <c r="K289" s="1" t="s">
        <v>4859</v>
      </c>
      <c r="L289" s="1" t="s">
        <v>56</v>
      </c>
      <c r="M289" s="1" t="s">
        <v>58</v>
      </c>
      <c r="N289" s="1" t="s">
        <v>61</v>
      </c>
    </row>
    <row r="290" spans="1:14" x14ac:dyDescent="0.25">
      <c r="A290" s="1" t="s">
        <v>47</v>
      </c>
      <c r="B290" s="1" t="s">
        <v>5401</v>
      </c>
      <c r="C290" s="1" t="s">
        <v>2119</v>
      </c>
      <c r="D290" s="8" t="s">
        <v>2118</v>
      </c>
      <c r="E290" s="1" t="s">
        <v>341</v>
      </c>
      <c r="F290" s="1" t="s">
        <v>6411</v>
      </c>
      <c r="G290" s="1" t="s">
        <v>4746</v>
      </c>
      <c r="H290" s="1" t="s">
        <v>4747</v>
      </c>
      <c r="I290" s="1" t="s">
        <v>4722</v>
      </c>
      <c r="J290" s="1" t="s">
        <v>39</v>
      </c>
      <c r="K290" s="1" t="s">
        <v>4866</v>
      </c>
      <c r="L290" s="1" t="s">
        <v>56</v>
      </c>
      <c r="M290" s="1" t="s">
        <v>245</v>
      </c>
      <c r="N290" s="1" t="s">
        <v>21</v>
      </c>
    </row>
    <row r="291" spans="1:14" x14ac:dyDescent="0.25">
      <c r="A291" s="1" t="s">
        <v>47</v>
      </c>
      <c r="B291" s="1" t="s">
        <v>5403</v>
      </c>
      <c r="C291" s="1" t="s">
        <v>3552</v>
      </c>
      <c r="D291" s="8" t="s">
        <v>3551</v>
      </c>
      <c r="E291" s="1" t="s">
        <v>181</v>
      </c>
      <c r="F291" s="1" t="s">
        <v>6406</v>
      </c>
      <c r="G291" s="1" t="s">
        <v>4748</v>
      </c>
      <c r="H291" s="1" t="s">
        <v>4747</v>
      </c>
      <c r="I291" s="1" t="s">
        <v>4722</v>
      </c>
      <c r="J291" s="1" t="s">
        <v>39</v>
      </c>
      <c r="K291" s="1" t="s">
        <v>4793</v>
      </c>
      <c r="L291" s="1" t="s">
        <v>66</v>
      </c>
      <c r="M291" s="1" t="s">
        <v>637</v>
      </c>
      <c r="N291" s="1" t="s">
        <v>19</v>
      </c>
    </row>
    <row r="292" spans="1:14" x14ac:dyDescent="0.25">
      <c r="A292" s="1" t="s">
        <v>47</v>
      </c>
      <c r="B292" s="1" t="s">
        <v>5404</v>
      </c>
      <c r="C292" s="1" t="s">
        <v>2116</v>
      </c>
      <c r="D292" s="8" t="s">
        <v>2115</v>
      </c>
      <c r="E292" s="1" t="s">
        <v>341</v>
      </c>
      <c r="F292" s="1" t="s">
        <v>6411</v>
      </c>
      <c r="G292" s="1" t="s">
        <v>4746</v>
      </c>
      <c r="H292" s="1" t="s">
        <v>4747</v>
      </c>
      <c r="I292" s="1" t="s">
        <v>4721</v>
      </c>
      <c r="J292" s="1" t="s">
        <v>39</v>
      </c>
      <c r="K292" s="1" t="s">
        <v>4866</v>
      </c>
      <c r="L292" s="1" t="s">
        <v>56</v>
      </c>
      <c r="M292" s="1" t="s">
        <v>136</v>
      </c>
      <c r="N292" s="1" t="s">
        <v>72</v>
      </c>
    </row>
    <row r="293" spans="1:14" x14ac:dyDescent="0.25">
      <c r="A293" s="1" t="s">
        <v>47</v>
      </c>
      <c r="B293" s="1" t="s">
        <v>5405</v>
      </c>
      <c r="C293" s="1" t="s">
        <v>2331</v>
      </c>
      <c r="D293" s="8" t="s">
        <v>2330</v>
      </c>
      <c r="E293" s="1" t="s">
        <v>433</v>
      </c>
      <c r="F293" s="1" t="s">
        <v>6405</v>
      </c>
      <c r="G293" s="1" t="s">
        <v>4746</v>
      </c>
      <c r="H293" s="1" t="s">
        <v>4747</v>
      </c>
      <c r="I293" s="1" t="s">
        <v>4722</v>
      </c>
      <c r="J293" s="1" t="s">
        <v>39</v>
      </c>
      <c r="K293" s="1" t="s">
        <v>4779</v>
      </c>
      <c r="L293" s="1" t="s">
        <v>56</v>
      </c>
      <c r="M293" s="1" t="s">
        <v>4780</v>
      </c>
      <c r="N293" s="1" t="s">
        <v>21</v>
      </c>
    </row>
    <row r="294" spans="1:14" x14ac:dyDescent="0.25">
      <c r="A294" s="1" t="s">
        <v>47</v>
      </c>
      <c r="B294" s="1" t="s">
        <v>5827</v>
      </c>
      <c r="C294" s="1" t="s">
        <v>3695</v>
      </c>
      <c r="D294" s="8" t="s">
        <v>3694</v>
      </c>
      <c r="E294" s="1" t="s">
        <v>159</v>
      </c>
      <c r="F294" s="1" t="s">
        <v>6392</v>
      </c>
      <c r="G294" s="1" t="s">
        <v>4750</v>
      </c>
      <c r="H294" s="1" t="s">
        <v>4747</v>
      </c>
      <c r="I294" s="1" t="s">
        <v>4721</v>
      </c>
      <c r="J294" s="1" t="s">
        <v>12</v>
      </c>
      <c r="K294" s="1" t="s">
        <v>4806</v>
      </c>
      <c r="L294" s="1" t="s">
        <v>60</v>
      </c>
      <c r="M294" s="1" t="s">
        <v>99</v>
      </c>
      <c r="N294" s="1" t="s">
        <v>25</v>
      </c>
    </row>
    <row r="295" spans="1:14" x14ac:dyDescent="0.25">
      <c r="A295" s="1" t="s">
        <v>47</v>
      </c>
      <c r="B295" s="1" t="s">
        <v>5407</v>
      </c>
      <c r="C295" s="1" t="s">
        <v>1600</v>
      </c>
      <c r="D295" s="8" t="s">
        <v>1599</v>
      </c>
      <c r="E295" s="1" t="s">
        <v>341</v>
      </c>
      <c r="F295" s="1" t="s">
        <v>6416</v>
      </c>
      <c r="G295" s="1" t="s">
        <v>6410</v>
      </c>
      <c r="H295" s="1" t="s">
        <v>4747</v>
      </c>
      <c r="I295" s="1" t="s">
        <v>4721</v>
      </c>
      <c r="J295" s="1" t="s">
        <v>12</v>
      </c>
      <c r="K295" s="1" t="s">
        <v>4812</v>
      </c>
      <c r="L295" s="1" t="s">
        <v>56</v>
      </c>
      <c r="M295" s="1" t="s">
        <v>58</v>
      </c>
      <c r="N295" s="1" t="s">
        <v>61</v>
      </c>
    </row>
    <row r="296" spans="1:14" x14ac:dyDescent="0.25">
      <c r="A296" s="1" t="s">
        <v>47</v>
      </c>
      <c r="B296" s="1" t="s">
        <v>5408</v>
      </c>
      <c r="C296" s="1" t="s">
        <v>3564</v>
      </c>
      <c r="D296" s="8" t="s">
        <v>3563</v>
      </c>
      <c r="E296" s="1" t="s">
        <v>67</v>
      </c>
      <c r="F296" s="1" t="s">
        <v>6406</v>
      </c>
      <c r="G296" s="1" t="s">
        <v>4748</v>
      </c>
      <c r="H296" s="1" t="s">
        <v>4747</v>
      </c>
      <c r="I296" s="1" t="s">
        <v>4721</v>
      </c>
      <c r="J296" s="1" t="s">
        <v>12</v>
      </c>
      <c r="K296" s="1" t="s">
        <v>4787</v>
      </c>
      <c r="L296" s="1" t="s">
        <v>66</v>
      </c>
      <c r="M296" s="1" t="s">
        <v>883</v>
      </c>
      <c r="N296" s="1" t="s">
        <v>21</v>
      </c>
    </row>
    <row r="297" spans="1:14" x14ac:dyDescent="0.25">
      <c r="A297" s="1" t="s">
        <v>47</v>
      </c>
      <c r="B297" s="1" t="s">
        <v>5409</v>
      </c>
      <c r="C297" s="1" t="s">
        <v>3302</v>
      </c>
      <c r="D297" s="8" t="s">
        <v>3301</v>
      </c>
      <c r="E297" s="1" t="s">
        <v>264</v>
      </c>
      <c r="F297" s="1" t="s">
        <v>6392</v>
      </c>
      <c r="G297" s="1" t="s">
        <v>4750</v>
      </c>
      <c r="H297" s="1" t="s">
        <v>4747</v>
      </c>
      <c r="I297" s="1" t="s">
        <v>4721</v>
      </c>
      <c r="J297" s="1" t="s">
        <v>12</v>
      </c>
      <c r="K297" s="1" t="s">
        <v>4807</v>
      </c>
      <c r="L297" s="1" t="s">
        <v>227</v>
      </c>
      <c r="M297" s="1" t="s">
        <v>648</v>
      </c>
      <c r="N297" s="1" t="s">
        <v>25</v>
      </c>
    </row>
    <row r="298" spans="1:14" x14ac:dyDescent="0.25">
      <c r="A298" s="1" t="s">
        <v>47</v>
      </c>
      <c r="B298" s="1" t="s">
        <v>5831</v>
      </c>
      <c r="C298" s="1" t="s">
        <v>3299</v>
      </c>
      <c r="D298" s="8" t="s">
        <v>3298</v>
      </c>
      <c r="E298" s="1" t="s">
        <v>98</v>
      </c>
      <c r="F298" s="1" t="s">
        <v>6392</v>
      </c>
      <c r="G298" s="1" t="s">
        <v>4750</v>
      </c>
      <c r="H298" s="1" t="s">
        <v>4747</v>
      </c>
      <c r="I298" s="1" t="s">
        <v>4721</v>
      </c>
      <c r="J298" s="1" t="s">
        <v>12</v>
      </c>
      <c r="K298" s="1" t="s">
        <v>4806</v>
      </c>
      <c r="L298" s="1" t="s">
        <v>56</v>
      </c>
      <c r="M298" s="1" t="s">
        <v>648</v>
      </c>
      <c r="N298" s="1" t="s">
        <v>25</v>
      </c>
    </row>
    <row r="299" spans="1:14" x14ac:dyDescent="0.25">
      <c r="A299" s="1" t="s">
        <v>47</v>
      </c>
      <c r="B299" s="1" t="s">
        <v>5411</v>
      </c>
      <c r="C299" s="1" t="s">
        <v>3237</v>
      </c>
      <c r="D299" s="8" t="s">
        <v>3236</v>
      </c>
      <c r="E299" s="1" t="s">
        <v>269</v>
      </c>
      <c r="F299" s="1" t="s">
        <v>6404</v>
      </c>
      <c r="G299" s="1" t="s">
        <v>4748</v>
      </c>
      <c r="H299" s="1" t="s">
        <v>4747</v>
      </c>
      <c r="I299" s="1" t="s">
        <v>4721</v>
      </c>
      <c r="J299" s="1" t="s">
        <v>12</v>
      </c>
      <c r="K299" s="1" t="s">
        <v>4829</v>
      </c>
      <c r="L299" s="1" t="s">
        <v>227</v>
      </c>
      <c r="M299" s="1" t="s">
        <v>89</v>
      </c>
      <c r="N299" s="1" t="s">
        <v>37</v>
      </c>
    </row>
    <row r="300" spans="1:14" x14ac:dyDescent="0.25">
      <c r="A300" s="1" t="s">
        <v>47</v>
      </c>
      <c r="B300" s="1" t="s">
        <v>5412</v>
      </c>
      <c r="C300" s="1" t="s">
        <v>1591</v>
      </c>
      <c r="D300" s="8" t="s">
        <v>1590</v>
      </c>
      <c r="E300" s="1" t="s">
        <v>1112</v>
      </c>
      <c r="F300" s="1" t="s">
        <v>6415</v>
      </c>
      <c r="G300" s="1" t="s">
        <v>6399</v>
      </c>
      <c r="H300" s="1" t="s">
        <v>6400</v>
      </c>
      <c r="I300" s="1" t="s">
        <v>4721</v>
      </c>
      <c r="J300" s="1" t="s">
        <v>39</v>
      </c>
      <c r="K300" s="1" t="s">
        <v>4830</v>
      </c>
      <c r="L300" s="1" t="s">
        <v>224</v>
      </c>
      <c r="M300" s="1" t="s">
        <v>135</v>
      </c>
      <c r="N300" s="1" t="s">
        <v>61</v>
      </c>
    </row>
    <row r="301" spans="1:14" x14ac:dyDescent="0.25">
      <c r="A301" s="1" t="s">
        <v>47</v>
      </c>
      <c r="B301" s="1" t="s">
        <v>5414</v>
      </c>
      <c r="C301" s="1" t="s">
        <v>493</v>
      </c>
      <c r="D301" s="8" t="s">
        <v>492</v>
      </c>
      <c r="E301" s="1" t="s">
        <v>350</v>
      </c>
      <c r="F301" s="1" t="s">
        <v>6404</v>
      </c>
      <c r="G301" s="1" t="s">
        <v>4748</v>
      </c>
      <c r="H301" s="1" t="s">
        <v>4747</v>
      </c>
      <c r="I301" s="1" t="s">
        <v>4721</v>
      </c>
      <c r="J301" s="1" t="s">
        <v>12</v>
      </c>
      <c r="K301" s="1" t="s">
        <v>4829</v>
      </c>
      <c r="L301" s="1" t="s">
        <v>227</v>
      </c>
      <c r="M301" s="1" t="s">
        <v>245</v>
      </c>
      <c r="N301" s="1" t="s">
        <v>21</v>
      </c>
    </row>
    <row r="302" spans="1:14" x14ac:dyDescent="0.25">
      <c r="A302" s="1" t="s">
        <v>47</v>
      </c>
      <c r="B302" s="1" t="s">
        <v>5835</v>
      </c>
      <c r="C302" s="1" t="s">
        <v>307</v>
      </c>
      <c r="D302" s="8" t="s">
        <v>306</v>
      </c>
      <c r="E302" s="1" t="s">
        <v>303</v>
      </c>
      <c r="F302" s="1" t="s">
        <v>6397</v>
      </c>
      <c r="G302" s="1" t="s">
        <v>4746</v>
      </c>
      <c r="H302" s="1" t="s">
        <v>4747</v>
      </c>
      <c r="I302" s="1" t="s">
        <v>4721</v>
      </c>
      <c r="J302" s="1" t="s">
        <v>12</v>
      </c>
      <c r="K302" s="1" t="s">
        <v>4813</v>
      </c>
      <c r="L302" s="1" t="s">
        <v>60</v>
      </c>
      <c r="M302" s="1" t="s">
        <v>245</v>
      </c>
      <c r="N302" s="1" t="s">
        <v>21</v>
      </c>
    </row>
    <row r="303" spans="1:14" x14ac:dyDescent="0.25">
      <c r="A303" s="1" t="s">
        <v>47</v>
      </c>
      <c r="B303" s="1" t="s">
        <v>5836</v>
      </c>
      <c r="C303" s="1" t="s">
        <v>1663</v>
      </c>
      <c r="D303" s="8" t="s">
        <v>1662</v>
      </c>
      <c r="E303" s="1" t="s">
        <v>57</v>
      </c>
      <c r="F303" s="1" t="s">
        <v>6405</v>
      </c>
      <c r="G303" s="1" t="s">
        <v>4746</v>
      </c>
      <c r="H303" s="1" t="s">
        <v>4747</v>
      </c>
      <c r="I303" s="1" t="s">
        <v>4721</v>
      </c>
      <c r="J303" s="1" t="s">
        <v>12</v>
      </c>
      <c r="K303" s="1" t="s">
        <v>4779</v>
      </c>
      <c r="L303" s="1" t="s">
        <v>56</v>
      </c>
      <c r="M303" s="1" t="s">
        <v>364</v>
      </c>
      <c r="N303" s="1" t="s">
        <v>37</v>
      </c>
    </row>
    <row r="304" spans="1:14" x14ac:dyDescent="0.25">
      <c r="A304" s="1" t="s">
        <v>47</v>
      </c>
      <c r="B304" s="1" t="s">
        <v>5837</v>
      </c>
      <c r="C304" s="1" t="s">
        <v>1606</v>
      </c>
      <c r="D304" s="8" t="s">
        <v>1605</v>
      </c>
      <c r="E304" s="1" t="s">
        <v>57</v>
      </c>
      <c r="F304" s="1" t="s">
        <v>6416</v>
      </c>
      <c r="G304" s="1" t="s">
        <v>6410</v>
      </c>
      <c r="H304" s="1" t="s">
        <v>4747</v>
      </c>
      <c r="I304" s="1" t="s">
        <v>4722</v>
      </c>
      <c r="J304" s="1" t="s">
        <v>39</v>
      </c>
      <c r="K304" s="1" t="s">
        <v>4812</v>
      </c>
      <c r="L304" s="1" t="s">
        <v>56</v>
      </c>
      <c r="M304" s="1" t="s">
        <v>58</v>
      </c>
      <c r="N304" s="1" t="s">
        <v>61</v>
      </c>
    </row>
    <row r="305" spans="1:14" x14ac:dyDescent="0.25">
      <c r="A305" s="1" t="s">
        <v>47</v>
      </c>
      <c r="B305" s="1" t="s">
        <v>5417</v>
      </c>
      <c r="C305" s="1" t="s">
        <v>4377</v>
      </c>
      <c r="D305" s="8" t="s">
        <v>4376</v>
      </c>
      <c r="E305" s="1" t="s">
        <v>67</v>
      </c>
      <c r="F305" s="1" t="s">
        <v>6406</v>
      </c>
      <c r="G305" s="1" t="s">
        <v>4748</v>
      </c>
      <c r="H305" s="1" t="s">
        <v>4747</v>
      </c>
      <c r="I305" s="1" t="s">
        <v>4721</v>
      </c>
      <c r="J305" s="1" t="s">
        <v>39</v>
      </c>
      <c r="K305" s="1" t="s">
        <v>4787</v>
      </c>
      <c r="L305" s="1" t="s">
        <v>66</v>
      </c>
      <c r="M305" s="1" t="s">
        <v>172</v>
      </c>
      <c r="N305" s="1" t="s">
        <v>17</v>
      </c>
    </row>
    <row r="306" spans="1:14" x14ac:dyDescent="0.25">
      <c r="A306" s="1" t="s">
        <v>47</v>
      </c>
      <c r="B306" s="1" t="s">
        <v>5418</v>
      </c>
      <c r="C306" s="1" t="s">
        <v>1111</v>
      </c>
      <c r="D306" s="8" t="s">
        <v>1110</v>
      </c>
      <c r="E306" s="1" t="s">
        <v>1112</v>
      </c>
      <c r="F306" s="1" t="s">
        <v>6408</v>
      </c>
      <c r="G306" s="1" t="s">
        <v>4748</v>
      </c>
      <c r="H306" s="1" t="s">
        <v>4747</v>
      </c>
      <c r="I306" s="1" t="s">
        <v>4721</v>
      </c>
      <c r="J306" s="1" t="s">
        <v>12</v>
      </c>
      <c r="K306" s="1" t="s">
        <v>4817</v>
      </c>
      <c r="L306" s="1" t="s">
        <v>224</v>
      </c>
      <c r="M306" s="1" t="s">
        <v>58</v>
      </c>
      <c r="N306" s="1" t="s">
        <v>61</v>
      </c>
    </row>
    <row r="307" spans="1:14" x14ac:dyDescent="0.25">
      <c r="A307" s="1" t="s">
        <v>47</v>
      </c>
      <c r="B307" s="1" t="s">
        <v>5422</v>
      </c>
      <c r="C307" s="1" t="s">
        <v>2164</v>
      </c>
      <c r="D307" s="8" t="s">
        <v>2163</v>
      </c>
      <c r="E307" s="1" t="s">
        <v>601</v>
      </c>
      <c r="F307" s="1" t="s">
        <v>6403</v>
      </c>
      <c r="G307" s="1" t="s">
        <v>4746</v>
      </c>
      <c r="H307" s="1" t="s">
        <v>4747</v>
      </c>
      <c r="I307" s="1" t="s">
        <v>4721</v>
      </c>
      <c r="J307" s="1" t="s">
        <v>12</v>
      </c>
      <c r="K307" s="1" t="s">
        <v>4778</v>
      </c>
      <c r="L307" s="1" t="s">
        <v>60</v>
      </c>
      <c r="M307" s="1" t="s">
        <v>58</v>
      </c>
      <c r="N307" s="1" t="s">
        <v>61</v>
      </c>
    </row>
    <row r="308" spans="1:14" x14ac:dyDescent="0.25">
      <c r="A308" s="1" t="s">
        <v>47</v>
      </c>
      <c r="B308" s="1" t="s">
        <v>5845</v>
      </c>
      <c r="C308" s="1" t="s">
        <v>3888</v>
      </c>
      <c r="D308" s="8" t="s">
        <v>3887</v>
      </c>
      <c r="E308" s="1" t="s">
        <v>2104</v>
      </c>
      <c r="F308" s="1" t="s">
        <v>6411</v>
      </c>
      <c r="G308" s="1" t="s">
        <v>4746</v>
      </c>
      <c r="H308" s="1" t="s">
        <v>4747</v>
      </c>
      <c r="I308" s="1" t="s">
        <v>4721</v>
      </c>
      <c r="J308" s="1" t="s">
        <v>12</v>
      </c>
      <c r="K308" s="1" t="s">
        <v>4866</v>
      </c>
      <c r="L308" s="1" t="s">
        <v>56</v>
      </c>
      <c r="M308" s="1" t="s">
        <v>149</v>
      </c>
      <c r="N308" s="1" t="s">
        <v>61</v>
      </c>
    </row>
    <row r="309" spans="1:14" x14ac:dyDescent="0.25">
      <c r="A309" s="1" t="s">
        <v>47</v>
      </c>
      <c r="B309" s="1" t="s">
        <v>5848</v>
      </c>
      <c r="C309" s="1" t="s">
        <v>2518</v>
      </c>
      <c r="D309" s="8" t="s">
        <v>2517</v>
      </c>
      <c r="E309" s="1" t="s">
        <v>278</v>
      </c>
      <c r="F309" s="1" t="s">
        <v>6398</v>
      </c>
      <c r="G309" s="1" t="s">
        <v>4746</v>
      </c>
      <c r="H309" s="1" t="s">
        <v>4747</v>
      </c>
      <c r="I309" s="1" t="s">
        <v>4721</v>
      </c>
      <c r="J309" s="1" t="s">
        <v>12</v>
      </c>
      <c r="K309" s="1" t="s">
        <v>4821</v>
      </c>
      <c r="L309" s="1" t="s">
        <v>60</v>
      </c>
      <c r="M309" s="1" t="s">
        <v>245</v>
      </c>
      <c r="N309" s="1" t="s">
        <v>21</v>
      </c>
    </row>
    <row r="310" spans="1:14" x14ac:dyDescent="0.25">
      <c r="A310" s="1" t="s">
        <v>47</v>
      </c>
      <c r="B310" s="1" t="s">
        <v>5849</v>
      </c>
      <c r="C310" s="1" t="s">
        <v>2143</v>
      </c>
      <c r="D310" s="8" t="s">
        <v>2142</v>
      </c>
      <c r="E310" s="1" t="s">
        <v>601</v>
      </c>
      <c r="F310" s="1" t="s">
        <v>6403</v>
      </c>
      <c r="G310" s="1" t="s">
        <v>4746</v>
      </c>
      <c r="H310" s="1" t="s">
        <v>4747</v>
      </c>
      <c r="I310" s="1" t="s">
        <v>4721</v>
      </c>
      <c r="J310" s="1" t="s">
        <v>12</v>
      </c>
      <c r="K310" s="1" t="s">
        <v>4778</v>
      </c>
      <c r="L310" s="1" t="s">
        <v>60</v>
      </c>
      <c r="M310" s="1" t="s">
        <v>245</v>
      </c>
      <c r="N310" s="1" t="s">
        <v>21</v>
      </c>
    </row>
    <row r="311" spans="1:14" x14ac:dyDescent="0.25">
      <c r="A311" s="1" t="s">
        <v>47</v>
      </c>
      <c r="B311" s="1" t="s">
        <v>5425</v>
      </c>
      <c r="C311" s="1" t="s">
        <v>140</v>
      </c>
      <c r="D311" s="8" t="s">
        <v>139</v>
      </c>
      <c r="E311" s="1" t="s">
        <v>142</v>
      </c>
      <c r="F311" s="1" t="s">
        <v>6396</v>
      </c>
      <c r="G311" s="1" t="s">
        <v>4748</v>
      </c>
      <c r="H311" s="1" t="s">
        <v>4747</v>
      </c>
      <c r="I311" s="1" t="s">
        <v>6407</v>
      </c>
      <c r="J311" s="1" t="s">
        <v>39</v>
      </c>
      <c r="K311" s="1" t="s">
        <v>4845</v>
      </c>
      <c r="L311" s="1" t="s">
        <v>141</v>
      </c>
      <c r="M311" s="1" t="s">
        <v>58</v>
      </c>
      <c r="N311" s="1" t="s">
        <v>61</v>
      </c>
    </row>
    <row r="312" spans="1:14" x14ac:dyDescent="0.25">
      <c r="A312" s="1" t="s">
        <v>47</v>
      </c>
      <c r="B312" s="1" t="s">
        <v>5869</v>
      </c>
      <c r="C312" s="1" t="s">
        <v>3585</v>
      </c>
      <c r="D312" s="8" t="s">
        <v>3584</v>
      </c>
      <c r="E312" s="1" t="s">
        <v>67</v>
      </c>
      <c r="F312" s="1" t="s">
        <v>6406</v>
      </c>
      <c r="G312" s="1" t="s">
        <v>4748</v>
      </c>
      <c r="H312" s="1" t="s">
        <v>4747</v>
      </c>
      <c r="I312" s="1" t="s">
        <v>4721</v>
      </c>
      <c r="J312" s="1" t="s">
        <v>12</v>
      </c>
      <c r="K312" s="1" t="s">
        <v>4787</v>
      </c>
      <c r="L312" s="1" t="s">
        <v>66</v>
      </c>
      <c r="M312" s="1" t="s">
        <v>364</v>
      </c>
      <c r="N312" s="1" t="s">
        <v>37</v>
      </c>
    </row>
    <row r="313" spans="1:14" x14ac:dyDescent="0.25">
      <c r="A313" s="1" t="s">
        <v>47</v>
      </c>
      <c r="B313" s="1" t="s">
        <v>5870</v>
      </c>
      <c r="C313" s="1" t="s">
        <v>4374</v>
      </c>
      <c r="D313" s="8" t="s">
        <v>4373</v>
      </c>
      <c r="E313" s="1" t="s">
        <v>67</v>
      </c>
      <c r="F313" s="1" t="s">
        <v>6406</v>
      </c>
      <c r="G313" s="1" t="s">
        <v>4748</v>
      </c>
      <c r="H313" s="1" t="s">
        <v>4747</v>
      </c>
      <c r="I313" s="1" t="s">
        <v>4721</v>
      </c>
      <c r="J313" s="1" t="s">
        <v>12</v>
      </c>
      <c r="K313" s="1" t="s">
        <v>4787</v>
      </c>
      <c r="L313" s="1" t="s">
        <v>66</v>
      </c>
      <c r="M313" s="1" t="s">
        <v>883</v>
      </c>
      <c r="N313" s="1" t="s">
        <v>21</v>
      </c>
    </row>
    <row r="314" spans="1:14" x14ac:dyDescent="0.25">
      <c r="A314" s="1" t="s">
        <v>47</v>
      </c>
      <c r="B314" s="1" t="s">
        <v>5872</v>
      </c>
      <c r="C314" s="1" t="s">
        <v>695</v>
      </c>
      <c r="D314" s="8" t="s">
        <v>694</v>
      </c>
      <c r="E314" s="1" t="s">
        <v>225</v>
      </c>
      <c r="F314" s="1" t="s">
        <v>4751</v>
      </c>
      <c r="G314" s="1" t="s">
        <v>4748</v>
      </c>
      <c r="H314" s="1" t="s">
        <v>4747</v>
      </c>
      <c r="I314" s="1" t="s">
        <v>4722</v>
      </c>
      <c r="J314" s="1" t="s">
        <v>39</v>
      </c>
      <c r="K314" s="1" t="s">
        <v>4844</v>
      </c>
      <c r="L314" s="1" t="s">
        <v>224</v>
      </c>
      <c r="M314" s="1" t="s">
        <v>245</v>
      </c>
      <c r="N314" s="1" t="s">
        <v>21</v>
      </c>
    </row>
    <row r="315" spans="1:14" x14ac:dyDescent="0.25">
      <c r="A315" s="1" t="s">
        <v>47</v>
      </c>
      <c r="B315" s="1" t="s">
        <v>5873</v>
      </c>
      <c r="C315" s="1" t="s">
        <v>3653</v>
      </c>
      <c r="D315" s="8" t="s">
        <v>3652</v>
      </c>
      <c r="E315" s="1" t="s">
        <v>159</v>
      </c>
      <c r="F315" s="1" t="s">
        <v>6392</v>
      </c>
      <c r="G315" s="1" t="s">
        <v>4750</v>
      </c>
      <c r="H315" s="1" t="s">
        <v>4747</v>
      </c>
      <c r="I315" s="1" t="s">
        <v>4721</v>
      </c>
      <c r="J315" s="1" t="s">
        <v>12</v>
      </c>
      <c r="K315" s="1" t="s">
        <v>4806</v>
      </c>
      <c r="L315" s="1" t="s">
        <v>60</v>
      </c>
      <c r="M315" s="1" t="s">
        <v>99</v>
      </c>
      <c r="N315" s="1" t="s">
        <v>25</v>
      </c>
    </row>
    <row r="316" spans="1:14" x14ac:dyDescent="0.25">
      <c r="A316" s="1" t="s">
        <v>47</v>
      </c>
      <c r="B316" s="1" t="s">
        <v>5874</v>
      </c>
      <c r="C316" s="1" t="s">
        <v>4724</v>
      </c>
      <c r="D316" s="8" t="s">
        <v>4723</v>
      </c>
      <c r="E316" s="1" t="s">
        <v>433</v>
      </c>
      <c r="F316" s="1" t="s">
        <v>6405</v>
      </c>
      <c r="G316" s="1" t="s">
        <v>4746</v>
      </c>
      <c r="H316" s="1" t="s">
        <v>4747</v>
      </c>
      <c r="I316" s="1" t="s">
        <v>4721</v>
      </c>
      <c r="J316" s="1" t="s">
        <v>39</v>
      </c>
      <c r="K316" s="1" t="s">
        <v>4779</v>
      </c>
      <c r="L316" s="1" t="s">
        <v>56</v>
      </c>
      <c r="M316" s="1" t="s">
        <v>136</v>
      </c>
      <c r="N316" s="1" t="s">
        <v>72</v>
      </c>
    </row>
    <row r="317" spans="1:14" x14ac:dyDescent="0.25">
      <c r="A317" s="1" t="s">
        <v>47</v>
      </c>
      <c r="B317" s="1" t="s">
        <v>5885</v>
      </c>
      <c r="C317" s="1" t="s">
        <v>240</v>
      </c>
      <c r="D317" s="8" t="s">
        <v>239</v>
      </c>
      <c r="E317" s="1" t="s">
        <v>142</v>
      </c>
      <c r="F317" s="1" t="s">
        <v>6396</v>
      </c>
      <c r="G317" s="1" t="s">
        <v>4748</v>
      </c>
      <c r="H317" s="1" t="s">
        <v>4747</v>
      </c>
      <c r="I317" s="1" t="s">
        <v>4721</v>
      </c>
      <c r="J317" s="1" t="s">
        <v>12</v>
      </c>
      <c r="K317" s="1" t="s">
        <v>4845</v>
      </c>
      <c r="L317" s="1" t="s">
        <v>141</v>
      </c>
      <c r="M317" s="1" t="s">
        <v>883</v>
      </c>
      <c r="N317" s="1" t="s">
        <v>21</v>
      </c>
    </row>
    <row r="318" spans="1:14" x14ac:dyDescent="0.25">
      <c r="A318" s="1" t="s">
        <v>47</v>
      </c>
      <c r="B318" s="1" t="s">
        <v>5926</v>
      </c>
      <c r="C318" s="1" t="s">
        <v>4273</v>
      </c>
      <c r="D318" s="8" t="s">
        <v>4272</v>
      </c>
      <c r="E318" s="1" t="s">
        <v>464</v>
      </c>
      <c r="F318" s="1" t="s">
        <v>4752</v>
      </c>
      <c r="G318" s="1" t="s">
        <v>4746</v>
      </c>
      <c r="H318" s="1" t="s">
        <v>4747</v>
      </c>
      <c r="I318" s="1" t="s">
        <v>4721</v>
      </c>
      <c r="J318" s="1" t="s">
        <v>12</v>
      </c>
      <c r="K318" s="1" t="s">
        <v>4861</v>
      </c>
      <c r="L318" s="1" t="s">
        <v>48</v>
      </c>
      <c r="M318" s="1" t="s">
        <v>637</v>
      </c>
      <c r="N318" s="1" t="s">
        <v>19</v>
      </c>
    </row>
    <row r="319" spans="1:14" x14ac:dyDescent="0.25">
      <c r="A319" s="1" t="s">
        <v>47</v>
      </c>
      <c r="B319" s="1" t="s">
        <v>5432</v>
      </c>
      <c r="C319" s="1" t="s">
        <v>1232</v>
      </c>
      <c r="D319" s="8" t="s">
        <v>1231</v>
      </c>
      <c r="E319" s="1" t="s">
        <v>57</v>
      </c>
      <c r="F319" s="1" t="s">
        <v>6405</v>
      </c>
      <c r="G319" s="1" t="s">
        <v>4746</v>
      </c>
      <c r="H319" s="1" t="s">
        <v>4747</v>
      </c>
      <c r="I319" s="1" t="s">
        <v>4721</v>
      </c>
      <c r="J319" s="1" t="s">
        <v>12</v>
      </c>
      <c r="K319" s="1" t="s">
        <v>4779</v>
      </c>
      <c r="L319" s="1" t="s">
        <v>56</v>
      </c>
      <c r="M319" s="1" t="s">
        <v>245</v>
      </c>
      <c r="N319" s="1" t="s">
        <v>21</v>
      </c>
    </row>
    <row r="320" spans="1:14" x14ac:dyDescent="0.25">
      <c r="A320" s="1" t="s">
        <v>47</v>
      </c>
      <c r="B320" s="1" t="s">
        <v>5433</v>
      </c>
      <c r="C320" s="1" t="s">
        <v>689</v>
      </c>
      <c r="D320" s="8" t="s">
        <v>688</v>
      </c>
      <c r="E320" s="1" t="s">
        <v>225</v>
      </c>
      <c r="F320" s="1" t="s">
        <v>4751</v>
      </c>
      <c r="G320" s="1" t="s">
        <v>4748</v>
      </c>
      <c r="H320" s="1" t="s">
        <v>4747</v>
      </c>
      <c r="I320" s="1" t="s">
        <v>4722</v>
      </c>
      <c r="J320" s="1" t="s">
        <v>39</v>
      </c>
      <c r="K320" s="1" t="s">
        <v>4844</v>
      </c>
      <c r="L320" s="1" t="s">
        <v>224</v>
      </c>
      <c r="M320" s="1" t="s">
        <v>245</v>
      </c>
      <c r="N320" s="1" t="s">
        <v>21</v>
      </c>
    </row>
    <row r="321" spans="1:14" x14ac:dyDescent="0.25">
      <c r="A321" s="1" t="s">
        <v>47</v>
      </c>
      <c r="B321" s="1" t="s">
        <v>5434</v>
      </c>
      <c r="C321" s="1" t="s">
        <v>3269</v>
      </c>
      <c r="D321" s="8" t="s">
        <v>3268</v>
      </c>
      <c r="E321" s="1" t="s">
        <v>269</v>
      </c>
      <c r="F321" s="1" t="s">
        <v>6404</v>
      </c>
      <c r="G321" s="1" t="s">
        <v>4748</v>
      </c>
      <c r="H321" s="1" t="s">
        <v>4747</v>
      </c>
      <c r="I321" s="1" t="s">
        <v>4721</v>
      </c>
      <c r="J321" s="1" t="s">
        <v>12</v>
      </c>
      <c r="K321" s="1" t="s">
        <v>4829</v>
      </c>
      <c r="L321" s="1" t="s">
        <v>227</v>
      </c>
      <c r="M321" s="1" t="s">
        <v>58</v>
      </c>
      <c r="N321" s="1" t="s">
        <v>61</v>
      </c>
    </row>
    <row r="322" spans="1:14" x14ac:dyDescent="0.25">
      <c r="A322" s="1" t="s">
        <v>47</v>
      </c>
      <c r="B322" s="1" t="s">
        <v>5927</v>
      </c>
      <c r="C322" s="1" t="s">
        <v>2158</v>
      </c>
      <c r="D322" s="8" t="s">
        <v>2157</v>
      </c>
      <c r="E322" s="1" t="s">
        <v>601</v>
      </c>
      <c r="F322" s="1" t="s">
        <v>6403</v>
      </c>
      <c r="G322" s="1" t="s">
        <v>4746</v>
      </c>
      <c r="H322" s="1" t="s">
        <v>4747</v>
      </c>
      <c r="I322" s="1" t="s">
        <v>4722</v>
      </c>
      <c r="J322" s="1" t="s">
        <v>39</v>
      </c>
      <c r="K322" s="1" t="s">
        <v>4778</v>
      </c>
      <c r="L322" s="1" t="s">
        <v>60</v>
      </c>
      <c r="M322" s="1" t="s">
        <v>245</v>
      </c>
      <c r="N322" s="1" t="s">
        <v>21</v>
      </c>
    </row>
    <row r="323" spans="1:14" x14ac:dyDescent="0.25">
      <c r="A323" s="1" t="s">
        <v>47</v>
      </c>
      <c r="B323" s="1" t="s">
        <v>5435</v>
      </c>
      <c r="C323" s="1" t="s">
        <v>714</v>
      </c>
      <c r="D323" s="8" t="s">
        <v>713</v>
      </c>
      <c r="E323" s="1" t="s">
        <v>225</v>
      </c>
      <c r="F323" s="1" t="s">
        <v>4751</v>
      </c>
      <c r="G323" s="1" t="s">
        <v>4748</v>
      </c>
      <c r="H323" s="1" t="s">
        <v>4747</v>
      </c>
      <c r="I323" s="1" t="s">
        <v>4721</v>
      </c>
      <c r="J323" s="1" t="s">
        <v>12</v>
      </c>
      <c r="K323" s="1" t="s">
        <v>4844</v>
      </c>
      <c r="L323" s="1" t="s">
        <v>224</v>
      </c>
      <c r="M323" s="1" t="s">
        <v>58</v>
      </c>
      <c r="N323" s="1" t="s">
        <v>61</v>
      </c>
    </row>
    <row r="324" spans="1:14" x14ac:dyDescent="0.25">
      <c r="A324" s="1" t="s">
        <v>47</v>
      </c>
      <c r="B324" s="1" t="s">
        <v>5928</v>
      </c>
      <c r="C324" s="1" t="s">
        <v>3365</v>
      </c>
      <c r="D324" s="8" t="s">
        <v>3364</v>
      </c>
      <c r="E324" s="1" t="s">
        <v>251</v>
      </c>
      <c r="F324" s="1" t="s">
        <v>6393</v>
      </c>
      <c r="G324" s="1" t="s">
        <v>4750</v>
      </c>
      <c r="H324" s="1" t="s">
        <v>4747</v>
      </c>
      <c r="I324" s="1" t="s">
        <v>4721</v>
      </c>
      <c r="J324" s="1" t="s">
        <v>12</v>
      </c>
      <c r="K324" s="1" t="s">
        <v>4838</v>
      </c>
      <c r="L324" s="1" t="s">
        <v>224</v>
      </c>
      <c r="M324" s="1" t="s">
        <v>648</v>
      </c>
      <c r="N324" s="1" t="s">
        <v>25</v>
      </c>
    </row>
    <row r="325" spans="1:14" x14ac:dyDescent="0.25">
      <c r="A325" s="1" t="s">
        <v>47</v>
      </c>
      <c r="B325" s="1" t="s">
        <v>5436</v>
      </c>
      <c r="C325" s="1" t="s">
        <v>4102</v>
      </c>
      <c r="D325" s="8" t="s">
        <v>4101</v>
      </c>
      <c r="E325" s="1" t="s">
        <v>341</v>
      </c>
      <c r="F325" s="1" t="s">
        <v>6409</v>
      </c>
      <c r="G325" s="1" t="s">
        <v>6410</v>
      </c>
      <c r="H325" s="1" t="s">
        <v>4747</v>
      </c>
      <c r="I325" s="1" t="s">
        <v>4721</v>
      </c>
      <c r="J325" s="1" t="s">
        <v>12</v>
      </c>
      <c r="K325" s="1" t="s">
        <v>4860</v>
      </c>
      <c r="L325" s="1" t="s">
        <v>56</v>
      </c>
      <c r="M325" s="1" t="s">
        <v>41</v>
      </c>
      <c r="N325" s="1" t="s">
        <v>42</v>
      </c>
    </row>
    <row r="326" spans="1:14" x14ac:dyDescent="0.25">
      <c r="A326" s="1" t="s">
        <v>47</v>
      </c>
      <c r="B326" s="1" t="s">
        <v>5929</v>
      </c>
      <c r="C326" s="1" t="s">
        <v>792</v>
      </c>
      <c r="D326" s="8" t="s">
        <v>791</v>
      </c>
      <c r="E326" s="1" t="s">
        <v>251</v>
      </c>
      <c r="F326" s="1" t="s">
        <v>6391</v>
      </c>
      <c r="G326" s="1" t="s">
        <v>4750</v>
      </c>
      <c r="H326" s="1" t="s">
        <v>4747</v>
      </c>
      <c r="I326" s="1" t="s">
        <v>4721</v>
      </c>
      <c r="J326" s="1" t="s">
        <v>12</v>
      </c>
      <c r="K326" s="1" t="s">
        <v>4811</v>
      </c>
      <c r="L326" s="1" t="s">
        <v>224</v>
      </c>
      <c r="M326" s="1" t="s">
        <v>648</v>
      </c>
      <c r="N326" s="1" t="s">
        <v>25</v>
      </c>
    </row>
    <row r="327" spans="1:14" x14ac:dyDescent="0.25">
      <c r="A327" s="1" t="s">
        <v>47</v>
      </c>
      <c r="B327" s="1" t="s">
        <v>5930</v>
      </c>
      <c r="C327" s="1" t="s">
        <v>1612</v>
      </c>
      <c r="D327" s="8" t="s">
        <v>1611</v>
      </c>
      <c r="E327" s="1" t="s">
        <v>269</v>
      </c>
      <c r="F327" s="1" t="s">
        <v>6416</v>
      </c>
      <c r="G327" s="1" t="s">
        <v>6410</v>
      </c>
      <c r="H327" s="1" t="s">
        <v>4747</v>
      </c>
      <c r="I327" s="1" t="s">
        <v>4721</v>
      </c>
      <c r="J327" s="1" t="s">
        <v>12</v>
      </c>
      <c r="K327" s="1" t="s">
        <v>4812</v>
      </c>
      <c r="L327" s="1" t="s">
        <v>227</v>
      </c>
      <c r="M327" s="1" t="s">
        <v>58</v>
      </c>
      <c r="N327" s="1" t="s">
        <v>61</v>
      </c>
    </row>
    <row r="328" spans="1:14" x14ac:dyDescent="0.25">
      <c r="A328" s="1" t="s">
        <v>47</v>
      </c>
      <c r="B328" s="1" t="s">
        <v>5437</v>
      </c>
      <c r="C328" s="1" t="s">
        <v>381</v>
      </c>
      <c r="D328" s="8" t="s">
        <v>380</v>
      </c>
      <c r="E328" s="1" t="s">
        <v>159</v>
      </c>
      <c r="F328" s="1" t="s">
        <v>4749</v>
      </c>
      <c r="G328" s="1" t="s">
        <v>4750</v>
      </c>
      <c r="H328" s="1" t="s">
        <v>4747</v>
      </c>
      <c r="I328" s="1" t="s">
        <v>4721</v>
      </c>
      <c r="J328" s="1" t="s">
        <v>12</v>
      </c>
      <c r="K328" s="1" t="s">
        <v>4834</v>
      </c>
      <c r="L328" s="1" t="s">
        <v>60</v>
      </c>
      <c r="M328" s="1" t="s">
        <v>99</v>
      </c>
      <c r="N328" s="1" t="s">
        <v>25</v>
      </c>
    </row>
    <row r="329" spans="1:14" x14ac:dyDescent="0.25">
      <c r="A329" s="1" t="s">
        <v>47</v>
      </c>
      <c r="B329" s="1" t="s">
        <v>6035</v>
      </c>
      <c r="C329" s="1" t="s">
        <v>4730</v>
      </c>
      <c r="D329" s="8" t="s">
        <v>4729</v>
      </c>
      <c r="E329" s="1" t="s">
        <v>601</v>
      </c>
      <c r="F329" s="1" t="s">
        <v>6403</v>
      </c>
      <c r="G329" s="1" t="s">
        <v>4746</v>
      </c>
      <c r="H329" s="1" t="s">
        <v>4747</v>
      </c>
      <c r="I329" s="1" t="s">
        <v>4721</v>
      </c>
      <c r="J329" s="1" t="s">
        <v>39</v>
      </c>
      <c r="K329" s="1" t="s">
        <v>4778</v>
      </c>
      <c r="L329" s="1" t="s">
        <v>60</v>
      </c>
      <c r="M329" s="1" t="s">
        <v>136</v>
      </c>
      <c r="N329" s="1" t="s">
        <v>72</v>
      </c>
    </row>
    <row r="330" spans="1:14" x14ac:dyDescent="0.25">
      <c r="A330" s="1" t="s">
        <v>47</v>
      </c>
      <c r="B330" s="1" t="s">
        <v>6036</v>
      </c>
      <c r="C330" s="1" t="s">
        <v>3278</v>
      </c>
      <c r="D330" s="8" t="s">
        <v>3277</v>
      </c>
      <c r="E330" s="1" t="s">
        <v>159</v>
      </c>
      <c r="F330" s="1" t="s">
        <v>6392</v>
      </c>
      <c r="G330" s="1" t="s">
        <v>4750</v>
      </c>
      <c r="H330" s="1" t="s">
        <v>4747</v>
      </c>
      <c r="I330" s="1" t="s">
        <v>4721</v>
      </c>
      <c r="J330" s="1" t="s">
        <v>12</v>
      </c>
      <c r="K330" s="1" t="s">
        <v>4807</v>
      </c>
      <c r="L330" s="1" t="s">
        <v>60</v>
      </c>
      <c r="M330" s="1" t="s">
        <v>99</v>
      </c>
      <c r="N330" s="1" t="s">
        <v>25</v>
      </c>
    </row>
    <row r="331" spans="1:14" x14ac:dyDescent="0.25">
      <c r="A331" s="1" t="s">
        <v>47</v>
      </c>
      <c r="B331" s="1" t="s">
        <v>6037</v>
      </c>
      <c r="C331" s="1" t="s">
        <v>1193</v>
      </c>
      <c r="D331" s="8" t="s">
        <v>1192</v>
      </c>
      <c r="E331" s="1" t="s">
        <v>57</v>
      </c>
      <c r="F331" s="1" t="s">
        <v>6405</v>
      </c>
      <c r="G331" s="1" t="s">
        <v>4746</v>
      </c>
      <c r="H331" s="1" t="s">
        <v>4747</v>
      </c>
      <c r="I331" s="1" t="s">
        <v>4722</v>
      </c>
      <c r="J331" s="1" t="s">
        <v>39</v>
      </c>
      <c r="K331" s="1" t="s">
        <v>4779</v>
      </c>
      <c r="L331" s="1" t="s">
        <v>56</v>
      </c>
      <c r="M331" s="1" t="s">
        <v>245</v>
      </c>
      <c r="N331" s="1" t="s">
        <v>21</v>
      </c>
    </row>
    <row r="332" spans="1:14" x14ac:dyDescent="0.25">
      <c r="A332" s="1" t="s">
        <v>47</v>
      </c>
      <c r="B332" s="1" t="s">
        <v>5438</v>
      </c>
      <c r="C332" s="1" t="s">
        <v>656</v>
      </c>
      <c r="D332" s="8" t="s">
        <v>655</v>
      </c>
      <c r="E332" s="1" t="s">
        <v>264</v>
      </c>
      <c r="F332" s="1" t="s">
        <v>6391</v>
      </c>
      <c r="G332" s="1" t="s">
        <v>4750</v>
      </c>
      <c r="H332" s="1" t="s">
        <v>4747</v>
      </c>
      <c r="I332" s="1" t="s">
        <v>4721</v>
      </c>
      <c r="J332" s="1" t="s">
        <v>12</v>
      </c>
      <c r="K332" s="1" t="s">
        <v>4809</v>
      </c>
      <c r="L332" s="1" t="s">
        <v>227</v>
      </c>
      <c r="M332" s="1" t="s">
        <v>648</v>
      </c>
      <c r="N332" s="1" t="s">
        <v>25</v>
      </c>
    </row>
    <row r="333" spans="1:14" x14ac:dyDescent="0.25">
      <c r="A333" s="1" t="s">
        <v>47</v>
      </c>
      <c r="B333" s="1" t="s">
        <v>6038</v>
      </c>
      <c r="C333" s="1" t="s">
        <v>3347</v>
      </c>
      <c r="D333" s="8" t="s">
        <v>3346</v>
      </c>
      <c r="E333" s="1" t="s">
        <v>251</v>
      </c>
      <c r="F333" s="1" t="s">
        <v>6393</v>
      </c>
      <c r="G333" s="1" t="s">
        <v>4750</v>
      </c>
      <c r="H333" s="1" t="s">
        <v>4747</v>
      </c>
      <c r="I333" s="1" t="s">
        <v>4721</v>
      </c>
      <c r="J333" s="1" t="s">
        <v>12</v>
      </c>
      <c r="K333" s="1" t="s">
        <v>4811</v>
      </c>
      <c r="L333" s="1" t="s">
        <v>224</v>
      </c>
      <c r="M333" s="1" t="s">
        <v>613</v>
      </c>
      <c r="N333" s="1" t="s">
        <v>25</v>
      </c>
    </row>
    <row r="334" spans="1:14" x14ac:dyDescent="0.25">
      <c r="A334" s="1" t="s">
        <v>47</v>
      </c>
      <c r="B334" s="1" t="s">
        <v>5440</v>
      </c>
      <c r="C334" s="1" t="s">
        <v>665</v>
      </c>
      <c r="D334" s="8" t="s">
        <v>664</v>
      </c>
      <c r="E334" s="1" t="s">
        <v>251</v>
      </c>
      <c r="F334" s="1" t="s">
        <v>6391</v>
      </c>
      <c r="G334" s="1" t="s">
        <v>4750</v>
      </c>
      <c r="H334" s="1" t="s">
        <v>4747</v>
      </c>
      <c r="I334" s="1" t="s">
        <v>4721</v>
      </c>
      <c r="J334" s="1" t="s">
        <v>12</v>
      </c>
      <c r="K334" s="1" t="s">
        <v>4811</v>
      </c>
      <c r="L334" s="1" t="s">
        <v>224</v>
      </c>
      <c r="M334" s="1" t="s">
        <v>648</v>
      </c>
      <c r="N334" s="1" t="s">
        <v>25</v>
      </c>
    </row>
    <row r="335" spans="1:14" x14ac:dyDescent="0.25">
      <c r="A335" s="1" t="s">
        <v>47</v>
      </c>
      <c r="B335" s="1" t="s">
        <v>5441</v>
      </c>
      <c r="C335" s="1" t="s">
        <v>1989</v>
      </c>
      <c r="D335" s="8" t="s">
        <v>1988</v>
      </c>
      <c r="E335" s="1" t="s">
        <v>1112</v>
      </c>
      <c r="F335" s="1" t="s">
        <v>6408</v>
      </c>
      <c r="G335" s="1" t="s">
        <v>4748</v>
      </c>
      <c r="H335" s="1" t="s">
        <v>4747</v>
      </c>
      <c r="I335" s="1" t="s">
        <v>4722</v>
      </c>
      <c r="J335" s="1" t="s">
        <v>39</v>
      </c>
      <c r="K335" s="1" t="s">
        <v>4817</v>
      </c>
      <c r="L335" s="1" t="s">
        <v>224</v>
      </c>
      <c r="M335" s="1" t="s">
        <v>245</v>
      </c>
      <c r="N335" s="1" t="s">
        <v>21</v>
      </c>
    </row>
    <row r="336" spans="1:14" x14ac:dyDescent="0.25">
      <c r="A336" s="1" t="s">
        <v>47</v>
      </c>
      <c r="B336" s="1" t="s">
        <v>6039</v>
      </c>
      <c r="C336" s="1" t="s">
        <v>3380</v>
      </c>
      <c r="D336" s="8" t="s">
        <v>3379</v>
      </c>
      <c r="E336" s="1" t="s">
        <v>49</v>
      </c>
      <c r="F336" s="1" t="s">
        <v>6402</v>
      </c>
      <c r="G336" s="1" t="s">
        <v>4746</v>
      </c>
      <c r="H336" s="1" t="s">
        <v>4747</v>
      </c>
      <c r="I336" s="1" t="s">
        <v>4721</v>
      </c>
      <c r="J336" s="1" t="s">
        <v>12</v>
      </c>
      <c r="K336" s="1" t="s">
        <v>4861</v>
      </c>
      <c r="L336" s="1" t="s">
        <v>48</v>
      </c>
      <c r="M336" s="1" t="s">
        <v>89</v>
      </c>
      <c r="N336" s="1" t="s">
        <v>37</v>
      </c>
    </row>
    <row r="337" spans="1:14" x14ac:dyDescent="0.25">
      <c r="A337" s="1" t="s">
        <v>47</v>
      </c>
      <c r="B337" s="1" t="s">
        <v>5442</v>
      </c>
      <c r="C337" s="1" t="s">
        <v>2813</v>
      </c>
      <c r="D337" s="8" t="s">
        <v>2812</v>
      </c>
      <c r="E337" s="1" t="s">
        <v>368</v>
      </c>
      <c r="F337" s="1" t="s">
        <v>4749</v>
      </c>
      <c r="G337" s="1" t="s">
        <v>4750</v>
      </c>
      <c r="H337" s="1" t="s">
        <v>4747</v>
      </c>
      <c r="I337" s="1" t="s">
        <v>4722</v>
      </c>
      <c r="J337" s="1" t="s">
        <v>39</v>
      </c>
      <c r="K337" s="1" t="s">
        <v>4834</v>
      </c>
      <c r="L337" s="1" t="s">
        <v>227</v>
      </c>
      <c r="M337" s="1" t="s">
        <v>136</v>
      </c>
      <c r="N337" s="1" t="s">
        <v>72</v>
      </c>
    </row>
    <row r="338" spans="1:14" x14ac:dyDescent="0.25">
      <c r="A338" s="1" t="s">
        <v>47</v>
      </c>
      <c r="B338" s="1" t="s">
        <v>6041</v>
      </c>
      <c r="C338" s="1" t="s">
        <v>4365</v>
      </c>
      <c r="D338" s="8" t="s">
        <v>4364</v>
      </c>
      <c r="E338" s="1" t="s">
        <v>341</v>
      </c>
      <c r="F338" s="1" t="s">
        <v>6417</v>
      </c>
      <c r="G338" s="1" t="s">
        <v>6418</v>
      </c>
      <c r="H338" s="1" t="s">
        <v>4718</v>
      </c>
      <c r="I338" s="1" t="s">
        <v>4721</v>
      </c>
      <c r="J338" s="1" t="s">
        <v>12</v>
      </c>
      <c r="K338" s="1" t="s">
        <v>4830</v>
      </c>
      <c r="L338" s="1" t="s">
        <v>56</v>
      </c>
      <c r="M338" s="1" t="s">
        <v>58</v>
      </c>
      <c r="N338" s="1" t="s">
        <v>61</v>
      </c>
    </row>
    <row r="339" spans="1:14" x14ac:dyDescent="0.25">
      <c r="A339" s="1" t="s">
        <v>47</v>
      </c>
      <c r="B339" s="1" t="s">
        <v>5443</v>
      </c>
      <c r="C339" s="1" t="s">
        <v>2213</v>
      </c>
      <c r="D339" s="8" t="s">
        <v>2212</v>
      </c>
      <c r="E339" s="1" t="s">
        <v>433</v>
      </c>
      <c r="F339" s="1" t="s">
        <v>6405</v>
      </c>
      <c r="G339" s="1" t="s">
        <v>4746</v>
      </c>
      <c r="H339" s="1" t="s">
        <v>4747</v>
      </c>
      <c r="I339" s="1" t="s">
        <v>6407</v>
      </c>
      <c r="J339" s="1" t="s">
        <v>39</v>
      </c>
      <c r="K339" s="1" t="s">
        <v>4779</v>
      </c>
      <c r="L339" s="1" t="s">
        <v>56</v>
      </c>
      <c r="M339" s="1" t="s">
        <v>4780</v>
      </c>
      <c r="N339" s="1" t="s">
        <v>21</v>
      </c>
    </row>
    <row r="340" spans="1:14" x14ac:dyDescent="0.25">
      <c r="A340" s="1" t="s">
        <v>47</v>
      </c>
      <c r="B340" s="1" t="s">
        <v>5444</v>
      </c>
      <c r="C340" s="1" t="s">
        <v>4236</v>
      </c>
      <c r="D340" s="8" t="s">
        <v>4235</v>
      </c>
      <c r="E340" s="1" t="s">
        <v>142</v>
      </c>
      <c r="F340" s="1" t="s">
        <v>6396</v>
      </c>
      <c r="G340" s="1" t="s">
        <v>4748</v>
      </c>
      <c r="H340" s="1" t="s">
        <v>4747</v>
      </c>
      <c r="I340" s="1" t="s">
        <v>4721</v>
      </c>
      <c r="J340" s="1" t="s">
        <v>39</v>
      </c>
      <c r="K340" s="1" t="s">
        <v>4845</v>
      </c>
      <c r="L340" s="1" t="s">
        <v>141</v>
      </c>
      <c r="M340" s="1" t="s">
        <v>136</v>
      </c>
      <c r="N340" s="1" t="s">
        <v>72</v>
      </c>
    </row>
    <row r="341" spans="1:14" x14ac:dyDescent="0.25">
      <c r="A341" s="1" t="s">
        <v>47</v>
      </c>
      <c r="B341" s="1" t="s">
        <v>5446</v>
      </c>
      <c r="C341" s="1" t="s">
        <v>3912</v>
      </c>
      <c r="D341" s="8" t="s">
        <v>3911</v>
      </c>
      <c r="E341" s="1" t="s">
        <v>601</v>
      </c>
      <c r="F341" s="1" t="s">
        <v>6403</v>
      </c>
      <c r="G341" s="1" t="s">
        <v>4746</v>
      </c>
      <c r="H341" s="1" t="s">
        <v>4747</v>
      </c>
      <c r="I341" s="1" t="s">
        <v>4721</v>
      </c>
      <c r="J341" s="1" t="s">
        <v>12</v>
      </c>
      <c r="K341" s="1" t="s">
        <v>4778</v>
      </c>
      <c r="L341" s="1" t="s">
        <v>60</v>
      </c>
      <c r="M341" s="1" t="s">
        <v>245</v>
      </c>
      <c r="N341" s="1" t="s">
        <v>21</v>
      </c>
    </row>
    <row r="342" spans="1:14" x14ac:dyDescent="0.25">
      <c r="A342" s="1" t="s">
        <v>47</v>
      </c>
      <c r="B342" s="1" t="s">
        <v>5447</v>
      </c>
      <c r="C342" s="1" t="s">
        <v>4879</v>
      </c>
      <c r="D342" s="8" t="s">
        <v>4878</v>
      </c>
      <c r="E342" s="1" t="s">
        <v>269</v>
      </c>
      <c r="F342" s="1" t="s">
        <v>6404</v>
      </c>
      <c r="G342" s="1" t="s">
        <v>4748</v>
      </c>
      <c r="H342" s="1" t="s">
        <v>4747</v>
      </c>
      <c r="I342" s="1" t="s">
        <v>4721</v>
      </c>
      <c r="J342" s="1" t="s">
        <v>39</v>
      </c>
      <c r="K342" s="1" t="s">
        <v>4829</v>
      </c>
      <c r="L342" s="1" t="s">
        <v>227</v>
      </c>
      <c r="M342" s="1" t="s">
        <v>136</v>
      </c>
      <c r="N342" s="1" t="s">
        <v>72</v>
      </c>
    </row>
    <row r="343" spans="1:14" x14ac:dyDescent="0.25">
      <c r="A343" s="1" t="s">
        <v>47</v>
      </c>
      <c r="B343" s="1" t="s">
        <v>5448</v>
      </c>
      <c r="C343" s="1" t="s">
        <v>4883</v>
      </c>
      <c r="D343" s="8" t="s">
        <v>4882</v>
      </c>
      <c r="E343" s="1" t="s">
        <v>278</v>
      </c>
      <c r="F343" s="1" t="s">
        <v>6398</v>
      </c>
      <c r="G343" s="1" t="s">
        <v>4746</v>
      </c>
      <c r="H343" s="1" t="s">
        <v>4747</v>
      </c>
      <c r="I343" s="1" t="s">
        <v>4721</v>
      </c>
      <c r="J343" s="1" t="s">
        <v>39</v>
      </c>
      <c r="K343" s="1" t="s">
        <v>4821</v>
      </c>
      <c r="L343" s="1" t="s">
        <v>60</v>
      </c>
      <c r="M343" s="1" t="s">
        <v>136</v>
      </c>
      <c r="N343" s="1" t="s">
        <v>72</v>
      </c>
    </row>
    <row r="344" spans="1:14" x14ac:dyDescent="0.25">
      <c r="A344" s="1" t="s">
        <v>47</v>
      </c>
      <c r="B344" s="1" t="s">
        <v>6042</v>
      </c>
      <c r="C344" s="1" t="s">
        <v>2219</v>
      </c>
      <c r="D344" s="8" t="s">
        <v>2218</v>
      </c>
      <c r="E344" s="1" t="s">
        <v>433</v>
      </c>
      <c r="F344" s="1" t="s">
        <v>6405</v>
      </c>
      <c r="G344" s="1" t="s">
        <v>4746</v>
      </c>
      <c r="H344" s="1" t="s">
        <v>4747</v>
      </c>
      <c r="I344" s="1" t="s">
        <v>4721</v>
      </c>
      <c r="J344" s="1" t="s">
        <v>12</v>
      </c>
      <c r="K344" s="1" t="s">
        <v>4779</v>
      </c>
      <c r="L344" s="1" t="s">
        <v>56</v>
      </c>
      <c r="M344" s="1" t="s">
        <v>4780</v>
      </c>
      <c r="N344" s="1" t="s">
        <v>21</v>
      </c>
    </row>
    <row r="345" spans="1:14" x14ac:dyDescent="0.25">
      <c r="A345" s="1" t="s">
        <v>47</v>
      </c>
      <c r="B345" s="1" t="s">
        <v>6043</v>
      </c>
      <c r="C345" s="1" t="s">
        <v>3263</v>
      </c>
      <c r="D345" s="8" t="s">
        <v>3261</v>
      </c>
      <c r="E345" s="1" t="s">
        <v>312</v>
      </c>
      <c r="F345" s="1" t="s">
        <v>6417</v>
      </c>
      <c r="G345" s="1" t="s">
        <v>6418</v>
      </c>
      <c r="H345" s="1" t="s">
        <v>4718</v>
      </c>
      <c r="I345" s="1" t="s">
        <v>4721</v>
      </c>
      <c r="J345" s="1" t="s">
        <v>12</v>
      </c>
      <c r="K345" s="1" t="s">
        <v>4830</v>
      </c>
      <c r="L345" s="1" t="s">
        <v>311</v>
      </c>
      <c r="M345" s="1" t="s">
        <v>58</v>
      </c>
      <c r="N345" s="1" t="s">
        <v>61</v>
      </c>
    </row>
    <row r="346" spans="1:14" x14ac:dyDescent="0.25">
      <c r="A346" s="1" t="s">
        <v>47</v>
      </c>
      <c r="B346" s="1" t="s">
        <v>6044</v>
      </c>
      <c r="C346" s="1" t="s">
        <v>1398</v>
      </c>
      <c r="D346" s="8" t="s">
        <v>1397</v>
      </c>
      <c r="E346" s="1" t="s">
        <v>278</v>
      </c>
      <c r="F346" s="1" t="s">
        <v>6398</v>
      </c>
      <c r="G346" s="1" t="s">
        <v>4746</v>
      </c>
      <c r="H346" s="1" t="s">
        <v>4747</v>
      </c>
      <c r="I346" s="1" t="s">
        <v>4721</v>
      </c>
      <c r="J346" s="1" t="s">
        <v>12</v>
      </c>
      <c r="K346" s="1" t="s">
        <v>4821</v>
      </c>
      <c r="L346" s="1" t="s">
        <v>60</v>
      </c>
      <c r="M346" s="1" t="s">
        <v>245</v>
      </c>
      <c r="N346" s="1" t="s">
        <v>21</v>
      </c>
    </row>
    <row r="347" spans="1:14" x14ac:dyDescent="0.25">
      <c r="A347" s="1" t="s">
        <v>47</v>
      </c>
      <c r="B347" s="1" t="s">
        <v>5450</v>
      </c>
      <c r="C347" s="1" t="s">
        <v>3641</v>
      </c>
      <c r="D347" s="8" t="s">
        <v>3640</v>
      </c>
      <c r="E347" s="1" t="s">
        <v>159</v>
      </c>
      <c r="F347" s="1" t="s">
        <v>6392</v>
      </c>
      <c r="G347" s="1" t="s">
        <v>4750</v>
      </c>
      <c r="H347" s="1" t="s">
        <v>4747</v>
      </c>
      <c r="I347" s="1" t="s">
        <v>4721</v>
      </c>
      <c r="J347" s="1" t="s">
        <v>12</v>
      </c>
      <c r="K347" s="1" t="s">
        <v>4806</v>
      </c>
      <c r="L347" s="1" t="s">
        <v>60</v>
      </c>
      <c r="M347" s="1" t="s">
        <v>99</v>
      </c>
      <c r="N347" s="1" t="s">
        <v>25</v>
      </c>
    </row>
    <row r="348" spans="1:14" x14ac:dyDescent="0.25">
      <c r="A348" s="1" t="s">
        <v>47</v>
      </c>
      <c r="B348" s="1" t="s">
        <v>6046</v>
      </c>
      <c r="C348" s="1" t="s">
        <v>674</v>
      </c>
      <c r="D348" s="8" t="s">
        <v>673</v>
      </c>
      <c r="E348" s="1" t="s">
        <v>264</v>
      </c>
      <c r="F348" s="1" t="s">
        <v>6391</v>
      </c>
      <c r="G348" s="1" t="s">
        <v>4750</v>
      </c>
      <c r="H348" s="1" t="s">
        <v>4747</v>
      </c>
      <c r="I348" s="1" t="s">
        <v>4721</v>
      </c>
      <c r="J348" s="1" t="s">
        <v>12</v>
      </c>
      <c r="K348" s="1" t="s">
        <v>4809</v>
      </c>
      <c r="L348" s="1" t="s">
        <v>227</v>
      </c>
      <c r="M348" s="1" t="s">
        <v>648</v>
      </c>
      <c r="N348" s="1" t="s">
        <v>25</v>
      </c>
    </row>
    <row r="349" spans="1:14" x14ac:dyDescent="0.25">
      <c r="A349" s="1" t="s">
        <v>47</v>
      </c>
      <c r="B349" s="1" t="s">
        <v>6047</v>
      </c>
      <c r="C349" s="1" t="s">
        <v>4200</v>
      </c>
      <c r="D349" s="8" t="s">
        <v>4199</v>
      </c>
      <c r="E349" s="1" t="s">
        <v>278</v>
      </c>
      <c r="F349" s="1" t="s">
        <v>6398</v>
      </c>
      <c r="G349" s="1" t="s">
        <v>4746</v>
      </c>
      <c r="H349" s="1" t="s">
        <v>4747</v>
      </c>
      <c r="I349" s="1" t="s">
        <v>4721</v>
      </c>
      <c r="J349" s="1" t="s">
        <v>12</v>
      </c>
      <c r="K349" s="1" t="s">
        <v>4813</v>
      </c>
      <c r="L349" s="1" t="s">
        <v>60</v>
      </c>
      <c r="M349" s="1" t="s">
        <v>245</v>
      </c>
      <c r="N349" s="1" t="s">
        <v>21</v>
      </c>
    </row>
    <row r="350" spans="1:14" x14ac:dyDescent="0.25">
      <c r="A350" s="1" t="s">
        <v>47</v>
      </c>
      <c r="B350" s="1" t="s">
        <v>6048</v>
      </c>
      <c r="C350" s="1" t="s">
        <v>397</v>
      </c>
      <c r="D350" s="8" t="s">
        <v>396</v>
      </c>
      <c r="E350" s="1" t="s">
        <v>398</v>
      </c>
      <c r="F350" s="1" t="s">
        <v>6413</v>
      </c>
      <c r="G350" s="1" t="s">
        <v>6410</v>
      </c>
      <c r="H350" s="1" t="s">
        <v>4747</v>
      </c>
      <c r="I350" s="1" t="s">
        <v>4721</v>
      </c>
      <c r="J350" s="1" t="s">
        <v>12</v>
      </c>
      <c r="K350" s="1" t="s">
        <v>4844</v>
      </c>
      <c r="L350" s="1" t="s">
        <v>60</v>
      </c>
      <c r="M350" s="1" t="s">
        <v>58</v>
      </c>
      <c r="N350" s="1" t="s">
        <v>61</v>
      </c>
    </row>
    <row r="351" spans="1:14" x14ac:dyDescent="0.25">
      <c r="A351" s="1" t="s">
        <v>47</v>
      </c>
      <c r="B351" s="1" t="s">
        <v>6049</v>
      </c>
      <c r="C351" s="1" t="s">
        <v>4093</v>
      </c>
      <c r="D351" s="8" t="s">
        <v>4092</v>
      </c>
      <c r="E351" s="1" t="s">
        <v>303</v>
      </c>
      <c r="F351" s="1" t="s">
        <v>6409</v>
      </c>
      <c r="G351" s="1" t="s">
        <v>6410</v>
      </c>
      <c r="H351" s="1" t="s">
        <v>4747</v>
      </c>
      <c r="I351" s="1" t="s">
        <v>4721</v>
      </c>
      <c r="J351" s="1" t="s">
        <v>12</v>
      </c>
      <c r="K351" s="1" t="s">
        <v>4813</v>
      </c>
      <c r="L351" s="1" t="s">
        <v>60</v>
      </c>
      <c r="M351" s="1" t="s">
        <v>41</v>
      </c>
      <c r="N351" s="1" t="s">
        <v>42</v>
      </c>
    </row>
    <row r="352" spans="1:14" x14ac:dyDescent="0.25">
      <c r="A352" s="1" t="s">
        <v>47</v>
      </c>
      <c r="B352" s="1" t="s">
        <v>6050</v>
      </c>
      <c r="C352" s="1" t="s">
        <v>1597</v>
      </c>
      <c r="D352" s="8" t="s">
        <v>1596</v>
      </c>
      <c r="E352" s="1" t="s">
        <v>368</v>
      </c>
      <c r="F352" s="1" t="s">
        <v>6416</v>
      </c>
      <c r="G352" s="1" t="s">
        <v>6410</v>
      </c>
      <c r="H352" s="1" t="s">
        <v>4747</v>
      </c>
      <c r="I352" s="1" t="s">
        <v>4721</v>
      </c>
      <c r="J352" s="1" t="s">
        <v>39</v>
      </c>
      <c r="K352" s="1" t="s">
        <v>4812</v>
      </c>
      <c r="L352" s="1" t="s">
        <v>227</v>
      </c>
      <c r="M352" s="1" t="s">
        <v>58</v>
      </c>
      <c r="N352" s="1" t="s">
        <v>61</v>
      </c>
    </row>
    <row r="353" spans="1:14" x14ac:dyDescent="0.25">
      <c r="A353" s="1" t="s">
        <v>47</v>
      </c>
      <c r="B353" s="1" t="s">
        <v>5451</v>
      </c>
      <c r="C353" s="1" t="s">
        <v>2868</v>
      </c>
      <c r="D353" s="8" t="s">
        <v>2867</v>
      </c>
      <c r="E353" s="1" t="s">
        <v>2862</v>
      </c>
      <c r="F353" s="1" t="s">
        <v>6396</v>
      </c>
      <c r="G353" s="1" t="s">
        <v>4748</v>
      </c>
      <c r="H353" s="1" t="s">
        <v>4747</v>
      </c>
      <c r="I353" s="1" t="s">
        <v>4721</v>
      </c>
      <c r="J353" s="1" t="s">
        <v>12</v>
      </c>
      <c r="K353" s="1" t="s">
        <v>4845</v>
      </c>
      <c r="L353" s="1" t="s">
        <v>141</v>
      </c>
      <c r="M353" s="1" t="s">
        <v>99</v>
      </c>
      <c r="N353" s="1" t="s">
        <v>25</v>
      </c>
    </row>
    <row r="354" spans="1:14" x14ac:dyDescent="0.25">
      <c r="A354" s="1" t="s">
        <v>47</v>
      </c>
      <c r="B354" s="1" t="s">
        <v>6051</v>
      </c>
      <c r="C354" s="1" t="s">
        <v>2137</v>
      </c>
      <c r="D354" s="8" t="s">
        <v>2136</v>
      </c>
      <c r="E354" s="1" t="s">
        <v>601</v>
      </c>
      <c r="F354" s="1" t="s">
        <v>6403</v>
      </c>
      <c r="G354" s="1" t="s">
        <v>4746</v>
      </c>
      <c r="H354" s="1" t="s">
        <v>4747</v>
      </c>
      <c r="I354" s="1" t="s">
        <v>4721</v>
      </c>
      <c r="J354" s="1" t="s">
        <v>39</v>
      </c>
      <c r="K354" s="1" t="s">
        <v>4778</v>
      </c>
      <c r="L354" s="1" t="s">
        <v>60</v>
      </c>
      <c r="M354" s="1" t="s">
        <v>136</v>
      </c>
      <c r="N354" s="1" t="s">
        <v>72</v>
      </c>
    </row>
    <row r="355" spans="1:14" x14ac:dyDescent="0.25">
      <c r="A355" s="1" t="s">
        <v>47</v>
      </c>
      <c r="B355" s="1" t="s">
        <v>6052</v>
      </c>
      <c r="C355" s="1" t="s">
        <v>436</v>
      </c>
      <c r="D355" s="8" t="s">
        <v>435</v>
      </c>
      <c r="E355" s="1" t="s">
        <v>433</v>
      </c>
      <c r="F355" s="1" t="s">
        <v>6405</v>
      </c>
      <c r="G355" s="1" t="s">
        <v>4746</v>
      </c>
      <c r="H355" s="1" t="s">
        <v>4747</v>
      </c>
      <c r="I355" s="1" t="s">
        <v>4721</v>
      </c>
      <c r="J355" s="1" t="s">
        <v>12</v>
      </c>
      <c r="K355" s="1" t="s">
        <v>4779</v>
      </c>
      <c r="L355" s="1" t="s">
        <v>56</v>
      </c>
      <c r="M355" s="1" t="s">
        <v>4780</v>
      </c>
      <c r="N355" s="1" t="s">
        <v>21</v>
      </c>
    </row>
    <row r="356" spans="1:14" x14ac:dyDescent="0.25">
      <c r="A356" s="1" t="s">
        <v>47</v>
      </c>
      <c r="B356" s="1" t="s">
        <v>6053</v>
      </c>
      <c r="C356" s="1" t="s">
        <v>3275</v>
      </c>
      <c r="D356" s="8" t="s">
        <v>3274</v>
      </c>
      <c r="E356" s="1" t="s">
        <v>98</v>
      </c>
      <c r="F356" s="1" t="s">
        <v>6392</v>
      </c>
      <c r="G356" s="1" t="s">
        <v>4750</v>
      </c>
      <c r="H356" s="1" t="s">
        <v>4747</v>
      </c>
      <c r="I356" s="1" t="s">
        <v>4721</v>
      </c>
      <c r="J356" s="1" t="s">
        <v>12</v>
      </c>
      <c r="K356" s="1" t="s">
        <v>4806</v>
      </c>
      <c r="L356" s="1" t="s">
        <v>56</v>
      </c>
      <c r="M356" s="1" t="s">
        <v>648</v>
      </c>
      <c r="N356" s="1" t="s">
        <v>25</v>
      </c>
    </row>
    <row r="357" spans="1:14" x14ac:dyDescent="0.25">
      <c r="A357" s="1" t="s">
        <v>47</v>
      </c>
      <c r="B357" s="1" t="s">
        <v>6199</v>
      </c>
      <c r="C357" s="1" t="s">
        <v>1144</v>
      </c>
      <c r="D357" s="8" t="s">
        <v>1143</v>
      </c>
      <c r="E357" s="1" t="s">
        <v>225</v>
      </c>
      <c r="F357" s="1" t="s">
        <v>4751</v>
      </c>
      <c r="G357" s="1" t="s">
        <v>4748</v>
      </c>
      <c r="H357" s="1" t="s">
        <v>4747</v>
      </c>
      <c r="I357" s="1" t="s">
        <v>4721</v>
      </c>
      <c r="J357" s="1" t="s">
        <v>12</v>
      </c>
      <c r="K357" s="1" t="s">
        <v>4817</v>
      </c>
      <c r="L357" s="1" t="s">
        <v>224</v>
      </c>
      <c r="M357" s="1" t="s">
        <v>245</v>
      </c>
      <c r="N357" s="1" t="s">
        <v>21</v>
      </c>
    </row>
    <row r="358" spans="1:14" x14ac:dyDescent="0.25">
      <c r="A358" s="1" t="s">
        <v>47</v>
      </c>
      <c r="B358" s="1" t="s">
        <v>5452</v>
      </c>
      <c r="C358" s="1" t="s">
        <v>2745</v>
      </c>
      <c r="D358" s="8" t="s">
        <v>2744</v>
      </c>
      <c r="E358" s="1" t="s">
        <v>1112</v>
      </c>
      <c r="F358" s="1" t="s">
        <v>6409</v>
      </c>
      <c r="G358" s="1" t="s">
        <v>6410</v>
      </c>
      <c r="H358" s="1" t="s">
        <v>4747</v>
      </c>
      <c r="I358" s="1" t="s">
        <v>4721</v>
      </c>
      <c r="J358" s="1" t="s">
        <v>12</v>
      </c>
      <c r="K358" s="1" t="s">
        <v>4817</v>
      </c>
      <c r="L358" s="1" t="s">
        <v>224</v>
      </c>
      <c r="M358" s="1" t="s">
        <v>41</v>
      </c>
      <c r="N358" s="1" t="s">
        <v>42</v>
      </c>
    </row>
    <row r="359" spans="1:14" x14ac:dyDescent="0.25">
      <c r="A359" s="1" t="s">
        <v>47</v>
      </c>
      <c r="B359" s="1" t="s">
        <v>6201</v>
      </c>
      <c r="C359" s="1" t="s">
        <v>704</v>
      </c>
      <c r="D359" s="8" t="s">
        <v>703</v>
      </c>
      <c r="E359" s="1" t="s">
        <v>225</v>
      </c>
      <c r="F359" s="1" t="s">
        <v>4751</v>
      </c>
      <c r="G359" s="1" t="s">
        <v>4748</v>
      </c>
      <c r="H359" s="1" t="s">
        <v>4747</v>
      </c>
      <c r="I359" s="1" t="s">
        <v>4721</v>
      </c>
      <c r="J359" s="1" t="s">
        <v>12</v>
      </c>
      <c r="K359" s="1" t="s">
        <v>4844</v>
      </c>
      <c r="L359" s="1" t="s">
        <v>224</v>
      </c>
      <c r="M359" s="1" t="s">
        <v>364</v>
      </c>
      <c r="N359" s="1" t="s">
        <v>37</v>
      </c>
    </row>
    <row r="360" spans="1:14" x14ac:dyDescent="0.25">
      <c r="A360" s="1" t="s">
        <v>47</v>
      </c>
      <c r="B360" s="1" t="s">
        <v>6202</v>
      </c>
      <c r="C360" s="1" t="s">
        <v>3311</v>
      </c>
      <c r="D360" s="8" t="s">
        <v>3310</v>
      </c>
      <c r="E360" s="1" t="s">
        <v>49</v>
      </c>
      <c r="F360" s="1" t="s">
        <v>6402</v>
      </c>
      <c r="G360" s="1" t="s">
        <v>4746</v>
      </c>
      <c r="H360" s="1" t="s">
        <v>4747</v>
      </c>
      <c r="I360" s="1" t="s">
        <v>4722</v>
      </c>
      <c r="J360" s="1" t="s">
        <v>39</v>
      </c>
      <c r="K360" s="1" t="s">
        <v>4860</v>
      </c>
      <c r="L360" s="1" t="s">
        <v>48</v>
      </c>
      <c r="M360" s="1" t="s">
        <v>630</v>
      </c>
      <c r="N360" s="1" t="s">
        <v>21</v>
      </c>
    </row>
    <row r="361" spans="1:14" x14ac:dyDescent="0.25">
      <c r="A361" s="1" t="s">
        <v>47</v>
      </c>
      <c r="B361" s="1" t="s">
        <v>6204</v>
      </c>
      <c r="C361" s="1" t="s">
        <v>2626</v>
      </c>
      <c r="D361" s="8" t="s">
        <v>2625</v>
      </c>
      <c r="E361" s="1" t="s">
        <v>433</v>
      </c>
      <c r="F361" s="1" t="s">
        <v>6405</v>
      </c>
      <c r="G361" s="1" t="s">
        <v>4746</v>
      </c>
      <c r="H361" s="1" t="s">
        <v>4747</v>
      </c>
      <c r="I361" s="1" t="s">
        <v>4722</v>
      </c>
      <c r="J361" s="1" t="s">
        <v>39</v>
      </c>
      <c r="K361" s="1" t="s">
        <v>4779</v>
      </c>
      <c r="L361" s="1" t="s">
        <v>56</v>
      </c>
      <c r="M361" s="1" t="s">
        <v>4780</v>
      </c>
      <c r="N361" s="1" t="s">
        <v>21</v>
      </c>
    </row>
    <row r="362" spans="1:14" x14ac:dyDescent="0.25">
      <c r="A362" s="1" t="s">
        <v>47</v>
      </c>
      <c r="B362" s="1" t="s">
        <v>6205</v>
      </c>
      <c r="C362" s="1" t="s">
        <v>2539</v>
      </c>
      <c r="D362" s="8" t="s">
        <v>2538</v>
      </c>
      <c r="E362" s="1" t="s">
        <v>368</v>
      </c>
      <c r="F362" s="1" t="s">
        <v>4749</v>
      </c>
      <c r="G362" s="1" t="s">
        <v>4750</v>
      </c>
      <c r="H362" s="1" t="s">
        <v>4747</v>
      </c>
      <c r="I362" s="1" t="s">
        <v>4721</v>
      </c>
      <c r="J362" s="1" t="s">
        <v>12</v>
      </c>
      <c r="K362" s="1" t="s">
        <v>4844</v>
      </c>
      <c r="L362" s="1" t="s">
        <v>227</v>
      </c>
      <c r="M362" s="1" t="s">
        <v>245</v>
      </c>
      <c r="N362" s="1" t="s">
        <v>21</v>
      </c>
    </row>
    <row r="363" spans="1:14" x14ac:dyDescent="0.25">
      <c r="A363" s="1" t="s">
        <v>47</v>
      </c>
      <c r="B363" s="1" t="s">
        <v>5454</v>
      </c>
      <c r="C363" s="1" t="s">
        <v>55</v>
      </c>
      <c r="D363" s="8" t="s">
        <v>54</v>
      </c>
      <c r="E363" s="1" t="s">
        <v>57</v>
      </c>
      <c r="F363" s="1" t="s">
        <v>6405</v>
      </c>
      <c r="G363" s="1" t="s">
        <v>4746</v>
      </c>
      <c r="H363" s="1" t="s">
        <v>4747</v>
      </c>
      <c r="I363" s="1" t="s">
        <v>4721</v>
      </c>
      <c r="J363" s="1" t="s">
        <v>12</v>
      </c>
      <c r="K363" s="1" t="s">
        <v>4779</v>
      </c>
      <c r="L363" s="1" t="s">
        <v>56</v>
      </c>
      <c r="M363" s="1" t="s">
        <v>5453</v>
      </c>
      <c r="N363" s="1" t="s">
        <v>76</v>
      </c>
    </row>
    <row r="364" spans="1:14" x14ac:dyDescent="0.25">
      <c r="A364" s="1" t="s">
        <v>47</v>
      </c>
      <c r="B364" s="1" t="s">
        <v>6206</v>
      </c>
      <c r="C364" s="1" t="s">
        <v>4197</v>
      </c>
      <c r="D364" s="8" t="s">
        <v>4196</v>
      </c>
      <c r="E364" s="1" t="s">
        <v>398</v>
      </c>
      <c r="F364" s="1" t="s">
        <v>6397</v>
      </c>
      <c r="G364" s="1" t="s">
        <v>4746</v>
      </c>
      <c r="H364" s="1" t="s">
        <v>4747</v>
      </c>
      <c r="I364" s="1" t="s">
        <v>4721</v>
      </c>
      <c r="J364" s="1" t="s">
        <v>12</v>
      </c>
      <c r="K364" s="1" t="s">
        <v>4813</v>
      </c>
      <c r="L364" s="1" t="s">
        <v>60</v>
      </c>
      <c r="M364" s="1" t="s">
        <v>245</v>
      </c>
      <c r="N364" s="1" t="s">
        <v>21</v>
      </c>
    </row>
    <row r="365" spans="1:14" x14ac:dyDescent="0.25">
      <c r="A365" s="1" t="s">
        <v>47</v>
      </c>
      <c r="B365" s="1" t="s">
        <v>5456</v>
      </c>
      <c r="C365" s="1" t="s">
        <v>3398</v>
      </c>
      <c r="D365" s="8" t="s">
        <v>3397</v>
      </c>
      <c r="E365" s="1" t="s">
        <v>49</v>
      </c>
      <c r="F365" s="1" t="s">
        <v>6402</v>
      </c>
      <c r="G365" s="1" t="s">
        <v>4746</v>
      </c>
      <c r="H365" s="1" t="s">
        <v>4747</v>
      </c>
      <c r="I365" s="1" t="s">
        <v>4721</v>
      </c>
      <c r="J365" s="1" t="s">
        <v>12</v>
      </c>
      <c r="K365" s="1" t="s">
        <v>4860</v>
      </c>
      <c r="L365" s="1" t="s">
        <v>48</v>
      </c>
      <c r="M365" s="1" t="s">
        <v>630</v>
      </c>
      <c r="N365" s="1" t="s">
        <v>21</v>
      </c>
    </row>
    <row r="366" spans="1:14" x14ac:dyDescent="0.25">
      <c r="A366" s="1" t="s">
        <v>47</v>
      </c>
      <c r="B366" s="1" t="s">
        <v>6207</v>
      </c>
      <c r="C366" s="1" t="s">
        <v>4099</v>
      </c>
      <c r="D366" s="8" t="s">
        <v>4098</v>
      </c>
      <c r="E366" s="1" t="s">
        <v>278</v>
      </c>
      <c r="F366" s="1" t="s">
        <v>6409</v>
      </c>
      <c r="G366" s="1" t="s">
        <v>6410</v>
      </c>
      <c r="H366" s="1" t="s">
        <v>4747</v>
      </c>
      <c r="I366" s="1" t="s">
        <v>4722</v>
      </c>
      <c r="J366" s="1" t="s">
        <v>39</v>
      </c>
      <c r="K366" s="1" t="s">
        <v>4829</v>
      </c>
      <c r="L366" s="1" t="s">
        <v>60</v>
      </c>
      <c r="M366" s="1" t="s">
        <v>41</v>
      </c>
      <c r="N366" s="1" t="s">
        <v>42</v>
      </c>
    </row>
    <row r="367" spans="1:14" x14ac:dyDescent="0.25">
      <c r="A367" s="1" t="s">
        <v>47</v>
      </c>
      <c r="B367" s="1" t="s">
        <v>6208</v>
      </c>
      <c r="C367" s="1" t="s">
        <v>701</v>
      </c>
      <c r="D367" s="8" t="s">
        <v>700</v>
      </c>
      <c r="E367" s="1" t="s">
        <v>225</v>
      </c>
      <c r="F367" s="1" t="s">
        <v>4751</v>
      </c>
      <c r="G367" s="1" t="s">
        <v>4748</v>
      </c>
      <c r="H367" s="1" t="s">
        <v>4747</v>
      </c>
      <c r="I367" s="1" t="s">
        <v>4721</v>
      </c>
      <c r="J367" s="1" t="s">
        <v>12</v>
      </c>
      <c r="K367" s="1" t="s">
        <v>4844</v>
      </c>
      <c r="L367" s="1" t="s">
        <v>224</v>
      </c>
      <c r="M367" s="1" t="s">
        <v>58</v>
      </c>
      <c r="N367" s="1" t="s">
        <v>61</v>
      </c>
    </row>
    <row r="368" spans="1:14" x14ac:dyDescent="0.25">
      <c r="A368" s="1" t="s">
        <v>47</v>
      </c>
      <c r="B368" s="1" t="s">
        <v>6209</v>
      </c>
      <c r="C368" s="1" t="s">
        <v>3413</v>
      </c>
      <c r="D368" s="8" t="s">
        <v>3412</v>
      </c>
      <c r="E368" s="1" t="s">
        <v>264</v>
      </c>
      <c r="F368" s="1" t="s">
        <v>6393</v>
      </c>
      <c r="G368" s="1" t="s">
        <v>4750</v>
      </c>
      <c r="H368" s="1" t="s">
        <v>4747</v>
      </c>
      <c r="I368" s="1" t="s">
        <v>4721</v>
      </c>
      <c r="J368" s="1" t="s">
        <v>12</v>
      </c>
      <c r="K368" s="1" t="s">
        <v>4809</v>
      </c>
      <c r="L368" s="1" t="s">
        <v>227</v>
      </c>
      <c r="M368" s="1" t="s">
        <v>648</v>
      </c>
      <c r="N368" s="1" t="s">
        <v>25</v>
      </c>
    </row>
    <row r="369" spans="1:14" x14ac:dyDescent="0.25">
      <c r="A369" s="1" t="s">
        <v>47</v>
      </c>
      <c r="B369" s="1" t="s">
        <v>5457</v>
      </c>
      <c r="C369" s="1" t="s">
        <v>3698</v>
      </c>
      <c r="D369" s="8" t="s">
        <v>3697</v>
      </c>
      <c r="E369" s="1" t="s">
        <v>159</v>
      </c>
      <c r="F369" s="1" t="s">
        <v>6392</v>
      </c>
      <c r="G369" s="1" t="s">
        <v>4750</v>
      </c>
      <c r="H369" s="1" t="s">
        <v>4747</v>
      </c>
      <c r="I369" s="1" t="s">
        <v>4721</v>
      </c>
      <c r="J369" s="1" t="s">
        <v>39</v>
      </c>
      <c r="K369" s="1" t="s">
        <v>4806</v>
      </c>
      <c r="L369" s="1" t="s">
        <v>60</v>
      </c>
      <c r="M369" s="1" t="s">
        <v>613</v>
      </c>
      <c r="N369" s="1" t="s">
        <v>25</v>
      </c>
    </row>
    <row r="370" spans="1:14" x14ac:dyDescent="0.25">
      <c r="A370" s="1" t="s">
        <v>47</v>
      </c>
      <c r="B370" s="1" t="s">
        <v>6211</v>
      </c>
      <c r="C370" s="1" t="s">
        <v>1226</v>
      </c>
      <c r="D370" s="8" t="s">
        <v>1225</v>
      </c>
      <c r="E370" s="1" t="s">
        <v>57</v>
      </c>
      <c r="F370" s="1" t="s">
        <v>6405</v>
      </c>
      <c r="G370" s="1" t="s">
        <v>4746</v>
      </c>
      <c r="H370" s="1" t="s">
        <v>4747</v>
      </c>
      <c r="I370" s="1" t="s">
        <v>4721</v>
      </c>
      <c r="J370" s="1" t="s">
        <v>12</v>
      </c>
      <c r="K370" s="1" t="s">
        <v>4779</v>
      </c>
      <c r="L370" s="1" t="s">
        <v>56</v>
      </c>
      <c r="M370" s="1" t="s">
        <v>245</v>
      </c>
      <c r="N370" s="1" t="s">
        <v>21</v>
      </c>
    </row>
    <row r="371" spans="1:14" x14ac:dyDescent="0.25">
      <c r="A371" s="1" t="s">
        <v>47</v>
      </c>
      <c r="B371" s="1" t="s">
        <v>6212</v>
      </c>
      <c r="C371" s="1" t="s">
        <v>668</v>
      </c>
      <c r="D371" s="8" t="s">
        <v>667</v>
      </c>
      <c r="E371" s="1" t="s">
        <v>264</v>
      </c>
      <c r="F371" s="1" t="s">
        <v>6391</v>
      </c>
      <c r="G371" s="1" t="s">
        <v>4750</v>
      </c>
      <c r="H371" s="1" t="s">
        <v>4747</v>
      </c>
      <c r="I371" s="1" t="s">
        <v>4722</v>
      </c>
      <c r="J371" s="1" t="s">
        <v>39</v>
      </c>
      <c r="K371" s="1" t="s">
        <v>4834</v>
      </c>
      <c r="L371" s="1" t="s">
        <v>227</v>
      </c>
      <c r="M371" s="1" t="s">
        <v>648</v>
      </c>
      <c r="N371" s="1" t="s">
        <v>25</v>
      </c>
    </row>
    <row r="372" spans="1:14" x14ac:dyDescent="0.25">
      <c r="A372" s="1" t="s">
        <v>47</v>
      </c>
      <c r="B372" s="1" t="s">
        <v>5942</v>
      </c>
      <c r="C372" s="1" t="s">
        <v>453</v>
      </c>
      <c r="D372" s="8" t="s">
        <v>452</v>
      </c>
      <c r="E372" s="1" t="s">
        <v>57</v>
      </c>
      <c r="F372" s="1" t="s">
        <v>6405</v>
      </c>
      <c r="G372" s="1" t="s">
        <v>4746</v>
      </c>
      <c r="H372" s="1" t="s">
        <v>4747</v>
      </c>
      <c r="I372" s="1" t="s">
        <v>4721</v>
      </c>
      <c r="J372" s="1" t="s">
        <v>39</v>
      </c>
      <c r="K372" s="1" t="s">
        <v>4779</v>
      </c>
      <c r="L372" s="1" t="s">
        <v>56</v>
      </c>
      <c r="M372" s="1" t="s">
        <v>136</v>
      </c>
      <c r="N372" s="1" t="s">
        <v>72</v>
      </c>
    </row>
    <row r="373" spans="1:14" x14ac:dyDescent="0.25">
      <c r="A373" s="1" t="s">
        <v>47</v>
      </c>
      <c r="B373" s="1" t="s">
        <v>5943</v>
      </c>
      <c r="C373" s="1" t="s">
        <v>2103</v>
      </c>
      <c r="D373" s="8" t="s">
        <v>2102</v>
      </c>
      <c r="E373" s="1" t="s">
        <v>2104</v>
      </c>
      <c r="F373" s="1" t="s">
        <v>6411</v>
      </c>
      <c r="G373" s="1" t="s">
        <v>4746</v>
      </c>
      <c r="H373" s="1" t="s">
        <v>4747</v>
      </c>
      <c r="I373" s="1" t="s">
        <v>4722</v>
      </c>
      <c r="J373" s="1" t="s">
        <v>39</v>
      </c>
      <c r="K373" s="1" t="s">
        <v>4866</v>
      </c>
      <c r="L373" s="1" t="s">
        <v>56</v>
      </c>
      <c r="M373" s="1" t="s">
        <v>245</v>
      </c>
      <c r="N373" s="1" t="s">
        <v>21</v>
      </c>
    </row>
    <row r="374" spans="1:14" x14ac:dyDescent="0.25">
      <c r="A374" s="1" t="s">
        <v>47</v>
      </c>
      <c r="B374" s="1" t="s">
        <v>5945</v>
      </c>
      <c r="C374" s="1" t="s">
        <v>2828</v>
      </c>
      <c r="D374" s="8" t="s">
        <v>2827</v>
      </c>
      <c r="E374" s="1" t="s">
        <v>303</v>
      </c>
      <c r="F374" s="1" t="s">
        <v>6397</v>
      </c>
      <c r="G374" s="1" t="s">
        <v>4746</v>
      </c>
      <c r="H374" s="1" t="s">
        <v>4747</v>
      </c>
      <c r="I374" s="1" t="s">
        <v>4721</v>
      </c>
      <c r="J374" s="1" t="s">
        <v>12</v>
      </c>
      <c r="K374" s="1" t="s">
        <v>4813</v>
      </c>
      <c r="L374" s="1" t="s">
        <v>60</v>
      </c>
      <c r="M374" s="1" t="s">
        <v>245</v>
      </c>
      <c r="N374" s="1" t="s">
        <v>21</v>
      </c>
    </row>
    <row r="375" spans="1:14" x14ac:dyDescent="0.25">
      <c r="A375" s="1" t="s">
        <v>47</v>
      </c>
      <c r="B375" s="1" t="s">
        <v>6216</v>
      </c>
      <c r="C375" s="1" t="s">
        <v>2536</v>
      </c>
      <c r="D375" s="8" t="s">
        <v>2535</v>
      </c>
      <c r="E375" s="1" t="s">
        <v>159</v>
      </c>
      <c r="F375" s="1" t="s">
        <v>4749</v>
      </c>
      <c r="G375" s="1" t="s">
        <v>4750</v>
      </c>
      <c r="H375" s="1" t="s">
        <v>4747</v>
      </c>
      <c r="I375" s="1" t="s">
        <v>4721</v>
      </c>
      <c r="J375" s="1" t="s">
        <v>12</v>
      </c>
      <c r="K375" s="1" t="s">
        <v>4834</v>
      </c>
      <c r="L375" s="1" t="s">
        <v>60</v>
      </c>
      <c r="M375" s="1" t="s">
        <v>99</v>
      </c>
      <c r="N375" s="1" t="s">
        <v>25</v>
      </c>
    </row>
    <row r="376" spans="1:14" x14ac:dyDescent="0.25">
      <c r="A376" s="1" t="s">
        <v>47</v>
      </c>
      <c r="B376" s="1" t="s">
        <v>6220</v>
      </c>
      <c r="C376" s="1" t="s">
        <v>2064</v>
      </c>
      <c r="D376" s="8" t="s">
        <v>2063</v>
      </c>
      <c r="E376" s="1" t="s">
        <v>1112</v>
      </c>
      <c r="F376" s="1" t="s">
        <v>6408</v>
      </c>
      <c r="G376" s="1" t="s">
        <v>4748</v>
      </c>
      <c r="H376" s="1" t="s">
        <v>4747</v>
      </c>
      <c r="I376" s="1" t="s">
        <v>4721</v>
      </c>
      <c r="J376" s="1" t="s">
        <v>12</v>
      </c>
      <c r="K376" s="1" t="s">
        <v>4817</v>
      </c>
      <c r="L376" s="1" t="s">
        <v>224</v>
      </c>
      <c r="M376" s="1" t="s">
        <v>245</v>
      </c>
      <c r="N376" s="1" t="s">
        <v>21</v>
      </c>
    </row>
    <row r="377" spans="1:14" x14ac:dyDescent="0.25">
      <c r="A377" s="1" t="s">
        <v>47</v>
      </c>
      <c r="B377" s="1" t="s">
        <v>5949</v>
      </c>
      <c r="C377" s="1" t="s">
        <v>302</v>
      </c>
      <c r="D377" s="8" t="s">
        <v>301</v>
      </c>
      <c r="E377" s="1" t="s">
        <v>303</v>
      </c>
      <c r="F377" s="1" t="s">
        <v>6397</v>
      </c>
      <c r="G377" s="1" t="s">
        <v>4746</v>
      </c>
      <c r="H377" s="1" t="s">
        <v>4747</v>
      </c>
      <c r="I377" s="1" t="s">
        <v>4721</v>
      </c>
      <c r="J377" s="1" t="s">
        <v>12</v>
      </c>
      <c r="K377" s="1" t="s">
        <v>4813</v>
      </c>
      <c r="L377" s="1" t="s">
        <v>60</v>
      </c>
      <c r="M377" s="1" t="s">
        <v>245</v>
      </c>
      <c r="N377" s="1" t="s">
        <v>21</v>
      </c>
    </row>
    <row r="378" spans="1:14" x14ac:dyDescent="0.25">
      <c r="A378" s="1" t="s">
        <v>47</v>
      </c>
      <c r="B378" s="1" t="s">
        <v>6221</v>
      </c>
      <c r="C378" s="1" t="s">
        <v>2927</v>
      </c>
      <c r="D378" s="8" t="s">
        <v>2926</v>
      </c>
      <c r="E378" s="1" t="s">
        <v>464</v>
      </c>
      <c r="F378" s="1" t="s">
        <v>4752</v>
      </c>
      <c r="G378" s="1" t="s">
        <v>4746</v>
      </c>
      <c r="H378" s="1" t="s">
        <v>4747</v>
      </c>
      <c r="I378" s="1" t="s">
        <v>4721</v>
      </c>
      <c r="J378" s="1" t="s">
        <v>12</v>
      </c>
      <c r="K378" s="1" t="s">
        <v>4861</v>
      </c>
      <c r="L378" s="1" t="s">
        <v>48</v>
      </c>
      <c r="M378" s="1" t="s">
        <v>1570</v>
      </c>
      <c r="N378" s="1" t="s">
        <v>21</v>
      </c>
    </row>
    <row r="379" spans="1:14" x14ac:dyDescent="0.25">
      <c r="A379" s="1" t="s">
        <v>47</v>
      </c>
      <c r="B379" s="1" t="s">
        <v>5950</v>
      </c>
      <c r="C379" s="1" t="s">
        <v>3900</v>
      </c>
      <c r="D379" s="8" t="s">
        <v>3899</v>
      </c>
      <c r="E379" s="1" t="s">
        <v>341</v>
      </c>
      <c r="F379" s="1" t="s">
        <v>6411</v>
      </c>
      <c r="G379" s="1" t="s">
        <v>4746</v>
      </c>
      <c r="H379" s="1" t="s">
        <v>4747</v>
      </c>
      <c r="I379" s="1" t="s">
        <v>4721</v>
      </c>
      <c r="J379" s="1" t="s">
        <v>12</v>
      </c>
      <c r="K379" s="1" t="s">
        <v>4866</v>
      </c>
      <c r="L379" s="1" t="s">
        <v>56</v>
      </c>
      <c r="M379" s="1" t="s">
        <v>58</v>
      </c>
      <c r="N379" s="1" t="s">
        <v>61</v>
      </c>
    </row>
    <row r="380" spans="1:14" x14ac:dyDescent="0.25">
      <c r="A380" s="1" t="s">
        <v>47</v>
      </c>
      <c r="B380" s="1" t="s">
        <v>6223</v>
      </c>
      <c r="C380" s="1" t="s">
        <v>1718</v>
      </c>
      <c r="D380" s="8" t="s">
        <v>1717</v>
      </c>
      <c r="E380" s="1" t="s">
        <v>181</v>
      </c>
      <c r="F380" s="1" t="s">
        <v>6395</v>
      </c>
      <c r="G380" s="1" t="s">
        <v>4748</v>
      </c>
      <c r="H380" s="1" t="s">
        <v>4747</v>
      </c>
      <c r="I380" s="1" t="s">
        <v>4722</v>
      </c>
      <c r="J380" s="1" t="s">
        <v>39</v>
      </c>
      <c r="K380" s="1" t="s">
        <v>4792</v>
      </c>
      <c r="L380" s="1" t="s">
        <v>66</v>
      </c>
      <c r="M380" s="1" t="s">
        <v>883</v>
      </c>
      <c r="N380" s="1" t="s">
        <v>21</v>
      </c>
    </row>
    <row r="381" spans="1:14" x14ac:dyDescent="0.25">
      <c r="A381" s="1" t="s">
        <v>47</v>
      </c>
      <c r="B381" s="1" t="s">
        <v>5953</v>
      </c>
      <c r="C381" s="1" t="s">
        <v>3632</v>
      </c>
      <c r="D381" s="8" t="s">
        <v>3631</v>
      </c>
      <c r="E381" s="1" t="s">
        <v>1405</v>
      </c>
      <c r="F381" s="1" t="s">
        <v>6401</v>
      </c>
      <c r="G381" s="1" t="s">
        <v>4746</v>
      </c>
      <c r="H381" s="1" t="s">
        <v>4747</v>
      </c>
      <c r="I381" s="1" t="s">
        <v>4721</v>
      </c>
      <c r="J381" s="1" t="s">
        <v>39</v>
      </c>
      <c r="K381" s="1" t="s">
        <v>4810</v>
      </c>
      <c r="L381" s="1" t="s">
        <v>227</v>
      </c>
      <c r="M381" s="1" t="s">
        <v>172</v>
      </c>
      <c r="N381" s="1" t="s">
        <v>17</v>
      </c>
    </row>
    <row r="382" spans="1:14" x14ac:dyDescent="0.25">
      <c r="A382" s="1" t="s">
        <v>47</v>
      </c>
      <c r="B382" s="1" t="s">
        <v>6231</v>
      </c>
      <c r="C382" s="1" t="s">
        <v>2880</v>
      </c>
      <c r="D382" s="8" t="s">
        <v>2879</v>
      </c>
      <c r="E382" s="1" t="s">
        <v>464</v>
      </c>
      <c r="F382" s="1" t="s">
        <v>4752</v>
      </c>
      <c r="G382" s="1" t="s">
        <v>4746</v>
      </c>
      <c r="H382" s="1" t="s">
        <v>4747</v>
      </c>
      <c r="I382" s="1" t="s">
        <v>4722</v>
      </c>
      <c r="J382" s="1" t="s">
        <v>39</v>
      </c>
      <c r="K382" s="1" t="s">
        <v>4861</v>
      </c>
      <c r="L382" s="1" t="s">
        <v>48</v>
      </c>
      <c r="M382" s="1" t="s">
        <v>630</v>
      </c>
      <c r="N382" s="1" t="s">
        <v>21</v>
      </c>
    </row>
    <row r="383" spans="1:14" x14ac:dyDescent="0.25">
      <c r="A383" s="1" t="s">
        <v>47</v>
      </c>
      <c r="B383" s="1" t="s">
        <v>6233</v>
      </c>
      <c r="C383" s="1" t="s">
        <v>3145</v>
      </c>
      <c r="D383" s="8" t="s">
        <v>3144</v>
      </c>
      <c r="E383" s="1" t="s">
        <v>511</v>
      </c>
      <c r="F383" s="1" t="s">
        <v>6401</v>
      </c>
      <c r="G383" s="1" t="s">
        <v>4746</v>
      </c>
      <c r="H383" s="1" t="s">
        <v>4747</v>
      </c>
      <c r="I383" s="1" t="s">
        <v>4721</v>
      </c>
      <c r="J383" s="1" t="s">
        <v>12</v>
      </c>
      <c r="K383" s="1" t="s">
        <v>4810</v>
      </c>
      <c r="L383" s="1" t="s">
        <v>48</v>
      </c>
      <c r="M383" s="1" t="s">
        <v>172</v>
      </c>
      <c r="N383" s="1" t="s">
        <v>17</v>
      </c>
    </row>
    <row r="384" spans="1:14" x14ac:dyDescent="0.25">
      <c r="A384" s="1" t="s">
        <v>47</v>
      </c>
      <c r="B384" s="1" t="s">
        <v>5962</v>
      </c>
      <c r="C384" s="1" t="s">
        <v>2739</v>
      </c>
      <c r="D384" s="8" t="s">
        <v>2737</v>
      </c>
      <c r="E384" s="1" t="s">
        <v>49</v>
      </c>
      <c r="F384" s="1" t="s">
        <v>6409</v>
      </c>
      <c r="G384" s="1" t="s">
        <v>6410</v>
      </c>
      <c r="H384" s="1" t="s">
        <v>4747</v>
      </c>
      <c r="I384" s="1" t="s">
        <v>4721</v>
      </c>
      <c r="J384" s="1" t="s">
        <v>12</v>
      </c>
      <c r="K384" s="1" t="s">
        <v>4821</v>
      </c>
      <c r="L384" s="1" t="s">
        <v>48</v>
      </c>
      <c r="M384" s="1" t="s">
        <v>41</v>
      </c>
      <c r="N384" s="1" t="s">
        <v>42</v>
      </c>
    </row>
    <row r="385" spans="1:14" x14ac:dyDescent="0.25">
      <c r="A385" s="1" t="s">
        <v>47</v>
      </c>
      <c r="B385" s="1" t="s">
        <v>5963</v>
      </c>
      <c r="C385" s="1" t="s">
        <v>2152</v>
      </c>
      <c r="D385" s="8" t="s">
        <v>2151</v>
      </c>
      <c r="E385" s="1" t="s">
        <v>244</v>
      </c>
      <c r="F385" s="1" t="s">
        <v>6403</v>
      </c>
      <c r="G385" s="1" t="s">
        <v>4746</v>
      </c>
      <c r="H385" s="1" t="s">
        <v>4747</v>
      </c>
      <c r="I385" s="1" t="s">
        <v>4721</v>
      </c>
      <c r="J385" s="1" t="s">
        <v>12</v>
      </c>
      <c r="K385" s="1" t="s">
        <v>4778</v>
      </c>
      <c r="L385" s="1" t="s">
        <v>60</v>
      </c>
      <c r="M385" s="1" t="s">
        <v>4780</v>
      </c>
      <c r="N385" s="1" t="s">
        <v>21</v>
      </c>
    </row>
    <row r="386" spans="1:14" x14ac:dyDescent="0.25">
      <c r="A386" s="1" t="s">
        <v>47</v>
      </c>
      <c r="B386" s="1" t="s">
        <v>5964</v>
      </c>
      <c r="C386" s="1" t="s">
        <v>3356</v>
      </c>
      <c r="D386" s="8" t="s">
        <v>3355</v>
      </c>
      <c r="E386" s="1" t="s">
        <v>159</v>
      </c>
      <c r="F386" s="1" t="s">
        <v>6393</v>
      </c>
      <c r="G386" s="1" t="s">
        <v>4750</v>
      </c>
      <c r="H386" s="1" t="s">
        <v>4747</v>
      </c>
      <c r="I386" s="1" t="s">
        <v>4721</v>
      </c>
      <c r="J386" s="1" t="s">
        <v>12</v>
      </c>
      <c r="K386" s="1" t="s">
        <v>4838</v>
      </c>
      <c r="L386" s="1" t="s">
        <v>60</v>
      </c>
      <c r="M386" s="1" t="s">
        <v>648</v>
      </c>
      <c r="N386" s="1" t="s">
        <v>25</v>
      </c>
    </row>
    <row r="387" spans="1:14" x14ac:dyDescent="0.25">
      <c r="A387" s="1" t="s">
        <v>47</v>
      </c>
      <c r="B387" s="1" t="s">
        <v>6234</v>
      </c>
      <c r="C387" s="1" t="s">
        <v>4875</v>
      </c>
      <c r="D387" s="8" t="s">
        <v>4874</v>
      </c>
      <c r="E387" s="1" t="s">
        <v>1112</v>
      </c>
      <c r="F387" s="1" t="s">
        <v>6408</v>
      </c>
      <c r="G387" s="1" t="s">
        <v>4748</v>
      </c>
      <c r="H387" s="1" t="s">
        <v>4747</v>
      </c>
      <c r="I387" s="1" t="s">
        <v>4721</v>
      </c>
      <c r="J387" s="1" t="s">
        <v>39</v>
      </c>
      <c r="K387" s="1" t="s">
        <v>4817</v>
      </c>
      <c r="L387" s="1" t="s">
        <v>224</v>
      </c>
      <c r="M387" s="1" t="s">
        <v>136</v>
      </c>
      <c r="N387" s="1" t="s">
        <v>72</v>
      </c>
    </row>
    <row r="388" spans="1:14" x14ac:dyDescent="0.25">
      <c r="A388" s="1" t="s">
        <v>47</v>
      </c>
      <c r="B388" s="1" t="s">
        <v>5965</v>
      </c>
      <c r="C388" s="1" t="s">
        <v>1933</v>
      </c>
      <c r="D388" s="8" t="s">
        <v>1932</v>
      </c>
      <c r="E388" s="1" t="s">
        <v>368</v>
      </c>
      <c r="F388" s="1" t="s">
        <v>6401</v>
      </c>
      <c r="G388" s="1" t="s">
        <v>4746</v>
      </c>
      <c r="H388" s="1" t="s">
        <v>4747</v>
      </c>
      <c r="I388" s="1" t="s">
        <v>4721</v>
      </c>
      <c r="J388" s="1" t="s">
        <v>12</v>
      </c>
      <c r="K388" s="1" t="s">
        <v>4786</v>
      </c>
      <c r="L388" s="1" t="s">
        <v>227</v>
      </c>
      <c r="M388" s="1" t="s">
        <v>172</v>
      </c>
      <c r="N388" s="1" t="s">
        <v>17</v>
      </c>
    </row>
    <row r="389" spans="1:14" x14ac:dyDescent="0.25">
      <c r="A389" s="1" t="s">
        <v>47</v>
      </c>
      <c r="B389" s="1" t="s">
        <v>5966</v>
      </c>
      <c r="C389" s="1" t="s">
        <v>3573</v>
      </c>
      <c r="D389" s="8" t="s">
        <v>3572</v>
      </c>
      <c r="E389" s="1" t="s">
        <v>67</v>
      </c>
      <c r="F389" s="1" t="s">
        <v>6406</v>
      </c>
      <c r="G389" s="1" t="s">
        <v>4748</v>
      </c>
      <c r="H389" s="1" t="s">
        <v>4747</v>
      </c>
      <c r="I389" s="1" t="s">
        <v>4721</v>
      </c>
      <c r="J389" s="1" t="s">
        <v>12</v>
      </c>
      <c r="K389" s="1" t="s">
        <v>4787</v>
      </c>
      <c r="L389" s="1" t="s">
        <v>66</v>
      </c>
      <c r="M389" s="1" t="s">
        <v>245</v>
      </c>
      <c r="N389" s="1" t="s">
        <v>21</v>
      </c>
    </row>
    <row r="390" spans="1:14" x14ac:dyDescent="0.25">
      <c r="A390" s="1" t="s">
        <v>47</v>
      </c>
      <c r="B390" s="1" t="s">
        <v>5967</v>
      </c>
      <c r="C390" s="1" t="s">
        <v>1414</v>
      </c>
      <c r="D390" s="8" t="s">
        <v>1413</v>
      </c>
      <c r="E390" s="1" t="s">
        <v>368</v>
      </c>
      <c r="F390" s="1" t="s">
        <v>4749</v>
      </c>
      <c r="G390" s="1" t="s">
        <v>4750</v>
      </c>
      <c r="H390" s="1" t="s">
        <v>4747</v>
      </c>
      <c r="I390" s="1" t="s">
        <v>4721</v>
      </c>
      <c r="J390" s="1" t="s">
        <v>12</v>
      </c>
      <c r="K390" s="1" t="s">
        <v>4834</v>
      </c>
      <c r="L390" s="1" t="s">
        <v>227</v>
      </c>
      <c r="M390" s="1" t="s">
        <v>245</v>
      </c>
      <c r="N390" s="1" t="s">
        <v>21</v>
      </c>
    </row>
    <row r="391" spans="1:14" x14ac:dyDescent="0.25">
      <c r="A391" s="1" t="s">
        <v>47</v>
      </c>
      <c r="B391" s="1" t="s">
        <v>6237</v>
      </c>
      <c r="C391" s="1" t="s">
        <v>1901</v>
      </c>
      <c r="D391" s="8" t="s">
        <v>1900</v>
      </c>
      <c r="E391" s="1" t="s">
        <v>1112</v>
      </c>
      <c r="F391" s="1" t="s">
        <v>6408</v>
      </c>
      <c r="G391" s="1" t="s">
        <v>4748</v>
      </c>
      <c r="H391" s="1" t="s">
        <v>4747</v>
      </c>
      <c r="I391" s="1" t="s">
        <v>4721</v>
      </c>
      <c r="J391" s="1" t="s">
        <v>12</v>
      </c>
      <c r="K391" s="1" t="s">
        <v>4817</v>
      </c>
      <c r="L391" s="1" t="s">
        <v>224</v>
      </c>
      <c r="M391" s="1" t="s">
        <v>245</v>
      </c>
      <c r="N391" s="1" t="s">
        <v>21</v>
      </c>
    </row>
    <row r="392" spans="1:14" x14ac:dyDescent="0.25">
      <c r="A392" s="1" t="s">
        <v>47</v>
      </c>
      <c r="B392" s="1" t="s">
        <v>6238</v>
      </c>
      <c r="C392" s="1" t="s">
        <v>2948</v>
      </c>
      <c r="D392" s="8" t="s">
        <v>2947</v>
      </c>
      <c r="E392" s="1" t="s">
        <v>511</v>
      </c>
      <c r="F392" s="1" t="s">
        <v>4752</v>
      </c>
      <c r="G392" s="1" t="s">
        <v>4746</v>
      </c>
      <c r="H392" s="1" t="s">
        <v>4747</v>
      </c>
      <c r="I392" s="1" t="s">
        <v>4722</v>
      </c>
      <c r="J392" s="1" t="s">
        <v>39</v>
      </c>
      <c r="K392" s="1" t="s">
        <v>4861</v>
      </c>
      <c r="L392" s="1" t="s">
        <v>48</v>
      </c>
      <c r="M392" s="1" t="s">
        <v>883</v>
      </c>
      <c r="N392" s="1" t="s">
        <v>21</v>
      </c>
    </row>
    <row r="393" spans="1:14" x14ac:dyDescent="0.25">
      <c r="A393" s="1" t="s">
        <v>47</v>
      </c>
      <c r="B393" s="1" t="s">
        <v>5968</v>
      </c>
      <c r="C393" s="1" t="s">
        <v>2723</v>
      </c>
      <c r="D393" s="8" t="s">
        <v>2722</v>
      </c>
      <c r="E393" s="1" t="s">
        <v>368</v>
      </c>
      <c r="F393" s="1" t="s">
        <v>4749</v>
      </c>
      <c r="G393" s="1" t="s">
        <v>4750</v>
      </c>
      <c r="H393" s="1" t="s">
        <v>4747</v>
      </c>
      <c r="I393" s="1" t="s">
        <v>4721</v>
      </c>
      <c r="J393" s="1" t="s">
        <v>12</v>
      </c>
      <c r="K393" s="1" t="s">
        <v>4834</v>
      </c>
      <c r="L393" s="1" t="s">
        <v>227</v>
      </c>
      <c r="M393" s="1" t="s">
        <v>245</v>
      </c>
      <c r="N393" s="1" t="s">
        <v>21</v>
      </c>
    </row>
    <row r="394" spans="1:14" x14ac:dyDescent="0.25">
      <c r="A394" s="1" t="s">
        <v>47</v>
      </c>
      <c r="B394" s="1" t="s">
        <v>6240</v>
      </c>
      <c r="C394" s="1" t="s">
        <v>801</v>
      </c>
      <c r="D394" s="8" t="s">
        <v>800</v>
      </c>
      <c r="E394" s="1" t="s">
        <v>264</v>
      </c>
      <c r="F394" s="1" t="s">
        <v>6391</v>
      </c>
      <c r="G394" s="1" t="s">
        <v>4750</v>
      </c>
      <c r="H394" s="1" t="s">
        <v>4747</v>
      </c>
      <c r="I394" s="1" t="s">
        <v>4721</v>
      </c>
      <c r="J394" s="1" t="s">
        <v>12</v>
      </c>
      <c r="K394" s="1" t="s">
        <v>4809</v>
      </c>
      <c r="L394" s="1" t="s">
        <v>227</v>
      </c>
      <c r="M394" s="1" t="s">
        <v>648</v>
      </c>
      <c r="N394" s="1" t="s">
        <v>25</v>
      </c>
    </row>
    <row r="395" spans="1:14" x14ac:dyDescent="0.25">
      <c r="A395" s="1" t="s">
        <v>47</v>
      </c>
      <c r="B395" s="1" t="s">
        <v>6241</v>
      </c>
      <c r="C395" s="1" t="s">
        <v>2954</v>
      </c>
      <c r="D395" s="8" t="s">
        <v>2953</v>
      </c>
      <c r="E395" s="1" t="s">
        <v>464</v>
      </c>
      <c r="F395" s="1" t="s">
        <v>4752</v>
      </c>
      <c r="G395" s="1" t="s">
        <v>4746</v>
      </c>
      <c r="H395" s="1" t="s">
        <v>4747</v>
      </c>
      <c r="I395" s="1" t="s">
        <v>4721</v>
      </c>
      <c r="J395" s="1" t="s">
        <v>12</v>
      </c>
      <c r="K395" s="1" t="s">
        <v>4861</v>
      </c>
      <c r="L395" s="1" t="s">
        <v>48</v>
      </c>
      <c r="M395" s="1" t="s">
        <v>630</v>
      </c>
      <c r="N395" s="1" t="s">
        <v>21</v>
      </c>
    </row>
    <row r="396" spans="1:14" x14ac:dyDescent="0.25">
      <c r="A396" s="1" t="s">
        <v>47</v>
      </c>
      <c r="B396" s="1" t="s">
        <v>5970</v>
      </c>
      <c r="C396" s="1" t="s">
        <v>3407</v>
      </c>
      <c r="D396" s="8" t="s">
        <v>3406</v>
      </c>
      <c r="E396" s="1" t="s">
        <v>49</v>
      </c>
      <c r="F396" s="1" t="s">
        <v>6402</v>
      </c>
      <c r="G396" s="1" t="s">
        <v>4746</v>
      </c>
      <c r="H396" s="1" t="s">
        <v>4747</v>
      </c>
      <c r="I396" s="1" t="s">
        <v>4721</v>
      </c>
      <c r="J396" s="1" t="s">
        <v>12</v>
      </c>
      <c r="K396" s="1" t="s">
        <v>4860</v>
      </c>
      <c r="L396" s="1" t="s">
        <v>48</v>
      </c>
      <c r="M396" s="1" t="s">
        <v>364</v>
      </c>
      <c r="N396" s="1" t="s">
        <v>37</v>
      </c>
    </row>
    <row r="397" spans="1:14" x14ac:dyDescent="0.25">
      <c r="A397" s="1" t="s">
        <v>47</v>
      </c>
      <c r="B397" s="1" t="s">
        <v>6242</v>
      </c>
      <c r="C397" s="1" t="s">
        <v>3410</v>
      </c>
      <c r="D397" s="8" t="s">
        <v>3409</v>
      </c>
      <c r="E397" s="1" t="s">
        <v>49</v>
      </c>
      <c r="F397" s="1" t="s">
        <v>6402</v>
      </c>
      <c r="G397" s="1" t="s">
        <v>4746</v>
      </c>
      <c r="H397" s="1" t="s">
        <v>4747</v>
      </c>
      <c r="I397" s="1" t="s">
        <v>4721</v>
      </c>
      <c r="J397" s="1" t="s">
        <v>12</v>
      </c>
      <c r="K397" s="1" t="s">
        <v>4860</v>
      </c>
      <c r="L397" s="1" t="s">
        <v>48</v>
      </c>
      <c r="M397" s="1" t="s">
        <v>364</v>
      </c>
      <c r="N397" s="1" t="s">
        <v>37</v>
      </c>
    </row>
    <row r="398" spans="1:14" x14ac:dyDescent="0.25">
      <c r="A398" s="1" t="s">
        <v>47</v>
      </c>
      <c r="B398" s="1" t="s">
        <v>5971</v>
      </c>
      <c r="C398" s="1" t="s">
        <v>938</v>
      </c>
      <c r="D398" s="8" t="s">
        <v>936</v>
      </c>
      <c r="E398" s="1" t="s">
        <v>341</v>
      </c>
      <c r="F398" s="1" t="s">
        <v>6415</v>
      </c>
      <c r="G398" s="1" t="s">
        <v>6399</v>
      </c>
      <c r="H398" s="1" t="s">
        <v>6400</v>
      </c>
      <c r="I398" s="1" t="s">
        <v>4721</v>
      </c>
      <c r="J398" s="1" t="s">
        <v>12</v>
      </c>
      <c r="K398" s="1" t="s">
        <v>4801</v>
      </c>
      <c r="L398" s="1" t="s">
        <v>56</v>
      </c>
      <c r="M398" s="1" t="s">
        <v>58</v>
      </c>
      <c r="N398" s="1" t="s">
        <v>61</v>
      </c>
    </row>
    <row r="399" spans="1:14" x14ac:dyDescent="0.25">
      <c r="A399" s="1" t="s">
        <v>47</v>
      </c>
      <c r="B399" s="1" t="s">
        <v>5972</v>
      </c>
      <c r="C399" s="1" t="s">
        <v>3332</v>
      </c>
      <c r="D399" s="8" t="s">
        <v>3331</v>
      </c>
      <c r="E399" s="1" t="s">
        <v>251</v>
      </c>
      <c r="F399" s="1" t="s">
        <v>6393</v>
      </c>
      <c r="G399" s="1" t="s">
        <v>4750</v>
      </c>
      <c r="H399" s="1" t="s">
        <v>4747</v>
      </c>
      <c r="I399" s="1" t="s">
        <v>4721</v>
      </c>
      <c r="J399" s="1" t="s">
        <v>12</v>
      </c>
      <c r="K399" s="1" t="s">
        <v>4809</v>
      </c>
      <c r="L399" s="1" t="s">
        <v>224</v>
      </c>
      <c r="M399" s="1" t="s">
        <v>648</v>
      </c>
      <c r="N399" s="1" t="s">
        <v>25</v>
      </c>
    </row>
    <row r="400" spans="1:14" x14ac:dyDescent="0.25">
      <c r="A400" s="1" t="s">
        <v>47</v>
      </c>
      <c r="B400" s="1" t="s">
        <v>6243</v>
      </c>
      <c r="C400" s="1" t="s">
        <v>3246</v>
      </c>
      <c r="D400" s="8" t="s">
        <v>3245</v>
      </c>
      <c r="E400" s="1" t="s">
        <v>264</v>
      </c>
      <c r="F400" s="1" t="s">
        <v>6392</v>
      </c>
      <c r="G400" s="1" t="s">
        <v>4750</v>
      </c>
      <c r="H400" s="1" t="s">
        <v>4747</v>
      </c>
      <c r="I400" s="1" t="s">
        <v>4721</v>
      </c>
      <c r="J400" s="1" t="s">
        <v>12</v>
      </c>
      <c r="K400" s="1" t="s">
        <v>4806</v>
      </c>
      <c r="L400" s="1" t="s">
        <v>227</v>
      </c>
      <c r="M400" s="1" t="s">
        <v>648</v>
      </c>
      <c r="N400" s="1" t="s">
        <v>25</v>
      </c>
    </row>
    <row r="401" spans="1:14" x14ac:dyDescent="0.25">
      <c r="A401" s="1" t="s">
        <v>47</v>
      </c>
      <c r="B401" s="1" t="s">
        <v>5974</v>
      </c>
      <c r="C401" s="1" t="s">
        <v>2170</v>
      </c>
      <c r="D401" s="8" t="s">
        <v>2169</v>
      </c>
      <c r="E401" s="1" t="s">
        <v>244</v>
      </c>
      <c r="F401" s="1" t="s">
        <v>6403</v>
      </c>
      <c r="G401" s="1" t="s">
        <v>4746</v>
      </c>
      <c r="H401" s="1" t="s">
        <v>4747</v>
      </c>
      <c r="I401" s="1" t="s">
        <v>4721</v>
      </c>
      <c r="J401" s="1" t="s">
        <v>12</v>
      </c>
      <c r="K401" s="1" t="s">
        <v>4778</v>
      </c>
      <c r="L401" s="1" t="s">
        <v>60</v>
      </c>
      <c r="M401" s="1" t="s">
        <v>4780</v>
      </c>
      <c r="N401" s="1" t="s">
        <v>21</v>
      </c>
    </row>
    <row r="402" spans="1:14" x14ac:dyDescent="0.25">
      <c r="A402" s="1" t="s">
        <v>47</v>
      </c>
      <c r="B402" s="1" t="s">
        <v>6244</v>
      </c>
      <c r="C402" s="1" t="s">
        <v>268</v>
      </c>
      <c r="D402" s="8" t="s">
        <v>267</v>
      </c>
      <c r="E402" s="1" t="s">
        <v>269</v>
      </c>
      <c r="F402" s="1" t="s">
        <v>6404</v>
      </c>
      <c r="G402" s="1" t="s">
        <v>4748</v>
      </c>
      <c r="H402" s="1" t="s">
        <v>4747</v>
      </c>
      <c r="I402" s="1" t="s">
        <v>4722</v>
      </c>
      <c r="J402" s="1" t="s">
        <v>39</v>
      </c>
      <c r="K402" s="1" t="s">
        <v>4829</v>
      </c>
      <c r="L402" s="1" t="s">
        <v>227</v>
      </c>
      <c r="M402" s="1" t="s">
        <v>245</v>
      </c>
      <c r="N402" s="1" t="s">
        <v>21</v>
      </c>
    </row>
    <row r="403" spans="1:14" x14ac:dyDescent="0.25">
      <c r="A403" s="1" t="s">
        <v>47</v>
      </c>
      <c r="B403" s="1" t="s">
        <v>6245</v>
      </c>
      <c r="C403" s="1" t="s">
        <v>2993</v>
      </c>
      <c r="D403" s="8" t="s">
        <v>2992</v>
      </c>
      <c r="E403" s="1" t="s">
        <v>181</v>
      </c>
      <c r="F403" s="1" t="s">
        <v>6395</v>
      </c>
      <c r="G403" s="1" t="s">
        <v>4748</v>
      </c>
      <c r="H403" s="1" t="s">
        <v>4747</v>
      </c>
      <c r="I403" s="1" t="s">
        <v>4721</v>
      </c>
      <c r="J403" s="1" t="s">
        <v>12</v>
      </c>
      <c r="K403" s="1" t="s">
        <v>4792</v>
      </c>
      <c r="L403" s="1" t="s">
        <v>66</v>
      </c>
      <c r="M403" s="1" t="s">
        <v>883</v>
      </c>
      <c r="N403" s="1" t="s">
        <v>21</v>
      </c>
    </row>
    <row r="404" spans="1:14" x14ac:dyDescent="0.25">
      <c r="A404" s="1" t="s">
        <v>47</v>
      </c>
      <c r="B404" s="1" t="s">
        <v>6246</v>
      </c>
      <c r="C404" s="1" t="s">
        <v>3897</v>
      </c>
      <c r="D404" s="8" t="s">
        <v>3896</v>
      </c>
      <c r="E404" s="1" t="s">
        <v>2104</v>
      </c>
      <c r="F404" s="1" t="s">
        <v>6411</v>
      </c>
      <c r="G404" s="1" t="s">
        <v>4746</v>
      </c>
      <c r="H404" s="1" t="s">
        <v>4747</v>
      </c>
      <c r="I404" s="1" t="s">
        <v>4721</v>
      </c>
      <c r="J404" s="1" t="s">
        <v>39</v>
      </c>
      <c r="K404" s="1" t="s">
        <v>4866</v>
      </c>
      <c r="L404" s="1" t="s">
        <v>56</v>
      </c>
      <c r="M404" s="1" t="s">
        <v>136</v>
      </c>
      <c r="N404" s="1" t="s">
        <v>72</v>
      </c>
    </row>
    <row r="405" spans="1:14" x14ac:dyDescent="0.25">
      <c r="A405" s="1" t="s">
        <v>47</v>
      </c>
      <c r="B405" s="1" t="s">
        <v>5977</v>
      </c>
      <c r="C405" s="1" t="s">
        <v>4215</v>
      </c>
      <c r="D405" s="8" t="s">
        <v>4214</v>
      </c>
      <c r="E405" s="1" t="s">
        <v>142</v>
      </c>
      <c r="F405" s="1" t="s">
        <v>6396</v>
      </c>
      <c r="G405" s="1" t="s">
        <v>4748</v>
      </c>
      <c r="H405" s="1" t="s">
        <v>4747</v>
      </c>
      <c r="I405" s="1" t="s">
        <v>4721</v>
      </c>
      <c r="J405" s="1" t="s">
        <v>12</v>
      </c>
      <c r="K405" s="1" t="s">
        <v>4845</v>
      </c>
      <c r="L405" s="1" t="s">
        <v>141</v>
      </c>
      <c r="M405" s="1" t="s">
        <v>364</v>
      </c>
      <c r="N405" s="1" t="s">
        <v>37</v>
      </c>
    </row>
    <row r="406" spans="1:14" x14ac:dyDescent="0.25">
      <c r="A406" s="1" t="s">
        <v>47</v>
      </c>
      <c r="B406" s="1" t="s">
        <v>6247</v>
      </c>
      <c r="C406" s="1" t="s">
        <v>2822</v>
      </c>
      <c r="D406" s="8" t="s">
        <v>2821</v>
      </c>
      <c r="E406" s="1" t="s">
        <v>341</v>
      </c>
      <c r="F406" s="1" t="s">
        <v>6397</v>
      </c>
      <c r="G406" s="1" t="s">
        <v>4746</v>
      </c>
      <c r="H406" s="1" t="s">
        <v>4747</v>
      </c>
      <c r="I406" s="1" t="s">
        <v>4722</v>
      </c>
      <c r="J406" s="1" t="s">
        <v>39</v>
      </c>
      <c r="K406" s="1" t="s">
        <v>4813</v>
      </c>
      <c r="L406" s="1" t="s">
        <v>56</v>
      </c>
      <c r="M406" s="1" t="s">
        <v>245</v>
      </c>
      <c r="N406" s="1" t="s">
        <v>21</v>
      </c>
    </row>
    <row r="407" spans="1:14" x14ac:dyDescent="0.25">
      <c r="A407" s="1" t="s">
        <v>47</v>
      </c>
      <c r="B407" s="1" t="s">
        <v>5979</v>
      </c>
      <c r="C407" s="1" t="s">
        <v>2861</v>
      </c>
      <c r="D407" s="8" t="s">
        <v>2860</v>
      </c>
      <c r="E407" s="1" t="s">
        <v>2862</v>
      </c>
      <c r="F407" s="1" t="s">
        <v>6396</v>
      </c>
      <c r="G407" s="1" t="s">
        <v>4748</v>
      </c>
      <c r="H407" s="1" t="s">
        <v>4747</v>
      </c>
      <c r="I407" s="1" t="s">
        <v>4722</v>
      </c>
      <c r="J407" s="1" t="s">
        <v>39</v>
      </c>
      <c r="K407" s="1" t="s">
        <v>4845</v>
      </c>
      <c r="L407" s="1" t="s">
        <v>141</v>
      </c>
      <c r="M407" s="1" t="s">
        <v>99</v>
      </c>
      <c r="N407" s="1" t="s">
        <v>25</v>
      </c>
    </row>
    <row r="408" spans="1:14" x14ac:dyDescent="0.25">
      <c r="A408" s="1" t="s">
        <v>47</v>
      </c>
      <c r="B408" s="1" t="s">
        <v>6252</v>
      </c>
      <c r="C408" s="1" t="s">
        <v>2167</v>
      </c>
      <c r="D408" s="8" t="s">
        <v>2166</v>
      </c>
      <c r="E408" s="1" t="s">
        <v>601</v>
      </c>
      <c r="F408" s="1" t="s">
        <v>6403</v>
      </c>
      <c r="G408" s="1" t="s">
        <v>4746</v>
      </c>
      <c r="H408" s="1" t="s">
        <v>4747</v>
      </c>
      <c r="I408" s="1" t="s">
        <v>4721</v>
      </c>
      <c r="J408" s="1" t="s">
        <v>12</v>
      </c>
      <c r="K408" s="1" t="s">
        <v>4778</v>
      </c>
      <c r="L408" s="1" t="s">
        <v>60</v>
      </c>
      <c r="M408" s="1" t="s">
        <v>245</v>
      </c>
      <c r="N408" s="1" t="s">
        <v>21</v>
      </c>
    </row>
    <row r="409" spans="1:14" x14ac:dyDescent="0.25">
      <c r="A409" s="1" t="s">
        <v>47</v>
      </c>
      <c r="B409" s="1" t="s">
        <v>5980</v>
      </c>
      <c r="C409" s="1" t="s">
        <v>1229</v>
      </c>
      <c r="D409" s="8" t="s">
        <v>1228</v>
      </c>
      <c r="E409" s="1" t="s">
        <v>57</v>
      </c>
      <c r="F409" s="1" t="s">
        <v>6405</v>
      </c>
      <c r="G409" s="1" t="s">
        <v>4746</v>
      </c>
      <c r="H409" s="1" t="s">
        <v>4747</v>
      </c>
      <c r="I409" s="1" t="s">
        <v>4721</v>
      </c>
      <c r="J409" s="1" t="s">
        <v>12</v>
      </c>
      <c r="K409" s="1" t="s">
        <v>4779</v>
      </c>
      <c r="L409" s="1" t="s">
        <v>56</v>
      </c>
      <c r="M409" s="1" t="s">
        <v>883</v>
      </c>
      <c r="N409" s="1" t="s">
        <v>21</v>
      </c>
    </row>
    <row r="410" spans="1:14" x14ac:dyDescent="0.25">
      <c r="A410" s="1" t="s">
        <v>47</v>
      </c>
      <c r="B410" s="1" t="s">
        <v>5981</v>
      </c>
      <c r="C410" s="1" t="s">
        <v>4245</v>
      </c>
      <c r="D410" s="8" t="s">
        <v>4244</v>
      </c>
      <c r="E410" s="1" t="s">
        <v>2862</v>
      </c>
      <c r="F410" s="1" t="s">
        <v>6396</v>
      </c>
      <c r="G410" s="1" t="s">
        <v>4748</v>
      </c>
      <c r="H410" s="1" t="s">
        <v>4747</v>
      </c>
      <c r="I410" s="1" t="s">
        <v>4722</v>
      </c>
      <c r="J410" s="1" t="s">
        <v>39</v>
      </c>
      <c r="K410" s="1" t="s">
        <v>4845</v>
      </c>
      <c r="L410" s="1" t="s">
        <v>141</v>
      </c>
      <c r="M410" s="1" t="s">
        <v>99</v>
      </c>
      <c r="N410" s="1" t="s">
        <v>25</v>
      </c>
    </row>
    <row r="411" spans="1:14" x14ac:dyDescent="0.25">
      <c r="A411" s="1" t="s">
        <v>47</v>
      </c>
      <c r="B411" s="1" t="s">
        <v>5982</v>
      </c>
      <c r="C411" s="1" t="s">
        <v>3314</v>
      </c>
      <c r="D411" s="8" t="s">
        <v>3313</v>
      </c>
      <c r="E411" s="1" t="s">
        <v>159</v>
      </c>
      <c r="F411" s="1" t="s">
        <v>6392</v>
      </c>
      <c r="G411" s="1" t="s">
        <v>4750</v>
      </c>
      <c r="H411" s="1" t="s">
        <v>4747</v>
      </c>
      <c r="I411" s="1" t="s">
        <v>4721</v>
      </c>
      <c r="J411" s="1" t="s">
        <v>12</v>
      </c>
      <c r="K411" s="1" t="s">
        <v>4806</v>
      </c>
      <c r="L411" s="1" t="s">
        <v>60</v>
      </c>
      <c r="M411" s="1" t="s">
        <v>99</v>
      </c>
      <c r="N411" s="1" t="s">
        <v>25</v>
      </c>
    </row>
    <row r="412" spans="1:14" x14ac:dyDescent="0.25">
      <c r="A412" s="1" t="s">
        <v>47</v>
      </c>
      <c r="B412" s="1" t="s">
        <v>5983</v>
      </c>
      <c r="C412" s="1" t="s">
        <v>1156</v>
      </c>
      <c r="D412" s="8" t="s">
        <v>1155</v>
      </c>
      <c r="E412" s="1" t="s">
        <v>225</v>
      </c>
      <c r="F412" s="1" t="s">
        <v>4751</v>
      </c>
      <c r="G412" s="1" t="s">
        <v>4748</v>
      </c>
      <c r="H412" s="1" t="s">
        <v>4747</v>
      </c>
      <c r="I412" s="1" t="s">
        <v>4722</v>
      </c>
      <c r="J412" s="1" t="s">
        <v>39</v>
      </c>
      <c r="K412" s="1" t="s">
        <v>4817</v>
      </c>
      <c r="L412" s="1" t="s">
        <v>224</v>
      </c>
      <c r="M412" s="1" t="s">
        <v>245</v>
      </c>
      <c r="N412" s="1" t="s">
        <v>21</v>
      </c>
    </row>
    <row r="413" spans="1:14" x14ac:dyDescent="0.25">
      <c r="A413" s="1" t="s">
        <v>47</v>
      </c>
      <c r="B413" s="1" t="s">
        <v>6256</v>
      </c>
      <c r="C413" s="1" t="s">
        <v>3344</v>
      </c>
      <c r="D413" s="8" t="s">
        <v>3343</v>
      </c>
      <c r="E413" s="1" t="s">
        <v>251</v>
      </c>
      <c r="F413" s="1" t="s">
        <v>6393</v>
      </c>
      <c r="G413" s="1" t="s">
        <v>4750</v>
      </c>
      <c r="H413" s="1" t="s">
        <v>4747</v>
      </c>
      <c r="I413" s="1" t="s">
        <v>4721</v>
      </c>
      <c r="J413" s="1" t="s">
        <v>12</v>
      </c>
      <c r="K413" s="1" t="s">
        <v>4811</v>
      </c>
      <c r="L413" s="1" t="s">
        <v>224</v>
      </c>
      <c r="M413" s="1" t="s">
        <v>613</v>
      </c>
      <c r="N413" s="1" t="s">
        <v>25</v>
      </c>
    </row>
    <row r="414" spans="1:14" x14ac:dyDescent="0.25">
      <c r="A414" s="1" t="s">
        <v>47</v>
      </c>
      <c r="B414" s="1" t="s">
        <v>5985</v>
      </c>
      <c r="C414" s="1" t="s">
        <v>2638</v>
      </c>
      <c r="D414" s="8" t="s">
        <v>2637</v>
      </c>
      <c r="E414" s="1" t="s">
        <v>57</v>
      </c>
      <c r="F414" s="1" t="s">
        <v>6405</v>
      </c>
      <c r="G414" s="1" t="s">
        <v>4746</v>
      </c>
      <c r="H414" s="1" t="s">
        <v>4747</v>
      </c>
      <c r="I414" s="1" t="s">
        <v>4721</v>
      </c>
      <c r="J414" s="1" t="s">
        <v>12</v>
      </c>
      <c r="K414" s="1" t="s">
        <v>4779</v>
      </c>
      <c r="L414" s="1" t="s">
        <v>56</v>
      </c>
      <c r="M414" s="1" t="s">
        <v>245</v>
      </c>
      <c r="N414" s="1" t="s">
        <v>21</v>
      </c>
    </row>
    <row r="415" spans="1:14" x14ac:dyDescent="0.25">
      <c r="A415" s="1" t="s">
        <v>47</v>
      </c>
      <c r="B415" s="1" t="s">
        <v>6260</v>
      </c>
      <c r="C415" s="1" t="s">
        <v>3395</v>
      </c>
      <c r="D415" s="8" t="s">
        <v>3394</v>
      </c>
      <c r="E415" s="1" t="s">
        <v>49</v>
      </c>
      <c r="F415" s="1" t="s">
        <v>6402</v>
      </c>
      <c r="G415" s="1" t="s">
        <v>4746</v>
      </c>
      <c r="H415" s="1" t="s">
        <v>4747</v>
      </c>
      <c r="I415" s="1" t="s">
        <v>4722</v>
      </c>
      <c r="J415" s="1" t="s">
        <v>39</v>
      </c>
      <c r="K415" s="1" t="s">
        <v>4860</v>
      </c>
      <c r="L415" s="1" t="s">
        <v>48</v>
      </c>
      <c r="M415" s="1" t="s">
        <v>883</v>
      </c>
      <c r="N415" s="1" t="s">
        <v>21</v>
      </c>
    </row>
    <row r="416" spans="1:14" x14ac:dyDescent="0.25">
      <c r="A416" s="1" t="s">
        <v>47</v>
      </c>
      <c r="B416" s="1" t="s">
        <v>6261</v>
      </c>
      <c r="C416" s="1" t="s">
        <v>3644</v>
      </c>
      <c r="D416" s="8" t="s">
        <v>3643</v>
      </c>
      <c r="E416" s="1" t="s">
        <v>350</v>
      </c>
      <c r="F416" s="1" t="s">
        <v>6401</v>
      </c>
      <c r="G416" s="1" t="s">
        <v>4746</v>
      </c>
      <c r="H416" s="1" t="s">
        <v>4747</v>
      </c>
      <c r="I416" s="1" t="s">
        <v>4721</v>
      </c>
      <c r="J416" s="1" t="s">
        <v>12</v>
      </c>
      <c r="K416" s="1" t="s">
        <v>4810</v>
      </c>
      <c r="L416" s="1" t="s">
        <v>227</v>
      </c>
      <c r="M416" s="1" t="s">
        <v>172</v>
      </c>
      <c r="N416" s="1" t="s">
        <v>17</v>
      </c>
    </row>
    <row r="417" spans="1:14" x14ac:dyDescent="0.25">
      <c r="A417" s="1" t="s">
        <v>47</v>
      </c>
      <c r="B417" s="1" t="s">
        <v>5986</v>
      </c>
      <c r="C417" s="1" t="s">
        <v>1706</v>
      </c>
      <c r="D417" s="8" t="s">
        <v>1705</v>
      </c>
      <c r="E417" s="1" t="s">
        <v>181</v>
      </c>
      <c r="F417" s="1" t="s">
        <v>6395</v>
      </c>
      <c r="G417" s="1" t="s">
        <v>4748</v>
      </c>
      <c r="H417" s="1" t="s">
        <v>4747</v>
      </c>
      <c r="I417" s="1" t="s">
        <v>4721</v>
      </c>
      <c r="J417" s="1" t="s">
        <v>12</v>
      </c>
      <c r="K417" s="1" t="s">
        <v>4792</v>
      </c>
      <c r="L417" s="1" t="s">
        <v>66</v>
      </c>
      <c r="M417" s="1" t="s">
        <v>364</v>
      </c>
      <c r="N417" s="1" t="s">
        <v>37</v>
      </c>
    </row>
    <row r="418" spans="1:14" x14ac:dyDescent="0.25">
      <c r="A418" s="1" t="s">
        <v>47</v>
      </c>
      <c r="B418" s="1" t="s">
        <v>6263</v>
      </c>
      <c r="C418" s="1" t="s">
        <v>1389</v>
      </c>
      <c r="D418" s="8" t="s">
        <v>1388</v>
      </c>
      <c r="E418" s="1" t="s">
        <v>278</v>
      </c>
      <c r="F418" s="1" t="s">
        <v>6398</v>
      </c>
      <c r="G418" s="1" t="s">
        <v>4746</v>
      </c>
      <c r="H418" s="1" t="s">
        <v>4747</v>
      </c>
      <c r="I418" s="1" t="s">
        <v>4722</v>
      </c>
      <c r="J418" s="1" t="s">
        <v>39</v>
      </c>
      <c r="K418" s="1" t="s">
        <v>4821</v>
      </c>
      <c r="L418" s="1" t="s">
        <v>60</v>
      </c>
      <c r="M418" s="1" t="s">
        <v>245</v>
      </c>
      <c r="N418" s="1" t="s">
        <v>21</v>
      </c>
    </row>
    <row r="419" spans="1:14" x14ac:dyDescent="0.25">
      <c r="A419" s="1" t="s">
        <v>47</v>
      </c>
      <c r="B419" s="1" t="s">
        <v>6268</v>
      </c>
      <c r="C419" s="1" t="s">
        <v>3891</v>
      </c>
      <c r="D419" s="8" t="s">
        <v>3890</v>
      </c>
      <c r="E419" s="1" t="s">
        <v>341</v>
      </c>
      <c r="F419" s="1" t="s">
        <v>6411</v>
      </c>
      <c r="G419" s="1" t="s">
        <v>4746</v>
      </c>
      <c r="H419" s="1" t="s">
        <v>4747</v>
      </c>
      <c r="I419" s="1" t="s">
        <v>6407</v>
      </c>
      <c r="J419" s="1" t="s">
        <v>39</v>
      </c>
      <c r="K419" s="1" t="s">
        <v>4866</v>
      </c>
      <c r="L419" s="1" t="s">
        <v>56</v>
      </c>
      <c r="M419" s="1" t="s">
        <v>883</v>
      </c>
      <c r="N419" s="1" t="s">
        <v>21</v>
      </c>
    </row>
    <row r="420" spans="1:14" x14ac:dyDescent="0.25">
      <c r="A420" s="1" t="s">
        <v>47</v>
      </c>
      <c r="B420" s="1" t="s">
        <v>6270</v>
      </c>
      <c r="C420" s="1" t="s">
        <v>3320</v>
      </c>
      <c r="D420" s="8" t="s">
        <v>3319</v>
      </c>
      <c r="E420" s="1" t="s">
        <v>49</v>
      </c>
      <c r="F420" s="1" t="s">
        <v>6402</v>
      </c>
      <c r="G420" s="1" t="s">
        <v>4746</v>
      </c>
      <c r="H420" s="1" t="s">
        <v>4747</v>
      </c>
      <c r="I420" s="1" t="s">
        <v>4721</v>
      </c>
      <c r="J420" s="1" t="s">
        <v>12</v>
      </c>
      <c r="K420" s="1" t="s">
        <v>4860</v>
      </c>
      <c r="L420" s="1" t="s">
        <v>48</v>
      </c>
      <c r="M420" s="1" t="s">
        <v>637</v>
      </c>
      <c r="N420" s="1" t="s">
        <v>19</v>
      </c>
    </row>
    <row r="421" spans="1:14" x14ac:dyDescent="0.25">
      <c r="A421" s="1" t="s">
        <v>47</v>
      </c>
      <c r="B421" s="1" t="s">
        <v>6271</v>
      </c>
      <c r="C421" s="1" t="s">
        <v>2921</v>
      </c>
      <c r="D421" s="8" t="s">
        <v>2920</v>
      </c>
      <c r="E421" s="1" t="s">
        <v>511</v>
      </c>
      <c r="F421" s="1" t="s">
        <v>4752</v>
      </c>
      <c r="G421" s="1" t="s">
        <v>4746</v>
      </c>
      <c r="H421" s="1" t="s">
        <v>4747</v>
      </c>
      <c r="I421" s="1" t="s">
        <v>4721</v>
      </c>
      <c r="J421" s="1" t="s">
        <v>12</v>
      </c>
      <c r="K421" s="1" t="s">
        <v>4861</v>
      </c>
      <c r="L421" s="1" t="s">
        <v>48</v>
      </c>
      <c r="M421" s="1" t="s">
        <v>364</v>
      </c>
      <c r="N421" s="1" t="s">
        <v>37</v>
      </c>
    </row>
    <row r="422" spans="1:14" x14ac:dyDescent="0.25">
      <c r="A422" s="1" t="s">
        <v>47</v>
      </c>
      <c r="B422" s="1" t="s">
        <v>5990</v>
      </c>
      <c r="C422" s="1" t="s">
        <v>2981</v>
      </c>
      <c r="D422" s="8" t="s">
        <v>2980</v>
      </c>
      <c r="E422" s="1" t="s">
        <v>181</v>
      </c>
      <c r="F422" s="1" t="s">
        <v>6395</v>
      </c>
      <c r="G422" s="1" t="s">
        <v>4748</v>
      </c>
      <c r="H422" s="1" t="s">
        <v>4747</v>
      </c>
      <c r="I422" s="1" t="s">
        <v>4721</v>
      </c>
      <c r="J422" s="1" t="s">
        <v>12</v>
      </c>
      <c r="K422" s="1" t="s">
        <v>4792</v>
      </c>
      <c r="L422" s="1" t="s">
        <v>66</v>
      </c>
      <c r="M422" s="1" t="s">
        <v>637</v>
      </c>
      <c r="N422" s="1" t="s">
        <v>19</v>
      </c>
    </row>
    <row r="423" spans="1:14" x14ac:dyDescent="0.25">
      <c r="A423" s="1" t="s">
        <v>47</v>
      </c>
      <c r="B423" s="1" t="s">
        <v>6272</v>
      </c>
      <c r="C423" s="1" t="s">
        <v>2987</v>
      </c>
      <c r="D423" s="8" t="s">
        <v>2986</v>
      </c>
      <c r="E423" s="1" t="s">
        <v>181</v>
      </c>
      <c r="F423" s="1" t="s">
        <v>6395</v>
      </c>
      <c r="G423" s="1" t="s">
        <v>4748</v>
      </c>
      <c r="H423" s="1" t="s">
        <v>4747</v>
      </c>
      <c r="I423" s="1" t="s">
        <v>4721</v>
      </c>
      <c r="J423" s="1" t="s">
        <v>12</v>
      </c>
      <c r="K423" s="1" t="s">
        <v>4792</v>
      </c>
      <c r="L423" s="1" t="s">
        <v>66</v>
      </c>
      <c r="M423" s="1" t="s">
        <v>883</v>
      </c>
      <c r="N423" s="1" t="s">
        <v>21</v>
      </c>
    </row>
    <row r="424" spans="1:14" x14ac:dyDescent="0.25">
      <c r="A424" s="1" t="s">
        <v>47</v>
      </c>
      <c r="B424" s="1" t="s">
        <v>5993</v>
      </c>
      <c r="C424" s="1" t="s">
        <v>536</v>
      </c>
      <c r="D424" s="8" t="s">
        <v>535</v>
      </c>
      <c r="E424" s="1" t="s">
        <v>312</v>
      </c>
      <c r="F424" s="1" t="s">
        <v>6396</v>
      </c>
      <c r="G424" s="1" t="s">
        <v>4748</v>
      </c>
      <c r="H424" s="1" t="s">
        <v>4747</v>
      </c>
      <c r="I424" s="1" t="s">
        <v>4722</v>
      </c>
      <c r="J424" s="1" t="s">
        <v>39</v>
      </c>
      <c r="K424" s="1" t="s">
        <v>4845</v>
      </c>
      <c r="L424" s="1" t="s">
        <v>311</v>
      </c>
      <c r="M424" s="1" t="s">
        <v>172</v>
      </c>
      <c r="N424" s="1" t="s">
        <v>17</v>
      </c>
    </row>
    <row r="425" spans="1:14" x14ac:dyDescent="0.25">
      <c r="A425" s="1" t="s">
        <v>47</v>
      </c>
      <c r="B425" s="1" t="s">
        <v>6274</v>
      </c>
      <c r="C425" s="1" t="s">
        <v>3317</v>
      </c>
      <c r="D425" s="8" t="s">
        <v>3316</v>
      </c>
      <c r="E425" s="1" t="s">
        <v>49</v>
      </c>
      <c r="F425" s="1" t="s">
        <v>6402</v>
      </c>
      <c r="G425" s="1" t="s">
        <v>4746</v>
      </c>
      <c r="H425" s="1" t="s">
        <v>4747</v>
      </c>
      <c r="I425" s="1" t="s">
        <v>4721</v>
      </c>
      <c r="J425" s="1" t="s">
        <v>12</v>
      </c>
      <c r="K425" s="1" t="s">
        <v>4860</v>
      </c>
      <c r="L425" s="1" t="s">
        <v>48</v>
      </c>
      <c r="M425" s="1" t="s">
        <v>630</v>
      </c>
      <c r="N425" s="1" t="s">
        <v>21</v>
      </c>
    </row>
    <row r="426" spans="1:14" x14ac:dyDescent="0.25">
      <c r="A426" s="1" t="s">
        <v>47</v>
      </c>
      <c r="B426" s="1" t="s">
        <v>6275</v>
      </c>
      <c r="C426" s="1" t="s">
        <v>2840</v>
      </c>
      <c r="D426" s="8" t="s">
        <v>2839</v>
      </c>
      <c r="E426" s="1" t="s">
        <v>312</v>
      </c>
      <c r="F426" s="1" t="s">
        <v>6396</v>
      </c>
      <c r="G426" s="1" t="s">
        <v>4748</v>
      </c>
      <c r="H426" s="1" t="s">
        <v>4747</v>
      </c>
      <c r="I426" s="1" t="s">
        <v>4721</v>
      </c>
      <c r="J426" s="1" t="s">
        <v>12</v>
      </c>
      <c r="K426" s="1" t="s">
        <v>4845</v>
      </c>
      <c r="L426" s="1" t="s">
        <v>311</v>
      </c>
      <c r="M426" s="1" t="s">
        <v>637</v>
      </c>
      <c r="N426" s="1" t="s">
        <v>19</v>
      </c>
    </row>
    <row r="427" spans="1:14" x14ac:dyDescent="0.25">
      <c r="A427" s="1" t="s">
        <v>47</v>
      </c>
      <c r="B427" s="1" t="s">
        <v>6276</v>
      </c>
      <c r="C427" s="1" t="s">
        <v>3040</v>
      </c>
      <c r="D427" s="8" t="s">
        <v>3039</v>
      </c>
      <c r="E427" s="1" t="s">
        <v>269</v>
      </c>
      <c r="F427" s="1" t="s">
        <v>6404</v>
      </c>
      <c r="G427" s="1" t="s">
        <v>4748</v>
      </c>
      <c r="H427" s="1" t="s">
        <v>4747</v>
      </c>
      <c r="I427" s="1" t="s">
        <v>4722</v>
      </c>
      <c r="J427" s="1" t="s">
        <v>39</v>
      </c>
      <c r="K427" s="1" t="s">
        <v>4829</v>
      </c>
      <c r="L427" s="1" t="s">
        <v>227</v>
      </c>
      <c r="M427" s="1" t="s">
        <v>245</v>
      </c>
      <c r="N427" s="1" t="s">
        <v>21</v>
      </c>
    </row>
    <row r="428" spans="1:14" x14ac:dyDescent="0.25">
      <c r="A428" s="1" t="s">
        <v>47</v>
      </c>
      <c r="B428" s="1" t="s">
        <v>5994</v>
      </c>
      <c r="C428" s="1" t="s">
        <v>4251</v>
      </c>
      <c r="D428" s="8" t="s">
        <v>4250</v>
      </c>
      <c r="E428" s="1" t="s">
        <v>2862</v>
      </c>
      <c r="F428" s="1" t="s">
        <v>6396</v>
      </c>
      <c r="G428" s="1" t="s">
        <v>4748</v>
      </c>
      <c r="H428" s="1" t="s">
        <v>4747</v>
      </c>
      <c r="I428" s="1" t="s">
        <v>4721</v>
      </c>
      <c r="J428" s="1" t="s">
        <v>12</v>
      </c>
      <c r="K428" s="1" t="s">
        <v>4845</v>
      </c>
      <c r="L428" s="1" t="s">
        <v>141</v>
      </c>
      <c r="M428" s="1" t="s">
        <v>99</v>
      </c>
      <c r="N428" s="1" t="s">
        <v>25</v>
      </c>
    </row>
    <row r="429" spans="1:14" x14ac:dyDescent="0.25">
      <c r="A429" s="1" t="s">
        <v>47</v>
      </c>
      <c r="B429" s="1" t="s">
        <v>6001</v>
      </c>
      <c r="C429" s="1" t="s">
        <v>4426</v>
      </c>
      <c r="D429" s="8" t="s">
        <v>4425</v>
      </c>
      <c r="E429" s="1" t="s">
        <v>464</v>
      </c>
      <c r="F429" s="1" t="s">
        <v>6401</v>
      </c>
      <c r="G429" s="1" t="s">
        <v>4746</v>
      </c>
      <c r="H429" s="1" t="s">
        <v>4747</v>
      </c>
      <c r="I429" s="1" t="s">
        <v>4721</v>
      </c>
      <c r="J429" s="1" t="s">
        <v>39</v>
      </c>
      <c r="K429" s="1" t="s">
        <v>4810</v>
      </c>
      <c r="L429" s="1" t="s">
        <v>48</v>
      </c>
      <c r="M429" s="1" t="s">
        <v>172</v>
      </c>
      <c r="N429" s="1" t="s">
        <v>17</v>
      </c>
    </row>
    <row r="430" spans="1:14" x14ac:dyDescent="0.25">
      <c r="A430" s="1" t="s">
        <v>47</v>
      </c>
      <c r="B430" s="1" t="s">
        <v>6280</v>
      </c>
      <c r="C430" s="1" t="s">
        <v>4135</v>
      </c>
      <c r="D430" s="8" t="s">
        <v>4134</v>
      </c>
      <c r="E430" s="1" t="s">
        <v>464</v>
      </c>
      <c r="F430" s="1" t="s">
        <v>6412</v>
      </c>
      <c r="G430" s="1" t="s">
        <v>6399</v>
      </c>
      <c r="H430" s="1" t="s">
        <v>6400</v>
      </c>
      <c r="I430" s="1" t="s">
        <v>4721</v>
      </c>
      <c r="J430" s="1" t="s">
        <v>39</v>
      </c>
      <c r="K430" s="1" t="s">
        <v>4907</v>
      </c>
      <c r="L430" s="1" t="s">
        <v>48</v>
      </c>
      <c r="M430" s="1" t="s">
        <v>135</v>
      </c>
      <c r="N430" s="1" t="s">
        <v>61</v>
      </c>
    </row>
    <row r="431" spans="1:14" x14ac:dyDescent="0.25">
      <c r="A431" s="1" t="s">
        <v>47</v>
      </c>
      <c r="B431" s="1" t="s">
        <v>6283</v>
      </c>
      <c r="C431" s="1" t="s">
        <v>1392</v>
      </c>
      <c r="D431" s="8" t="s">
        <v>1391</v>
      </c>
      <c r="E431" s="1" t="s">
        <v>278</v>
      </c>
      <c r="F431" s="1" t="s">
        <v>6398</v>
      </c>
      <c r="G431" s="1" t="s">
        <v>4746</v>
      </c>
      <c r="H431" s="1" t="s">
        <v>4747</v>
      </c>
      <c r="I431" s="1" t="s">
        <v>4721</v>
      </c>
      <c r="J431" s="1" t="s">
        <v>12</v>
      </c>
      <c r="K431" s="1" t="s">
        <v>4821</v>
      </c>
      <c r="L431" s="1" t="s">
        <v>60</v>
      </c>
      <c r="M431" s="1" t="s">
        <v>58</v>
      </c>
      <c r="N431" s="1" t="s">
        <v>61</v>
      </c>
    </row>
    <row r="432" spans="1:14" x14ac:dyDescent="0.25">
      <c r="A432" s="1" t="s">
        <v>47</v>
      </c>
      <c r="B432" s="1" t="s">
        <v>6003</v>
      </c>
      <c r="C432" s="1" t="s">
        <v>3626</v>
      </c>
      <c r="D432" s="8" t="s">
        <v>3625</v>
      </c>
      <c r="E432" s="1" t="s">
        <v>57</v>
      </c>
      <c r="F432" s="1" t="s">
        <v>6401</v>
      </c>
      <c r="G432" s="1" t="s">
        <v>4746</v>
      </c>
      <c r="H432" s="1" t="s">
        <v>4747</v>
      </c>
      <c r="I432" s="1" t="s">
        <v>4721</v>
      </c>
      <c r="J432" s="1" t="s">
        <v>12</v>
      </c>
      <c r="K432" s="1" t="s">
        <v>4786</v>
      </c>
      <c r="L432" s="1" t="s">
        <v>56</v>
      </c>
      <c r="M432" s="1" t="s">
        <v>172</v>
      </c>
      <c r="N432" s="1" t="s">
        <v>17</v>
      </c>
    </row>
    <row r="433" spans="1:14" x14ac:dyDescent="0.25">
      <c r="A433" s="1" t="s">
        <v>47</v>
      </c>
      <c r="B433" s="1" t="s">
        <v>6284</v>
      </c>
      <c r="C433" s="1" t="s">
        <v>2990</v>
      </c>
      <c r="D433" s="8" t="s">
        <v>2989</v>
      </c>
      <c r="E433" s="1" t="s">
        <v>181</v>
      </c>
      <c r="F433" s="1" t="s">
        <v>6395</v>
      </c>
      <c r="G433" s="1" t="s">
        <v>4748</v>
      </c>
      <c r="H433" s="1" t="s">
        <v>4747</v>
      </c>
      <c r="I433" s="1" t="s">
        <v>4721</v>
      </c>
      <c r="J433" s="1" t="s">
        <v>12</v>
      </c>
      <c r="K433" s="1" t="s">
        <v>4792</v>
      </c>
      <c r="L433" s="1" t="s">
        <v>66</v>
      </c>
      <c r="M433" s="1" t="s">
        <v>637</v>
      </c>
      <c r="N433" s="1" t="s">
        <v>19</v>
      </c>
    </row>
    <row r="434" spans="1:14" x14ac:dyDescent="0.25">
      <c r="A434" s="1" t="s">
        <v>47</v>
      </c>
      <c r="B434" s="1" t="s">
        <v>6286</v>
      </c>
      <c r="C434" s="1" t="s">
        <v>4258</v>
      </c>
      <c r="D434" s="8" t="s">
        <v>4257</v>
      </c>
      <c r="E434" s="1" t="s">
        <v>312</v>
      </c>
      <c r="F434" s="1" t="s">
        <v>6396</v>
      </c>
      <c r="G434" s="1" t="s">
        <v>4748</v>
      </c>
      <c r="H434" s="1" t="s">
        <v>4747</v>
      </c>
      <c r="I434" s="1" t="s">
        <v>4721</v>
      </c>
      <c r="J434" s="1" t="s">
        <v>12</v>
      </c>
      <c r="K434" s="1" t="s">
        <v>4844</v>
      </c>
      <c r="L434" s="1" t="s">
        <v>311</v>
      </c>
      <c r="M434" s="1" t="s">
        <v>58</v>
      </c>
      <c r="N434" s="1" t="s">
        <v>61</v>
      </c>
    </row>
    <row r="435" spans="1:14" x14ac:dyDescent="0.25">
      <c r="A435" s="1" t="s">
        <v>47</v>
      </c>
      <c r="B435" s="1" t="s">
        <v>6006</v>
      </c>
      <c r="C435" s="1" t="s">
        <v>2343</v>
      </c>
      <c r="D435" s="8" t="s">
        <v>2342</v>
      </c>
      <c r="E435" s="1" t="s">
        <v>433</v>
      </c>
      <c r="F435" s="1" t="s">
        <v>6405</v>
      </c>
      <c r="G435" s="1" t="s">
        <v>4746</v>
      </c>
      <c r="H435" s="1" t="s">
        <v>4747</v>
      </c>
      <c r="I435" s="1" t="s">
        <v>4722</v>
      </c>
      <c r="J435" s="1" t="s">
        <v>39</v>
      </c>
      <c r="K435" s="1" t="s">
        <v>4779</v>
      </c>
      <c r="L435" s="1" t="s">
        <v>56</v>
      </c>
      <c r="M435" s="1" t="s">
        <v>4780</v>
      </c>
      <c r="N435" s="1" t="s">
        <v>21</v>
      </c>
    </row>
    <row r="436" spans="1:14" x14ac:dyDescent="0.25">
      <c r="A436" s="1" t="s">
        <v>47</v>
      </c>
      <c r="B436" s="1" t="s">
        <v>6289</v>
      </c>
      <c r="C436" s="1" t="s">
        <v>250</v>
      </c>
      <c r="D436" s="8" t="s">
        <v>249</v>
      </c>
      <c r="E436" s="1" t="s">
        <v>159</v>
      </c>
      <c r="F436" s="1" t="s">
        <v>6393</v>
      </c>
      <c r="G436" s="1" t="s">
        <v>4750</v>
      </c>
      <c r="H436" s="1" t="s">
        <v>4747</v>
      </c>
      <c r="I436" s="1" t="s">
        <v>4721</v>
      </c>
      <c r="J436" s="1" t="s">
        <v>12</v>
      </c>
      <c r="K436" s="1" t="s">
        <v>4838</v>
      </c>
      <c r="L436" s="1" t="s">
        <v>60</v>
      </c>
      <c r="M436" s="1" t="s">
        <v>648</v>
      </c>
      <c r="N436" s="1" t="s">
        <v>25</v>
      </c>
    </row>
    <row r="437" spans="1:14" x14ac:dyDescent="0.25">
      <c r="A437" s="1" t="s">
        <v>47</v>
      </c>
      <c r="B437" s="1" t="s">
        <v>6290</v>
      </c>
      <c r="C437" s="1" t="s">
        <v>768</v>
      </c>
      <c r="D437" s="8" t="s">
        <v>767</v>
      </c>
      <c r="E437" s="1" t="s">
        <v>159</v>
      </c>
      <c r="F437" s="1" t="s">
        <v>6391</v>
      </c>
      <c r="G437" s="1" t="s">
        <v>4750</v>
      </c>
      <c r="H437" s="1" t="s">
        <v>4747</v>
      </c>
      <c r="I437" s="1" t="s">
        <v>4721</v>
      </c>
      <c r="J437" s="1" t="s">
        <v>12</v>
      </c>
      <c r="K437" s="1" t="s">
        <v>4809</v>
      </c>
      <c r="L437" s="1" t="s">
        <v>60</v>
      </c>
      <c r="M437" s="1" t="s">
        <v>99</v>
      </c>
      <c r="N437" s="1" t="s">
        <v>25</v>
      </c>
    </row>
    <row r="438" spans="1:14" x14ac:dyDescent="0.25">
      <c r="A438" s="1" t="s">
        <v>47</v>
      </c>
      <c r="B438" s="1" t="s">
        <v>6008</v>
      </c>
      <c r="C438" s="1" t="s">
        <v>3335</v>
      </c>
      <c r="D438" s="8" t="s">
        <v>3334</v>
      </c>
      <c r="E438" s="1" t="s">
        <v>251</v>
      </c>
      <c r="F438" s="1" t="s">
        <v>6393</v>
      </c>
      <c r="G438" s="1" t="s">
        <v>4750</v>
      </c>
      <c r="H438" s="1" t="s">
        <v>4747</v>
      </c>
      <c r="I438" s="1" t="s">
        <v>4721</v>
      </c>
      <c r="J438" s="1" t="s">
        <v>12</v>
      </c>
      <c r="K438" s="1" t="s">
        <v>4811</v>
      </c>
      <c r="L438" s="1" t="s">
        <v>224</v>
      </c>
      <c r="M438" s="1" t="s">
        <v>648</v>
      </c>
      <c r="N438" s="1" t="s">
        <v>25</v>
      </c>
    </row>
    <row r="439" spans="1:14" x14ac:dyDescent="0.25">
      <c r="A439" s="1" t="s">
        <v>47</v>
      </c>
      <c r="B439" s="1" t="s">
        <v>6293</v>
      </c>
      <c r="C439" s="1" t="s">
        <v>4203</v>
      </c>
      <c r="D439" s="8" t="s">
        <v>4202</v>
      </c>
      <c r="E439" s="1" t="s">
        <v>278</v>
      </c>
      <c r="F439" s="1" t="s">
        <v>6398</v>
      </c>
      <c r="G439" s="1" t="s">
        <v>4746</v>
      </c>
      <c r="H439" s="1" t="s">
        <v>4747</v>
      </c>
      <c r="I439" s="1" t="s">
        <v>4721</v>
      </c>
      <c r="J439" s="1" t="s">
        <v>12</v>
      </c>
      <c r="K439" s="1" t="s">
        <v>4813</v>
      </c>
      <c r="L439" s="1" t="s">
        <v>60</v>
      </c>
      <c r="M439" s="1" t="s">
        <v>245</v>
      </c>
      <c r="N439" s="1" t="s">
        <v>21</v>
      </c>
    </row>
    <row r="440" spans="1:14" x14ac:dyDescent="0.25">
      <c r="A440" s="1" t="s">
        <v>47</v>
      </c>
      <c r="B440" s="1" t="s">
        <v>6010</v>
      </c>
      <c r="C440" s="1" t="s">
        <v>4371</v>
      </c>
      <c r="D440" s="8" t="s">
        <v>4370</v>
      </c>
      <c r="E440" s="1" t="s">
        <v>181</v>
      </c>
      <c r="F440" s="1" t="s">
        <v>6406</v>
      </c>
      <c r="G440" s="1" t="s">
        <v>4748</v>
      </c>
      <c r="H440" s="1" t="s">
        <v>4747</v>
      </c>
      <c r="I440" s="1" t="s">
        <v>4721</v>
      </c>
      <c r="J440" s="1" t="s">
        <v>12</v>
      </c>
      <c r="K440" s="1" t="s">
        <v>4787</v>
      </c>
      <c r="L440" s="1" t="s">
        <v>66</v>
      </c>
      <c r="M440" s="1" t="s">
        <v>883</v>
      </c>
      <c r="N440" s="1" t="s">
        <v>21</v>
      </c>
    </row>
    <row r="441" spans="1:14" x14ac:dyDescent="0.25">
      <c r="A441" s="1" t="s">
        <v>47</v>
      </c>
      <c r="B441" s="1" t="s">
        <v>6298</v>
      </c>
      <c r="C441" s="1" t="s">
        <v>3761</v>
      </c>
      <c r="D441" s="8" t="s">
        <v>3760</v>
      </c>
      <c r="E441" s="1" t="s">
        <v>67</v>
      </c>
      <c r="F441" s="1" t="s">
        <v>6406</v>
      </c>
      <c r="G441" s="1" t="s">
        <v>4748</v>
      </c>
      <c r="H441" s="1" t="s">
        <v>4747</v>
      </c>
      <c r="I441" s="1" t="s">
        <v>4721</v>
      </c>
      <c r="J441" s="1" t="s">
        <v>12</v>
      </c>
      <c r="K441" s="1" t="s">
        <v>4793</v>
      </c>
      <c r="L441" s="1" t="s">
        <v>66</v>
      </c>
      <c r="M441" s="1" t="s">
        <v>172</v>
      </c>
      <c r="N441" s="1" t="s">
        <v>17</v>
      </c>
    </row>
    <row r="442" spans="1:14" x14ac:dyDescent="0.25">
      <c r="A442" s="1" t="s">
        <v>47</v>
      </c>
      <c r="B442" s="1" t="s">
        <v>6012</v>
      </c>
      <c r="C442" s="1" t="s">
        <v>1715</v>
      </c>
      <c r="D442" s="8" t="s">
        <v>1714</v>
      </c>
      <c r="E442" s="1" t="s">
        <v>181</v>
      </c>
      <c r="F442" s="1" t="s">
        <v>6395</v>
      </c>
      <c r="G442" s="1" t="s">
        <v>4748</v>
      </c>
      <c r="H442" s="1" t="s">
        <v>4747</v>
      </c>
      <c r="I442" s="1" t="s">
        <v>4722</v>
      </c>
      <c r="J442" s="1" t="s">
        <v>39</v>
      </c>
      <c r="K442" s="1" t="s">
        <v>4792</v>
      </c>
      <c r="L442" s="1" t="s">
        <v>66</v>
      </c>
      <c r="M442" s="1" t="s">
        <v>883</v>
      </c>
      <c r="N442" s="1" t="s">
        <v>21</v>
      </c>
    </row>
    <row r="443" spans="1:14" x14ac:dyDescent="0.25">
      <c r="A443" s="1" t="s">
        <v>47</v>
      </c>
      <c r="B443" s="1" t="s">
        <v>6299</v>
      </c>
      <c r="C443" s="1" t="s">
        <v>517</v>
      </c>
      <c r="D443" s="8" t="s">
        <v>516</v>
      </c>
      <c r="E443" s="1" t="s">
        <v>511</v>
      </c>
      <c r="F443" s="1" t="s">
        <v>4752</v>
      </c>
      <c r="G443" s="1" t="s">
        <v>4746</v>
      </c>
      <c r="H443" s="1" t="s">
        <v>4747</v>
      </c>
      <c r="I443" s="1" t="s">
        <v>4721</v>
      </c>
      <c r="J443" s="1" t="s">
        <v>12</v>
      </c>
      <c r="K443" s="1" t="s">
        <v>4861</v>
      </c>
      <c r="L443" s="1" t="s">
        <v>48</v>
      </c>
      <c r="M443" s="1" t="s">
        <v>630</v>
      </c>
      <c r="N443" s="1" t="s">
        <v>21</v>
      </c>
    </row>
    <row r="444" spans="1:14" x14ac:dyDescent="0.25">
      <c r="A444" s="1" t="s">
        <v>47</v>
      </c>
      <c r="B444" s="1" t="s">
        <v>6300</v>
      </c>
      <c r="C444" s="1" t="s">
        <v>3629</v>
      </c>
      <c r="D444" s="8" t="s">
        <v>3628</v>
      </c>
      <c r="E444" s="1" t="s">
        <v>49</v>
      </c>
      <c r="F444" s="1" t="s">
        <v>6401</v>
      </c>
      <c r="G444" s="1" t="s">
        <v>4746</v>
      </c>
      <c r="H444" s="1" t="s">
        <v>4747</v>
      </c>
      <c r="I444" s="1" t="s">
        <v>4721</v>
      </c>
      <c r="J444" s="1" t="s">
        <v>12</v>
      </c>
      <c r="K444" s="1" t="s">
        <v>4810</v>
      </c>
      <c r="L444" s="1" t="s">
        <v>48</v>
      </c>
      <c r="M444" s="1" t="s">
        <v>172</v>
      </c>
      <c r="N444" s="1" t="s">
        <v>17</v>
      </c>
    </row>
    <row r="445" spans="1:14" x14ac:dyDescent="0.25">
      <c r="A445" s="1" t="s">
        <v>47</v>
      </c>
      <c r="B445" s="1" t="s">
        <v>6015</v>
      </c>
      <c r="C445" s="1" t="s">
        <v>2515</v>
      </c>
      <c r="D445" s="8" t="s">
        <v>2514</v>
      </c>
      <c r="E445" s="1" t="s">
        <v>398</v>
      </c>
      <c r="F445" s="1" t="s">
        <v>6401</v>
      </c>
      <c r="G445" s="1" t="s">
        <v>4746</v>
      </c>
      <c r="H445" s="1" t="s">
        <v>4747</v>
      </c>
      <c r="I445" s="1" t="s">
        <v>4721</v>
      </c>
      <c r="J445" s="1" t="s">
        <v>39</v>
      </c>
      <c r="K445" s="1" t="s">
        <v>4821</v>
      </c>
      <c r="L445" s="1" t="s">
        <v>60</v>
      </c>
      <c r="M445" s="1" t="s">
        <v>149</v>
      </c>
      <c r="N445" s="1" t="s">
        <v>61</v>
      </c>
    </row>
    <row r="446" spans="1:14" x14ac:dyDescent="0.25">
      <c r="A446" s="1" t="s">
        <v>47</v>
      </c>
      <c r="B446" s="1" t="s">
        <v>6301</v>
      </c>
      <c r="C446" s="1" t="s">
        <v>4117</v>
      </c>
      <c r="D446" s="8" t="s">
        <v>4116</v>
      </c>
      <c r="E446" s="1" t="s">
        <v>341</v>
      </c>
      <c r="F446" s="1" t="s">
        <v>6419</v>
      </c>
      <c r="G446" s="1" t="s">
        <v>6419</v>
      </c>
      <c r="H446" s="1" t="s">
        <v>6419</v>
      </c>
      <c r="I446" s="1" t="s">
        <v>4721</v>
      </c>
      <c r="J446" s="1" t="s">
        <v>39</v>
      </c>
      <c r="K446" s="1" t="s">
        <v>4866</v>
      </c>
      <c r="L446" s="1" t="s">
        <v>56</v>
      </c>
      <c r="M446" s="1" t="s">
        <v>149</v>
      </c>
      <c r="N446" s="1" t="s">
        <v>61</v>
      </c>
    </row>
    <row r="447" spans="1:14" x14ac:dyDescent="0.25">
      <c r="A447" s="1" t="s">
        <v>47</v>
      </c>
      <c r="B447" s="1" t="s">
        <v>6302</v>
      </c>
      <c r="C447" s="1" t="s">
        <v>4182</v>
      </c>
      <c r="D447" s="8" t="s">
        <v>4181</v>
      </c>
      <c r="E447" s="1" t="s">
        <v>303</v>
      </c>
      <c r="F447" s="1" t="s">
        <v>6397</v>
      </c>
      <c r="G447" s="1" t="s">
        <v>4746</v>
      </c>
      <c r="H447" s="1" t="s">
        <v>4747</v>
      </c>
      <c r="I447" s="1" t="s">
        <v>4721</v>
      </c>
      <c r="J447" s="1" t="s">
        <v>12</v>
      </c>
      <c r="K447" s="1" t="s">
        <v>4813</v>
      </c>
      <c r="L447" s="1" t="s">
        <v>60</v>
      </c>
      <c r="M447" s="1" t="s">
        <v>58</v>
      </c>
      <c r="N447" s="1" t="s">
        <v>61</v>
      </c>
    </row>
    <row r="448" spans="1:14" x14ac:dyDescent="0.25">
      <c r="A448" s="1" t="s">
        <v>47</v>
      </c>
      <c r="B448" s="1" t="s">
        <v>6303</v>
      </c>
      <c r="C448" s="1" t="s">
        <v>4891</v>
      </c>
      <c r="D448" s="8" t="s">
        <v>4890</v>
      </c>
      <c r="E448" s="1" t="s">
        <v>312</v>
      </c>
      <c r="F448" s="1" t="s">
        <v>6396</v>
      </c>
      <c r="G448" s="1" t="s">
        <v>4748</v>
      </c>
      <c r="H448" s="1" t="s">
        <v>4747</v>
      </c>
      <c r="I448" s="1" t="s">
        <v>4722</v>
      </c>
      <c r="J448" s="1" t="s">
        <v>39</v>
      </c>
      <c r="K448" s="1" t="s">
        <v>4845</v>
      </c>
      <c r="L448" s="1" t="s">
        <v>311</v>
      </c>
      <c r="M448" s="1" t="s">
        <v>136</v>
      </c>
      <c r="N448" s="1" t="s">
        <v>72</v>
      </c>
    </row>
    <row r="449" spans="1:14" x14ac:dyDescent="0.25">
      <c r="A449" s="1" t="s">
        <v>47</v>
      </c>
      <c r="B449" s="1" t="s">
        <v>6020</v>
      </c>
      <c r="C449" s="1" t="s">
        <v>3567</v>
      </c>
      <c r="D449" s="8" t="s">
        <v>3566</v>
      </c>
      <c r="E449" s="1" t="s">
        <v>67</v>
      </c>
      <c r="F449" s="1" t="s">
        <v>6406</v>
      </c>
      <c r="G449" s="1" t="s">
        <v>4748</v>
      </c>
      <c r="H449" s="1" t="s">
        <v>4747</v>
      </c>
      <c r="I449" s="1" t="s">
        <v>4721</v>
      </c>
      <c r="J449" s="1" t="s">
        <v>12</v>
      </c>
      <c r="K449" s="1" t="s">
        <v>4787</v>
      </c>
      <c r="L449" s="1" t="s">
        <v>66</v>
      </c>
      <c r="M449" s="1" t="s">
        <v>5594</v>
      </c>
      <c r="N449" s="1" t="s">
        <v>19</v>
      </c>
    </row>
    <row r="450" spans="1:14" x14ac:dyDescent="0.25">
      <c r="A450" s="1" t="s">
        <v>47</v>
      </c>
      <c r="B450" s="1" t="s">
        <v>6304</v>
      </c>
      <c r="C450" s="1" t="s">
        <v>2161</v>
      </c>
      <c r="D450" s="8" t="s">
        <v>2160</v>
      </c>
      <c r="E450" s="1" t="s">
        <v>244</v>
      </c>
      <c r="F450" s="1" t="s">
        <v>6403</v>
      </c>
      <c r="G450" s="1" t="s">
        <v>4746</v>
      </c>
      <c r="H450" s="1" t="s">
        <v>4747</v>
      </c>
      <c r="I450" s="1" t="s">
        <v>4721</v>
      </c>
      <c r="J450" s="1" t="s">
        <v>12</v>
      </c>
      <c r="K450" s="1" t="s">
        <v>4778</v>
      </c>
      <c r="L450" s="1" t="s">
        <v>60</v>
      </c>
      <c r="M450" s="1" t="s">
        <v>58</v>
      </c>
      <c r="N450" s="1" t="s">
        <v>61</v>
      </c>
    </row>
    <row r="451" spans="1:14" x14ac:dyDescent="0.25">
      <c r="A451" s="1" t="s">
        <v>47</v>
      </c>
      <c r="B451" s="1" t="s">
        <v>6022</v>
      </c>
      <c r="C451" s="1" t="s">
        <v>3582</v>
      </c>
      <c r="D451" s="8" t="s">
        <v>3581</v>
      </c>
      <c r="E451" s="1" t="s">
        <v>67</v>
      </c>
      <c r="F451" s="1" t="s">
        <v>6406</v>
      </c>
      <c r="G451" s="1" t="s">
        <v>4748</v>
      </c>
      <c r="H451" s="1" t="s">
        <v>4747</v>
      </c>
      <c r="I451" s="1" t="s">
        <v>4722</v>
      </c>
      <c r="J451" s="1" t="s">
        <v>39</v>
      </c>
      <c r="K451" s="1" t="s">
        <v>4787</v>
      </c>
      <c r="L451" s="1" t="s">
        <v>66</v>
      </c>
      <c r="M451" s="1" t="s">
        <v>58</v>
      </c>
      <c r="N451" s="1" t="s">
        <v>61</v>
      </c>
    </row>
    <row r="452" spans="1:14" x14ac:dyDescent="0.25">
      <c r="A452" s="1" t="s">
        <v>47</v>
      </c>
      <c r="B452" s="1" t="s">
        <v>6023</v>
      </c>
      <c r="C452" s="1" t="s">
        <v>2751</v>
      </c>
      <c r="D452" s="8" t="s">
        <v>2750</v>
      </c>
      <c r="E452" s="1" t="s">
        <v>368</v>
      </c>
      <c r="F452" s="1" t="s">
        <v>6409</v>
      </c>
      <c r="G452" s="1" t="s">
        <v>6410</v>
      </c>
      <c r="H452" s="1" t="s">
        <v>4747</v>
      </c>
      <c r="I452" s="1" t="s">
        <v>4721</v>
      </c>
      <c r="J452" s="1" t="s">
        <v>12</v>
      </c>
      <c r="K452" s="1" t="s">
        <v>4861</v>
      </c>
      <c r="L452" s="1" t="s">
        <v>227</v>
      </c>
      <c r="M452" s="1" t="s">
        <v>317</v>
      </c>
      <c r="N452" s="1" t="s">
        <v>42</v>
      </c>
    </row>
    <row r="453" spans="1:14" x14ac:dyDescent="0.25">
      <c r="A453" s="1" t="s">
        <v>47</v>
      </c>
      <c r="B453" s="1" t="s">
        <v>6028</v>
      </c>
      <c r="C453" s="1" t="s">
        <v>3611</v>
      </c>
      <c r="D453" s="8" t="s">
        <v>3610</v>
      </c>
      <c r="E453" s="1" t="s">
        <v>2104</v>
      </c>
      <c r="F453" s="1" t="s">
        <v>6401</v>
      </c>
      <c r="G453" s="1" t="s">
        <v>4746</v>
      </c>
      <c r="H453" s="1" t="s">
        <v>4747</v>
      </c>
      <c r="I453" s="1" t="s">
        <v>4722</v>
      </c>
      <c r="J453" s="1" t="s">
        <v>39</v>
      </c>
      <c r="K453" s="1" t="s">
        <v>4810</v>
      </c>
      <c r="L453" s="1" t="s">
        <v>56</v>
      </c>
      <c r="M453" s="1" t="s">
        <v>172</v>
      </c>
      <c r="N453" s="1" t="s">
        <v>17</v>
      </c>
    </row>
    <row r="454" spans="1:14" x14ac:dyDescent="0.25">
      <c r="A454" s="1" t="s">
        <v>47</v>
      </c>
      <c r="B454" s="1" t="s">
        <v>6311</v>
      </c>
      <c r="C454" s="1" t="s">
        <v>2883</v>
      </c>
      <c r="D454" s="8" t="s">
        <v>2882</v>
      </c>
      <c r="E454" s="1" t="s">
        <v>464</v>
      </c>
      <c r="F454" s="1" t="s">
        <v>4752</v>
      </c>
      <c r="G454" s="1" t="s">
        <v>4746</v>
      </c>
      <c r="H454" s="1" t="s">
        <v>4747</v>
      </c>
      <c r="I454" s="1" t="s">
        <v>4721</v>
      </c>
      <c r="J454" s="1" t="s">
        <v>12</v>
      </c>
      <c r="K454" s="1" t="s">
        <v>4861</v>
      </c>
      <c r="L454" s="1" t="s">
        <v>48</v>
      </c>
      <c r="M454" s="1" t="s">
        <v>58</v>
      </c>
      <c r="N454" s="1" t="s">
        <v>61</v>
      </c>
    </row>
    <row r="455" spans="1:14" x14ac:dyDescent="0.25">
      <c r="A455" s="1" t="s">
        <v>47</v>
      </c>
      <c r="B455" s="1" t="s">
        <v>6312</v>
      </c>
      <c r="C455" s="1" t="s">
        <v>2843</v>
      </c>
      <c r="D455" s="8" t="s">
        <v>2842</v>
      </c>
      <c r="E455" s="1" t="s">
        <v>312</v>
      </c>
      <c r="F455" s="1" t="s">
        <v>6396</v>
      </c>
      <c r="G455" s="1" t="s">
        <v>4748</v>
      </c>
      <c r="H455" s="1" t="s">
        <v>4747</v>
      </c>
      <c r="I455" s="1" t="s">
        <v>4721</v>
      </c>
      <c r="J455" s="1" t="s">
        <v>12</v>
      </c>
      <c r="K455" s="1" t="s">
        <v>4845</v>
      </c>
      <c r="L455" s="1" t="s">
        <v>311</v>
      </c>
      <c r="M455" s="1" t="s">
        <v>883</v>
      </c>
      <c r="N455" s="1" t="s">
        <v>21</v>
      </c>
    </row>
    <row r="456" spans="1:14" x14ac:dyDescent="0.25">
      <c r="A456" s="1" t="s">
        <v>47</v>
      </c>
      <c r="B456" s="1" t="s">
        <v>6313</v>
      </c>
      <c r="C456" s="1" t="s">
        <v>2100</v>
      </c>
      <c r="D456" s="8" t="s">
        <v>2099</v>
      </c>
      <c r="E456" s="1" t="s">
        <v>341</v>
      </c>
      <c r="F456" s="1" t="s">
        <v>6411</v>
      </c>
      <c r="G456" s="1" t="s">
        <v>4746</v>
      </c>
      <c r="H456" s="1" t="s">
        <v>4747</v>
      </c>
      <c r="I456" s="1" t="s">
        <v>4721</v>
      </c>
      <c r="J456" s="1" t="s">
        <v>12</v>
      </c>
      <c r="K456" s="1" t="s">
        <v>4866</v>
      </c>
      <c r="L456" s="1" t="s">
        <v>56</v>
      </c>
      <c r="M456" s="1" t="s">
        <v>364</v>
      </c>
      <c r="N456" s="1" t="s">
        <v>37</v>
      </c>
    </row>
    <row r="457" spans="1:14" x14ac:dyDescent="0.25">
      <c r="A457" s="1" t="s">
        <v>47</v>
      </c>
      <c r="B457" s="1" t="s">
        <v>6315</v>
      </c>
      <c r="C457" s="1" t="s">
        <v>4167</v>
      </c>
      <c r="D457" s="8" t="s">
        <v>4166</v>
      </c>
      <c r="E457" s="1" t="s">
        <v>368</v>
      </c>
      <c r="F457" s="1" t="s">
        <v>4749</v>
      </c>
      <c r="G457" s="1" t="s">
        <v>4750</v>
      </c>
      <c r="H457" s="1" t="s">
        <v>4747</v>
      </c>
      <c r="I457" s="1" t="s">
        <v>4721</v>
      </c>
      <c r="J457" s="1" t="s">
        <v>12</v>
      </c>
      <c r="K457" s="1" t="s">
        <v>4834</v>
      </c>
      <c r="L457" s="1" t="s">
        <v>227</v>
      </c>
      <c r="M457" s="1" t="s">
        <v>58</v>
      </c>
      <c r="N457" s="1" t="s">
        <v>61</v>
      </c>
    </row>
    <row r="458" spans="1:14" x14ac:dyDescent="0.25">
      <c r="A458" s="1" t="s">
        <v>47</v>
      </c>
      <c r="B458" s="1" t="s">
        <v>6077</v>
      </c>
      <c r="C458" s="1" t="s">
        <v>547</v>
      </c>
      <c r="D458" s="8" t="s">
        <v>546</v>
      </c>
      <c r="E458" s="1" t="s">
        <v>67</v>
      </c>
      <c r="F458" s="1" t="s">
        <v>6406</v>
      </c>
      <c r="G458" s="1" t="s">
        <v>4748</v>
      </c>
      <c r="H458" s="1" t="s">
        <v>4747</v>
      </c>
      <c r="I458" s="1" t="s">
        <v>4721</v>
      </c>
      <c r="J458" s="1" t="s">
        <v>39</v>
      </c>
      <c r="K458" s="1" t="s">
        <v>4787</v>
      </c>
      <c r="L458" s="1" t="s">
        <v>66</v>
      </c>
      <c r="M458" s="1" t="s">
        <v>172</v>
      </c>
      <c r="N458" s="1" t="s">
        <v>17</v>
      </c>
    </row>
    <row r="459" spans="1:14" x14ac:dyDescent="0.25">
      <c r="A459" s="1" t="s">
        <v>47</v>
      </c>
      <c r="B459" s="1" t="s">
        <v>6079</v>
      </c>
      <c r="C459" s="1" t="s">
        <v>677</v>
      </c>
      <c r="D459" s="8" t="s">
        <v>676</v>
      </c>
      <c r="E459" s="1" t="s">
        <v>264</v>
      </c>
      <c r="F459" s="1" t="s">
        <v>6391</v>
      </c>
      <c r="G459" s="1" t="s">
        <v>4750</v>
      </c>
      <c r="H459" s="1" t="s">
        <v>4747</v>
      </c>
      <c r="I459" s="1" t="s">
        <v>4721</v>
      </c>
      <c r="J459" s="1" t="s">
        <v>12</v>
      </c>
      <c r="K459" s="1" t="s">
        <v>4809</v>
      </c>
      <c r="L459" s="1" t="s">
        <v>227</v>
      </c>
      <c r="M459" s="1" t="s">
        <v>648</v>
      </c>
      <c r="N459" s="1" t="s">
        <v>25</v>
      </c>
    </row>
    <row r="460" spans="1:14" x14ac:dyDescent="0.25">
      <c r="A460" s="1" t="s">
        <v>47</v>
      </c>
      <c r="B460" s="1" t="s">
        <v>6081</v>
      </c>
      <c r="C460" s="1" t="s">
        <v>2846</v>
      </c>
      <c r="D460" s="8" t="s">
        <v>2845</v>
      </c>
      <c r="E460" s="1" t="s">
        <v>312</v>
      </c>
      <c r="F460" s="1" t="s">
        <v>6396</v>
      </c>
      <c r="G460" s="1" t="s">
        <v>4748</v>
      </c>
      <c r="H460" s="1" t="s">
        <v>4747</v>
      </c>
      <c r="I460" s="1" t="s">
        <v>4721</v>
      </c>
      <c r="J460" s="1" t="s">
        <v>12</v>
      </c>
      <c r="K460" s="1" t="s">
        <v>4845</v>
      </c>
      <c r="L460" s="1" t="s">
        <v>311</v>
      </c>
      <c r="M460" s="1" t="s">
        <v>637</v>
      </c>
      <c r="N460" s="1" t="s">
        <v>19</v>
      </c>
    </row>
    <row r="461" spans="1:14" x14ac:dyDescent="0.25">
      <c r="A461" s="1" t="s">
        <v>47</v>
      </c>
      <c r="B461" s="1" t="s">
        <v>6082</v>
      </c>
      <c r="C461" s="1" t="s">
        <v>4176</v>
      </c>
      <c r="D461" s="8" t="s">
        <v>4175</v>
      </c>
      <c r="E461" s="1" t="s">
        <v>159</v>
      </c>
      <c r="F461" s="1" t="s">
        <v>6397</v>
      </c>
      <c r="G461" s="1" t="s">
        <v>4746</v>
      </c>
      <c r="H461" s="1" t="s">
        <v>4747</v>
      </c>
      <c r="I461" s="1" t="s">
        <v>4722</v>
      </c>
      <c r="J461" s="1" t="s">
        <v>39</v>
      </c>
      <c r="K461" s="1" t="s">
        <v>4870</v>
      </c>
      <c r="L461" s="1" t="s">
        <v>60</v>
      </c>
      <c r="M461" s="1" t="s">
        <v>99</v>
      </c>
      <c r="N461" s="1" t="s">
        <v>25</v>
      </c>
    </row>
    <row r="462" spans="1:14" x14ac:dyDescent="0.25">
      <c r="A462" s="1" t="s">
        <v>47</v>
      </c>
      <c r="B462" s="1" t="s">
        <v>6084</v>
      </c>
      <c r="C462" s="1" t="s">
        <v>1470</v>
      </c>
      <c r="D462" s="8" t="s">
        <v>1469</v>
      </c>
      <c r="E462" s="1" t="s">
        <v>225</v>
      </c>
      <c r="F462" s="1" t="s">
        <v>6404</v>
      </c>
      <c r="G462" s="1" t="s">
        <v>4748</v>
      </c>
      <c r="H462" s="1" t="s">
        <v>4747</v>
      </c>
      <c r="I462" s="1" t="s">
        <v>4721</v>
      </c>
      <c r="J462" s="1" t="s">
        <v>12</v>
      </c>
      <c r="K462" s="1" t="s">
        <v>4829</v>
      </c>
      <c r="L462" s="1" t="s">
        <v>224</v>
      </c>
      <c r="M462" s="1" t="s">
        <v>58</v>
      </c>
      <c r="N462" s="1" t="s">
        <v>61</v>
      </c>
    </row>
    <row r="463" spans="1:14" x14ac:dyDescent="0.25">
      <c r="A463" s="1" t="s">
        <v>47</v>
      </c>
      <c r="B463" s="1" t="s">
        <v>6085</v>
      </c>
      <c r="C463" s="1" t="s">
        <v>810</v>
      </c>
      <c r="D463" s="8" t="s">
        <v>809</v>
      </c>
      <c r="E463" s="1" t="s">
        <v>303</v>
      </c>
      <c r="F463" s="1" t="s">
        <v>4751</v>
      </c>
      <c r="G463" s="1" t="s">
        <v>4748</v>
      </c>
      <c r="H463" s="1" t="s">
        <v>4747</v>
      </c>
      <c r="I463" s="1" t="s">
        <v>4722</v>
      </c>
      <c r="J463" s="1" t="s">
        <v>39</v>
      </c>
      <c r="K463" s="1" t="s">
        <v>4844</v>
      </c>
      <c r="L463" s="1" t="s">
        <v>60</v>
      </c>
      <c r="M463" s="1" t="s">
        <v>245</v>
      </c>
      <c r="N463" s="1" t="s">
        <v>21</v>
      </c>
    </row>
    <row r="464" spans="1:14" x14ac:dyDescent="0.25">
      <c r="A464" s="1" t="s">
        <v>47</v>
      </c>
      <c r="B464" s="1" t="s">
        <v>6088</v>
      </c>
      <c r="C464" s="1" t="s">
        <v>3426</v>
      </c>
      <c r="D464" s="8" t="s">
        <v>3425</v>
      </c>
      <c r="E464" s="1" t="s">
        <v>159</v>
      </c>
      <c r="F464" s="1" t="s">
        <v>6393</v>
      </c>
      <c r="G464" s="1" t="s">
        <v>4750</v>
      </c>
      <c r="H464" s="1" t="s">
        <v>4747</v>
      </c>
      <c r="I464" s="1" t="s">
        <v>4721</v>
      </c>
      <c r="J464" s="1" t="s">
        <v>12</v>
      </c>
      <c r="K464" s="1" t="s">
        <v>4834</v>
      </c>
      <c r="L464" s="1" t="s">
        <v>60</v>
      </c>
      <c r="M464" s="1" t="s">
        <v>99</v>
      </c>
      <c r="N464" s="1" t="s">
        <v>25</v>
      </c>
    </row>
    <row r="465" spans="1:14" x14ac:dyDescent="0.25">
      <c r="A465" s="1" t="s">
        <v>47</v>
      </c>
      <c r="B465" s="1" t="s">
        <v>6320</v>
      </c>
      <c r="C465" s="1" t="s">
        <v>180</v>
      </c>
      <c r="D465" s="8" t="s">
        <v>179</v>
      </c>
      <c r="E465" s="1" t="s">
        <v>181</v>
      </c>
      <c r="F465" s="1" t="s">
        <v>6406</v>
      </c>
      <c r="G465" s="1" t="s">
        <v>4748</v>
      </c>
      <c r="H465" s="1" t="s">
        <v>4747</v>
      </c>
      <c r="I465" s="1" t="s">
        <v>4721</v>
      </c>
      <c r="J465" s="1" t="s">
        <v>12</v>
      </c>
      <c r="K465" s="1" t="s">
        <v>4787</v>
      </c>
      <c r="L465" s="1" t="s">
        <v>66</v>
      </c>
      <c r="M465" s="1" t="s">
        <v>883</v>
      </c>
      <c r="N465" s="1" t="s">
        <v>21</v>
      </c>
    </row>
    <row r="466" spans="1:14" x14ac:dyDescent="0.25">
      <c r="A466" s="1" t="s">
        <v>47</v>
      </c>
      <c r="B466" s="1" t="s">
        <v>6089</v>
      </c>
      <c r="C466" s="1" t="s">
        <v>4105</v>
      </c>
      <c r="D466" s="8" t="s">
        <v>4104</v>
      </c>
      <c r="E466" s="1" t="s">
        <v>368</v>
      </c>
      <c r="F466" s="1" t="s">
        <v>6409</v>
      </c>
      <c r="G466" s="1" t="s">
        <v>6410</v>
      </c>
      <c r="H466" s="1" t="s">
        <v>4747</v>
      </c>
      <c r="I466" s="1" t="s">
        <v>4722</v>
      </c>
      <c r="J466" s="1" t="s">
        <v>39</v>
      </c>
      <c r="K466" s="1" t="s">
        <v>4844</v>
      </c>
      <c r="L466" s="1" t="s">
        <v>227</v>
      </c>
      <c r="M466" s="1" t="s">
        <v>41</v>
      </c>
      <c r="N466" s="1" t="s">
        <v>42</v>
      </c>
    </row>
    <row r="467" spans="1:14" x14ac:dyDescent="0.25">
      <c r="A467" s="1" t="s">
        <v>47</v>
      </c>
      <c r="B467" s="1" t="s">
        <v>6090</v>
      </c>
      <c r="C467" s="1" t="s">
        <v>671</v>
      </c>
      <c r="D467" s="8" t="s">
        <v>670</v>
      </c>
      <c r="E467" s="1" t="s">
        <v>98</v>
      </c>
      <c r="F467" s="1" t="s">
        <v>6391</v>
      </c>
      <c r="G467" s="1" t="s">
        <v>4750</v>
      </c>
      <c r="H467" s="1" t="s">
        <v>4747</v>
      </c>
      <c r="I467" s="1" t="s">
        <v>4721</v>
      </c>
      <c r="J467" s="1" t="s">
        <v>12</v>
      </c>
      <c r="K467" s="1" t="s">
        <v>4809</v>
      </c>
      <c r="L467" s="1" t="s">
        <v>56</v>
      </c>
      <c r="M467" s="1" t="s">
        <v>648</v>
      </c>
      <c r="N467" s="1" t="s">
        <v>25</v>
      </c>
    </row>
    <row r="468" spans="1:14" x14ac:dyDescent="0.25">
      <c r="A468" s="1" t="s">
        <v>47</v>
      </c>
      <c r="B468" s="1" t="s">
        <v>6091</v>
      </c>
      <c r="C468" s="1" t="s">
        <v>2521</v>
      </c>
      <c r="D468" s="8" t="s">
        <v>2520</v>
      </c>
      <c r="E468" s="1" t="s">
        <v>303</v>
      </c>
      <c r="F468" s="1" t="s">
        <v>6398</v>
      </c>
      <c r="G468" s="1" t="s">
        <v>4746</v>
      </c>
      <c r="H468" s="1" t="s">
        <v>4747</v>
      </c>
      <c r="I468" s="1" t="s">
        <v>4721</v>
      </c>
      <c r="J468" s="1" t="s">
        <v>12</v>
      </c>
      <c r="K468" s="1" t="s">
        <v>4813</v>
      </c>
      <c r="L468" s="1" t="s">
        <v>60</v>
      </c>
      <c r="M468" s="1" t="s">
        <v>58</v>
      </c>
      <c r="N468" s="1" t="s">
        <v>61</v>
      </c>
    </row>
    <row r="469" spans="1:14" x14ac:dyDescent="0.25">
      <c r="A469" s="1" t="s">
        <v>47</v>
      </c>
      <c r="B469" s="1" t="s">
        <v>6383</v>
      </c>
      <c r="C469" s="1" t="s">
        <v>3623</v>
      </c>
      <c r="D469" s="8" t="s">
        <v>3622</v>
      </c>
      <c r="E469" s="1" t="s">
        <v>464</v>
      </c>
      <c r="F469" s="1" t="s">
        <v>6401</v>
      </c>
      <c r="G469" s="1" t="s">
        <v>4746</v>
      </c>
      <c r="H469" s="1" t="s">
        <v>4747</v>
      </c>
      <c r="I469" s="1" t="s">
        <v>4721</v>
      </c>
      <c r="J469" s="1" t="s">
        <v>12</v>
      </c>
      <c r="K469" s="1" t="s">
        <v>4810</v>
      </c>
      <c r="L469" s="1" t="s">
        <v>48</v>
      </c>
      <c r="M469" s="1" t="s">
        <v>172</v>
      </c>
      <c r="N469" s="1" t="s">
        <v>17</v>
      </c>
    </row>
    <row r="470" spans="1:14" x14ac:dyDescent="0.25">
      <c r="A470" s="1" t="s">
        <v>47</v>
      </c>
      <c r="B470" s="1" t="s">
        <v>6384</v>
      </c>
      <c r="C470" s="1" t="s">
        <v>3429</v>
      </c>
      <c r="D470" s="8" t="s">
        <v>3428</v>
      </c>
      <c r="E470" s="1" t="s">
        <v>251</v>
      </c>
      <c r="F470" s="1" t="s">
        <v>6393</v>
      </c>
      <c r="G470" s="1" t="s">
        <v>4750</v>
      </c>
      <c r="H470" s="1" t="s">
        <v>4747</v>
      </c>
      <c r="I470" s="1" t="s">
        <v>4721</v>
      </c>
      <c r="J470" s="1" t="s">
        <v>12</v>
      </c>
      <c r="K470" s="1" t="s">
        <v>4838</v>
      </c>
      <c r="L470" s="1" t="s">
        <v>224</v>
      </c>
      <c r="M470" s="1" t="s">
        <v>648</v>
      </c>
      <c r="N470" s="1" t="s">
        <v>25</v>
      </c>
    </row>
    <row r="471" spans="1:14" x14ac:dyDescent="0.25">
      <c r="A471" s="1" t="s">
        <v>47</v>
      </c>
      <c r="B471" s="1" t="s">
        <v>6093</v>
      </c>
      <c r="C471" s="1" t="s">
        <v>3362</v>
      </c>
      <c r="D471" s="8" t="s">
        <v>3361</v>
      </c>
      <c r="E471" s="1" t="s">
        <v>251</v>
      </c>
      <c r="F471" s="1" t="s">
        <v>6393</v>
      </c>
      <c r="G471" s="1" t="s">
        <v>4750</v>
      </c>
      <c r="H471" s="1" t="s">
        <v>4747</v>
      </c>
      <c r="I471" s="1" t="s">
        <v>4721</v>
      </c>
      <c r="J471" s="1" t="s">
        <v>12</v>
      </c>
      <c r="K471" s="1" t="s">
        <v>4811</v>
      </c>
      <c r="L471" s="1" t="s">
        <v>224</v>
      </c>
      <c r="M471" s="1" t="s">
        <v>613</v>
      </c>
      <c r="N471" s="1" t="s">
        <v>25</v>
      </c>
    </row>
    <row r="472" spans="1:14" x14ac:dyDescent="0.25">
      <c r="A472" s="1" t="s">
        <v>47</v>
      </c>
      <c r="B472" s="1" t="s">
        <v>6385</v>
      </c>
      <c r="C472" s="1" t="s">
        <v>2720</v>
      </c>
      <c r="D472" s="8" t="s">
        <v>2719</v>
      </c>
      <c r="E472" s="1" t="s">
        <v>1405</v>
      </c>
      <c r="F472" s="1" t="s">
        <v>4749</v>
      </c>
      <c r="G472" s="1" t="s">
        <v>4750</v>
      </c>
      <c r="H472" s="1" t="s">
        <v>4747</v>
      </c>
      <c r="I472" s="1" t="s">
        <v>4721</v>
      </c>
      <c r="J472" s="1" t="s">
        <v>12</v>
      </c>
      <c r="K472" s="1" t="s">
        <v>4834</v>
      </c>
      <c r="L472" s="1" t="s">
        <v>227</v>
      </c>
      <c r="M472" s="1" t="s">
        <v>245</v>
      </c>
      <c r="N472" s="1" t="s">
        <v>21</v>
      </c>
    </row>
    <row r="473" spans="1:14" x14ac:dyDescent="0.25">
      <c r="A473" s="1" t="s">
        <v>47</v>
      </c>
      <c r="B473" s="1" t="s">
        <v>6386</v>
      </c>
      <c r="C473" s="1" t="s">
        <v>2107</v>
      </c>
      <c r="D473" s="8" t="s">
        <v>2106</v>
      </c>
      <c r="E473" s="1" t="s">
        <v>341</v>
      </c>
      <c r="F473" s="1" t="s">
        <v>6411</v>
      </c>
      <c r="G473" s="1" t="s">
        <v>4746</v>
      </c>
      <c r="H473" s="1" t="s">
        <v>4747</v>
      </c>
      <c r="I473" s="1" t="s">
        <v>4721</v>
      </c>
      <c r="J473" s="1" t="s">
        <v>12</v>
      </c>
      <c r="K473" s="1" t="s">
        <v>4866</v>
      </c>
      <c r="L473" s="1" t="s">
        <v>56</v>
      </c>
      <c r="M473" s="1" t="s">
        <v>245</v>
      </c>
      <c r="N473" s="1" t="s">
        <v>21</v>
      </c>
    </row>
    <row r="474" spans="1:14" x14ac:dyDescent="0.25">
      <c r="A474" s="1" t="s">
        <v>47</v>
      </c>
      <c r="B474" s="1" t="s">
        <v>6387</v>
      </c>
      <c r="C474" s="1" t="s">
        <v>2131</v>
      </c>
      <c r="D474" s="8" t="s">
        <v>2130</v>
      </c>
      <c r="E474" s="1" t="s">
        <v>341</v>
      </c>
      <c r="F474" s="1" t="s">
        <v>6411</v>
      </c>
      <c r="G474" s="1" t="s">
        <v>4746</v>
      </c>
      <c r="H474" s="1" t="s">
        <v>4747</v>
      </c>
      <c r="I474" s="1" t="s">
        <v>4721</v>
      </c>
      <c r="J474" s="1" t="s">
        <v>12</v>
      </c>
      <c r="K474" s="1" t="s">
        <v>4866</v>
      </c>
      <c r="L474" s="1" t="s">
        <v>56</v>
      </c>
      <c r="M474" s="1" t="s">
        <v>245</v>
      </c>
      <c r="N474" s="1" t="s">
        <v>21</v>
      </c>
    </row>
    <row r="475" spans="1:14" x14ac:dyDescent="0.25">
      <c r="A475" s="1" t="s">
        <v>47</v>
      </c>
      <c r="B475" s="1" t="s">
        <v>6096</v>
      </c>
      <c r="C475" s="1" t="s">
        <v>2328</v>
      </c>
      <c r="D475" s="8" t="s">
        <v>2327</v>
      </c>
      <c r="E475" s="1" t="s">
        <v>433</v>
      </c>
      <c r="F475" s="1" t="s">
        <v>6405</v>
      </c>
      <c r="G475" s="1" t="s">
        <v>4746</v>
      </c>
      <c r="H475" s="1" t="s">
        <v>4747</v>
      </c>
      <c r="I475" s="1" t="s">
        <v>4721</v>
      </c>
      <c r="J475" s="1" t="s">
        <v>12</v>
      </c>
      <c r="K475" s="1" t="s">
        <v>4779</v>
      </c>
      <c r="L475" s="1" t="s">
        <v>56</v>
      </c>
      <c r="M475" s="1" t="s">
        <v>58</v>
      </c>
      <c r="N475" s="1" t="s">
        <v>61</v>
      </c>
    </row>
    <row r="476" spans="1:14" x14ac:dyDescent="0.25">
      <c r="A476" s="1" t="s">
        <v>47</v>
      </c>
      <c r="B476" s="1" t="s">
        <v>5919</v>
      </c>
      <c r="C476" s="1" t="s">
        <v>1709</v>
      </c>
      <c r="D476" s="8" t="s">
        <v>1708</v>
      </c>
      <c r="E476" s="1" t="s">
        <v>181</v>
      </c>
      <c r="F476" s="1" t="s">
        <v>6395</v>
      </c>
      <c r="G476" s="1" t="s">
        <v>4748</v>
      </c>
      <c r="H476" s="1" t="s">
        <v>4747</v>
      </c>
      <c r="I476" s="1" t="s">
        <v>4721</v>
      </c>
      <c r="J476" s="1" t="s">
        <v>12</v>
      </c>
      <c r="K476" s="1" t="s">
        <v>4792</v>
      </c>
      <c r="L476" s="1" t="s">
        <v>66</v>
      </c>
      <c r="M476" s="1" t="s">
        <v>58</v>
      </c>
      <c r="N476" s="1" t="s">
        <v>61</v>
      </c>
    </row>
    <row r="477" spans="1:14" x14ac:dyDescent="0.25">
      <c r="A477" s="1" t="s">
        <v>47</v>
      </c>
      <c r="B477" s="1" t="s">
        <v>5920</v>
      </c>
      <c r="C477" s="1" t="s">
        <v>3329</v>
      </c>
      <c r="D477" s="8" t="s">
        <v>3328</v>
      </c>
      <c r="E477" s="1" t="s">
        <v>159</v>
      </c>
      <c r="F477" s="1" t="s">
        <v>6393</v>
      </c>
      <c r="G477" s="1" t="s">
        <v>4750</v>
      </c>
      <c r="H477" s="1" t="s">
        <v>4747</v>
      </c>
      <c r="I477" s="1" t="s">
        <v>4721</v>
      </c>
      <c r="J477" s="1" t="s">
        <v>12</v>
      </c>
      <c r="K477" s="1" t="s">
        <v>4838</v>
      </c>
      <c r="L477" s="1" t="s">
        <v>60</v>
      </c>
      <c r="M477" s="1" t="s">
        <v>99</v>
      </c>
      <c r="N477" s="1" t="s">
        <v>25</v>
      </c>
    </row>
    <row r="478" spans="1:14" x14ac:dyDescent="0.25">
      <c r="A478" s="1" t="s">
        <v>47</v>
      </c>
      <c r="B478" s="1" t="s">
        <v>6420</v>
      </c>
      <c r="C478" s="1" t="s">
        <v>3359</v>
      </c>
      <c r="D478" s="8" t="s">
        <v>3358</v>
      </c>
      <c r="E478" s="1" t="s">
        <v>159</v>
      </c>
      <c r="F478" s="1" t="s">
        <v>6393</v>
      </c>
      <c r="G478" s="1" t="s">
        <v>4750</v>
      </c>
      <c r="H478" s="1" t="s">
        <v>4747</v>
      </c>
      <c r="I478" s="1" t="s">
        <v>6421</v>
      </c>
      <c r="J478" s="1" t="s">
        <v>39</v>
      </c>
      <c r="K478" s="1" t="s">
        <v>4838</v>
      </c>
      <c r="L478" s="1" t="s">
        <v>60</v>
      </c>
      <c r="M478" s="1" t="s">
        <v>99</v>
      </c>
      <c r="N478" s="1" t="s">
        <v>25</v>
      </c>
    </row>
    <row r="479" spans="1:14" x14ac:dyDescent="0.25">
      <c r="A479" s="1" t="s">
        <v>47</v>
      </c>
      <c r="B479" s="1" t="s">
        <v>6420</v>
      </c>
      <c r="C479" s="1" t="s">
        <v>1696</v>
      </c>
      <c r="D479" s="8" t="s">
        <v>1695</v>
      </c>
      <c r="E479" s="1" t="s">
        <v>368</v>
      </c>
      <c r="F479" s="1" t="s">
        <v>4749</v>
      </c>
      <c r="G479" s="1" t="s">
        <v>4750</v>
      </c>
      <c r="H479" s="1" t="s">
        <v>4747</v>
      </c>
      <c r="I479" s="1" t="s">
        <v>6421</v>
      </c>
      <c r="J479" s="1" t="s">
        <v>39</v>
      </c>
      <c r="K479" s="1" t="s">
        <v>4834</v>
      </c>
      <c r="L479" s="1" t="s">
        <v>227</v>
      </c>
      <c r="M479" s="1" t="s">
        <v>245</v>
      </c>
      <c r="N479" s="1" t="s">
        <v>21</v>
      </c>
    </row>
    <row r="480" spans="1:14" x14ac:dyDescent="0.25">
      <c r="A480" s="1" t="s">
        <v>47</v>
      </c>
      <c r="B480" s="1" t="s">
        <v>6420</v>
      </c>
      <c r="C480" s="1" t="s">
        <v>2945</v>
      </c>
      <c r="D480" s="8" t="s">
        <v>2944</v>
      </c>
      <c r="E480" s="1" t="s">
        <v>511</v>
      </c>
      <c r="F480" s="1" t="s">
        <v>4752</v>
      </c>
      <c r="G480" s="1" t="s">
        <v>4746</v>
      </c>
      <c r="H480" s="1" t="s">
        <v>4747</v>
      </c>
      <c r="I480" s="1" t="s">
        <v>6421</v>
      </c>
      <c r="J480" s="1" t="s">
        <v>39</v>
      </c>
      <c r="K480" s="1" t="s">
        <v>4786</v>
      </c>
      <c r="L480" s="1" t="s">
        <v>48</v>
      </c>
      <c r="M480" s="1" t="s">
        <v>630</v>
      </c>
      <c r="N480" s="1" t="s">
        <v>21</v>
      </c>
    </row>
    <row r="481" spans="1:14" x14ac:dyDescent="0.25">
      <c r="A481" s="1" t="s">
        <v>47</v>
      </c>
      <c r="B481" s="1" t="s">
        <v>6420</v>
      </c>
      <c r="C481" s="1" t="s">
        <v>2865</v>
      </c>
      <c r="D481" s="8" t="s">
        <v>2864</v>
      </c>
      <c r="E481" s="1" t="s">
        <v>142</v>
      </c>
      <c r="F481" s="1" t="s">
        <v>6396</v>
      </c>
      <c r="G481" s="1" t="s">
        <v>4748</v>
      </c>
      <c r="H481" s="1" t="s">
        <v>4747</v>
      </c>
      <c r="I481" s="1" t="s">
        <v>6421</v>
      </c>
      <c r="J481" s="1" t="s">
        <v>39</v>
      </c>
      <c r="K481" s="1" t="s">
        <v>4845</v>
      </c>
      <c r="L481" s="1" t="s">
        <v>141</v>
      </c>
      <c r="M481" s="1" t="s">
        <v>68</v>
      </c>
      <c r="N481" s="1" t="s">
        <v>17</v>
      </c>
    </row>
    <row r="482" spans="1:14" x14ac:dyDescent="0.25">
      <c r="A482" s="1" t="s">
        <v>47</v>
      </c>
      <c r="B482" s="1" t="s">
        <v>6420</v>
      </c>
      <c r="C482" s="1" t="s">
        <v>2113</v>
      </c>
      <c r="D482" s="8" t="s">
        <v>2112</v>
      </c>
      <c r="E482" s="1" t="s">
        <v>2104</v>
      </c>
      <c r="F482" s="1" t="s">
        <v>6411</v>
      </c>
      <c r="G482" s="1" t="s">
        <v>4746</v>
      </c>
      <c r="H482" s="1" t="s">
        <v>4747</v>
      </c>
      <c r="I482" s="1" t="s">
        <v>6421</v>
      </c>
      <c r="J482" s="1" t="s">
        <v>39</v>
      </c>
      <c r="K482" s="1" t="s">
        <v>4866</v>
      </c>
      <c r="L482" s="1" t="s">
        <v>56</v>
      </c>
      <c r="M482" s="1" t="s">
        <v>245</v>
      </c>
      <c r="N482" s="1" t="s">
        <v>21</v>
      </c>
    </row>
    <row r="483" spans="1:14" x14ac:dyDescent="0.25">
      <c r="A483" s="1" t="s">
        <v>47</v>
      </c>
      <c r="B483" s="1" t="s">
        <v>6420</v>
      </c>
      <c r="C483" s="1" t="s">
        <v>223</v>
      </c>
      <c r="D483" s="8" t="s">
        <v>222</v>
      </c>
      <c r="E483" s="1" t="s">
        <v>225</v>
      </c>
      <c r="F483" s="1" t="s">
        <v>4751</v>
      </c>
      <c r="G483" s="1" t="s">
        <v>4748</v>
      </c>
      <c r="H483" s="1" t="s">
        <v>4747</v>
      </c>
      <c r="I483" s="1" t="s">
        <v>6421</v>
      </c>
      <c r="J483" s="1" t="s">
        <v>39</v>
      </c>
      <c r="K483" s="1" t="s">
        <v>4844</v>
      </c>
      <c r="L483" s="1" t="s">
        <v>224</v>
      </c>
      <c r="M483" s="1" t="s">
        <v>245</v>
      </c>
      <c r="N483" s="1" t="s">
        <v>21</v>
      </c>
    </row>
    <row r="484" spans="1:14" x14ac:dyDescent="0.25">
      <c r="A484" s="1" t="s">
        <v>47</v>
      </c>
      <c r="B484" s="1" t="s">
        <v>6420</v>
      </c>
      <c r="C484" s="1" t="s">
        <v>4300</v>
      </c>
      <c r="D484" s="8" t="s">
        <v>4299</v>
      </c>
      <c r="E484" s="1" t="s">
        <v>464</v>
      </c>
      <c r="F484" s="1" t="s">
        <v>4752</v>
      </c>
      <c r="G484" s="1" t="s">
        <v>4746</v>
      </c>
      <c r="H484" s="1" t="s">
        <v>4747</v>
      </c>
      <c r="I484" s="1" t="s">
        <v>6421</v>
      </c>
      <c r="J484" s="1" t="s">
        <v>39</v>
      </c>
      <c r="K484" s="1" t="s">
        <v>4861</v>
      </c>
      <c r="L484" s="1" t="s">
        <v>48</v>
      </c>
      <c r="M484" s="1" t="s">
        <v>630</v>
      </c>
      <c r="N484" s="1" t="s">
        <v>21</v>
      </c>
    </row>
    <row r="485" spans="1:14" x14ac:dyDescent="0.25">
      <c r="A485" s="1" t="s">
        <v>47</v>
      </c>
      <c r="B485" s="1" t="s">
        <v>6420</v>
      </c>
      <c r="C485" s="1" t="s">
        <v>4447</v>
      </c>
      <c r="D485" s="8" t="s">
        <v>4446</v>
      </c>
      <c r="E485" s="1" t="s">
        <v>251</v>
      </c>
      <c r="F485" s="1" t="s">
        <v>6392</v>
      </c>
      <c r="G485" s="1" t="s">
        <v>4750</v>
      </c>
      <c r="H485" s="1" t="s">
        <v>4747</v>
      </c>
      <c r="I485" s="1" t="s">
        <v>6421</v>
      </c>
      <c r="J485" s="1" t="s">
        <v>39</v>
      </c>
      <c r="K485" s="1" t="s">
        <v>4817</v>
      </c>
      <c r="L485" s="1" t="s">
        <v>224</v>
      </c>
      <c r="M485" s="1" t="s">
        <v>99</v>
      </c>
      <c r="N485" s="1" t="s">
        <v>25</v>
      </c>
    </row>
    <row r="486" spans="1:14" x14ac:dyDescent="0.25">
      <c r="A486" s="1" t="s">
        <v>47</v>
      </c>
      <c r="B486" s="1" t="s">
        <v>6420</v>
      </c>
      <c r="C486" s="1" t="s">
        <v>340</v>
      </c>
      <c r="D486" s="8" t="s">
        <v>339</v>
      </c>
      <c r="E486" s="1" t="s">
        <v>341</v>
      </c>
      <c r="F486" s="1" t="s">
        <v>6411</v>
      </c>
      <c r="G486" s="1" t="s">
        <v>4746</v>
      </c>
      <c r="H486" s="1" t="s">
        <v>4747</v>
      </c>
      <c r="I486" s="1" t="s">
        <v>6421</v>
      </c>
      <c r="J486" s="1" t="s">
        <v>39</v>
      </c>
      <c r="K486" s="1" t="s">
        <v>4866</v>
      </c>
      <c r="L486" s="1" t="s">
        <v>56</v>
      </c>
      <c r="M486" s="1" t="s">
        <v>245</v>
      </c>
      <c r="N486" s="1" t="s">
        <v>21</v>
      </c>
    </row>
    <row r="487" spans="1:14" x14ac:dyDescent="0.25">
      <c r="A487" s="1" t="s">
        <v>47</v>
      </c>
      <c r="B487" s="1" t="s">
        <v>6420</v>
      </c>
      <c r="C487" s="1" t="s">
        <v>1992</v>
      </c>
      <c r="D487" s="8" t="s">
        <v>1991</v>
      </c>
      <c r="E487" s="1" t="s">
        <v>225</v>
      </c>
      <c r="F487" s="1" t="s">
        <v>6408</v>
      </c>
      <c r="G487" s="1" t="s">
        <v>4748</v>
      </c>
      <c r="H487" s="1" t="s">
        <v>4747</v>
      </c>
      <c r="I487" s="1" t="s">
        <v>6421</v>
      </c>
      <c r="J487" s="1" t="s">
        <v>39</v>
      </c>
      <c r="K487" s="1" t="s">
        <v>4821</v>
      </c>
      <c r="L487" s="1" t="s">
        <v>224</v>
      </c>
      <c r="M487" s="1" t="s">
        <v>245</v>
      </c>
      <c r="N487" s="1" t="s">
        <v>21</v>
      </c>
    </row>
    <row r="488" spans="1:14" x14ac:dyDescent="0.25">
      <c r="A488" s="1" t="s">
        <v>47</v>
      </c>
      <c r="B488" s="1" t="s">
        <v>6420</v>
      </c>
      <c r="C488" s="1" t="s">
        <v>4132</v>
      </c>
      <c r="D488" s="8" t="s">
        <v>4131</v>
      </c>
      <c r="E488" s="1" t="s">
        <v>142</v>
      </c>
      <c r="F488" s="1" t="s">
        <v>6422</v>
      </c>
      <c r="G488" s="1" t="s">
        <v>6423</v>
      </c>
      <c r="H488" s="1" t="s">
        <v>6400</v>
      </c>
      <c r="I488" s="1" t="s">
        <v>6421</v>
      </c>
      <c r="J488" s="1" t="s">
        <v>39</v>
      </c>
      <c r="K488" s="1" t="s">
        <v>4907</v>
      </c>
      <c r="L488" s="1" t="s">
        <v>141</v>
      </c>
      <c r="M488" s="1" t="s">
        <v>135</v>
      </c>
      <c r="N488" s="1" t="s">
        <v>61</v>
      </c>
    </row>
    <row r="489" spans="1:14" x14ac:dyDescent="0.25">
      <c r="A489" s="1" t="s">
        <v>47</v>
      </c>
      <c r="B489" s="1" t="s">
        <v>6420</v>
      </c>
      <c r="C489" s="1" t="s">
        <v>1401</v>
      </c>
      <c r="D489" s="8" t="s">
        <v>1400</v>
      </c>
      <c r="E489" s="1" t="s">
        <v>368</v>
      </c>
      <c r="F489" s="1" t="s">
        <v>4749</v>
      </c>
      <c r="G489" s="1" t="s">
        <v>4750</v>
      </c>
      <c r="H489" s="1" t="s">
        <v>4747</v>
      </c>
      <c r="I489" s="1" t="s">
        <v>6421</v>
      </c>
      <c r="J489" s="1" t="s">
        <v>39</v>
      </c>
      <c r="K489" s="1" t="s">
        <v>4834</v>
      </c>
      <c r="L489" s="1" t="s">
        <v>227</v>
      </c>
      <c r="M489" s="1" t="s">
        <v>245</v>
      </c>
      <c r="N489" s="1" t="s">
        <v>21</v>
      </c>
    </row>
    <row r="490" spans="1:14" x14ac:dyDescent="0.25">
      <c r="A490" s="1" t="s">
        <v>47</v>
      </c>
      <c r="B490" s="1" t="s">
        <v>6420</v>
      </c>
      <c r="C490" s="1" t="s">
        <v>394</v>
      </c>
      <c r="D490" s="8" t="s">
        <v>393</v>
      </c>
      <c r="E490" s="1" t="s">
        <v>142</v>
      </c>
      <c r="F490" s="1" t="s">
        <v>6396</v>
      </c>
      <c r="G490" s="1" t="s">
        <v>4748</v>
      </c>
      <c r="H490" s="1" t="s">
        <v>4747</v>
      </c>
      <c r="I490" s="1" t="s">
        <v>6421</v>
      </c>
      <c r="J490" s="1" t="s">
        <v>39</v>
      </c>
      <c r="K490" s="1" t="s">
        <v>4845</v>
      </c>
      <c r="L490" s="1" t="s">
        <v>141</v>
      </c>
      <c r="M490" s="1" t="s">
        <v>630</v>
      </c>
      <c r="N490" s="1" t="s">
        <v>21</v>
      </c>
    </row>
    <row r="491" spans="1:14" x14ac:dyDescent="0.25">
      <c r="A491" s="1" t="s">
        <v>47</v>
      </c>
      <c r="B491" s="1" t="s">
        <v>6420</v>
      </c>
      <c r="C491" s="1" t="s">
        <v>1115</v>
      </c>
      <c r="D491" s="8" t="s">
        <v>1114</v>
      </c>
      <c r="E491" s="1" t="s">
        <v>1112</v>
      </c>
      <c r="F491" s="1" t="s">
        <v>6408</v>
      </c>
      <c r="G491" s="1" t="s">
        <v>4748</v>
      </c>
      <c r="H491" s="1" t="s">
        <v>4747</v>
      </c>
      <c r="I491" s="1" t="s">
        <v>6421</v>
      </c>
      <c r="J491" s="1" t="s">
        <v>39</v>
      </c>
      <c r="K491" s="1" t="s">
        <v>4817</v>
      </c>
      <c r="L491" s="1" t="s">
        <v>224</v>
      </c>
      <c r="M491" s="1" t="s">
        <v>58</v>
      </c>
      <c r="N491" s="1" t="s">
        <v>61</v>
      </c>
    </row>
    <row r="492" spans="1:14" x14ac:dyDescent="0.25">
      <c r="A492" s="1" t="s">
        <v>47</v>
      </c>
      <c r="B492" s="1" t="s">
        <v>6420</v>
      </c>
      <c r="C492" s="1" t="s">
        <v>1666</v>
      </c>
      <c r="D492" s="8" t="s">
        <v>1665</v>
      </c>
      <c r="E492" s="1" t="s">
        <v>57</v>
      </c>
      <c r="F492" s="1" t="s">
        <v>6405</v>
      </c>
      <c r="G492" s="1" t="s">
        <v>4746</v>
      </c>
      <c r="H492" s="1" t="s">
        <v>4747</v>
      </c>
      <c r="I492" s="1" t="s">
        <v>6421</v>
      </c>
      <c r="J492" s="1" t="s">
        <v>39</v>
      </c>
      <c r="K492" s="1" t="s">
        <v>4779</v>
      </c>
      <c r="L492" s="1" t="s">
        <v>56</v>
      </c>
      <c r="M492" s="1" t="s">
        <v>245</v>
      </c>
      <c r="N492" s="1" t="s">
        <v>21</v>
      </c>
    </row>
    <row r="493" spans="1:14" x14ac:dyDescent="0.25">
      <c r="A493" s="1" t="s">
        <v>47</v>
      </c>
      <c r="B493" s="1" t="s">
        <v>6420</v>
      </c>
      <c r="C493" s="1" t="s">
        <v>4267</v>
      </c>
      <c r="D493" s="8" t="s">
        <v>4266</v>
      </c>
      <c r="E493" s="1" t="s">
        <v>312</v>
      </c>
      <c r="F493" s="1" t="s">
        <v>6396</v>
      </c>
      <c r="G493" s="1" t="s">
        <v>4748</v>
      </c>
      <c r="H493" s="1" t="s">
        <v>4747</v>
      </c>
      <c r="I493" s="1" t="s">
        <v>6421</v>
      </c>
      <c r="J493" s="1" t="s">
        <v>39</v>
      </c>
      <c r="K493" s="1" t="s">
        <v>4845</v>
      </c>
      <c r="L493" s="1" t="s">
        <v>311</v>
      </c>
      <c r="M493" s="1" t="s">
        <v>245</v>
      </c>
      <c r="N493" s="1" t="s">
        <v>21</v>
      </c>
    </row>
    <row r="494" spans="1:14" x14ac:dyDescent="0.25">
      <c r="A494" s="1" t="s">
        <v>47</v>
      </c>
      <c r="B494" s="1" t="s">
        <v>6420</v>
      </c>
      <c r="C494" s="1" t="s">
        <v>2760</v>
      </c>
      <c r="D494" s="8" t="s">
        <v>2759</v>
      </c>
      <c r="E494" s="1" t="s">
        <v>368</v>
      </c>
      <c r="F494" s="1" t="s">
        <v>6409</v>
      </c>
      <c r="G494" s="1" t="s">
        <v>6410</v>
      </c>
      <c r="H494" s="1" t="s">
        <v>4747</v>
      </c>
      <c r="I494" s="1" t="s">
        <v>6421</v>
      </c>
      <c r="J494" s="1" t="s">
        <v>39</v>
      </c>
      <c r="K494" s="1" t="s">
        <v>4778</v>
      </c>
      <c r="L494" s="1" t="s">
        <v>227</v>
      </c>
      <c r="M494" s="1" t="s">
        <v>41</v>
      </c>
      <c r="N494" s="1" t="s">
        <v>42</v>
      </c>
    </row>
    <row r="495" spans="1:14" x14ac:dyDescent="0.25">
      <c r="A495" s="1" t="s">
        <v>47</v>
      </c>
      <c r="B495" s="1" t="s">
        <v>6420</v>
      </c>
      <c r="C495" s="1" t="s">
        <v>2128</v>
      </c>
      <c r="D495" s="8" t="s">
        <v>2127</v>
      </c>
      <c r="E495" s="1" t="s">
        <v>341</v>
      </c>
      <c r="F495" s="1" t="s">
        <v>6411</v>
      </c>
      <c r="G495" s="1" t="s">
        <v>4746</v>
      </c>
      <c r="H495" s="1" t="s">
        <v>4747</v>
      </c>
      <c r="I495" s="1" t="s">
        <v>6421</v>
      </c>
      <c r="J495" s="1" t="s">
        <v>39</v>
      </c>
      <c r="K495" s="1" t="s">
        <v>4810</v>
      </c>
      <c r="L495" s="1" t="s">
        <v>56</v>
      </c>
      <c r="M495" s="1" t="s">
        <v>58</v>
      </c>
      <c r="N495" s="1" t="s">
        <v>61</v>
      </c>
    </row>
    <row r="496" spans="1:14" x14ac:dyDescent="0.25">
      <c r="A496" s="1" t="s">
        <v>47</v>
      </c>
      <c r="B496" s="1" t="s">
        <v>6420</v>
      </c>
      <c r="C496" s="1" t="s">
        <v>1479</v>
      </c>
      <c r="D496" s="8" t="s">
        <v>1478</v>
      </c>
      <c r="E496" s="1" t="s">
        <v>269</v>
      </c>
      <c r="F496" s="1" t="s">
        <v>6404</v>
      </c>
      <c r="G496" s="1" t="s">
        <v>4748</v>
      </c>
      <c r="H496" s="1" t="s">
        <v>4747</v>
      </c>
      <c r="I496" s="1" t="s">
        <v>6421</v>
      </c>
      <c r="J496" s="1" t="s">
        <v>39</v>
      </c>
      <c r="K496" s="1" t="s">
        <v>4829</v>
      </c>
      <c r="L496" s="1" t="s">
        <v>227</v>
      </c>
      <c r="M496" s="1" t="s">
        <v>245</v>
      </c>
      <c r="N496" s="1" t="s">
        <v>21</v>
      </c>
    </row>
    <row r="497" spans="1:14" x14ac:dyDescent="0.25">
      <c r="A497" s="1" t="s">
        <v>47</v>
      </c>
      <c r="B497" s="1" t="s">
        <v>6420</v>
      </c>
      <c r="C497" s="1" t="s">
        <v>960</v>
      </c>
      <c r="D497" s="8" t="s">
        <v>958</v>
      </c>
      <c r="E497" s="1" t="s">
        <v>57</v>
      </c>
      <c r="F497" s="1" t="s">
        <v>6416</v>
      </c>
      <c r="G497" s="1" t="s">
        <v>6410</v>
      </c>
      <c r="H497" s="1" t="s">
        <v>4747</v>
      </c>
      <c r="I497" s="1" t="s">
        <v>6421</v>
      </c>
      <c r="J497" s="1" t="s">
        <v>39</v>
      </c>
      <c r="K497" s="1" t="s">
        <v>4812</v>
      </c>
      <c r="L497" s="1" t="s">
        <v>56</v>
      </c>
      <c r="M497" s="1" t="s">
        <v>58</v>
      </c>
      <c r="N497" s="1" t="s">
        <v>61</v>
      </c>
    </row>
    <row r="498" spans="1:14" x14ac:dyDescent="0.25">
      <c r="A498" s="1" t="s">
        <v>47</v>
      </c>
      <c r="B498" s="1" t="s">
        <v>6420</v>
      </c>
      <c r="C498" s="1" t="s">
        <v>2216</v>
      </c>
      <c r="D498" s="8" t="s">
        <v>2215</v>
      </c>
      <c r="E498" s="1" t="s">
        <v>433</v>
      </c>
      <c r="F498" s="1" t="s">
        <v>6405</v>
      </c>
      <c r="G498" s="1" t="s">
        <v>4746</v>
      </c>
      <c r="H498" s="1" t="s">
        <v>4747</v>
      </c>
      <c r="I498" s="1" t="s">
        <v>6421</v>
      </c>
      <c r="J498" s="1" t="s">
        <v>39</v>
      </c>
      <c r="K498" s="1" t="s">
        <v>4779</v>
      </c>
      <c r="L498" s="1" t="s">
        <v>56</v>
      </c>
      <c r="M498" s="1" t="s">
        <v>883</v>
      </c>
      <c r="N498" s="1" t="s">
        <v>21</v>
      </c>
    </row>
    <row r="499" spans="1:14" x14ac:dyDescent="0.25">
      <c r="A499" s="1" t="s">
        <v>47</v>
      </c>
      <c r="B499" s="1" t="s">
        <v>6420</v>
      </c>
      <c r="C499" s="1" t="s">
        <v>2635</v>
      </c>
      <c r="D499" s="8" t="s">
        <v>2634</v>
      </c>
      <c r="E499" s="1" t="s">
        <v>433</v>
      </c>
      <c r="F499" s="1" t="s">
        <v>6405</v>
      </c>
      <c r="G499" s="1" t="s">
        <v>4746</v>
      </c>
      <c r="H499" s="1" t="s">
        <v>4747</v>
      </c>
      <c r="I499" s="1" t="s">
        <v>6421</v>
      </c>
      <c r="J499" s="1" t="s">
        <v>39</v>
      </c>
      <c r="K499" s="1" t="s">
        <v>4779</v>
      </c>
      <c r="L499" s="1" t="s">
        <v>56</v>
      </c>
      <c r="M499" s="1" t="s">
        <v>4780</v>
      </c>
      <c r="N499" s="1" t="s">
        <v>21</v>
      </c>
    </row>
    <row r="500" spans="1:14" x14ac:dyDescent="0.25">
      <c r="A500" s="1" t="s">
        <v>47</v>
      </c>
      <c r="B500" s="1" t="s">
        <v>6420</v>
      </c>
      <c r="C500" s="1" t="s">
        <v>2768</v>
      </c>
      <c r="D500" s="8" t="s">
        <v>2766</v>
      </c>
      <c r="E500" s="1" t="s">
        <v>312</v>
      </c>
      <c r="F500" s="1" t="s">
        <v>6424</v>
      </c>
      <c r="G500" s="1" t="s">
        <v>6423</v>
      </c>
      <c r="H500" s="1" t="s">
        <v>6400</v>
      </c>
      <c r="I500" s="1" t="s">
        <v>6421</v>
      </c>
      <c r="J500" s="1" t="s">
        <v>39</v>
      </c>
      <c r="K500" s="1" t="s">
        <v>4830</v>
      </c>
      <c r="L500" s="1" t="s">
        <v>311</v>
      </c>
      <c r="M500" s="1" t="s">
        <v>58</v>
      </c>
      <c r="N500" s="1" t="s">
        <v>61</v>
      </c>
    </row>
    <row r="501" spans="1:14" x14ac:dyDescent="0.25">
      <c r="A501" s="1" t="s">
        <v>47</v>
      </c>
      <c r="B501" s="1" t="s">
        <v>6420</v>
      </c>
      <c r="C501" s="1" t="s">
        <v>3188</v>
      </c>
      <c r="D501" s="8" t="s">
        <v>3186</v>
      </c>
      <c r="E501" s="1" t="s">
        <v>312</v>
      </c>
      <c r="F501" s="1" t="s">
        <v>6413</v>
      </c>
      <c r="G501" s="1" t="s">
        <v>6410</v>
      </c>
      <c r="H501" s="1" t="s">
        <v>4747</v>
      </c>
      <c r="I501" s="1" t="s">
        <v>6421</v>
      </c>
      <c r="J501" s="1" t="s">
        <v>39</v>
      </c>
      <c r="K501" s="1" t="s">
        <v>4906</v>
      </c>
      <c r="L501" s="1" t="s">
        <v>311</v>
      </c>
      <c r="M501" s="1" t="s">
        <v>58</v>
      </c>
      <c r="N501" s="1" t="s">
        <v>61</v>
      </c>
    </row>
    <row r="502" spans="1:14" x14ac:dyDescent="0.25">
      <c r="A502" s="1" t="s">
        <v>47</v>
      </c>
      <c r="B502" s="1" t="s">
        <v>6420</v>
      </c>
      <c r="C502" s="1" t="s">
        <v>3341</v>
      </c>
      <c r="D502" s="8" t="s">
        <v>3340</v>
      </c>
      <c r="E502" s="1" t="s">
        <v>264</v>
      </c>
      <c r="F502" s="1" t="s">
        <v>6393</v>
      </c>
      <c r="G502" s="1" t="s">
        <v>4750</v>
      </c>
      <c r="H502" s="1" t="s">
        <v>4747</v>
      </c>
      <c r="I502" s="1" t="s">
        <v>6421</v>
      </c>
      <c r="J502" s="1" t="s">
        <v>39</v>
      </c>
      <c r="K502" s="1" t="s">
        <v>4834</v>
      </c>
      <c r="L502" s="1" t="s">
        <v>227</v>
      </c>
      <c r="M502" s="1" t="s">
        <v>99</v>
      </c>
      <c r="N502" s="1" t="s">
        <v>25</v>
      </c>
    </row>
    <row r="503" spans="1:14" x14ac:dyDescent="0.25">
      <c r="A503" s="1" t="s">
        <v>47</v>
      </c>
      <c r="B503" s="1" t="s">
        <v>6420</v>
      </c>
      <c r="C503" s="1" t="s">
        <v>1636</v>
      </c>
      <c r="D503" s="8" t="s">
        <v>1635</v>
      </c>
      <c r="E503" s="1" t="s">
        <v>159</v>
      </c>
      <c r="F503" s="1" t="s">
        <v>6391</v>
      </c>
      <c r="G503" s="1" t="s">
        <v>4750</v>
      </c>
      <c r="H503" s="1" t="s">
        <v>4747</v>
      </c>
      <c r="I503" s="1" t="s">
        <v>6421</v>
      </c>
      <c r="J503" s="1" t="s">
        <v>39</v>
      </c>
      <c r="K503" s="1" t="s">
        <v>4809</v>
      </c>
      <c r="L503" s="1" t="s">
        <v>60</v>
      </c>
      <c r="M503" s="1" t="s">
        <v>99</v>
      </c>
      <c r="N503" s="1" t="s">
        <v>25</v>
      </c>
    </row>
    <row r="504" spans="1:14" x14ac:dyDescent="0.25">
      <c r="A504" s="1" t="s">
        <v>47</v>
      </c>
      <c r="B504" s="1" t="s">
        <v>6420</v>
      </c>
      <c r="C504" s="1" t="s">
        <v>707</v>
      </c>
      <c r="D504" s="8" t="s">
        <v>706</v>
      </c>
      <c r="E504" s="1" t="s">
        <v>225</v>
      </c>
      <c r="F504" s="1" t="s">
        <v>4751</v>
      </c>
      <c r="G504" s="1" t="s">
        <v>4748</v>
      </c>
      <c r="H504" s="1" t="s">
        <v>4747</v>
      </c>
      <c r="I504" s="1" t="s">
        <v>6421</v>
      </c>
      <c r="J504" s="1" t="s">
        <v>39</v>
      </c>
      <c r="K504" s="1" t="s">
        <v>4844</v>
      </c>
      <c r="L504" s="1" t="s">
        <v>224</v>
      </c>
      <c r="M504" s="1" t="s">
        <v>245</v>
      </c>
      <c r="N504" s="1" t="s">
        <v>21</v>
      </c>
    </row>
    <row r="505" spans="1:14" x14ac:dyDescent="0.25">
      <c r="A505" s="1" t="s">
        <v>47</v>
      </c>
      <c r="B505" s="1" t="s">
        <v>6420</v>
      </c>
      <c r="C505" s="1" t="s">
        <v>1473</v>
      </c>
      <c r="D505" s="8" t="s">
        <v>1472</v>
      </c>
      <c r="E505" s="1" t="s">
        <v>269</v>
      </c>
      <c r="F505" s="1" t="s">
        <v>6404</v>
      </c>
      <c r="G505" s="1" t="s">
        <v>4748</v>
      </c>
      <c r="H505" s="1" t="s">
        <v>4747</v>
      </c>
      <c r="I505" s="1" t="s">
        <v>6421</v>
      </c>
      <c r="J505" s="1" t="s">
        <v>39</v>
      </c>
      <c r="K505" s="1" t="s">
        <v>4829</v>
      </c>
      <c r="L505" s="1" t="s">
        <v>227</v>
      </c>
      <c r="M505" s="1" t="s">
        <v>245</v>
      </c>
      <c r="N505" s="1" t="s">
        <v>21</v>
      </c>
    </row>
    <row r="506" spans="1:14" x14ac:dyDescent="0.25">
      <c r="A506" s="1" t="s">
        <v>47</v>
      </c>
      <c r="B506" s="1" t="s">
        <v>6420</v>
      </c>
      <c r="C506" s="1" t="s">
        <v>2176</v>
      </c>
      <c r="D506" s="8" t="s">
        <v>2175</v>
      </c>
      <c r="E506" s="1" t="s">
        <v>601</v>
      </c>
      <c r="F506" s="1" t="s">
        <v>6403</v>
      </c>
      <c r="G506" s="1" t="s">
        <v>4746</v>
      </c>
      <c r="H506" s="1" t="s">
        <v>4747</v>
      </c>
      <c r="I506" s="1" t="s">
        <v>6421</v>
      </c>
      <c r="J506" s="1" t="s">
        <v>39</v>
      </c>
      <c r="K506" s="1" t="s">
        <v>4778</v>
      </c>
      <c r="L506" s="1" t="s">
        <v>60</v>
      </c>
      <c r="M506" s="1" t="s">
        <v>883</v>
      </c>
      <c r="N506" s="1" t="s">
        <v>21</v>
      </c>
    </row>
    <row r="507" spans="1:14" x14ac:dyDescent="0.25">
      <c r="A507" s="1" t="s">
        <v>47</v>
      </c>
      <c r="B507" s="1" t="s">
        <v>6420</v>
      </c>
      <c r="C507" s="1" t="s">
        <v>3243</v>
      </c>
      <c r="D507" s="8" t="s">
        <v>3242</v>
      </c>
      <c r="E507" s="1" t="s">
        <v>269</v>
      </c>
      <c r="F507" s="1" t="s">
        <v>6404</v>
      </c>
      <c r="G507" s="1" t="s">
        <v>4748</v>
      </c>
      <c r="H507" s="1" t="s">
        <v>4747</v>
      </c>
      <c r="I507" s="1" t="s">
        <v>6421</v>
      </c>
      <c r="J507" s="1" t="s">
        <v>39</v>
      </c>
      <c r="K507" s="1" t="s">
        <v>4877</v>
      </c>
      <c r="L507" s="1" t="s">
        <v>227</v>
      </c>
      <c r="M507" s="1" t="s">
        <v>245</v>
      </c>
      <c r="N507" s="1" t="s">
        <v>21</v>
      </c>
    </row>
    <row r="508" spans="1:14" x14ac:dyDescent="0.25">
      <c r="A508" s="1" t="s">
        <v>47</v>
      </c>
      <c r="B508" s="1" t="s">
        <v>6420</v>
      </c>
      <c r="C508" s="1" t="s">
        <v>2179</v>
      </c>
      <c r="D508" s="8" t="s">
        <v>2178</v>
      </c>
      <c r="E508" s="1" t="s">
        <v>244</v>
      </c>
      <c r="F508" s="1" t="s">
        <v>6403</v>
      </c>
      <c r="G508" s="1" t="s">
        <v>4746</v>
      </c>
      <c r="H508" s="1" t="s">
        <v>4747</v>
      </c>
      <c r="I508" s="1" t="s">
        <v>6421</v>
      </c>
      <c r="J508" s="1" t="s">
        <v>39</v>
      </c>
      <c r="K508" s="1" t="s">
        <v>4778</v>
      </c>
      <c r="L508" s="1" t="s">
        <v>60</v>
      </c>
      <c r="M508" s="1" t="s">
        <v>883</v>
      </c>
      <c r="N508" s="1" t="s">
        <v>21</v>
      </c>
    </row>
    <row r="509" spans="1:14" x14ac:dyDescent="0.25">
      <c r="A509" s="1" t="s">
        <v>47</v>
      </c>
      <c r="B509" s="1" t="s">
        <v>6420</v>
      </c>
      <c r="C509" s="1" t="s">
        <v>2134</v>
      </c>
      <c r="D509" s="8" t="s">
        <v>2133</v>
      </c>
      <c r="E509" s="1" t="s">
        <v>601</v>
      </c>
      <c r="F509" s="1" t="s">
        <v>6403</v>
      </c>
      <c r="G509" s="1" t="s">
        <v>4746</v>
      </c>
      <c r="H509" s="1" t="s">
        <v>4747</v>
      </c>
      <c r="I509" s="1" t="s">
        <v>6421</v>
      </c>
      <c r="J509" s="1" t="s">
        <v>39</v>
      </c>
      <c r="K509" s="1" t="s">
        <v>4778</v>
      </c>
      <c r="L509" s="1" t="s">
        <v>60</v>
      </c>
      <c r="M509" s="1" t="s">
        <v>245</v>
      </c>
      <c r="N509" s="1" t="s">
        <v>21</v>
      </c>
    </row>
    <row r="510" spans="1:14" x14ac:dyDescent="0.25">
      <c r="A510" s="1" t="s">
        <v>47</v>
      </c>
      <c r="B510" s="1" t="s">
        <v>6420</v>
      </c>
      <c r="C510" s="1" t="s">
        <v>2819</v>
      </c>
      <c r="D510" s="8" t="s">
        <v>2818</v>
      </c>
      <c r="E510" s="1" t="s">
        <v>303</v>
      </c>
      <c r="F510" s="1" t="s">
        <v>6397</v>
      </c>
      <c r="G510" s="1" t="s">
        <v>4746</v>
      </c>
      <c r="H510" s="1" t="s">
        <v>4747</v>
      </c>
      <c r="I510" s="1" t="s">
        <v>6421</v>
      </c>
      <c r="J510" s="1" t="s">
        <v>39</v>
      </c>
      <c r="K510" s="1" t="s">
        <v>4817</v>
      </c>
      <c r="L510" s="1" t="s">
        <v>60</v>
      </c>
      <c r="M510" s="1" t="s">
        <v>245</v>
      </c>
      <c r="N510" s="1" t="s">
        <v>21</v>
      </c>
    </row>
    <row r="511" spans="1:14" x14ac:dyDescent="0.25">
      <c r="A511" s="1" t="s">
        <v>47</v>
      </c>
      <c r="B511" s="1" t="s">
        <v>6420</v>
      </c>
      <c r="C511" s="1" t="s">
        <v>4188</v>
      </c>
      <c r="D511" s="8" t="s">
        <v>4187</v>
      </c>
      <c r="E511" s="1" t="s">
        <v>303</v>
      </c>
      <c r="F511" s="1" t="s">
        <v>6397</v>
      </c>
      <c r="G511" s="1" t="s">
        <v>4746</v>
      </c>
      <c r="H511" s="1" t="s">
        <v>4747</v>
      </c>
      <c r="I511" s="1" t="s">
        <v>6421</v>
      </c>
      <c r="J511" s="1" t="s">
        <v>39</v>
      </c>
      <c r="K511" s="1" t="s">
        <v>4778</v>
      </c>
      <c r="L511" s="1" t="s">
        <v>60</v>
      </c>
      <c r="M511" s="1" t="s">
        <v>245</v>
      </c>
      <c r="N511" s="1" t="s">
        <v>21</v>
      </c>
    </row>
    <row r="512" spans="1:14" x14ac:dyDescent="0.25">
      <c r="A512" s="1" t="s">
        <v>47</v>
      </c>
      <c r="B512" s="1" t="s">
        <v>6420</v>
      </c>
      <c r="C512" s="1" t="s">
        <v>4456</v>
      </c>
      <c r="D512" s="8" t="s">
        <v>4455</v>
      </c>
      <c r="E512" s="1" t="s">
        <v>251</v>
      </c>
      <c r="F512" s="1" t="s">
        <v>6392</v>
      </c>
      <c r="G512" s="1" t="s">
        <v>4750</v>
      </c>
      <c r="H512" s="1" t="s">
        <v>4747</v>
      </c>
      <c r="I512" s="1" t="s">
        <v>6421</v>
      </c>
      <c r="J512" s="1" t="s">
        <v>39</v>
      </c>
      <c r="K512" s="1" t="s">
        <v>4806</v>
      </c>
      <c r="L512" s="1" t="s">
        <v>224</v>
      </c>
      <c r="M512" s="1" t="s">
        <v>99</v>
      </c>
      <c r="N512" s="1" t="s">
        <v>25</v>
      </c>
    </row>
    <row r="513" spans="1:14" x14ac:dyDescent="0.25">
      <c r="A513" s="1" t="s">
        <v>47</v>
      </c>
      <c r="B513" s="1" t="s">
        <v>6420</v>
      </c>
      <c r="C513" s="1" t="s">
        <v>573</v>
      </c>
      <c r="D513" s="8" t="s">
        <v>572</v>
      </c>
      <c r="E513" s="1" t="s">
        <v>159</v>
      </c>
      <c r="F513" s="1" t="s">
        <v>6393</v>
      </c>
      <c r="G513" s="1" t="s">
        <v>4750</v>
      </c>
      <c r="H513" s="1" t="s">
        <v>4747</v>
      </c>
      <c r="I513" s="1" t="s">
        <v>6421</v>
      </c>
      <c r="J513" s="1" t="s">
        <v>39</v>
      </c>
      <c r="K513" s="1" t="s">
        <v>4838</v>
      </c>
      <c r="L513" s="1" t="s">
        <v>60</v>
      </c>
      <c r="M513" s="1" t="s">
        <v>99</v>
      </c>
      <c r="N513" s="1" t="s">
        <v>25</v>
      </c>
    </row>
    <row r="514" spans="1:14" x14ac:dyDescent="0.25">
      <c r="A514" s="1" t="s">
        <v>47</v>
      </c>
      <c r="B514" s="1" t="s">
        <v>6420</v>
      </c>
      <c r="C514" s="1" t="s">
        <v>795</v>
      </c>
      <c r="D514" s="8" t="s">
        <v>794</v>
      </c>
      <c r="E514" s="1" t="s">
        <v>159</v>
      </c>
      <c r="F514" s="1" t="s">
        <v>6391</v>
      </c>
      <c r="G514" s="1" t="s">
        <v>4750</v>
      </c>
      <c r="H514" s="1" t="s">
        <v>4747</v>
      </c>
      <c r="I514" s="1" t="s">
        <v>6421</v>
      </c>
      <c r="J514" s="1" t="s">
        <v>39</v>
      </c>
      <c r="K514" s="1" t="s">
        <v>4870</v>
      </c>
      <c r="L514" s="1" t="s">
        <v>60</v>
      </c>
      <c r="M514" s="1" t="s">
        <v>99</v>
      </c>
      <c r="N514" s="1" t="s">
        <v>25</v>
      </c>
    </row>
    <row r="515" spans="1:14" x14ac:dyDescent="0.25">
      <c r="A515" s="1" t="s">
        <v>47</v>
      </c>
      <c r="B515" s="1" t="s">
        <v>6420</v>
      </c>
      <c r="C515" s="1" t="s">
        <v>777</v>
      </c>
      <c r="D515" s="8" t="s">
        <v>776</v>
      </c>
      <c r="E515" s="1" t="s">
        <v>159</v>
      </c>
      <c r="F515" s="1" t="s">
        <v>6391</v>
      </c>
      <c r="G515" s="1" t="s">
        <v>4750</v>
      </c>
      <c r="H515" s="1" t="s">
        <v>4747</v>
      </c>
      <c r="I515" s="1" t="s">
        <v>6421</v>
      </c>
      <c r="J515" s="1" t="s">
        <v>39</v>
      </c>
      <c r="K515" s="1" t="s">
        <v>4870</v>
      </c>
      <c r="L515" s="1" t="s">
        <v>60</v>
      </c>
      <c r="M515" s="1" t="s">
        <v>99</v>
      </c>
      <c r="N515" s="1" t="s">
        <v>25</v>
      </c>
    </row>
    <row r="516" spans="1:14" x14ac:dyDescent="0.25">
      <c r="A516" s="1" t="s">
        <v>47</v>
      </c>
      <c r="B516" s="1" t="s">
        <v>6420</v>
      </c>
      <c r="C516" s="1" t="s">
        <v>1618</v>
      </c>
      <c r="D516" s="8" t="s">
        <v>1617</v>
      </c>
      <c r="E516" s="1" t="s">
        <v>98</v>
      </c>
      <c r="F516" s="1" t="s">
        <v>4750</v>
      </c>
      <c r="G516" s="1" t="s">
        <v>4750</v>
      </c>
      <c r="H516" s="1" t="s">
        <v>4747</v>
      </c>
      <c r="I516" s="1" t="s">
        <v>6421</v>
      </c>
      <c r="J516" s="1" t="s">
        <v>39</v>
      </c>
      <c r="K516" s="1" t="s">
        <v>4808</v>
      </c>
      <c r="L516" s="1" t="s">
        <v>56</v>
      </c>
      <c r="M516" s="1" t="s">
        <v>99</v>
      </c>
      <c r="N516" s="1" t="s">
        <v>25</v>
      </c>
    </row>
    <row r="517" spans="1:14" x14ac:dyDescent="0.25">
      <c r="A517" s="1" t="s">
        <v>47</v>
      </c>
      <c r="B517" s="1" t="s">
        <v>6420</v>
      </c>
      <c r="C517" s="1" t="s">
        <v>1621</v>
      </c>
      <c r="D517" s="8" t="s">
        <v>1620</v>
      </c>
      <c r="E517" s="1" t="s">
        <v>264</v>
      </c>
      <c r="F517" s="1" t="s">
        <v>4750</v>
      </c>
      <c r="G517" s="1" t="s">
        <v>4750</v>
      </c>
      <c r="H517" s="1" t="s">
        <v>4747</v>
      </c>
      <c r="I517" s="1" t="s">
        <v>6421</v>
      </c>
      <c r="J517" s="1" t="s">
        <v>39</v>
      </c>
      <c r="K517" s="1" t="s">
        <v>4809</v>
      </c>
      <c r="L517" s="1" t="s">
        <v>227</v>
      </c>
      <c r="M517" s="1" t="s">
        <v>613</v>
      </c>
      <c r="N517" s="1" t="s">
        <v>25</v>
      </c>
    </row>
    <row r="518" spans="1:14" x14ac:dyDescent="0.25">
      <c r="A518" s="1" t="s">
        <v>28</v>
      </c>
      <c r="B518" s="1" t="s">
        <v>5162</v>
      </c>
      <c r="C518" s="1" t="s">
        <v>1383</v>
      </c>
      <c r="D518" s="8" t="s">
        <v>1382</v>
      </c>
      <c r="E518" s="1" t="s">
        <v>30</v>
      </c>
      <c r="F518" s="1" t="s">
        <v>6425</v>
      </c>
      <c r="G518" s="1" t="s">
        <v>4739</v>
      </c>
      <c r="H518" s="1" t="s">
        <v>4739</v>
      </c>
      <c r="I518" s="1" t="s">
        <v>4721</v>
      </c>
      <c r="J518" s="1" t="s">
        <v>12</v>
      </c>
      <c r="K518" s="1" t="s">
        <v>4851</v>
      </c>
      <c r="L518" s="1" t="s">
        <v>29</v>
      </c>
      <c r="M518" s="1" t="s">
        <v>883</v>
      </c>
      <c r="N518" s="1" t="s">
        <v>21</v>
      </c>
    </row>
    <row r="519" spans="1:14" x14ac:dyDescent="0.25">
      <c r="A519" s="1" t="s">
        <v>28</v>
      </c>
      <c r="B519" s="1" t="s">
        <v>5164</v>
      </c>
      <c r="C519" s="1" t="s">
        <v>2620</v>
      </c>
      <c r="D519" s="8" t="s">
        <v>2619</v>
      </c>
      <c r="E519" s="1" t="s">
        <v>586</v>
      </c>
      <c r="F519" s="1" t="s">
        <v>6426</v>
      </c>
      <c r="G519" s="1" t="s">
        <v>4739</v>
      </c>
      <c r="H519" s="1" t="s">
        <v>4739</v>
      </c>
      <c r="I519" s="1" t="s">
        <v>4721</v>
      </c>
      <c r="J519" s="1" t="s">
        <v>12</v>
      </c>
      <c r="K519" s="1" t="s">
        <v>4767</v>
      </c>
      <c r="L519" s="1" t="s">
        <v>79</v>
      </c>
      <c r="M519" s="1" t="s">
        <v>630</v>
      </c>
      <c r="N519" s="1" t="s">
        <v>21</v>
      </c>
    </row>
    <row r="520" spans="1:14" x14ac:dyDescent="0.25">
      <c r="A520" s="1" t="s">
        <v>28</v>
      </c>
      <c r="B520" s="1" t="s">
        <v>5166</v>
      </c>
      <c r="C520" s="1" t="s">
        <v>3951</v>
      </c>
      <c r="D520" s="8" t="s">
        <v>3950</v>
      </c>
      <c r="E520" s="1" t="s">
        <v>290</v>
      </c>
      <c r="F520" s="1" t="s">
        <v>6427</v>
      </c>
      <c r="G520" s="1" t="s">
        <v>4739</v>
      </c>
      <c r="H520" s="1" t="s">
        <v>4739</v>
      </c>
      <c r="I520" s="1" t="s">
        <v>4721</v>
      </c>
      <c r="J520" s="1" t="s">
        <v>12</v>
      </c>
      <c r="K520" s="1" t="s">
        <v>4763</v>
      </c>
      <c r="L520" s="1" t="s">
        <v>34</v>
      </c>
      <c r="M520" s="1" t="s">
        <v>883</v>
      </c>
      <c r="N520" s="1" t="s">
        <v>21</v>
      </c>
    </row>
    <row r="521" spans="1:14" x14ac:dyDescent="0.25">
      <c r="A521" s="1" t="s">
        <v>28</v>
      </c>
      <c r="B521" s="1" t="s">
        <v>5002</v>
      </c>
      <c r="C521" s="1" t="s">
        <v>1424</v>
      </c>
      <c r="D521" s="8" t="s">
        <v>1423</v>
      </c>
      <c r="E521" s="1" t="s">
        <v>440</v>
      </c>
      <c r="F521" s="1" t="s">
        <v>6428</v>
      </c>
      <c r="G521" s="1" t="s">
        <v>4739</v>
      </c>
      <c r="H521" s="1" t="s">
        <v>4739</v>
      </c>
      <c r="I521" s="1" t="s">
        <v>4721</v>
      </c>
      <c r="J521" s="1" t="s">
        <v>39</v>
      </c>
      <c r="K521" s="1" t="s">
        <v>4893</v>
      </c>
      <c r="L521" s="1" t="s">
        <v>34</v>
      </c>
      <c r="M521" s="1" t="s">
        <v>245</v>
      </c>
      <c r="N521" s="1" t="s">
        <v>21</v>
      </c>
    </row>
    <row r="522" spans="1:14" x14ac:dyDescent="0.25">
      <c r="A522" s="1" t="s">
        <v>28</v>
      </c>
      <c r="B522" s="1" t="s">
        <v>5176</v>
      </c>
      <c r="C522" s="1" t="s">
        <v>994</v>
      </c>
      <c r="D522" s="8" t="s">
        <v>993</v>
      </c>
      <c r="E522" s="1" t="s">
        <v>80</v>
      </c>
      <c r="F522" s="1" t="s">
        <v>6426</v>
      </c>
      <c r="G522" s="1" t="s">
        <v>4739</v>
      </c>
      <c r="H522" s="1" t="s">
        <v>4739</v>
      </c>
      <c r="I522" s="1" t="s">
        <v>4721</v>
      </c>
      <c r="J522" s="1" t="s">
        <v>12</v>
      </c>
      <c r="K522" s="1" t="s">
        <v>4767</v>
      </c>
      <c r="L522" s="1" t="s">
        <v>79</v>
      </c>
      <c r="M522" s="1" t="s">
        <v>245</v>
      </c>
      <c r="N522" s="1" t="s">
        <v>21</v>
      </c>
    </row>
    <row r="523" spans="1:14" x14ac:dyDescent="0.25">
      <c r="A523" s="1" t="s">
        <v>28</v>
      </c>
      <c r="B523" s="1" t="s">
        <v>5009</v>
      </c>
      <c r="C523" s="1" t="s">
        <v>1371</v>
      </c>
      <c r="D523" s="8" t="s">
        <v>1370</v>
      </c>
      <c r="E523" s="1" t="s">
        <v>80</v>
      </c>
      <c r="F523" s="1" t="s">
        <v>6426</v>
      </c>
      <c r="G523" s="1" t="s">
        <v>4739</v>
      </c>
      <c r="H523" s="1" t="s">
        <v>4739</v>
      </c>
      <c r="I523" s="1" t="s">
        <v>4721</v>
      </c>
      <c r="J523" s="1" t="s">
        <v>12</v>
      </c>
      <c r="K523" s="1" t="s">
        <v>4767</v>
      </c>
      <c r="L523" s="1" t="s">
        <v>79</v>
      </c>
      <c r="M523" s="1" t="s">
        <v>883</v>
      </c>
      <c r="N523" s="1" t="s">
        <v>21</v>
      </c>
    </row>
    <row r="524" spans="1:14" x14ac:dyDescent="0.25">
      <c r="A524" s="1" t="s">
        <v>28</v>
      </c>
      <c r="B524" s="1" t="s">
        <v>5178</v>
      </c>
      <c r="C524" s="1" t="s">
        <v>422</v>
      </c>
      <c r="D524" s="8" t="s">
        <v>421</v>
      </c>
      <c r="E524" s="1" t="s">
        <v>423</v>
      </c>
      <c r="F524" s="1" t="s">
        <v>6429</v>
      </c>
      <c r="G524" s="1" t="s">
        <v>4739</v>
      </c>
      <c r="H524" s="1" t="s">
        <v>4739</v>
      </c>
      <c r="I524" s="1" t="s">
        <v>4721</v>
      </c>
      <c r="J524" s="1" t="s">
        <v>12</v>
      </c>
      <c r="K524" s="1" t="s">
        <v>4852</v>
      </c>
      <c r="L524" s="1" t="s">
        <v>34</v>
      </c>
      <c r="M524" s="1" t="s">
        <v>89</v>
      </c>
      <c r="N524" s="1" t="s">
        <v>37</v>
      </c>
    </row>
    <row r="525" spans="1:14" x14ac:dyDescent="0.25">
      <c r="A525" s="1" t="s">
        <v>28</v>
      </c>
      <c r="B525" s="1" t="s">
        <v>5017</v>
      </c>
      <c r="C525" s="1" t="s">
        <v>1035</v>
      </c>
      <c r="D525" s="8" t="s">
        <v>1034</v>
      </c>
      <c r="E525" s="1" t="s">
        <v>440</v>
      </c>
      <c r="F525" s="1" t="s">
        <v>4740</v>
      </c>
      <c r="G525" s="1" t="s">
        <v>4739</v>
      </c>
      <c r="H525" s="1" t="s">
        <v>4739</v>
      </c>
      <c r="I525" s="1" t="s">
        <v>4721</v>
      </c>
      <c r="J525" s="1" t="s">
        <v>12</v>
      </c>
      <c r="K525" s="1" t="s">
        <v>4764</v>
      </c>
      <c r="L525" s="1" t="s">
        <v>34</v>
      </c>
      <c r="M525" s="1" t="s">
        <v>172</v>
      </c>
      <c r="N525" s="1" t="s">
        <v>17</v>
      </c>
    </row>
    <row r="526" spans="1:14" x14ac:dyDescent="0.25">
      <c r="A526" s="1" t="s">
        <v>28</v>
      </c>
      <c r="B526" s="1" t="s">
        <v>5197</v>
      </c>
      <c r="C526" s="1" t="s">
        <v>3963</v>
      </c>
      <c r="D526" s="8" t="s">
        <v>3962</v>
      </c>
      <c r="E526" s="1" t="s">
        <v>154</v>
      </c>
      <c r="F526" s="1" t="s">
        <v>6429</v>
      </c>
      <c r="G526" s="1" t="s">
        <v>4739</v>
      </c>
      <c r="H526" s="1" t="s">
        <v>4739</v>
      </c>
      <c r="I526" s="1" t="s">
        <v>4721</v>
      </c>
      <c r="J526" s="1" t="s">
        <v>12</v>
      </c>
      <c r="K526" s="1" t="s">
        <v>4852</v>
      </c>
      <c r="L526" s="1" t="s">
        <v>34</v>
      </c>
      <c r="M526" s="1" t="s">
        <v>883</v>
      </c>
      <c r="N526" s="1" t="s">
        <v>21</v>
      </c>
    </row>
    <row r="527" spans="1:14" x14ac:dyDescent="0.25">
      <c r="A527" s="1" t="s">
        <v>28</v>
      </c>
      <c r="B527" s="1" t="s">
        <v>5028</v>
      </c>
      <c r="C527" s="1" t="s">
        <v>882</v>
      </c>
      <c r="D527" s="8" t="s">
        <v>881</v>
      </c>
      <c r="E527" s="1" t="s">
        <v>440</v>
      </c>
      <c r="F527" s="1" t="s">
        <v>6428</v>
      </c>
      <c r="G527" s="1" t="s">
        <v>4739</v>
      </c>
      <c r="H527" s="1" t="s">
        <v>4739</v>
      </c>
      <c r="I527" s="1" t="s">
        <v>4722</v>
      </c>
      <c r="J527" s="1" t="s">
        <v>39</v>
      </c>
      <c r="K527" s="1" t="s">
        <v>4764</v>
      </c>
      <c r="L527" s="1" t="s">
        <v>34</v>
      </c>
      <c r="M527" s="1" t="s">
        <v>883</v>
      </c>
      <c r="N527" s="1" t="s">
        <v>21</v>
      </c>
    </row>
    <row r="528" spans="1:14" x14ac:dyDescent="0.25">
      <c r="A528" s="1" t="s">
        <v>28</v>
      </c>
      <c r="B528" s="1" t="s">
        <v>5198</v>
      </c>
      <c r="C528" s="1" t="s">
        <v>1086</v>
      </c>
      <c r="D528" s="8" t="s">
        <v>1085</v>
      </c>
      <c r="E528" s="1" t="s">
        <v>570</v>
      </c>
      <c r="F528" s="1" t="s">
        <v>4740</v>
      </c>
      <c r="G528" s="1" t="s">
        <v>4739</v>
      </c>
      <c r="H528" s="1" t="s">
        <v>4739</v>
      </c>
      <c r="I528" s="1" t="s">
        <v>4721</v>
      </c>
      <c r="J528" s="1" t="s">
        <v>12</v>
      </c>
      <c r="K528" s="1" t="s">
        <v>4775</v>
      </c>
      <c r="L528" s="1" t="s">
        <v>34</v>
      </c>
      <c r="M528" s="1" t="s">
        <v>89</v>
      </c>
      <c r="N528" s="1" t="s">
        <v>37</v>
      </c>
    </row>
    <row r="529" spans="1:14" x14ac:dyDescent="0.25">
      <c r="A529" s="1" t="s">
        <v>28</v>
      </c>
      <c r="B529" s="1" t="s">
        <v>5032</v>
      </c>
      <c r="C529" s="1" t="s">
        <v>1083</v>
      </c>
      <c r="D529" s="8" t="s">
        <v>1082</v>
      </c>
      <c r="E529" s="1" t="s">
        <v>586</v>
      </c>
      <c r="F529" s="1" t="s">
        <v>4740</v>
      </c>
      <c r="G529" s="1" t="s">
        <v>4739</v>
      </c>
      <c r="H529" s="1" t="s">
        <v>4739</v>
      </c>
      <c r="I529" s="1" t="s">
        <v>4721</v>
      </c>
      <c r="J529" s="1" t="s">
        <v>12</v>
      </c>
      <c r="K529" s="1" t="s">
        <v>4774</v>
      </c>
      <c r="L529" s="1" t="s">
        <v>79</v>
      </c>
      <c r="M529" s="1" t="s">
        <v>172</v>
      </c>
      <c r="N529" s="1" t="s">
        <v>17</v>
      </c>
    </row>
    <row r="530" spans="1:14" x14ac:dyDescent="0.25">
      <c r="A530" s="1" t="s">
        <v>28</v>
      </c>
      <c r="B530" s="1" t="s">
        <v>5205</v>
      </c>
      <c r="C530" s="1" t="s">
        <v>2225</v>
      </c>
      <c r="D530" s="8" t="s">
        <v>2224</v>
      </c>
      <c r="E530" s="1" t="s">
        <v>290</v>
      </c>
      <c r="F530" s="1" t="s">
        <v>6427</v>
      </c>
      <c r="G530" s="1" t="s">
        <v>4739</v>
      </c>
      <c r="H530" s="1" t="s">
        <v>4739</v>
      </c>
      <c r="I530" s="1" t="s">
        <v>4721</v>
      </c>
      <c r="J530" s="1" t="s">
        <v>12</v>
      </c>
      <c r="K530" s="1" t="s">
        <v>4763</v>
      </c>
      <c r="L530" s="1" t="s">
        <v>34</v>
      </c>
      <c r="M530" s="1" t="s">
        <v>317</v>
      </c>
      <c r="N530" s="1" t="s">
        <v>42</v>
      </c>
    </row>
    <row r="531" spans="1:14" x14ac:dyDescent="0.25">
      <c r="A531" s="1" t="s">
        <v>28</v>
      </c>
      <c r="B531" s="1" t="s">
        <v>5034</v>
      </c>
      <c r="C531" s="1" t="s">
        <v>1089</v>
      </c>
      <c r="D531" s="8" t="s">
        <v>1088</v>
      </c>
      <c r="E531" s="1" t="s">
        <v>423</v>
      </c>
      <c r="F531" s="1" t="s">
        <v>4740</v>
      </c>
      <c r="G531" s="1" t="s">
        <v>4739</v>
      </c>
      <c r="H531" s="1" t="s">
        <v>4739</v>
      </c>
      <c r="I531" s="1" t="s">
        <v>4721</v>
      </c>
      <c r="J531" s="1" t="s">
        <v>12</v>
      </c>
      <c r="K531" s="1" t="s">
        <v>4775</v>
      </c>
      <c r="L531" s="1" t="s">
        <v>34</v>
      </c>
      <c r="M531" s="1" t="s">
        <v>172</v>
      </c>
      <c r="N531" s="1" t="s">
        <v>17</v>
      </c>
    </row>
    <row r="532" spans="1:14" x14ac:dyDescent="0.25">
      <c r="A532" s="1" t="s">
        <v>28</v>
      </c>
      <c r="B532" s="1" t="s">
        <v>5207</v>
      </c>
      <c r="C532" s="1" t="s">
        <v>1365</v>
      </c>
      <c r="D532" s="8" t="s">
        <v>1364</v>
      </c>
      <c r="E532" s="1" t="s">
        <v>80</v>
      </c>
      <c r="F532" s="1" t="s">
        <v>6426</v>
      </c>
      <c r="G532" s="1" t="s">
        <v>4739</v>
      </c>
      <c r="H532" s="1" t="s">
        <v>4739</v>
      </c>
      <c r="I532" s="1" t="s">
        <v>6407</v>
      </c>
      <c r="J532" s="1" t="s">
        <v>39</v>
      </c>
      <c r="K532" s="1" t="s">
        <v>4769</v>
      </c>
      <c r="L532" s="1" t="s">
        <v>79</v>
      </c>
      <c r="M532" s="1" t="s">
        <v>41</v>
      </c>
      <c r="N532" s="1" t="s">
        <v>42</v>
      </c>
    </row>
    <row r="533" spans="1:14" x14ac:dyDescent="0.25">
      <c r="A533" s="1" t="s">
        <v>28</v>
      </c>
      <c r="B533" s="1" t="s">
        <v>5035</v>
      </c>
      <c r="C533" s="1" t="s">
        <v>1445</v>
      </c>
      <c r="D533" s="8" t="s">
        <v>1444</v>
      </c>
      <c r="E533" s="1" t="s">
        <v>440</v>
      </c>
      <c r="F533" s="1" t="s">
        <v>6428</v>
      </c>
      <c r="G533" s="1" t="s">
        <v>4739</v>
      </c>
      <c r="H533" s="1" t="s">
        <v>4739</v>
      </c>
      <c r="I533" s="1" t="s">
        <v>4722</v>
      </c>
      <c r="J533" s="1" t="s">
        <v>39</v>
      </c>
      <c r="K533" s="1" t="s">
        <v>4764</v>
      </c>
      <c r="L533" s="1" t="s">
        <v>34</v>
      </c>
      <c r="M533" s="1" t="s">
        <v>317</v>
      </c>
      <c r="N533" s="1" t="s">
        <v>42</v>
      </c>
    </row>
    <row r="534" spans="1:14" x14ac:dyDescent="0.25">
      <c r="A534" s="1" t="s">
        <v>28</v>
      </c>
      <c r="B534" s="1" t="s">
        <v>5600</v>
      </c>
      <c r="C534" s="1" t="s">
        <v>3981</v>
      </c>
      <c r="D534" s="8" t="s">
        <v>3980</v>
      </c>
      <c r="E534" s="1" t="s">
        <v>423</v>
      </c>
      <c r="F534" s="1" t="s">
        <v>6429</v>
      </c>
      <c r="G534" s="1" t="s">
        <v>4739</v>
      </c>
      <c r="H534" s="1" t="s">
        <v>4739</v>
      </c>
      <c r="I534" s="1" t="s">
        <v>4721</v>
      </c>
      <c r="J534" s="1" t="s">
        <v>12</v>
      </c>
      <c r="K534" s="1" t="s">
        <v>4852</v>
      </c>
      <c r="L534" s="1" t="s">
        <v>34</v>
      </c>
      <c r="M534" s="1" t="s">
        <v>41</v>
      </c>
      <c r="N534" s="1" t="s">
        <v>42</v>
      </c>
    </row>
    <row r="535" spans="1:14" x14ac:dyDescent="0.25">
      <c r="A535" s="1" t="s">
        <v>28</v>
      </c>
      <c r="B535" s="1" t="s">
        <v>5044</v>
      </c>
      <c r="C535" s="1" t="s">
        <v>2476</v>
      </c>
      <c r="D535" s="8" t="s">
        <v>2475</v>
      </c>
      <c r="E535" s="1" t="s">
        <v>586</v>
      </c>
      <c r="F535" s="1" t="s">
        <v>6426</v>
      </c>
      <c r="G535" s="1" t="s">
        <v>4739</v>
      </c>
      <c r="H535" s="1" t="s">
        <v>4739</v>
      </c>
      <c r="I535" s="1" t="s">
        <v>4721</v>
      </c>
      <c r="J535" s="1" t="s">
        <v>12</v>
      </c>
      <c r="K535" s="1" t="s">
        <v>4767</v>
      </c>
      <c r="L535" s="1" t="s">
        <v>79</v>
      </c>
      <c r="M535" s="1" t="s">
        <v>245</v>
      </c>
      <c r="N535" s="1" t="s">
        <v>21</v>
      </c>
    </row>
    <row r="536" spans="1:14" x14ac:dyDescent="0.25">
      <c r="A536" s="1" t="s">
        <v>28</v>
      </c>
      <c r="B536" s="1" t="s">
        <v>5045</v>
      </c>
      <c r="C536" s="1" t="s">
        <v>1765</v>
      </c>
      <c r="D536" s="8" t="s">
        <v>1764</v>
      </c>
      <c r="E536" s="1" t="s">
        <v>570</v>
      </c>
      <c r="F536" s="1" t="s">
        <v>4740</v>
      </c>
      <c r="G536" s="1" t="s">
        <v>4739</v>
      </c>
      <c r="H536" s="1" t="s">
        <v>4739</v>
      </c>
      <c r="I536" s="1" t="s">
        <v>4721</v>
      </c>
      <c r="J536" s="1" t="s">
        <v>12</v>
      </c>
      <c r="K536" s="1" t="s">
        <v>4776</v>
      </c>
      <c r="L536" s="1" t="s">
        <v>34</v>
      </c>
      <c r="M536" s="1" t="s">
        <v>172</v>
      </c>
      <c r="N536" s="1" t="s">
        <v>17</v>
      </c>
    </row>
    <row r="537" spans="1:14" x14ac:dyDescent="0.25">
      <c r="A537" s="1" t="s">
        <v>28</v>
      </c>
      <c r="B537" s="1" t="s">
        <v>5058</v>
      </c>
      <c r="C537" s="1" t="s">
        <v>2473</v>
      </c>
      <c r="D537" s="8" t="s">
        <v>2472</v>
      </c>
      <c r="E537" s="1" t="s">
        <v>586</v>
      </c>
      <c r="F537" s="1" t="s">
        <v>6426</v>
      </c>
      <c r="G537" s="1" t="s">
        <v>4739</v>
      </c>
      <c r="H537" s="1" t="s">
        <v>4739</v>
      </c>
      <c r="I537" s="1" t="s">
        <v>4721</v>
      </c>
      <c r="J537" s="1" t="s">
        <v>12</v>
      </c>
      <c r="K537" s="1" t="s">
        <v>4767</v>
      </c>
      <c r="L537" s="1" t="s">
        <v>79</v>
      </c>
      <c r="M537" s="1" t="s">
        <v>89</v>
      </c>
      <c r="N537" s="1" t="s">
        <v>37</v>
      </c>
    </row>
    <row r="538" spans="1:14" x14ac:dyDescent="0.25">
      <c r="A538" s="1" t="s">
        <v>28</v>
      </c>
      <c r="B538" s="1" t="s">
        <v>5611</v>
      </c>
      <c r="C538" s="1" t="s">
        <v>2250</v>
      </c>
      <c r="D538" s="8" t="s">
        <v>2249</v>
      </c>
      <c r="E538" s="1" t="s">
        <v>423</v>
      </c>
      <c r="F538" s="1" t="s">
        <v>6429</v>
      </c>
      <c r="G538" s="1" t="s">
        <v>4739</v>
      </c>
      <c r="H538" s="1" t="s">
        <v>4739</v>
      </c>
      <c r="I538" s="1" t="s">
        <v>4721</v>
      </c>
      <c r="J538" s="1" t="s">
        <v>12</v>
      </c>
      <c r="K538" s="1" t="s">
        <v>4852</v>
      </c>
      <c r="L538" s="1" t="s">
        <v>34</v>
      </c>
      <c r="M538" s="1" t="s">
        <v>245</v>
      </c>
      <c r="N538" s="1" t="s">
        <v>21</v>
      </c>
    </row>
    <row r="539" spans="1:14" x14ac:dyDescent="0.25">
      <c r="A539" s="1" t="s">
        <v>28</v>
      </c>
      <c r="B539" s="1" t="s">
        <v>5613</v>
      </c>
      <c r="C539" s="1" t="s">
        <v>410</v>
      </c>
      <c r="D539" s="8" t="s">
        <v>409</v>
      </c>
      <c r="E539" s="1" t="s">
        <v>80</v>
      </c>
      <c r="F539" s="1" t="s">
        <v>6426</v>
      </c>
      <c r="G539" s="1" t="s">
        <v>4739</v>
      </c>
      <c r="H539" s="1" t="s">
        <v>4739</v>
      </c>
      <c r="I539" s="1" t="s">
        <v>4721</v>
      </c>
      <c r="J539" s="1" t="s">
        <v>12</v>
      </c>
      <c r="K539" s="1" t="s">
        <v>4767</v>
      </c>
      <c r="L539" s="1" t="s">
        <v>79</v>
      </c>
      <c r="M539" s="1" t="s">
        <v>149</v>
      </c>
      <c r="N539" s="1" t="s">
        <v>61</v>
      </c>
    </row>
    <row r="540" spans="1:14" x14ac:dyDescent="0.25">
      <c r="A540" s="1" t="s">
        <v>28</v>
      </c>
      <c r="B540" s="1" t="s">
        <v>5621</v>
      </c>
      <c r="C540" s="1" t="s">
        <v>255</v>
      </c>
      <c r="D540" s="8" t="s">
        <v>254</v>
      </c>
      <c r="E540" s="1" t="s">
        <v>154</v>
      </c>
      <c r="F540" s="1" t="s">
        <v>6429</v>
      </c>
      <c r="G540" s="1" t="s">
        <v>4739</v>
      </c>
      <c r="H540" s="1" t="s">
        <v>4739</v>
      </c>
      <c r="I540" s="1" t="s">
        <v>4721</v>
      </c>
      <c r="J540" s="1" t="s">
        <v>12</v>
      </c>
      <c r="K540" s="1" t="s">
        <v>4852</v>
      </c>
      <c r="L540" s="1" t="s">
        <v>34</v>
      </c>
      <c r="M540" s="1" t="s">
        <v>41</v>
      </c>
      <c r="N540" s="1" t="s">
        <v>42</v>
      </c>
    </row>
    <row r="541" spans="1:14" x14ac:dyDescent="0.25">
      <c r="A541" s="1" t="s">
        <v>28</v>
      </c>
      <c r="B541" s="1" t="s">
        <v>5073</v>
      </c>
      <c r="C541" s="1" t="s">
        <v>1217</v>
      </c>
      <c r="D541" s="8" t="s">
        <v>1216</v>
      </c>
      <c r="E541" s="1" t="s">
        <v>80</v>
      </c>
      <c r="F541" s="1" t="s">
        <v>6426</v>
      </c>
      <c r="G541" s="1" t="s">
        <v>4739</v>
      </c>
      <c r="H541" s="1" t="s">
        <v>4739</v>
      </c>
      <c r="I541" s="1" t="s">
        <v>4721</v>
      </c>
      <c r="J541" s="1" t="s">
        <v>12</v>
      </c>
      <c r="K541" s="1" t="s">
        <v>4767</v>
      </c>
      <c r="L541" s="1" t="s">
        <v>79</v>
      </c>
      <c r="M541" s="1" t="s">
        <v>245</v>
      </c>
      <c r="N541" s="1" t="s">
        <v>21</v>
      </c>
    </row>
    <row r="542" spans="1:14" x14ac:dyDescent="0.25">
      <c r="A542" s="1" t="s">
        <v>28</v>
      </c>
      <c r="B542" s="1" t="s">
        <v>5632</v>
      </c>
      <c r="C542" s="1" t="s">
        <v>2240</v>
      </c>
      <c r="D542" s="8" t="s">
        <v>2239</v>
      </c>
      <c r="E542" s="1" t="s">
        <v>290</v>
      </c>
      <c r="F542" s="1" t="s">
        <v>6427</v>
      </c>
      <c r="G542" s="1" t="s">
        <v>4739</v>
      </c>
      <c r="H542" s="1" t="s">
        <v>4739</v>
      </c>
      <c r="I542" s="1" t="s">
        <v>4721</v>
      </c>
      <c r="J542" s="1" t="s">
        <v>12</v>
      </c>
      <c r="K542" s="1" t="s">
        <v>4763</v>
      </c>
      <c r="L542" s="1" t="s">
        <v>34</v>
      </c>
      <c r="M542" s="1" t="s">
        <v>245</v>
      </c>
      <c r="N542" s="1" t="s">
        <v>21</v>
      </c>
    </row>
    <row r="543" spans="1:14" x14ac:dyDescent="0.25">
      <c r="A543" s="1" t="s">
        <v>28</v>
      </c>
      <c r="B543" s="1" t="s">
        <v>5076</v>
      </c>
      <c r="C543" s="1" t="s">
        <v>3930</v>
      </c>
      <c r="D543" s="8" t="s">
        <v>3929</v>
      </c>
      <c r="E543" s="1" t="s">
        <v>290</v>
      </c>
      <c r="F543" s="1" t="s">
        <v>6427</v>
      </c>
      <c r="G543" s="1" t="s">
        <v>4739</v>
      </c>
      <c r="H543" s="1" t="s">
        <v>4739</v>
      </c>
      <c r="I543" s="1" t="s">
        <v>4721</v>
      </c>
      <c r="J543" s="1" t="s">
        <v>12</v>
      </c>
      <c r="K543" s="1" t="s">
        <v>4763</v>
      </c>
      <c r="L543" s="1" t="s">
        <v>34</v>
      </c>
      <c r="M543" s="1" t="s">
        <v>58</v>
      </c>
      <c r="N543" s="1" t="s">
        <v>61</v>
      </c>
    </row>
    <row r="544" spans="1:14" x14ac:dyDescent="0.25">
      <c r="A544" s="1" t="s">
        <v>28</v>
      </c>
      <c r="B544" s="1" t="s">
        <v>5080</v>
      </c>
      <c r="C544" s="1" t="s">
        <v>1077</v>
      </c>
      <c r="D544" s="8" t="s">
        <v>1076</v>
      </c>
      <c r="E544" s="1" t="s">
        <v>570</v>
      </c>
      <c r="F544" s="1" t="s">
        <v>4740</v>
      </c>
      <c r="G544" s="1" t="s">
        <v>4739</v>
      </c>
      <c r="H544" s="1" t="s">
        <v>4739</v>
      </c>
      <c r="I544" s="1" t="s">
        <v>4721</v>
      </c>
      <c r="J544" s="1" t="s">
        <v>12</v>
      </c>
      <c r="K544" s="1" t="s">
        <v>4775</v>
      </c>
      <c r="L544" s="1" t="s">
        <v>34</v>
      </c>
      <c r="M544" s="1" t="s">
        <v>245</v>
      </c>
      <c r="N544" s="1" t="s">
        <v>21</v>
      </c>
    </row>
    <row r="545" spans="1:14" x14ac:dyDescent="0.25">
      <c r="A545" s="1" t="s">
        <v>28</v>
      </c>
      <c r="B545" s="1" t="s">
        <v>5635</v>
      </c>
      <c r="C545" s="1" t="s">
        <v>2185</v>
      </c>
      <c r="D545" s="8" t="s">
        <v>2184</v>
      </c>
      <c r="E545" s="1" t="s">
        <v>290</v>
      </c>
      <c r="F545" s="1" t="s">
        <v>6427</v>
      </c>
      <c r="G545" s="1" t="s">
        <v>4739</v>
      </c>
      <c r="H545" s="1" t="s">
        <v>4739</v>
      </c>
      <c r="I545" s="1" t="s">
        <v>4721</v>
      </c>
      <c r="J545" s="1" t="s">
        <v>12</v>
      </c>
      <c r="K545" s="1" t="s">
        <v>4763</v>
      </c>
      <c r="L545" s="1" t="s">
        <v>34</v>
      </c>
      <c r="M545" s="1" t="s">
        <v>89</v>
      </c>
      <c r="N545" s="1" t="s">
        <v>37</v>
      </c>
    </row>
    <row r="546" spans="1:14" x14ac:dyDescent="0.25">
      <c r="A546" s="1" t="s">
        <v>28</v>
      </c>
      <c r="B546" s="1" t="s">
        <v>5639</v>
      </c>
      <c r="C546" s="1" t="s">
        <v>1202</v>
      </c>
      <c r="D546" s="8" t="s">
        <v>1201</v>
      </c>
      <c r="E546" s="1" t="s">
        <v>80</v>
      </c>
      <c r="F546" s="1" t="s">
        <v>6426</v>
      </c>
      <c r="G546" s="1" t="s">
        <v>4739</v>
      </c>
      <c r="H546" s="1" t="s">
        <v>4739</v>
      </c>
      <c r="I546" s="1" t="s">
        <v>4721</v>
      </c>
      <c r="J546" s="1" t="s">
        <v>12</v>
      </c>
      <c r="K546" s="1" t="s">
        <v>4767</v>
      </c>
      <c r="L546" s="1" t="s">
        <v>79</v>
      </c>
      <c r="M546" s="1" t="s">
        <v>883</v>
      </c>
      <c r="N546" s="1" t="s">
        <v>21</v>
      </c>
    </row>
    <row r="547" spans="1:14" x14ac:dyDescent="0.25">
      <c r="A547" s="1" t="s">
        <v>28</v>
      </c>
      <c r="B547" s="1" t="s">
        <v>5640</v>
      </c>
      <c r="C547" s="1" t="s">
        <v>2397</v>
      </c>
      <c r="D547" s="8" t="s">
        <v>2396</v>
      </c>
      <c r="E547" s="1" t="s">
        <v>80</v>
      </c>
      <c r="F547" s="1" t="s">
        <v>6426</v>
      </c>
      <c r="G547" s="1" t="s">
        <v>4739</v>
      </c>
      <c r="H547" s="1" t="s">
        <v>4739</v>
      </c>
      <c r="I547" s="1" t="s">
        <v>4721</v>
      </c>
      <c r="J547" s="1" t="s">
        <v>12</v>
      </c>
      <c r="K547" s="1" t="s">
        <v>4767</v>
      </c>
      <c r="L547" s="1" t="s">
        <v>79</v>
      </c>
      <c r="M547" s="1" t="s">
        <v>630</v>
      </c>
      <c r="N547" s="1" t="s">
        <v>21</v>
      </c>
    </row>
    <row r="548" spans="1:14" x14ac:dyDescent="0.25">
      <c r="A548" s="1" t="s">
        <v>28</v>
      </c>
      <c r="B548" s="1" t="s">
        <v>5089</v>
      </c>
      <c r="C548" s="1" t="s">
        <v>1059</v>
      </c>
      <c r="D548" s="8" t="s">
        <v>1058</v>
      </c>
      <c r="E548" s="1" t="s">
        <v>570</v>
      </c>
      <c r="F548" s="1" t="s">
        <v>4740</v>
      </c>
      <c r="G548" s="1" t="s">
        <v>4739</v>
      </c>
      <c r="H548" s="1" t="s">
        <v>4739</v>
      </c>
      <c r="I548" s="1" t="s">
        <v>4721</v>
      </c>
      <c r="J548" s="1" t="s">
        <v>12</v>
      </c>
      <c r="K548" s="1" t="s">
        <v>4775</v>
      </c>
      <c r="L548" s="1" t="s">
        <v>34</v>
      </c>
      <c r="M548" s="1" t="s">
        <v>317</v>
      </c>
      <c r="N548" s="1" t="s">
        <v>42</v>
      </c>
    </row>
    <row r="549" spans="1:14" x14ac:dyDescent="0.25">
      <c r="A549" s="1" t="s">
        <v>28</v>
      </c>
      <c r="B549" s="1" t="s">
        <v>5649</v>
      </c>
      <c r="C549" s="1" t="s">
        <v>1756</v>
      </c>
      <c r="D549" s="8" t="s">
        <v>1755</v>
      </c>
      <c r="E549" s="1" t="s">
        <v>570</v>
      </c>
      <c r="F549" s="1" t="s">
        <v>4740</v>
      </c>
      <c r="G549" s="1" t="s">
        <v>4739</v>
      </c>
      <c r="H549" s="1" t="s">
        <v>4739</v>
      </c>
      <c r="I549" s="1" t="s">
        <v>4721</v>
      </c>
      <c r="J549" s="1" t="s">
        <v>12</v>
      </c>
      <c r="K549" s="1" t="s">
        <v>4775</v>
      </c>
      <c r="L549" s="1" t="s">
        <v>34</v>
      </c>
      <c r="M549" s="1" t="s">
        <v>630</v>
      </c>
      <c r="N549" s="1" t="s">
        <v>21</v>
      </c>
    </row>
    <row r="550" spans="1:14" x14ac:dyDescent="0.25">
      <c r="A550" s="1" t="s">
        <v>28</v>
      </c>
      <c r="B550" s="1" t="s">
        <v>5650</v>
      </c>
      <c r="C550" s="1" t="s">
        <v>3924</v>
      </c>
      <c r="D550" s="8" t="s">
        <v>3923</v>
      </c>
      <c r="E550" s="1" t="s">
        <v>290</v>
      </c>
      <c r="F550" s="1" t="s">
        <v>6427</v>
      </c>
      <c r="G550" s="1" t="s">
        <v>4739</v>
      </c>
      <c r="H550" s="1" t="s">
        <v>4739</v>
      </c>
      <c r="I550" s="1" t="s">
        <v>4721</v>
      </c>
      <c r="J550" s="1" t="s">
        <v>12</v>
      </c>
      <c r="K550" s="1" t="s">
        <v>4763</v>
      </c>
      <c r="L550" s="1" t="s">
        <v>34</v>
      </c>
      <c r="M550" s="1" t="s">
        <v>58</v>
      </c>
      <c r="N550" s="1" t="s">
        <v>61</v>
      </c>
    </row>
    <row r="551" spans="1:14" x14ac:dyDescent="0.25">
      <c r="A551" s="1" t="s">
        <v>28</v>
      </c>
      <c r="B551" s="1" t="s">
        <v>5214</v>
      </c>
      <c r="C551" s="1" t="s">
        <v>2355</v>
      </c>
      <c r="D551" s="8" t="s">
        <v>2354</v>
      </c>
      <c r="E551" s="1" t="s">
        <v>290</v>
      </c>
      <c r="F551" s="1" t="s">
        <v>6430</v>
      </c>
      <c r="G551" s="1" t="s">
        <v>6431</v>
      </c>
      <c r="H551" s="1" t="s">
        <v>4739</v>
      </c>
      <c r="I551" s="1" t="s">
        <v>4721</v>
      </c>
      <c r="J551" s="1" t="s">
        <v>12</v>
      </c>
      <c r="K551" s="1" t="s">
        <v>4804</v>
      </c>
      <c r="L551" s="1" t="s">
        <v>34</v>
      </c>
      <c r="M551" s="1" t="s">
        <v>58</v>
      </c>
      <c r="N551" s="1" t="s">
        <v>61</v>
      </c>
    </row>
    <row r="552" spans="1:14" x14ac:dyDescent="0.25">
      <c r="A552" s="1" t="s">
        <v>28</v>
      </c>
      <c r="B552" s="1" t="s">
        <v>5661</v>
      </c>
      <c r="C552" s="1" t="s">
        <v>2647</v>
      </c>
      <c r="D552" s="8" t="s">
        <v>2646</v>
      </c>
      <c r="E552" s="1" t="s">
        <v>30</v>
      </c>
      <c r="F552" s="1" t="s">
        <v>6425</v>
      </c>
      <c r="G552" s="1" t="s">
        <v>4739</v>
      </c>
      <c r="H552" s="1" t="s">
        <v>4739</v>
      </c>
      <c r="I552" s="1" t="s">
        <v>4722</v>
      </c>
      <c r="J552" s="1" t="s">
        <v>39</v>
      </c>
      <c r="K552" s="1" t="s">
        <v>4851</v>
      </c>
      <c r="L552" s="1" t="s">
        <v>29</v>
      </c>
      <c r="M552" s="1" t="s">
        <v>58</v>
      </c>
      <c r="N552" s="1" t="s">
        <v>61</v>
      </c>
    </row>
    <row r="553" spans="1:14" x14ac:dyDescent="0.25">
      <c r="A553" s="1" t="s">
        <v>28</v>
      </c>
      <c r="B553" s="1" t="s">
        <v>5222</v>
      </c>
      <c r="C553" s="1" t="s">
        <v>1675</v>
      </c>
      <c r="D553" s="8" t="s">
        <v>1674</v>
      </c>
      <c r="E553" s="1" t="s">
        <v>30</v>
      </c>
      <c r="F553" s="1" t="s">
        <v>6425</v>
      </c>
      <c r="G553" s="1" t="s">
        <v>4739</v>
      </c>
      <c r="H553" s="1" t="s">
        <v>4739</v>
      </c>
      <c r="I553" s="1" t="s">
        <v>4721</v>
      </c>
      <c r="J553" s="1" t="s">
        <v>12</v>
      </c>
      <c r="K553" s="1" t="s">
        <v>4851</v>
      </c>
      <c r="L553" s="1" t="s">
        <v>29</v>
      </c>
      <c r="M553" s="1" t="s">
        <v>172</v>
      </c>
      <c r="N553" s="1" t="s">
        <v>17</v>
      </c>
    </row>
    <row r="554" spans="1:14" x14ac:dyDescent="0.25">
      <c r="A554" s="1" t="s">
        <v>28</v>
      </c>
      <c r="B554" s="1" t="s">
        <v>5224</v>
      </c>
      <c r="C554" s="1" t="s">
        <v>1377</v>
      </c>
      <c r="D554" s="8" t="s">
        <v>1376</v>
      </c>
      <c r="E554" s="1" t="s">
        <v>30</v>
      </c>
      <c r="F554" s="1" t="s">
        <v>6425</v>
      </c>
      <c r="G554" s="1" t="s">
        <v>4739</v>
      </c>
      <c r="H554" s="1" t="s">
        <v>4739</v>
      </c>
      <c r="I554" s="1" t="s">
        <v>4721</v>
      </c>
      <c r="J554" s="1" t="s">
        <v>12</v>
      </c>
      <c r="K554" s="1" t="s">
        <v>4851</v>
      </c>
      <c r="L554" s="1" t="s">
        <v>29</v>
      </c>
      <c r="M554" s="1" t="s">
        <v>172</v>
      </c>
      <c r="N554" s="1" t="s">
        <v>17</v>
      </c>
    </row>
    <row r="555" spans="1:14" x14ac:dyDescent="0.25">
      <c r="A555" s="1" t="s">
        <v>28</v>
      </c>
      <c r="B555" s="1" t="s">
        <v>5226</v>
      </c>
      <c r="C555" s="1" t="s">
        <v>892</v>
      </c>
      <c r="D555" s="8" t="s">
        <v>891</v>
      </c>
      <c r="E555" s="1" t="s">
        <v>440</v>
      </c>
      <c r="F555" s="1" t="s">
        <v>6428</v>
      </c>
      <c r="G555" s="1" t="s">
        <v>4739</v>
      </c>
      <c r="H555" s="1" t="s">
        <v>4739</v>
      </c>
      <c r="I555" s="1" t="s">
        <v>4721</v>
      </c>
      <c r="J555" s="1" t="s">
        <v>12</v>
      </c>
      <c r="K555" s="1" t="s">
        <v>4852</v>
      </c>
      <c r="L555" s="1" t="s">
        <v>34</v>
      </c>
      <c r="M555" s="1" t="s">
        <v>245</v>
      </c>
      <c r="N555" s="1" t="s">
        <v>21</v>
      </c>
    </row>
    <row r="556" spans="1:14" x14ac:dyDescent="0.25">
      <c r="A556" s="1" t="s">
        <v>28</v>
      </c>
      <c r="B556" s="1" t="s">
        <v>5228</v>
      </c>
      <c r="C556" s="1" t="s">
        <v>1681</v>
      </c>
      <c r="D556" s="8" t="s">
        <v>1680</v>
      </c>
      <c r="E556" s="1" t="s">
        <v>586</v>
      </c>
      <c r="F556" s="1" t="s">
        <v>6426</v>
      </c>
      <c r="G556" s="1" t="s">
        <v>4739</v>
      </c>
      <c r="H556" s="1" t="s">
        <v>4739</v>
      </c>
      <c r="I556" s="1" t="s">
        <v>4721</v>
      </c>
      <c r="J556" s="1" t="s">
        <v>12</v>
      </c>
      <c r="K556" s="1" t="s">
        <v>4767</v>
      </c>
      <c r="L556" s="1" t="s">
        <v>79</v>
      </c>
      <c r="M556" s="1" t="s">
        <v>883</v>
      </c>
      <c r="N556" s="1" t="s">
        <v>21</v>
      </c>
    </row>
    <row r="557" spans="1:14" x14ac:dyDescent="0.25">
      <c r="A557" s="1" t="s">
        <v>28</v>
      </c>
      <c r="B557" s="1" t="s">
        <v>5680</v>
      </c>
      <c r="C557" s="1" t="s">
        <v>1205</v>
      </c>
      <c r="D557" s="8" t="s">
        <v>1204</v>
      </c>
      <c r="E557" s="1" t="s">
        <v>586</v>
      </c>
      <c r="F557" s="1" t="s">
        <v>6426</v>
      </c>
      <c r="G557" s="1" t="s">
        <v>4739</v>
      </c>
      <c r="H557" s="1" t="s">
        <v>4739</v>
      </c>
      <c r="I557" s="1" t="s">
        <v>4721</v>
      </c>
      <c r="J557" s="1" t="s">
        <v>12</v>
      </c>
      <c r="K557" s="1" t="s">
        <v>4767</v>
      </c>
      <c r="L557" s="1" t="s">
        <v>79</v>
      </c>
      <c r="M557" s="1" t="s">
        <v>883</v>
      </c>
      <c r="N557" s="1" t="s">
        <v>21</v>
      </c>
    </row>
    <row r="558" spans="1:14" x14ac:dyDescent="0.25">
      <c r="A558" s="1" t="s">
        <v>28</v>
      </c>
      <c r="B558" s="1" t="s">
        <v>5232</v>
      </c>
      <c r="C558" s="1" t="s">
        <v>3972</v>
      </c>
      <c r="D558" s="8" t="s">
        <v>3971</v>
      </c>
      <c r="E558" s="1" t="s">
        <v>423</v>
      </c>
      <c r="F558" s="1" t="s">
        <v>6429</v>
      </c>
      <c r="G558" s="1" t="s">
        <v>4739</v>
      </c>
      <c r="H558" s="1" t="s">
        <v>4739</v>
      </c>
      <c r="I558" s="1" t="s">
        <v>4722</v>
      </c>
      <c r="J558" s="1" t="s">
        <v>39</v>
      </c>
      <c r="K558" s="1" t="s">
        <v>4852</v>
      </c>
      <c r="L558" s="1" t="s">
        <v>34</v>
      </c>
      <c r="M558" s="1" t="s">
        <v>630</v>
      </c>
      <c r="N558" s="1" t="s">
        <v>21</v>
      </c>
    </row>
    <row r="559" spans="1:14" x14ac:dyDescent="0.25">
      <c r="A559" s="1" t="s">
        <v>28</v>
      </c>
      <c r="B559" s="1" t="s">
        <v>5234</v>
      </c>
      <c r="C559" s="1" t="s">
        <v>490</v>
      </c>
      <c r="D559" s="8" t="s">
        <v>489</v>
      </c>
      <c r="E559" s="1" t="s">
        <v>440</v>
      </c>
      <c r="F559" s="1" t="s">
        <v>6429</v>
      </c>
      <c r="G559" s="1" t="s">
        <v>4739</v>
      </c>
      <c r="H559" s="1" t="s">
        <v>4739</v>
      </c>
      <c r="I559" s="1" t="s">
        <v>4721</v>
      </c>
      <c r="J559" s="1" t="s">
        <v>12</v>
      </c>
      <c r="K559" s="1" t="s">
        <v>4852</v>
      </c>
      <c r="L559" s="1" t="s">
        <v>34</v>
      </c>
      <c r="M559" s="1" t="s">
        <v>245</v>
      </c>
      <c r="N559" s="1" t="s">
        <v>21</v>
      </c>
    </row>
    <row r="560" spans="1:14" x14ac:dyDescent="0.25">
      <c r="A560" s="1" t="s">
        <v>28</v>
      </c>
      <c r="B560" s="1" t="s">
        <v>5687</v>
      </c>
      <c r="C560" s="1" t="s">
        <v>2644</v>
      </c>
      <c r="D560" s="8" t="s">
        <v>2643</v>
      </c>
      <c r="E560" s="1" t="s">
        <v>30</v>
      </c>
      <c r="F560" s="1" t="s">
        <v>6425</v>
      </c>
      <c r="G560" s="1" t="s">
        <v>4739</v>
      </c>
      <c r="H560" s="1" t="s">
        <v>4739</v>
      </c>
      <c r="I560" s="1" t="s">
        <v>4721</v>
      </c>
      <c r="J560" s="1" t="s">
        <v>12</v>
      </c>
      <c r="K560" s="1" t="s">
        <v>4851</v>
      </c>
      <c r="L560" s="1" t="s">
        <v>29</v>
      </c>
      <c r="M560" s="1" t="s">
        <v>630</v>
      </c>
      <c r="N560" s="1" t="s">
        <v>21</v>
      </c>
    </row>
    <row r="561" spans="1:14" x14ac:dyDescent="0.25">
      <c r="A561" s="1" t="s">
        <v>28</v>
      </c>
      <c r="B561" s="1" t="s">
        <v>5693</v>
      </c>
      <c r="C561" s="1" t="s">
        <v>2711</v>
      </c>
      <c r="D561" s="8" t="s">
        <v>2710</v>
      </c>
      <c r="E561" s="1" t="s">
        <v>80</v>
      </c>
      <c r="F561" s="1" t="s">
        <v>4741</v>
      </c>
      <c r="G561" s="1" t="s">
        <v>4742</v>
      </c>
      <c r="H561" s="1" t="s">
        <v>4718</v>
      </c>
      <c r="I561" s="1" t="s">
        <v>4721</v>
      </c>
      <c r="J561" s="1" t="s">
        <v>12</v>
      </c>
      <c r="K561" s="1" t="s">
        <v>4767</v>
      </c>
      <c r="L561" s="1" t="s">
        <v>79</v>
      </c>
      <c r="M561" s="1" t="s">
        <v>149</v>
      </c>
      <c r="N561" s="1" t="s">
        <v>61</v>
      </c>
    </row>
    <row r="562" spans="1:14" x14ac:dyDescent="0.25">
      <c r="A562" s="1" t="s">
        <v>28</v>
      </c>
      <c r="B562" s="1" t="s">
        <v>5247</v>
      </c>
      <c r="C562" s="1" t="s">
        <v>859</v>
      </c>
      <c r="D562" s="8" t="s">
        <v>858</v>
      </c>
      <c r="E562" s="1" t="s">
        <v>440</v>
      </c>
      <c r="F562" s="1" t="s">
        <v>6428</v>
      </c>
      <c r="G562" s="1" t="s">
        <v>4739</v>
      </c>
      <c r="H562" s="1" t="s">
        <v>4739</v>
      </c>
      <c r="I562" s="1" t="s">
        <v>4721</v>
      </c>
      <c r="J562" s="1" t="s">
        <v>12</v>
      </c>
      <c r="K562" s="1" t="s">
        <v>4850</v>
      </c>
      <c r="L562" s="1" t="s">
        <v>34</v>
      </c>
      <c r="M562" s="1" t="s">
        <v>630</v>
      </c>
      <c r="N562" s="1" t="s">
        <v>21</v>
      </c>
    </row>
    <row r="563" spans="1:14" x14ac:dyDescent="0.25">
      <c r="A563" s="1" t="s">
        <v>28</v>
      </c>
      <c r="B563" s="1" t="s">
        <v>6056</v>
      </c>
      <c r="C563" s="1" t="s">
        <v>1783</v>
      </c>
      <c r="D563" s="8" t="s">
        <v>1782</v>
      </c>
      <c r="E563" s="1" t="s">
        <v>290</v>
      </c>
      <c r="F563" s="1" t="s">
        <v>4740</v>
      </c>
      <c r="G563" s="1" t="s">
        <v>4739</v>
      </c>
      <c r="H563" s="1" t="s">
        <v>4739</v>
      </c>
      <c r="I563" s="1" t="s">
        <v>4722</v>
      </c>
      <c r="J563" s="1" t="s">
        <v>39</v>
      </c>
      <c r="K563" s="1" t="s">
        <v>4764</v>
      </c>
      <c r="L563" s="1" t="s">
        <v>34</v>
      </c>
      <c r="M563" s="1" t="s">
        <v>172</v>
      </c>
      <c r="N563" s="1" t="s">
        <v>17</v>
      </c>
    </row>
    <row r="564" spans="1:14" x14ac:dyDescent="0.25">
      <c r="A564" s="1" t="s">
        <v>28</v>
      </c>
      <c r="B564" s="1" t="s">
        <v>6066</v>
      </c>
      <c r="C564" s="1" t="s">
        <v>2509</v>
      </c>
      <c r="D564" s="8" t="s">
        <v>2508</v>
      </c>
      <c r="E564" s="1" t="s">
        <v>30</v>
      </c>
      <c r="F564" s="1" t="s">
        <v>6425</v>
      </c>
      <c r="G564" s="1" t="s">
        <v>4739</v>
      </c>
      <c r="H564" s="1" t="s">
        <v>4739</v>
      </c>
      <c r="I564" s="1" t="s">
        <v>4721</v>
      </c>
      <c r="J564" s="1" t="s">
        <v>12</v>
      </c>
      <c r="K564" s="1" t="s">
        <v>4851</v>
      </c>
      <c r="L564" s="1" t="s">
        <v>29</v>
      </c>
      <c r="M564" s="1" t="s">
        <v>883</v>
      </c>
      <c r="N564" s="1" t="s">
        <v>21</v>
      </c>
    </row>
    <row r="565" spans="1:14" x14ac:dyDescent="0.25">
      <c r="A565" s="1" t="s">
        <v>28</v>
      </c>
      <c r="B565" s="1" t="s">
        <v>6067</v>
      </c>
      <c r="C565" s="1" t="s">
        <v>3954</v>
      </c>
      <c r="D565" s="8" t="s">
        <v>3953</v>
      </c>
      <c r="E565" s="1" t="s">
        <v>290</v>
      </c>
      <c r="F565" s="1" t="s">
        <v>6427</v>
      </c>
      <c r="G565" s="1" t="s">
        <v>4739</v>
      </c>
      <c r="H565" s="1" t="s">
        <v>4739</v>
      </c>
      <c r="I565" s="1" t="s">
        <v>4721</v>
      </c>
      <c r="J565" s="1" t="s">
        <v>12</v>
      </c>
      <c r="K565" s="1" t="s">
        <v>4763</v>
      </c>
      <c r="L565" s="1" t="s">
        <v>34</v>
      </c>
      <c r="M565" s="1" t="s">
        <v>317</v>
      </c>
      <c r="N565" s="1" t="s">
        <v>42</v>
      </c>
    </row>
    <row r="566" spans="1:14" x14ac:dyDescent="0.25">
      <c r="A566" s="1" t="s">
        <v>28</v>
      </c>
      <c r="B566" s="1" t="s">
        <v>6069</v>
      </c>
      <c r="C566" s="1" t="s">
        <v>889</v>
      </c>
      <c r="D566" s="8" t="s">
        <v>888</v>
      </c>
      <c r="E566" s="1" t="s">
        <v>440</v>
      </c>
      <c r="F566" s="1" t="s">
        <v>6428</v>
      </c>
      <c r="G566" s="1" t="s">
        <v>4739</v>
      </c>
      <c r="H566" s="1" t="s">
        <v>4739</v>
      </c>
      <c r="I566" s="1" t="s">
        <v>4722</v>
      </c>
      <c r="J566" s="1" t="s">
        <v>39</v>
      </c>
      <c r="K566" s="1" t="s">
        <v>4850</v>
      </c>
      <c r="L566" s="1" t="s">
        <v>34</v>
      </c>
      <c r="M566" s="1" t="s">
        <v>883</v>
      </c>
      <c r="N566" s="1" t="s">
        <v>21</v>
      </c>
    </row>
    <row r="567" spans="1:14" x14ac:dyDescent="0.25">
      <c r="A567" s="1" t="s">
        <v>28</v>
      </c>
      <c r="B567" s="1" t="s">
        <v>5469</v>
      </c>
      <c r="C567" s="1" t="s">
        <v>3936</v>
      </c>
      <c r="D567" s="8" t="s">
        <v>3935</v>
      </c>
      <c r="E567" s="1" t="s">
        <v>290</v>
      </c>
      <c r="F567" s="1" t="s">
        <v>6427</v>
      </c>
      <c r="G567" s="1" t="s">
        <v>4739</v>
      </c>
      <c r="H567" s="1" t="s">
        <v>4739</v>
      </c>
      <c r="I567" s="1" t="s">
        <v>4721</v>
      </c>
      <c r="J567" s="1" t="s">
        <v>12</v>
      </c>
      <c r="K567" s="1" t="s">
        <v>4763</v>
      </c>
      <c r="L567" s="1" t="s">
        <v>34</v>
      </c>
      <c r="M567" s="1" t="s">
        <v>317</v>
      </c>
      <c r="N567" s="1" t="s">
        <v>42</v>
      </c>
    </row>
    <row r="568" spans="1:14" x14ac:dyDescent="0.25">
      <c r="A568" s="1" t="s">
        <v>28</v>
      </c>
      <c r="B568" s="1" t="s">
        <v>5475</v>
      </c>
      <c r="C568" s="1" t="s">
        <v>2234</v>
      </c>
      <c r="D568" s="8" t="s">
        <v>2233</v>
      </c>
      <c r="E568" s="1" t="s">
        <v>290</v>
      </c>
      <c r="F568" s="1" t="s">
        <v>6427</v>
      </c>
      <c r="G568" s="1" t="s">
        <v>4739</v>
      </c>
      <c r="H568" s="1" t="s">
        <v>4739</v>
      </c>
      <c r="I568" s="1" t="s">
        <v>4721</v>
      </c>
      <c r="J568" s="1" t="s">
        <v>12</v>
      </c>
      <c r="K568" s="1" t="s">
        <v>4763</v>
      </c>
      <c r="L568" s="1" t="s">
        <v>34</v>
      </c>
      <c r="M568" s="1" t="s">
        <v>883</v>
      </c>
      <c r="N568" s="1" t="s">
        <v>21</v>
      </c>
    </row>
    <row r="569" spans="1:14" x14ac:dyDescent="0.25">
      <c r="A569" s="1" t="s">
        <v>28</v>
      </c>
      <c r="B569" s="1" t="s">
        <v>5476</v>
      </c>
      <c r="C569" s="1" t="s">
        <v>2349</v>
      </c>
      <c r="D569" s="8" t="s">
        <v>2348</v>
      </c>
      <c r="E569" s="1" t="s">
        <v>586</v>
      </c>
      <c r="F569" s="1" t="s">
        <v>6426</v>
      </c>
      <c r="G569" s="1" t="s">
        <v>4739</v>
      </c>
      <c r="H569" s="1" t="s">
        <v>4739</v>
      </c>
      <c r="I569" s="1" t="s">
        <v>4721</v>
      </c>
      <c r="J569" s="1" t="s">
        <v>12</v>
      </c>
      <c r="K569" s="1" t="s">
        <v>4767</v>
      </c>
      <c r="L569" s="1" t="s">
        <v>79</v>
      </c>
      <c r="M569" s="1" t="s">
        <v>637</v>
      </c>
      <c r="N569" s="1" t="s">
        <v>19</v>
      </c>
    </row>
    <row r="570" spans="1:14" x14ac:dyDescent="0.25">
      <c r="A570" s="1" t="s">
        <v>28</v>
      </c>
      <c r="B570" s="1" t="s">
        <v>5477</v>
      </c>
      <c r="C570" s="1" t="s">
        <v>3969</v>
      </c>
      <c r="D570" s="8" t="s">
        <v>3968</v>
      </c>
      <c r="E570" s="1" t="s">
        <v>423</v>
      </c>
      <c r="F570" s="1" t="s">
        <v>6429</v>
      </c>
      <c r="G570" s="1" t="s">
        <v>4739</v>
      </c>
      <c r="H570" s="1" t="s">
        <v>4739</v>
      </c>
      <c r="I570" s="1" t="s">
        <v>4721</v>
      </c>
      <c r="J570" s="1" t="s">
        <v>12</v>
      </c>
      <c r="K570" s="1" t="s">
        <v>4852</v>
      </c>
      <c r="L570" s="1" t="s">
        <v>34</v>
      </c>
      <c r="M570" s="1" t="s">
        <v>245</v>
      </c>
      <c r="N570" s="1" t="s">
        <v>21</v>
      </c>
    </row>
    <row r="571" spans="1:14" x14ac:dyDescent="0.25">
      <c r="A571" s="1" t="s">
        <v>28</v>
      </c>
      <c r="B571" s="1" t="s">
        <v>6100</v>
      </c>
      <c r="C571" s="1" t="s">
        <v>2358</v>
      </c>
      <c r="D571" s="8" t="s">
        <v>2357</v>
      </c>
      <c r="E571" s="1" t="s">
        <v>80</v>
      </c>
      <c r="F571" s="1" t="s">
        <v>6430</v>
      </c>
      <c r="G571" s="1" t="s">
        <v>6431</v>
      </c>
      <c r="H571" s="1" t="s">
        <v>4739</v>
      </c>
      <c r="I571" s="1" t="s">
        <v>4721</v>
      </c>
      <c r="J571" s="1" t="s">
        <v>12</v>
      </c>
      <c r="K571" s="1" t="s">
        <v>4804</v>
      </c>
      <c r="L571" s="1" t="s">
        <v>79</v>
      </c>
      <c r="M571" s="1" t="s">
        <v>58</v>
      </c>
      <c r="N571" s="1" t="s">
        <v>61</v>
      </c>
    </row>
    <row r="572" spans="1:14" x14ac:dyDescent="0.25">
      <c r="A572" s="1" t="s">
        <v>28</v>
      </c>
      <c r="B572" s="1" t="s">
        <v>6105</v>
      </c>
      <c r="C572" s="1" t="s">
        <v>1427</v>
      </c>
      <c r="D572" s="8" t="s">
        <v>1426</v>
      </c>
      <c r="E572" s="1" t="s">
        <v>440</v>
      </c>
      <c r="F572" s="1" t="s">
        <v>6428</v>
      </c>
      <c r="G572" s="1" t="s">
        <v>4739</v>
      </c>
      <c r="H572" s="1" t="s">
        <v>4739</v>
      </c>
      <c r="I572" s="1" t="s">
        <v>4721</v>
      </c>
      <c r="J572" s="1" t="s">
        <v>12</v>
      </c>
      <c r="K572" s="1" t="s">
        <v>4850</v>
      </c>
      <c r="L572" s="1" t="s">
        <v>34</v>
      </c>
      <c r="M572" s="1" t="s">
        <v>245</v>
      </c>
      <c r="N572" s="1" t="s">
        <v>21</v>
      </c>
    </row>
    <row r="573" spans="1:14" x14ac:dyDescent="0.25">
      <c r="A573" s="1" t="s">
        <v>28</v>
      </c>
      <c r="B573" s="1" t="s">
        <v>6107</v>
      </c>
      <c r="C573" s="1" t="s">
        <v>1053</v>
      </c>
      <c r="D573" s="8" t="s">
        <v>1052</v>
      </c>
      <c r="E573" s="1" t="s">
        <v>80</v>
      </c>
      <c r="F573" s="1" t="s">
        <v>4740</v>
      </c>
      <c r="G573" s="1" t="s">
        <v>4739</v>
      </c>
      <c r="H573" s="1" t="s">
        <v>4739</v>
      </c>
      <c r="I573" s="1" t="s">
        <v>4721</v>
      </c>
      <c r="J573" s="1" t="s">
        <v>12</v>
      </c>
      <c r="K573" s="1" t="s">
        <v>4774</v>
      </c>
      <c r="L573" s="1" t="s">
        <v>79</v>
      </c>
      <c r="M573" s="1" t="s">
        <v>172</v>
      </c>
      <c r="N573" s="1" t="s">
        <v>17</v>
      </c>
    </row>
    <row r="574" spans="1:14" x14ac:dyDescent="0.25">
      <c r="A574" s="1" t="s">
        <v>28</v>
      </c>
      <c r="B574" s="1" t="s">
        <v>5495</v>
      </c>
      <c r="C574" s="1" t="s">
        <v>2425</v>
      </c>
      <c r="D574" s="8" t="s">
        <v>2424</v>
      </c>
      <c r="E574" s="1" t="s">
        <v>586</v>
      </c>
      <c r="F574" s="1" t="s">
        <v>6426</v>
      </c>
      <c r="G574" s="1" t="s">
        <v>4739</v>
      </c>
      <c r="H574" s="1" t="s">
        <v>4739</v>
      </c>
      <c r="I574" s="1" t="s">
        <v>4721</v>
      </c>
      <c r="J574" s="1" t="s">
        <v>12</v>
      </c>
      <c r="K574" s="1" t="s">
        <v>4767</v>
      </c>
      <c r="L574" s="1" t="s">
        <v>79</v>
      </c>
      <c r="M574" s="1" t="s">
        <v>883</v>
      </c>
      <c r="N574" s="1" t="s">
        <v>21</v>
      </c>
    </row>
    <row r="575" spans="1:14" x14ac:dyDescent="0.25">
      <c r="A575" s="1" t="s">
        <v>28</v>
      </c>
      <c r="B575" s="1" t="s">
        <v>6111</v>
      </c>
      <c r="C575" s="1" t="s">
        <v>2406</v>
      </c>
      <c r="D575" s="8" t="s">
        <v>2405</v>
      </c>
      <c r="E575" s="1" t="s">
        <v>80</v>
      </c>
      <c r="F575" s="1" t="s">
        <v>6426</v>
      </c>
      <c r="G575" s="1" t="s">
        <v>4739</v>
      </c>
      <c r="H575" s="1" t="s">
        <v>4739</v>
      </c>
      <c r="I575" s="1" t="s">
        <v>4721</v>
      </c>
      <c r="J575" s="1" t="s">
        <v>12</v>
      </c>
      <c r="K575" s="1" t="s">
        <v>4767</v>
      </c>
      <c r="L575" s="1" t="s">
        <v>79</v>
      </c>
      <c r="M575" s="1" t="s">
        <v>89</v>
      </c>
      <c r="N575" s="1" t="s">
        <v>37</v>
      </c>
    </row>
    <row r="576" spans="1:14" x14ac:dyDescent="0.25">
      <c r="A576" s="1" t="s">
        <v>28</v>
      </c>
      <c r="B576" s="1" t="s">
        <v>6125</v>
      </c>
      <c r="C576" s="1" t="s">
        <v>1771</v>
      </c>
      <c r="D576" s="8" t="s">
        <v>1770</v>
      </c>
      <c r="E576" s="1" t="s">
        <v>80</v>
      </c>
      <c r="F576" s="1" t="s">
        <v>4740</v>
      </c>
      <c r="G576" s="1" t="s">
        <v>4739</v>
      </c>
      <c r="H576" s="1" t="s">
        <v>4739</v>
      </c>
      <c r="I576" s="1" t="s">
        <v>4721</v>
      </c>
      <c r="J576" s="1" t="s">
        <v>12</v>
      </c>
      <c r="K576" s="1" t="s">
        <v>4774</v>
      </c>
      <c r="L576" s="1" t="s">
        <v>79</v>
      </c>
      <c r="M576" s="1" t="s">
        <v>172</v>
      </c>
      <c r="N576" s="1" t="s">
        <v>17</v>
      </c>
    </row>
    <row r="577" spans="1:14" x14ac:dyDescent="0.25">
      <c r="A577" s="1" t="s">
        <v>28</v>
      </c>
      <c r="B577" s="1" t="s">
        <v>6128</v>
      </c>
      <c r="C577" s="1" t="s">
        <v>1380</v>
      </c>
      <c r="D577" s="8" t="s">
        <v>1379</v>
      </c>
      <c r="E577" s="1" t="s">
        <v>30</v>
      </c>
      <c r="F577" s="1" t="s">
        <v>6425</v>
      </c>
      <c r="G577" s="1" t="s">
        <v>4739</v>
      </c>
      <c r="H577" s="1" t="s">
        <v>4739</v>
      </c>
      <c r="I577" s="1" t="s">
        <v>4721</v>
      </c>
      <c r="J577" s="1" t="s">
        <v>12</v>
      </c>
      <c r="K577" s="1" t="s">
        <v>4851</v>
      </c>
      <c r="L577" s="1" t="s">
        <v>29</v>
      </c>
      <c r="M577" s="1" t="s">
        <v>172</v>
      </c>
      <c r="N577" s="1" t="s">
        <v>17</v>
      </c>
    </row>
    <row r="578" spans="1:14" x14ac:dyDescent="0.25">
      <c r="A578" s="1" t="s">
        <v>28</v>
      </c>
      <c r="B578" s="1" t="s">
        <v>6130</v>
      </c>
      <c r="C578" s="1" t="s">
        <v>850</v>
      </c>
      <c r="D578" s="8" t="s">
        <v>848</v>
      </c>
      <c r="E578" s="1" t="s">
        <v>440</v>
      </c>
      <c r="F578" s="1" t="s">
        <v>6428</v>
      </c>
      <c r="G578" s="1" t="s">
        <v>4739</v>
      </c>
      <c r="H578" s="1" t="s">
        <v>4739</v>
      </c>
      <c r="I578" s="1" t="s">
        <v>4721</v>
      </c>
      <c r="J578" s="1" t="s">
        <v>12</v>
      </c>
      <c r="K578" s="1" t="s">
        <v>4850</v>
      </c>
      <c r="L578" s="1" t="s">
        <v>34</v>
      </c>
      <c r="M578" s="1" t="s">
        <v>89</v>
      </c>
      <c r="N578" s="1" t="s">
        <v>37</v>
      </c>
    </row>
    <row r="579" spans="1:14" x14ac:dyDescent="0.25">
      <c r="A579" s="1" t="s">
        <v>28</v>
      </c>
      <c r="B579" s="1" t="s">
        <v>5513</v>
      </c>
      <c r="C579" s="1" t="s">
        <v>2237</v>
      </c>
      <c r="D579" s="8" t="s">
        <v>2236</v>
      </c>
      <c r="E579" s="1" t="s">
        <v>290</v>
      </c>
      <c r="F579" s="1" t="s">
        <v>6427</v>
      </c>
      <c r="G579" s="1" t="s">
        <v>4739</v>
      </c>
      <c r="H579" s="1" t="s">
        <v>4739</v>
      </c>
      <c r="I579" s="1" t="s">
        <v>4721</v>
      </c>
      <c r="J579" s="1" t="s">
        <v>12</v>
      </c>
      <c r="K579" s="1" t="s">
        <v>4763</v>
      </c>
      <c r="L579" s="1" t="s">
        <v>34</v>
      </c>
      <c r="M579" s="1" t="s">
        <v>245</v>
      </c>
      <c r="N579" s="1" t="s">
        <v>21</v>
      </c>
    </row>
    <row r="580" spans="1:14" x14ac:dyDescent="0.25">
      <c r="A580" s="1" t="s">
        <v>28</v>
      </c>
      <c r="B580" s="1" t="s">
        <v>6133</v>
      </c>
      <c r="C580" s="1" t="s">
        <v>1669</v>
      </c>
      <c r="D580" s="8" t="s">
        <v>1668</v>
      </c>
      <c r="E580" s="1" t="s">
        <v>30</v>
      </c>
      <c r="F580" s="1" t="s">
        <v>6425</v>
      </c>
      <c r="G580" s="1" t="s">
        <v>4739</v>
      </c>
      <c r="H580" s="1" t="s">
        <v>4739</v>
      </c>
      <c r="I580" s="1" t="s">
        <v>4722</v>
      </c>
      <c r="J580" s="1" t="s">
        <v>39</v>
      </c>
      <c r="K580" s="1" t="s">
        <v>4851</v>
      </c>
      <c r="L580" s="1" t="s">
        <v>29</v>
      </c>
      <c r="M580" s="1" t="s">
        <v>883</v>
      </c>
      <c r="N580" s="1" t="s">
        <v>21</v>
      </c>
    </row>
    <row r="581" spans="1:14" x14ac:dyDescent="0.25">
      <c r="A581" s="1" t="s">
        <v>28</v>
      </c>
      <c r="B581" s="1" t="s">
        <v>6134</v>
      </c>
      <c r="C581" s="1" t="s">
        <v>2503</v>
      </c>
      <c r="D581" s="8" t="s">
        <v>2502</v>
      </c>
      <c r="E581" s="1" t="s">
        <v>30</v>
      </c>
      <c r="F581" s="1" t="s">
        <v>6425</v>
      </c>
      <c r="G581" s="1" t="s">
        <v>4739</v>
      </c>
      <c r="H581" s="1" t="s">
        <v>4739</v>
      </c>
      <c r="I581" s="1" t="s">
        <v>4721</v>
      </c>
      <c r="J581" s="1" t="s">
        <v>39</v>
      </c>
      <c r="K581" s="1" t="s">
        <v>4851</v>
      </c>
      <c r="L581" s="1" t="s">
        <v>29</v>
      </c>
      <c r="M581" s="1" t="s">
        <v>136</v>
      </c>
      <c r="N581" s="1" t="s">
        <v>72</v>
      </c>
    </row>
    <row r="582" spans="1:14" x14ac:dyDescent="0.25">
      <c r="A582" s="1" t="s">
        <v>28</v>
      </c>
      <c r="B582" s="1" t="s">
        <v>5519</v>
      </c>
      <c r="C582" s="1" t="s">
        <v>1615</v>
      </c>
      <c r="D582" s="8" t="s">
        <v>1614</v>
      </c>
      <c r="E582" s="1" t="s">
        <v>80</v>
      </c>
      <c r="F582" s="1" t="s">
        <v>6430</v>
      </c>
      <c r="G582" s="1" t="s">
        <v>6431</v>
      </c>
      <c r="H582" s="1" t="s">
        <v>4739</v>
      </c>
      <c r="I582" s="1" t="s">
        <v>6407</v>
      </c>
      <c r="J582" s="1" t="s">
        <v>39</v>
      </c>
      <c r="K582" s="1" t="s">
        <v>4804</v>
      </c>
      <c r="L582" s="1" t="s">
        <v>79</v>
      </c>
      <c r="M582" s="1" t="s">
        <v>58</v>
      </c>
      <c r="N582" s="1" t="s">
        <v>61</v>
      </c>
    </row>
    <row r="583" spans="1:14" x14ac:dyDescent="0.25">
      <c r="A583" s="1" t="s">
        <v>28</v>
      </c>
      <c r="B583" s="1" t="s">
        <v>6146</v>
      </c>
      <c r="C583" s="1" t="s">
        <v>585</v>
      </c>
      <c r="D583" s="8" t="s">
        <v>584</v>
      </c>
      <c r="E583" s="1" t="s">
        <v>586</v>
      </c>
      <c r="F583" s="1" t="s">
        <v>6426</v>
      </c>
      <c r="G583" s="1" t="s">
        <v>4739</v>
      </c>
      <c r="H583" s="1" t="s">
        <v>4739</v>
      </c>
      <c r="I583" s="1" t="s">
        <v>4721</v>
      </c>
      <c r="J583" s="1" t="s">
        <v>12</v>
      </c>
      <c r="K583" s="1" t="s">
        <v>4767</v>
      </c>
      <c r="L583" s="1" t="s">
        <v>79</v>
      </c>
      <c r="M583" s="1" t="s">
        <v>58</v>
      </c>
      <c r="N583" s="1" t="s">
        <v>61</v>
      </c>
    </row>
    <row r="584" spans="1:14" x14ac:dyDescent="0.25">
      <c r="A584" s="1" t="s">
        <v>28</v>
      </c>
      <c r="B584" s="1" t="s">
        <v>5526</v>
      </c>
      <c r="C584" s="1" t="s">
        <v>2194</v>
      </c>
      <c r="D584" s="8" t="s">
        <v>2193</v>
      </c>
      <c r="E584" s="1" t="s">
        <v>290</v>
      </c>
      <c r="F584" s="1" t="s">
        <v>4741</v>
      </c>
      <c r="G584" s="1" t="s">
        <v>4742</v>
      </c>
      <c r="H584" s="1" t="s">
        <v>4718</v>
      </c>
      <c r="I584" s="1" t="s">
        <v>4721</v>
      </c>
      <c r="J584" s="1" t="s">
        <v>12</v>
      </c>
      <c r="K584" s="1" t="s">
        <v>4763</v>
      </c>
      <c r="L584" s="1" t="s">
        <v>34</v>
      </c>
      <c r="M584" s="1" t="s">
        <v>149</v>
      </c>
      <c r="N584" s="1" t="s">
        <v>61</v>
      </c>
    </row>
    <row r="585" spans="1:14" x14ac:dyDescent="0.25">
      <c r="A585" s="1" t="s">
        <v>28</v>
      </c>
      <c r="B585" s="1" t="s">
        <v>6149</v>
      </c>
      <c r="C585" s="1" t="s">
        <v>2361</v>
      </c>
      <c r="D585" s="8" t="s">
        <v>2360</v>
      </c>
      <c r="E585" s="1" t="s">
        <v>423</v>
      </c>
      <c r="F585" s="1" t="s">
        <v>6430</v>
      </c>
      <c r="G585" s="1" t="s">
        <v>6431</v>
      </c>
      <c r="H585" s="1" t="s">
        <v>4739</v>
      </c>
      <c r="I585" s="1" t="s">
        <v>4721</v>
      </c>
      <c r="J585" s="1" t="s">
        <v>12</v>
      </c>
      <c r="K585" s="1" t="s">
        <v>4804</v>
      </c>
      <c r="L585" s="1" t="s">
        <v>34</v>
      </c>
      <c r="M585" s="1" t="s">
        <v>58</v>
      </c>
      <c r="N585" s="1" t="s">
        <v>61</v>
      </c>
    </row>
    <row r="586" spans="1:14" x14ac:dyDescent="0.25">
      <c r="A586" s="1" t="s">
        <v>28</v>
      </c>
      <c r="B586" s="1" t="s">
        <v>6152</v>
      </c>
      <c r="C586" s="1" t="s">
        <v>2428</v>
      </c>
      <c r="D586" s="8" t="s">
        <v>2427</v>
      </c>
      <c r="E586" s="1" t="s">
        <v>80</v>
      </c>
      <c r="F586" s="1" t="s">
        <v>6426</v>
      </c>
      <c r="G586" s="1" t="s">
        <v>4739</v>
      </c>
      <c r="H586" s="1" t="s">
        <v>4739</v>
      </c>
      <c r="I586" s="1" t="s">
        <v>4721</v>
      </c>
      <c r="J586" s="1" t="s">
        <v>12</v>
      </c>
      <c r="K586" s="1" t="s">
        <v>4767</v>
      </c>
      <c r="L586" s="1" t="s">
        <v>79</v>
      </c>
      <c r="M586" s="1" t="s">
        <v>637</v>
      </c>
      <c r="N586" s="1" t="s">
        <v>19</v>
      </c>
    </row>
    <row r="587" spans="1:14" x14ac:dyDescent="0.25">
      <c r="A587" s="1" t="s">
        <v>28</v>
      </c>
      <c r="B587" s="1" t="s">
        <v>6154</v>
      </c>
      <c r="C587" s="1" t="s">
        <v>2708</v>
      </c>
      <c r="D587" s="8" t="s">
        <v>2707</v>
      </c>
      <c r="E587" s="1" t="s">
        <v>30</v>
      </c>
      <c r="F587" s="1" t="s">
        <v>6425</v>
      </c>
      <c r="G587" s="1" t="s">
        <v>4739</v>
      </c>
      <c r="H587" s="1" t="s">
        <v>4739</v>
      </c>
      <c r="I587" s="1" t="s">
        <v>4721</v>
      </c>
      <c r="J587" s="1" t="s">
        <v>12</v>
      </c>
      <c r="K587" s="1" t="s">
        <v>4851</v>
      </c>
      <c r="L587" s="1" t="s">
        <v>29</v>
      </c>
      <c r="M587" s="1" t="s">
        <v>89</v>
      </c>
      <c r="N587" s="1" t="s">
        <v>37</v>
      </c>
    </row>
    <row r="588" spans="1:14" x14ac:dyDescent="0.25">
      <c r="A588" s="1" t="s">
        <v>28</v>
      </c>
      <c r="B588" s="1" t="s">
        <v>6157</v>
      </c>
      <c r="C588" s="1" t="s">
        <v>2403</v>
      </c>
      <c r="D588" s="8" t="s">
        <v>2402</v>
      </c>
      <c r="E588" s="1" t="s">
        <v>80</v>
      </c>
      <c r="F588" s="1" t="s">
        <v>6426</v>
      </c>
      <c r="G588" s="1" t="s">
        <v>4739</v>
      </c>
      <c r="H588" s="1" t="s">
        <v>4739</v>
      </c>
      <c r="I588" s="1" t="s">
        <v>4722</v>
      </c>
      <c r="J588" s="1" t="s">
        <v>39</v>
      </c>
      <c r="K588" s="1" t="s">
        <v>4767</v>
      </c>
      <c r="L588" s="1" t="s">
        <v>79</v>
      </c>
      <c r="M588" s="1" t="s">
        <v>630</v>
      </c>
      <c r="N588" s="1" t="s">
        <v>21</v>
      </c>
    </row>
    <row r="589" spans="1:14" x14ac:dyDescent="0.25">
      <c r="A589" s="1" t="s">
        <v>28</v>
      </c>
      <c r="B589" s="1" t="s">
        <v>5544</v>
      </c>
      <c r="C589" s="1" t="s">
        <v>472</v>
      </c>
      <c r="D589" s="8" t="s">
        <v>471</v>
      </c>
      <c r="E589" s="1" t="s">
        <v>423</v>
      </c>
      <c r="F589" s="1" t="s">
        <v>6429</v>
      </c>
      <c r="G589" s="1" t="s">
        <v>4739</v>
      </c>
      <c r="H589" s="1" t="s">
        <v>4739</v>
      </c>
      <c r="I589" s="1" t="s">
        <v>4721</v>
      </c>
      <c r="J589" s="1" t="s">
        <v>12</v>
      </c>
      <c r="K589" s="1" t="s">
        <v>4852</v>
      </c>
      <c r="L589" s="1" t="s">
        <v>34</v>
      </c>
      <c r="M589" s="1" t="s">
        <v>58</v>
      </c>
      <c r="N589" s="1" t="s">
        <v>61</v>
      </c>
    </row>
    <row r="590" spans="1:14" x14ac:dyDescent="0.25">
      <c r="A590" s="1" t="s">
        <v>28</v>
      </c>
      <c r="B590" s="1" t="s">
        <v>5545</v>
      </c>
      <c r="C590" s="1" t="s">
        <v>1768</v>
      </c>
      <c r="D590" s="8" t="s">
        <v>1767</v>
      </c>
      <c r="E590" s="1" t="s">
        <v>290</v>
      </c>
      <c r="F590" s="1" t="s">
        <v>4740</v>
      </c>
      <c r="G590" s="1" t="s">
        <v>4739</v>
      </c>
      <c r="H590" s="1" t="s">
        <v>4739</v>
      </c>
      <c r="I590" s="1" t="s">
        <v>4721</v>
      </c>
      <c r="J590" s="1" t="s">
        <v>12</v>
      </c>
      <c r="K590" s="1" t="s">
        <v>4776</v>
      </c>
      <c r="L590" s="1" t="s">
        <v>34</v>
      </c>
      <c r="M590" s="1" t="s">
        <v>172</v>
      </c>
      <c r="N590" s="1" t="s">
        <v>17</v>
      </c>
    </row>
    <row r="591" spans="1:14" x14ac:dyDescent="0.25">
      <c r="A591" s="1" t="s">
        <v>28</v>
      </c>
      <c r="B591" s="1" t="s">
        <v>6165</v>
      </c>
      <c r="C591" s="1" t="s">
        <v>2210</v>
      </c>
      <c r="D591" s="8" t="s">
        <v>2209</v>
      </c>
      <c r="E591" s="1" t="s">
        <v>586</v>
      </c>
      <c r="F591" s="1" t="s">
        <v>6426</v>
      </c>
      <c r="G591" s="1" t="s">
        <v>4739</v>
      </c>
      <c r="H591" s="1" t="s">
        <v>4739</v>
      </c>
      <c r="I591" s="1" t="s">
        <v>4721</v>
      </c>
      <c r="J591" s="1" t="s">
        <v>12</v>
      </c>
      <c r="K591" s="1" t="s">
        <v>4767</v>
      </c>
      <c r="L591" s="1" t="s">
        <v>79</v>
      </c>
      <c r="M591" s="1" t="s">
        <v>89</v>
      </c>
      <c r="N591" s="1" t="s">
        <v>37</v>
      </c>
    </row>
    <row r="592" spans="1:14" x14ac:dyDescent="0.25">
      <c r="A592" s="1" t="s">
        <v>28</v>
      </c>
      <c r="B592" s="1" t="s">
        <v>6166</v>
      </c>
      <c r="C592" s="1" t="s">
        <v>3423</v>
      </c>
      <c r="D592" s="8" t="s">
        <v>3421</v>
      </c>
      <c r="E592" s="1" t="s">
        <v>290</v>
      </c>
      <c r="F592" s="1" t="s">
        <v>6432</v>
      </c>
      <c r="G592" s="1" t="s">
        <v>6431</v>
      </c>
      <c r="H592" s="1" t="s">
        <v>4739</v>
      </c>
      <c r="I592" s="1" t="s">
        <v>4721</v>
      </c>
      <c r="J592" s="1" t="s">
        <v>12</v>
      </c>
      <c r="K592" s="1" t="s">
        <v>4763</v>
      </c>
      <c r="L592" s="1" t="s">
        <v>34</v>
      </c>
      <c r="M592" s="1" t="s">
        <v>58</v>
      </c>
      <c r="N592" s="1" t="s">
        <v>61</v>
      </c>
    </row>
    <row r="593" spans="1:14" x14ac:dyDescent="0.25">
      <c r="A593" s="1" t="s">
        <v>28</v>
      </c>
      <c r="B593" s="1" t="s">
        <v>5560</v>
      </c>
      <c r="C593" s="1" t="s">
        <v>2422</v>
      </c>
      <c r="D593" s="8" t="s">
        <v>2421</v>
      </c>
      <c r="E593" s="1" t="s">
        <v>80</v>
      </c>
      <c r="F593" s="1" t="s">
        <v>6426</v>
      </c>
      <c r="G593" s="1" t="s">
        <v>4739</v>
      </c>
      <c r="H593" s="1" t="s">
        <v>4739</v>
      </c>
      <c r="I593" s="1" t="s">
        <v>4721</v>
      </c>
      <c r="J593" s="1" t="s">
        <v>12</v>
      </c>
      <c r="K593" s="1" t="s">
        <v>4767</v>
      </c>
      <c r="L593" s="1" t="s">
        <v>79</v>
      </c>
      <c r="M593" s="1" t="s">
        <v>58</v>
      </c>
      <c r="N593" s="1" t="s">
        <v>61</v>
      </c>
    </row>
    <row r="594" spans="1:14" x14ac:dyDescent="0.25">
      <c r="A594" s="1" t="s">
        <v>28</v>
      </c>
      <c r="B594" s="1" t="s">
        <v>5253</v>
      </c>
      <c r="C594" s="1" t="s">
        <v>964</v>
      </c>
      <c r="D594" s="8" t="s">
        <v>962</v>
      </c>
      <c r="E594" s="1" t="s">
        <v>154</v>
      </c>
      <c r="F594" s="1" t="s">
        <v>6430</v>
      </c>
      <c r="G594" s="1" t="s">
        <v>6431</v>
      </c>
      <c r="H594" s="1" t="s">
        <v>4739</v>
      </c>
      <c r="I594" s="1" t="s">
        <v>4721</v>
      </c>
      <c r="J594" s="1" t="s">
        <v>12</v>
      </c>
      <c r="K594" s="1" t="s">
        <v>4764</v>
      </c>
      <c r="L594" s="1" t="s">
        <v>34</v>
      </c>
      <c r="M594" s="1" t="s">
        <v>58</v>
      </c>
      <c r="N594" s="1" t="s">
        <v>61</v>
      </c>
    </row>
    <row r="595" spans="1:14" x14ac:dyDescent="0.25">
      <c r="A595" s="1" t="s">
        <v>28</v>
      </c>
      <c r="B595" s="1" t="s">
        <v>5259</v>
      </c>
      <c r="C595" s="1" t="s">
        <v>1759</v>
      </c>
      <c r="D595" s="8" t="s">
        <v>1758</v>
      </c>
      <c r="E595" s="1" t="s">
        <v>440</v>
      </c>
      <c r="F595" s="1" t="s">
        <v>6430</v>
      </c>
      <c r="G595" s="1" t="s">
        <v>6431</v>
      </c>
      <c r="H595" s="1" t="s">
        <v>4739</v>
      </c>
      <c r="I595" s="1" t="s">
        <v>4721</v>
      </c>
      <c r="J595" s="1" t="s">
        <v>12</v>
      </c>
      <c r="K595" s="1" t="s">
        <v>4804</v>
      </c>
      <c r="L595" s="1" t="s">
        <v>34</v>
      </c>
      <c r="M595" s="1" t="s">
        <v>58</v>
      </c>
      <c r="N595" s="1" t="s">
        <v>61</v>
      </c>
    </row>
    <row r="596" spans="1:14" x14ac:dyDescent="0.25">
      <c r="A596" s="1" t="s">
        <v>28</v>
      </c>
      <c r="B596" s="1" t="s">
        <v>5708</v>
      </c>
      <c r="C596" s="1" t="s">
        <v>1430</v>
      </c>
      <c r="D596" s="8" t="s">
        <v>1429</v>
      </c>
      <c r="E596" s="1" t="s">
        <v>440</v>
      </c>
      <c r="F596" s="1" t="s">
        <v>6428</v>
      </c>
      <c r="G596" s="1" t="s">
        <v>4739</v>
      </c>
      <c r="H596" s="1" t="s">
        <v>4739</v>
      </c>
      <c r="I596" s="1" t="s">
        <v>4721</v>
      </c>
      <c r="J596" s="1" t="s">
        <v>12</v>
      </c>
      <c r="K596" s="1" t="s">
        <v>4850</v>
      </c>
      <c r="L596" s="1" t="s">
        <v>34</v>
      </c>
      <c r="M596" s="1" t="s">
        <v>637</v>
      </c>
      <c r="N596" s="1" t="s">
        <v>19</v>
      </c>
    </row>
    <row r="597" spans="1:14" x14ac:dyDescent="0.25">
      <c r="A597" s="1" t="s">
        <v>28</v>
      </c>
      <c r="B597" s="1" t="s">
        <v>5263</v>
      </c>
      <c r="C597" s="1" t="s">
        <v>2222</v>
      </c>
      <c r="D597" s="8" t="s">
        <v>2221</v>
      </c>
      <c r="E597" s="1" t="s">
        <v>290</v>
      </c>
      <c r="F597" s="1" t="s">
        <v>6427</v>
      </c>
      <c r="G597" s="1" t="s">
        <v>4739</v>
      </c>
      <c r="H597" s="1" t="s">
        <v>4739</v>
      </c>
      <c r="I597" s="1" t="s">
        <v>4721</v>
      </c>
      <c r="J597" s="1" t="s">
        <v>12</v>
      </c>
      <c r="K597" s="1" t="s">
        <v>4763</v>
      </c>
      <c r="L597" s="1" t="s">
        <v>34</v>
      </c>
      <c r="M597" s="1" t="s">
        <v>245</v>
      </c>
      <c r="N597" s="1" t="s">
        <v>21</v>
      </c>
    </row>
    <row r="598" spans="1:14" x14ac:dyDescent="0.25">
      <c r="A598" s="1" t="s">
        <v>28</v>
      </c>
      <c r="B598" s="1" t="s">
        <v>5269</v>
      </c>
      <c r="C598" s="1" t="s">
        <v>2641</v>
      </c>
      <c r="D598" s="8" t="s">
        <v>2640</v>
      </c>
      <c r="E598" s="1" t="s">
        <v>30</v>
      </c>
      <c r="F598" s="1" t="s">
        <v>6425</v>
      </c>
      <c r="G598" s="1" t="s">
        <v>4739</v>
      </c>
      <c r="H598" s="1" t="s">
        <v>4739</v>
      </c>
      <c r="I598" s="1" t="s">
        <v>4721</v>
      </c>
      <c r="J598" s="1" t="s">
        <v>39</v>
      </c>
      <c r="K598" s="1" t="s">
        <v>4851</v>
      </c>
      <c r="L598" s="1" t="s">
        <v>29</v>
      </c>
      <c r="M598" s="1" t="s">
        <v>58</v>
      </c>
      <c r="N598" s="1" t="s">
        <v>61</v>
      </c>
    </row>
    <row r="599" spans="1:14" x14ac:dyDescent="0.25">
      <c r="A599" s="1" t="s">
        <v>28</v>
      </c>
      <c r="B599" s="1" t="s">
        <v>5277</v>
      </c>
      <c r="C599" s="1" t="s">
        <v>566</v>
      </c>
      <c r="D599" s="8" t="s">
        <v>565</v>
      </c>
      <c r="E599" s="1" t="s">
        <v>423</v>
      </c>
      <c r="F599" s="1" t="s">
        <v>6429</v>
      </c>
      <c r="G599" s="1" t="s">
        <v>4739</v>
      </c>
      <c r="H599" s="1" t="s">
        <v>4739</v>
      </c>
      <c r="I599" s="1" t="s">
        <v>4721</v>
      </c>
      <c r="J599" s="1" t="s">
        <v>12</v>
      </c>
      <c r="K599" s="1" t="s">
        <v>4852</v>
      </c>
      <c r="L599" s="1" t="s">
        <v>34</v>
      </c>
      <c r="M599" s="1" t="s">
        <v>245</v>
      </c>
      <c r="N599" s="1" t="s">
        <v>21</v>
      </c>
    </row>
    <row r="600" spans="1:14" x14ac:dyDescent="0.25">
      <c r="A600" s="1" t="s">
        <v>28</v>
      </c>
      <c r="B600" s="1" t="s">
        <v>5725</v>
      </c>
      <c r="C600" s="1" t="s">
        <v>1678</v>
      </c>
      <c r="D600" s="8" t="s">
        <v>1677</v>
      </c>
      <c r="E600" s="1" t="s">
        <v>30</v>
      </c>
      <c r="F600" s="1" t="s">
        <v>6425</v>
      </c>
      <c r="G600" s="1" t="s">
        <v>4739</v>
      </c>
      <c r="H600" s="1" t="s">
        <v>4739</v>
      </c>
      <c r="I600" s="1" t="s">
        <v>4722</v>
      </c>
      <c r="J600" s="1" t="s">
        <v>39</v>
      </c>
      <c r="K600" s="1" t="s">
        <v>4851</v>
      </c>
      <c r="L600" s="1" t="s">
        <v>29</v>
      </c>
      <c r="M600" s="1" t="s">
        <v>41</v>
      </c>
      <c r="N600" s="1" t="s">
        <v>42</v>
      </c>
    </row>
    <row r="601" spans="1:14" x14ac:dyDescent="0.25">
      <c r="A601" s="1" t="s">
        <v>28</v>
      </c>
      <c r="B601" s="1" t="s">
        <v>5727</v>
      </c>
      <c r="C601" s="1" t="s">
        <v>4123</v>
      </c>
      <c r="D601" s="8" t="s">
        <v>4122</v>
      </c>
      <c r="E601" s="1" t="s">
        <v>290</v>
      </c>
      <c r="F601" s="1" t="s">
        <v>6419</v>
      </c>
      <c r="G601" s="1" t="s">
        <v>6419</v>
      </c>
      <c r="H601" s="1" t="s">
        <v>6419</v>
      </c>
      <c r="I601" s="1" t="s">
        <v>4721</v>
      </c>
      <c r="J601" s="1" t="s">
        <v>39</v>
      </c>
      <c r="K601" s="1" t="s">
        <v>4908</v>
      </c>
      <c r="L601" s="1" t="s">
        <v>34</v>
      </c>
      <c r="M601" s="1" t="s">
        <v>149</v>
      </c>
      <c r="N601" s="1" t="s">
        <v>61</v>
      </c>
    </row>
    <row r="602" spans="1:14" x14ac:dyDescent="0.25">
      <c r="A602" s="1" t="s">
        <v>28</v>
      </c>
      <c r="B602" s="1" t="s">
        <v>5730</v>
      </c>
      <c r="C602" s="1" t="s">
        <v>2497</v>
      </c>
      <c r="D602" s="8" t="s">
        <v>2496</v>
      </c>
      <c r="E602" s="1" t="s">
        <v>30</v>
      </c>
      <c r="F602" s="1" t="s">
        <v>6425</v>
      </c>
      <c r="G602" s="1" t="s">
        <v>4739</v>
      </c>
      <c r="H602" s="1" t="s">
        <v>4739</v>
      </c>
      <c r="I602" s="1" t="s">
        <v>4721</v>
      </c>
      <c r="J602" s="1" t="s">
        <v>12</v>
      </c>
      <c r="K602" s="1" t="s">
        <v>4851</v>
      </c>
      <c r="L602" s="1" t="s">
        <v>29</v>
      </c>
      <c r="M602" s="1" t="s">
        <v>58</v>
      </c>
      <c r="N602" s="1" t="s">
        <v>61</v>
      </c>
    </row>
    <row r="603" spans="1:14" x14ac:dyDescent="0.25">
      <c r="A603" s="1" t="s">
        <v>28</v>
      </c>
      <c r="B603" s="1" t="s">
        <v>5295</v>
      </c>
      <c r="C603" s="1" t="s">
        <v>3942</v>
      </c>
      <c r="D603" s="8" t="s">
        <v>3941</v>
      </c>
      <c r="E603" s="1" t="s">
        <v>290</v>
      </c>
      <c r="F603" s="1" t="s">
        <v>6427</v>
      </c>
      <c r="G603" s="1" t="s">
        <v>4739</v>
      </c>
      <c r="H603" s="1" t="s">
        <v>4739</v>
      </c>
      <c r="I603" s="1" t="s">
        <v>4721</v>
      </c>
      <c r="J603" s="1" t="s">
        <v>12</v>
      </c>
      <c r="K603" s="1" t="s">
        <v>4763</v>
      </c>
      <c r="L603" s="1" t="s">
        <v>34</v>
      </c>
      <c r="M603" s="1" t="s">
        <v>58</v>
      </c>
      <c r="N603" s="1" t="s">
        <v>61</v>
      </c>
    </row>
    <row r="604" spans="1:14" x14ac:dyDescent="0.25">
      <c r="A604" s="1" t="s">
        <v>28</v>
      </c>
      <c r="B604" s="1" t="s">
        <v>5297</v>
      </c>
      <c r="C604" s="1" t="s">
        <v>1041</v>
      </c>
      <c r="D604" s="8" t="s">
        <v>1040</v>
      </c>
      <c r="E604" s="1" t="s">
        <v>586</v>
      </c>
      <c r="F604" s="1" t="s">
        <v>4740</v>
      </c>
      <c r="G604" s="1" t="s">
        <v>4739</v>
      </c>
      <c r="H604" s="1" t="s">
        <v>4739</v>
      </c>
      <c r="I604" s="1" t="s">
        <v>4721</v>
      </c>
      <c r="J604" s="1" t="s">
        <v>12</v>
      </c>
      <c r="K604" s="1" t="s">
        <v>4774</v>
      </c>
      <c r="L604" s="1" t="s">
        <v>79</v>
      </c>
      <c r="M604" s="1" t="s">
        <v>172</v>
      </c>
      <c r="N604" s="1" t="s">
        <v>17</v>
      </c>
    </row>
    <row r="605" spans="1:14" x14ac:dyDescent="0.25">
      <c r="A605" s="1" t="s">
        <v>28</v>
      </c>
      <c r="B605" s="1" t="s">
        <v>5298</v>
      </c>
      <c r="C605" s="1" t="s">
        <v>1211</v>
      </c>
      <c r="D605" s="8" t="s">
        <v>1210</v>
      </c>
      <c r="E605" s="1" t="s">
        <v>80</v>
      </c>
      <c r="F605" s="1" t="s">
        <v>6426</v>
      </c>
      <c r="G605" s="1" t="s">
        <v>4739</v>
      </c>
      <c r="H605" s="1" t="s">
        <v>4739</v>
      </c>
      <c r="I605" s="1" t="s">
        <v>4721</v>
      </c>
      <c r="J605" s="1" t="s">
        <v>12</v>
      </c>
      <c r="K605" s="1" t="s">
        <v>4767</v>
      </c>
      <c r="L605" s="1" t="s">
        <v>79</v>
      </c>
      <c r="M605" s="1" t="s">
        <v>89</v>
      </c>
      <c r="N605" s="1" t="s">
        <v>37</v>
      </c>
    </row>
    <row r="606" spans="1:14" x14ac:dyDescent="0.25">
      <c r="A606" s="1" t="s">
        <v>28</v>
      </c>
      <c r="B606" s="1" t="s">
        <v>5303</v>
      </c>
      <c r="C606" s="1" t="s">
        <v>2705</v>
      </c>
      <c r="D606" s="8" t="s">
        <v>2704</v>
      </c>
      <c r="E606" s="1" t="s">
        <v>30</v>
      </c>
      <c r="F606" s="1" t="s">
        <v>6425</v>
      </c>
      <c r="G606" s="1" t="s">
        <v>4739</v>
      </c>
      <c r="H606" s="1" t="s">
        <v>4739</v>
      </c>
      <c r="I606" s="1" t="s">
        <v>4721</v>
      </c>
      <c r="J606" s="1" t="s">
        <v>12</v>
      </c>
      <c r="K606" s="1" t="s">
        <v>4851</v>
      </c>
      <c r="L606" s="1" t="s">
        <v>29</v>
      </c>
      <c r="M606" s="1" t="s">
        <v>89</v>
      </c>
      <c r="N606" s="1" t="s">
        <v>37</v>
      </c>
    </row>
    <row r="607" spans="1:14" x14ac:dyDescent="0.25">
      <c r="A607" s="1" t="s">
        <v>28</v>
      </c>
      <c r="B607" s="1" t="s">
        <v>5745</v>
      </c>
      <c r="C607" s="1" t="s">
        <v>2228</v>
      </c>
      <c r="D607" s="8" t="s">
        <v>2227</v>
      </c>
      <c r="E607" s="1" t="s">
        <v>290</v>
      </c>
      <c r="F607" s="1" t="s">
        <v>6427</v>
      </c>
      <c r="G607" s="1" t="s">
        <v>4739</v>
      </c>
      <c r="H607" s="1" t="s">
        <v>4739</v>
      </c>
      <c r="I607" s="1" t="s">
        <v>4721</v>
      </c>
      <c r="J607" s="1" t="s">
        <v>12</v>
      </c>
      <c r="K607" s="1" t="s">
        <v>4763</v>
      </c>
      <c r="L607" s="1" t="s">
        <v>34</v>
      </c>
      <c r="M607" s="1" t="s">
        <v>245</v>
      </c>
      <c r="N607" s="1" t="s">
        <v>21</v>
      </c>
    </row>
    <row r="608" spans="1:14" x14ac:dyDescent="0.25">
      <c r="A608" s="1" t="s">
        <v>28</v>
      </c>
      <c r="B608" s="1" t="s">
        <v>5311</v>
      </c>
      <c r="C608" s="1" t="s">
        <v>194</v>
      </c>
      <c r="D608" s="8" t="s">
        <v>193</v>
      </c>
      <c r="E608" s="1" t="s">
        <v>30</v>
      </c>
      <c r="F608" s="1" t="s">
        <v>6425</v>
      </c>
      <c r="G608" s="1" t="s">
        <v>4739</v>
      </c>
      <c r="H608" s="1" t="s">
        <v>4739</v>
      </c>
      <c r="I608" s="1" t="s">
        <v>4721</v>
      </c>
      <c r="J608" s="1" t="s">
        <v>12</v>
      </c>
      <c r="K608" s="1" t="s">
        <v>4851</v>
      </c>
      <c r="L608" s="1" t="s">
        <v>29</v>
      </c>
      <c r="M608" s="1" t="s">
        <v>883</v>
      </c>
      <c r="N608" s="1" t="s">
        <v>21</v>
      </c>
    </row>
    <row r="609" spans="1:14" x14ac:dyDescent="0.25">
      <c r="A609" s="1" t="s">
        <v>28</v>
      </c>
      <c r="B609" s="1" t="s">
        <v>5750</v>
      </c>
      <c r="C609" s="1" t="s">
        <v>2617</v>
      </c>
      <c r="D609" s="8" t="s">
        <v>2616</v>
      </c>
      <c r="E609" s="1" t="s">
        <v>80</v>
      </c>
      <c r="F609" s="1" t="s">
        <v>6426</v>
      </c>
      <c r="G609" s="1" t="s">
        <v>4739</v>
      </c>
      <c r="H609" s="1" t="s">
        <v>4739</v>
      </c>
      <c r="I609" s="1" t="s">
        <v>4721</v>
      </c>
      <c r="J609" s="1" t="s">
        <v>12</v>
      </c>
      <c r="K609" s="1" t="s">
        <v>4767</v>
      </c>
      <c r="L609" s="1" t="s">
        <v>79</v>
      </c>
      <c r="M609" s="1" t="s">
        <v>245</v>
      </c>
      <c r="N609" s="1" t="s">
        <v>21</v>
      </c>
    </row>
    <row r="610" spans="1:14" x14ac:dyDescent="0.25">
      <c r="A610" s="1" t="s">
        <v>28</v>
      </c>
      <c r="B610" s="1" t="s">
        <v>5752</v>
      </c>
      <c r="C610" s="1" t="s">
        <v>27</v>
      </c>
      <c r="D610" s="8" t="s">
        <v>26</v>
      </c>
      <c r="E610" s="1" t="s">
        <v>30</v>
      </c>
      <c r="F610" s="1" t="s">
        <v>6425</v>
      </c>
      <c r="G610" s="1" t="s">
        <v>4739</v>
      </c>
      <c r="H610" s="1" t="s">
        <v>4739</v>
      </c>
      <c r="I610" s="1" t="s">
        <v>4721</v>
      </c>
      <c r="J610" s="1" t="s">
        <v>12</v>
      </c>
      <c r="K610" s="1" t="s">
        <v>4851</v>
      </c>
      <c r="L610" s="1" t="s">
        <v>29</v>
      </c>
      <c r="M610" s="1" t="s">
        <v>637</v>
      </c>
      <c r="N610" s="1" t="s">
        <v>19</v>
      </c>
    </row>
    <row r="611" spans="1:14" x14ac:dyDescent="0.25">
      <c r="A611" s="1" t="s">
        <v>28</v>
      </c>
      <c r="B611" s="1" t="s">
        <v>5753</v>
      </c>
      <c r="C611" s="1" t="s">
        <v>1199</v>
      </c>
      <c r="D611" s="8" t="s">
        <v>1198</v>
      </c>
      <c r="E611" s="1" t="s">
        <v>80</v>
      </c>
      <c r="F611" s="1" t="s">
        <v>6426</v>
      </c>
      <c r="G611" s="1" t="s">
        <v>4739</v>
      </c>
      <c r="H611" s="1" t="s">
        <v>4739</v>
      </c>
      <c r="I611" s="1" t="s">
        <v>4721</v>
      </c>
      <c r="J611" s="1" t="s">
        <v>12</v>
      </c>
      <c r="K611" s="1" t="s">
        <v>4767</v>
      </c>
      <c r="L611" s="1" t="s">
        <v>79</v>
      </c>
      <c r="M611" s="1" t="s">
        <v>883</v>
      </c>
      <c r="N611" s="1" t="s">
        <v>21</v>
      </c>
    </row>
    <row r="612" spans="1:14" x14ac:dyDescent="0.25">
      <c r="A612" s="1" t="s">
        <v>28</v>
      </c>
      <c r="B612" s="1" t="s">
        <v>5323</v>
      </c>
      <c r="C612" s="1" t="s">
        <v>1250</v>
      </c>
      <c r="D612" s="8" t="s">
        <v>1249</v>
      </c>
      <c r="E612" s="1" t="s">
        <v>586</v>
      </c>
      <c r="F612" s="1" t="s">
        <v>6426</v>
      </c>
      <c r="G612" s="1" t="s">
        <v>4739</v>
      </c>
      <c r="H612" s="1" t="s">
        <v>4739</v>
      </c>
      <c r="I612" s="1" t="s">
        <v>4721</v>
      </c>
      <c r="J612" s="1" t="s">
        <v>12</v>
      </c>
      <c r="K612" s="1" t="s">
        <v>4767</v>
      </c>
      <c r="L612" s="1" t="s">
        <v>79</v>
      </c>
      <c r="M612" s="1" t="s">
        <v>883</v>
      </c>
      <c r="N612" s="1" t="s">
        <v>21</v>
      </c>
    </row>
    <row r="613" spans="1:14" x14ac:dyDescent="0.25">
      <c r="A613" s="1" t="s">
        <v>28</v>
      </c>
      <c r="B613" s="1" t="s">
        <v>5324</v>
      </c>
      <c r="C613" s="1" t="s">
        <v>967</v>
      </c>
      <c r="D613" s="8" t="s">
        <v>966</v>
      </c>
      <c r="E613" s="1" t="s">
        <v>80</v>
      </c>
      <c r="F613" s="1" t="s">
        <v>6430</v>
      </c>
      <c r="G613" s="1" t="s">
        <v>6431</v>
      </c>
      <c r="H613" s="1" t="s">
        <v>4739</v>
      </c>
      <c r="I613" s="1" t="s">
        <v>4721</v>
      </c>
      <c r="J613" s="1" t="s">
        <v>12</v>
      </c>
      <c r="K613" s="1" t="s">
        <v>4804</v>
      </c>
      <c r="L613" s="1" t="s">
        <v>79</v>
      </c>
      <c r="M613" s="1" t="s">
        <v>58</v>
      </c>
      <c r="N613" s="1" t="s">
        <v>61</v>
      </c>
    </row>
    <row r="614" spans="1:14" x14ac:dyDescent="0.25">
      <c r="A614" s="1" t="s">
        <v>28</v>
      </c>
      <c r="B614" s="1" t="s">
        <v>5757</v>
      </c>
      <c r="C614" s="1" t="s">
        <v>2253</v>
      </c>
      <c r="D614" s="8" t="s">
        <v>2252</v>
      </c>
      <c r="E614" s="1" t="s">
        <v>423</v>
      </c>
      <c r="F614" s="1" t="s">
        <v>6429</v>
      </c>
      <c r="G614" s="1" t="s">
        <v>4739</v>
      </c>
      <c r="H614" s="1" t="s">
        <v>4739</v>
      </c>
      <c r="I614" s="1" t="s">
        <v>4721</v>
      </c>
      <c r="J614" s="1" t="s">
        <v>12</v>
      </c>
      <c r="K614" s="1" t="s">
        <v>4852</v>
      </c>
      <c r="L614" s="1" t="s">
        <v>34</v>
      </c>
      <c r="M614" s="1" t="s">
        <v>41</v>
      </c>
      <c r="N614" s="1" t="s">
        <v>42</v>
      </c>
    </row>
    <row r="615" spans="1:14" x14ac:dyDescent="0.25">
      <c r="A615" s="1" t="s">
        <v>28</v>
      </c>
      <c r="B615" s="1" t="s">
        <v>5327</v>
      </c>
      <c r="C615" s="1" t="s">
        <v>3975</v>
      </c>
      <c r="D615" s="8" t="s">
        <v>3974</v>
      </c>
      <c r="E615" s="1" t="s">
        <v>423</v>
      </c>
      <c r="F615" s="1" t="s">
        <v>6429</v>
      </c>
      <c r="G615" s="1" t="s">
        <v>4739</v>
      </c>
      <c r="H615" s="1" t="s">
        <v>4739</v>
      </c>
      <c r="I615" s="1" t="s">
        <v>4721</v>
      </c>
      <c r="J615" s="1" t="s">
        <v>12</v>
      </c>
      <c r="K615" s="1" t="s">
        <v>4764</v>
      </c>
      <c r="L615" s="1" t="s">
        <v>34</v>
      </c>
      <c r="M615" s="1" t="s">
        <v>41</v>
      </c>
      <c r="N615" s="1" t="s">
        <v>42</v>
      </c>
    </row>
    <row r="616" spans="1:14" x14ac:dyDescent="0.25">
      <c r="A616" s="1" t="s">
        <v>28</v>
      </c>
      <c r="B616" s="1" t="s">
        <v>5758</v>
      </c>
      <c r="C616" s="1" t="s">
        <v>2231</v>
      </c>
      <c r="D616" s="8" t="s">
        <v>2230</v>
      </c>
      <c r="E616" s="1" t="s">
        <v>290</v>
      </c>
      <c r="F616" s="1" t="s">
        <v>6427</v>
      </c>
      <c r="G616" s="1" t="s">
        <v>4739</v>
      </c>
      <c r="H616" s="1" t="s">
        <v>4739</v>
      </c>
      <c r="I616" s="1" t="s">
        <v>4721</v>
      </c>
      <c r="J616" s="1" t="s">
        <v>12</v>
      </c>
      <c r="K616" s="1" t="s">
        <v>4763</v>
      </c>
      <c r="L616" s="1" t="s">
        <v>34</v>
      </c>
      <c r="M616" s="1" t="s">
        <v>245</v>
      </c>
      <c r="N616" s="1" t="s">
        <v>21</v>
      </c>
    </row>
    <row r="617" spans="1:14" x14ac:dyDescent="0.25">
      <c r="A617" s="1" t="s">
        <v>28</v>
      </c>
      <c r="B617" s="1" t="s">
        <v>5330</v>
      </c>
      <c r="C617" s="1" t="s">
        <v>597</v>
      </c>
      <c r="D617" s="8" t="s">
        <v>596</v>
      </c>
      <c r="E617" s="1" t="s">
        <v>440</v>
      </c>
      <c r="F617" s="1" t="s">
        <v>6428</v>
      </c>
      <c r="G617" s="1" t="s">
        <v>4739</v>
      </c>
      <c r="H617" s="1" t="s">
        <v>4739</v>
      </c>
      <c r="I617" s="1" t="s">
        <v>4721</v>
      </c>
      <c r="J617" s="1" t="s">
        <v>12</v>
      </c>
      <c r="K617" s="1" t="s">
        <v>4850</v>
      </c>
      <c r="L617" s="1" t="s">
        <v>34</v>
      </c>
      <c r="M617" s="1" t="s">
        <v>883</v>
      </c>
      <c r="N617" s="1" t="s">
        <v>21</v>
      </c>
    </row>
    <row r="618" spans="1:14" x14ac:dyDescent="0.25">
      <c r="A618" s="1" t="s">
        <v>28</v>
      </c>
      <c r="B618" s="1" t="s">
        <v>5331</v>
      </c>
      <c r="C618" s="1" t="s">
        <v>289</v>
      </c>
      <c r="D618" s="8" t="s">
        <v>288</v>
      </c>
      <c r="E618" s="1" t="s">
        <v>290</v>
      </c>
      <c r="F618" s="1" t="s">
        <v>4740</v>
      </c>
      <c r="G618" s="1" t="s">
        <v>4739</v>
      </c>
      <c r="H618" s="1" t="s">
        <v>4739</v>
      </c>
      <c r="I618" s="1" t="s">
        <v>4722</v>
      </c>
      <c r="J618" s="1" t="s">
        <v>39</v>
      </c>
      <c r="K618" s="1" t="s">
        <v>4764</v>
      </c>
      <c r="L618" s="1" t="s">
        <v>34</v>
      </c>
      <c r="M618" s="1" t="s">
        <v>172</v>
      </c>
      <c r="N618" s="1" t="s">
        <v>17</v>
      </c>
    </row>
    <row r="619" spans="1:14" x14ac:dyDescent="0.25">
      <c r="A619" s="1" t="s">
        <v>28</v>
      </c>
      <c r="B619" s="1" t="s">
        <v>5765</v>
      </c>
      <c r="C619" s="1" t="s">
        <v>153</v>
      </c>
      <c r="D619" s="8" t="s">
        <v>152</v>
      </c>
      <c r="E619" s="1" t="s">
        <v>154</v>
      </c>
      <c r="F619" s="1" t="s">
        <v>6429</v>
      </c>
      <c r="G619" s="1" t="s">
        <v>4739</v>
      </c>
      <c r="H619" s="1" t="s">
        <v>4739</v>
      </c>
      <c r="I619" s="1" t="s">
        <v>4721</v>
      </c>
      <c r="J619" s="1" t="s">
        <v>12</v>
      </c>
      <c r="K619" s="1" t="s">
        <v>4852</v>
      </c>
      <c r="L619" s="1" t="s">
        <v>34</v>
      </c>
      <c r="M619" s="1" t="s">
        <v>245</v>
      </c>
      <c r="N619" s="1" t="s">
        <v>21</v>
      </c>
    </row>
    <row r="620" spans="1:14" x14ac:dyDescent="0.25">
      <c r="A620" s="1" t="s">
        <v>28</v>
      </c>
      <c r="B620" s="1" t="s">
        <v>5337</v>
      </c>
      <c r="C620" s="1" t="s">
        <v>856</v>
      </c>
      <c r="D620" s="8" t="s">
        <v>855</v>
      </c>
      <c r="E620" s="1" t="s">
        <v>440</v>
      </c>
      <c r="F620" s="1" t="s">
        <v>6428</v>
      </c>
      <c r="G620" s="1" t="s">
        <v>4739</v>
      </c>
      <c r="H620" s="1" t="s">
        <v>4739</v>
      </c>
      <c r="I620" s="1" t="s">
        <v>4721</v>
      </c>
      <c r="J620" s="1" t="s">
        <v>12</v>
      </c>
      <c r="K620" s="1" t="s">
        <v>4850</v>
      </c>
      <c r="L620" s="1" t="s">
        <v>34</v>
      </c>
      <c r="M620" s="1" t="s">
        <v>245</v>
      </c>
      <c r="N620" s="1" t="s">
        <v>21</v>
      </c>
    </row>
    <row r="621" spans="1:14" x14ac:dyDescent="0.25">
      <c r="A621" s="1" t="s">
        <v>28</v>
      </c>
      <c r="B621" s="1" t="s">
        <v>5768</v>
      </c>
      <c r="C621" s="1" t="s">
        <v>3978</v>
      </c>
      <c r="D621" s="8" t="s">
        <v>3977</v>
      </c>
      <c r="E621" s="1" t="s">
        <v>423</v>
      </c>
      <c r="F621" s="1" t="s">
        <v>6429</v>
      </c>
      <c r="G621" s="1" t="s">
        <v>4739</v>
      </c>
      <c r="H621" s="1" t="s">
        <v>4739</v>
      </c>
      <c r="I621" s="1" t="s">
        <v>4721</v>
      </c>
      <c r="J621" s="1" t="s">
        <v>12</v>
      </c>
      <c r="K621" s="1" t="s">
        <v>4852</v>
      </c>
      <c r="L621" s="1" t="s">
        <v>34</v>
      </c>
      <c r="M621" s="1" t="s">
        <v>245</v>
      </c>
      <c r="N621" s="1" t="s">
        <v>21</v>
      </c>
    </row>
    <row r="622" spans="1:14" x14ac:dyDescent="0.25">
      <c r="A622" s="1" t="s">
        <v>28</v>
      </c>
      <c r="B622" s="1" t="s">
        <v>5341</v>
      </c>
      <c r="C622" s="1" t="s">
        <v>1368</v>
      </c>
      <c r="D622" s="8" t="s">
        <v>1367</v>
      </c>
      <c r="E622" s="1" t="s">
        <v>80</v>
      </c>
      <c r="F622" s="1" t="s">
        <v>6426</v>
      </c>
      <c r="G622" s="1" t="s">
        <v>4739</v>
      </c>
      <c r="H622" s="1" t="s">
        <v>4739</v>
      </c>
      <c r="I622" s="1" t="s">
        <v>4722</v>
      </c>
      <c r="J622" s="1" t="s">
        <v>39</v>
      </c>
      <c r="K622" s="1" t="s">
        <v>4767</v>
      </c>
      <c r="L622" s="1" t="s">
        <v>79</v>
      </c>
      <c r="M622" s="1" t="s">
        <v>41</v>
      </c>
      <c r="N622" s="1" t="s">
        <v>42</v>
      </c>
    </row>
    <row r="623" spans="1:14" x14ac:dyDescent="0.25">
      <c r="A623" s="1" t="s">
        <v>28</v>
      </c>
      <c r="B623" s="1" t="s">
        <v>5343</v>
      </c>
      <c r="C623" s="1" t="s">
        <v>1750</v>
      </c>
      <c r="D623" s="8" t="s">
        <v>1749</v>
      </c>
      <c r="E623" s="1" t="s">
        <v>80</v>
      </c>
      <c r="F623" s="1" t="s">
        <v>4740</v>
      </c>
      <c r="G623" s="1" t="s">
        <v>4739</v>
      </c>
      <c r="H623" s="1" t="s">
        <v>4739</v>
      </c>
      <c r="I623" s="1" t="s">
        <v>4721</v>
      </c>
      <c r="J623" s="1" t="s">
        <v>12</v>
      </c>
      <c r="K623" s="1" t="s">
        <v>4774</v>
      </c>
      <c r="L623" s="1" t="s">
        <v>79</v>
      </c>
      <c r="M623" s="1" t="s">
        <v>172</v>
      </c>
      <c r="N623" s="1" t="s">
        <v>17</v>
      </c>
    </row>
    <row r="624" spans="1:14" x14ac:dyDescent="0.25">
      <c r="A624" s="1" t="s">
        <v>28</v>
      </c>
      <c r="B624" s="1" t="s">
        <v>5780</v>
      </c>
      <c r="C624" s="1" t="s">
        <v>1038</v>
      </c>
      <c r="D624" s="8" t="s">
        <v>1037</v>
      </c>
      <c r="E624" s="1" t="s">
        <v>586</v>
      </c>
      <c r="F624" s="1" t="s">
        <v>4740</v>
      </c>
      <c r="G624" s="1" t="s">
        <v>4739</v>
      </c>
      <c r="H624" s="1" t="s">
        <v>4739</v>
      </c>
      <c r="I624" s="1" t="s">
        <v>4721</v>
      </c>
      <c r="J624" s="1" t="s">
        <v>12</v>
      </c>
      <c r="K624" s="1" t="s">
        <v>4774</v>
      </c>
      <c r="L624" s="1" t="s">
        <v>79</v>
      </c>
      <c r="M624" s="1" t="s">
        <v>172</v>
      </c>
      <c r="N624" s="1" t="s">
        <v>17</v>
      </c>
    </row>
    <row r="625" spans="1:14" x14ac:dyDescent="0.25">
      <c r="A625" s="1" t="s">
        <v>28</v>
      </c>
      <c r="B625" s="1" t="s">
        <v>5355</v>
      </c>
      <c r="C625" s="1" t="s">
        <v>2614</v>
      </c>
      <c r="D625" s="8" t="s">
        <v>2613</v>
      </c>
      <c r="E625" s="1" t="s">
        <v>80</v>
      </c>
      <c r="F625" s="1" t="s">
        <v>6426</v>
      </c>
      <c r="G625" s="1" t="s">
        <v>4739</v>
      </c>
      <c r="H625" s="1" t="s">
        <v>4739</v>
      </c>
      <c r="I625" s="1" t="s">
        <v>4721</v>
      </c>
      <c r="J625" s="1" t="s">
        <v>12</v>
      </c>
      <c r="K625" s="1" t="s">
        <v>4767</v>
      </c>
      <c r="L625" s="1" t="s">
        <v>79</v>
      </c>
      <c r="M625" s="1" t="s">
        <v>245</v>
      </c>
      <c r="N625" s="1" t="s">
        <v>21</v>
      </c>
    </row>
    <row r="626" spans="1:14" x14ac:dyDescent="0.25">
      <c r="A626" s="1" t="s">
        <v>28</v>
      </c>
      <c r="B626" s="1" t="s">
        <v>5782</v>
      </c>
      <c r="C626" s="1" t="s">
        <v>391</v>
      </c>
      <c r="D626" s="8" t="s">
        <v>390</v>
      </c>
      <c r="E626" s="1" t="s">
        <v>30</v>
      </c>
      <c r="F626" s="1" t="s">
        <v>6425</v>
      </c>
      <c r="G626" s="1" t="s">
        <v>4739</v>
      </c>
      <c r="H626" s="1" t="s">
        <v>4739</v>
      </c>
      <c r="I626" s="1" t="s">
        <v>4721</v>
      </c>
      <c r="J626" s="1" t="s">
        <v>39</v>
      </c>
      <c r="K626" s="1" t="s">
        <v>4851</v>
      </c>
      <c r="L626" s="1" t="s">
        <v>29</v>
      </c>
      <c r="M626" s="1" t="s">
        <v>136</v>
      </c>
      <c r="N626" s="1" t="s">
        <v>72</v>
      </c>
    </row>
    <row r="627" spans="1:14" x14ac:dyDescent="0.25">
      <c r="A627" s="1" t="s">
        <v>28</v>
      </c>
      <c r="B627" s="1" t="s">
        <v>5784</v>
      </c>
      <c r="C627" s="1" t="s">
        <v>2494</v>
      </c>
      <c r="D627" s="8" t="s">
        <v>2493</v>
      </c>
      <c r="E627" s="1" t="s">
        <v>30</v>
      </c>
      <c r="F627" s="1" t="s">
        <v>6425</v>
      </c>
      <c r="G627" s="1" t="s">
        <v>4739</v>
      </c>
      <c r="H627" s="1" t="s">
        <v>4739</v>
      </c>
      <c r="I627" s="1" t="s">
        <v>4721</v>
      </c>
      <c r="J627" s="1" t="s">
        <v>12</v>
      </c>
      <c r="K627" s="1" t="s">
        <v>4851</v>
      </c>
      <c r="L627" s="1" t="s">
        <v>29</v>
      </c>
      <c r="M627" s="1" t="s">
        <v>172</v>
      </c>
      <c r="N627" s="1" t="s">
        <v>17</v>
      </c>
    </row>
    <row r="628" spans="1:14" x14ac:dyDescent="0.25">
      <c r="A628" s="1" t="s">
        <v>28</v>
      </c>
      <c r="B628" s="1" t="s">
        <v>5360</v>
      </c>
      <c r="C628" s="1" t="s">
        <v>1256</v>
      </c>
      <c r="D628" s="8" t="s">
        <v>1255</v>
      </c>
      <c r="E628" s="1" t="s">
        <v>586</v>
      </c>
      <c r="F628" s="1" t="s">
        <v>6426</v>
      </c>
      <c r="G628" s="1" t="s">
        <v>4739</v>
      </c>
      <c r="H628" s="1" t="s">
        <v>4739</v>
      </c>
      <c r="I628" s="1" t="s">
        <v>4721</v>
      </c>
      <c r="J628" s="1" t="s">
        <v>12</v>
      </c>
      <c r="K628" s="1" t="s">
        <v>4767</v>
      </c>
      <c r="L628" s="1" t="s">
        <v>79</v>
      </c>
      <c r="M628" s="1" t="s">
        <v>883</v>
      </c>
      <c r="N628" s="1" t="s">
        <v>21</v>
      </c>
    </row>
    <row r="629" spans="1:14" x14ac:dyDescent="0.25">
      <c r="A629" s="1" t="s">
        <v>28</v>
      </c>
      <c r="B629" s="1" t="s">
        <v>5366</v>
      </c>
      <c r="C629" s="1" t="s">
        <v>3984</v>
      </c>
      <c r="D629" s="8" t="s">
        <v>3983</v>
      </c>
      <c r="E629" s="1" t="s">
        <v>423</v>
      </c>
      <c r="F629" s="1" t="s">
        <v>6429</v>
      </c>
      <c r="G629" s="1" t="s">
        <v>4739</v>
      </c>
      <c r="H629" s="1" t="s">
        <v>4739</v>
      </c>
      <c r="I629" s="1" t="s">
        <v>4722</v>
      </c>
      <c r="J629" s="1" t="s">
        <v>39</v>
      </c>
      <c r="K629" s="1" t="s">
        <v>4852</v>
      </c>
      <c r="L629" s="1" t="s">
        <v>34</v>
      </c>
      <c r="M629" s="1" t="s">
        <v>245</v>
      </c>
      <c r="N629" s="1" t="s">
        <v>21</v>
      </c>
    </row>
    <row r="630" spans="1:14" x14ac:dyDescent="0.25">
      <c r="A630" s="1" t="s">
        <v>28</v>
      </c>
      <c r="B630" s="1" t="s">
        <v>5369</v>
      </c>
      <c r="C630" s="1" t="s">
        <v>1056</v>
      </c>
      <c r="D630" s="8" t="s">
        <v>1055</v>
      </c>
      <c r="E630" s="1" t="s">
        <v>586</v>
      </c>
      <c r="F630" s="1" t="s">
        <v>4740</v>
      </c>
      <c r="G630" s="1" t="s">
        <v>4739</v>
      </c>
      <c r="H630" s="1" t="s">
        <v>4739</v>
      </c>
      <c r="I630" s="1" t="s">
        <v>4721</v>
      </c>
      <c r="J630" s="1" t="s">
        <v>12</v>
      </c>
      <c r="K630" s="1" t="s">
        <v>4774</v>
      </c>
      <c r="L630" s="1" t="s">
        <v>79</v>
      </c>
      <c r="M630" s="1" t="s">
        <v>172</v>
      </c>
      <c r="N630" s="1" t="s">
        <v>17</v>
      </c>
    </row>
    <row r="631" spans="1:14" x14ac:dyDescent="0.25">
      <c r="A631" s="1" t="s">
        <v>28</v>
      </c>
      <c r="B631" s="1" t="s">
        <v>5371</v>
      </c>
      <c r="C631" s="1" t="s">
        <v>1214</v>
      </c>
      <c r="D631" s="8" t="s">
        <v>1213</v>
      </c>
      <c r="E631" s="1" t="s">
        <v>80</v>
      </c>
      <c r="F631" s="1" t="s">
        <v>6426</v>
      </c>
      <c r="G631" s="1" t="s">
        <v>4739</v>
      </c>
      <c r="H631" s="1" t="s">
        <v>4739</v>
      </c>
      <c r="I631" s="1" t="s">
        <v>4721</v>
      </c>
      <c r="J631" s="1" t="s">
        <v>12</v>
      </c>
      <c r="K631" s="1" t="s">
        <v>4767</v>
      </c>
      <c r="L631" s="1" t="s">
        <v>79</v>
      </c>
      <c r="M631" s="1" t="s">
        <v>89</v>
      </c>
      <c r="N631" s="1" t="s">
        <v>37</v>
      </c>
    </row>
    <row r="632" spans="1:14" x14ac:dyDescent="0.25">
      <c r="A632" s="1" t="s">
        <v>28</v>
      </c>
      <c r="B632" s="1" t="s">
        <v>5372</v>
      </c>
      <c r="C632" s="1" t="s">
        <v>1374</v>
      </c>
      <c r="D632" s="8" t="s">
        <v>1373</v>
      </c>
      <c r="E632" s="1" t="s">
        <v>30</v>
      </c>
      <c r="F632" s="1" t="s">
        <v>6425</v>
      </c>
      <c r="G632" s="1" t="s">
        <v>4739</v>
      </c>
      <c r="H632" s="1" t="s">
        <v>4739</v>
      </c>
      <c r="I632" s="1" t="s">
        <v>4721</v>
      </c>
      <c r="J632" s="1" t="s">
        <v>12</v>
      </c>
      <c r="K632" s="1" t="s">
        <v>4851</v>
      </c>
      <c r="L632" s="1" t="s">
        <v>29</v>
      </c>
      <c r="M632" s="1" t="s">
        <v>883</v>
      </c>
      <c r="N632" s="1" t="s">
        <v>21</v>
      </c>
    </row>
    <row r="633" spans="1:14" x14ac:dyDescent="0.25">
      <c r="A633" s="1" t="s">
        <v>28</v>
      </c>
      <c r="B633" s="1" t="s">
        <v>5376</v>
      </c>
      <c r="C633" s="1" t="s">
        <v>1062</v>
      </c>
      <c r="D633" s="8" t="s">
        <v>1061</v>
      </c>
      <c r="E633" s="1" t="s">
        <v>423</v>
      </c>
      <c r="F633" s="1" t="s">
        <v>4740</v>
      </c>
      <c r="G633" s="1" t="s">
        <v>4739</v>
      </c>
      <c r="H633" s="1" t="s">
        <v>4739</v>
      </c>
      <c r="I633" s="1" t="s">
        <v>4722</v>
      </c>
      <c r="J633" s="1" t="s">
        <v>39</v>
      </c>
      <c r="K633" s="1" t="s">
        <v>4774</v>
      </c>
      <c r="L633" s="1" t="s">
        <v>34</v>
      </c>
      <c r="M633" s="1" t="s">
        <v>630</v>
      </c>
      <c r="N633" s="1" t="s">
        <v>21</v>
      </c>
    </row>
    <row r="634" spans="1:14" x14ac:dyDescent="0.25">
      <c r="A634" s="1" t="s">
        <v>28</v>
      </c>
      <c r="B634" s="1" t="s">
        <v>5378</v>
      </c>
      <c r="C634" s="1" t="s">
        <v>1753</v>
      </c>
      <c r="D634" s="8" t="s">
        <v>1752</v>
      </c>
      <c r="E634" s="1" t="s">
        <v>80</v>
      </c>
      <c r="F634" s="1" t="s">
        <v>4740</v>
      </c>
      <c r="G634" s="1" t="s">
        <v>4739</v>
      </c>
      <c r="H634" s="1" t="s">
        <v>4739</v>
      </c>
      <c r="I634" s="1" t="s">
        <v>4721</v>
      </c>
      <c r="J634" s="1" t="s">
        <v>12</v>
      </c>
      <c r="K634" s="1" t="s">
        <v>4774</v>
      </c>
      <c r="L634" s="1" t="s">
        <v>79</v>
      </c>
      <c r="M634" s="1" t="s">
        <v>172</v>
      </c>
      <c r="N634" s="1" t="s">
        <v>17</v>
      </c>
    </row>
    <row r="635" spans="1:14" x14ac:dyDescent="0.25">
      <c r="A635" s="1" t="s">
        <v>28</v>
      </c>
      <c r="B635" s="1" t="s">
        <v>5380</v>
      </c>
      <c r="C635" s="1" t="s">
        <v>2500</v>
      </c>
      <c r="D635" s="8" t="s">
        <v>2499</v>
      </c>
      <c r="E635" s="1" t="s">
        <v>30</v>
      </c>
      <c r="F635" s="1" t="s">
        <v>6425</v>
      </c>
      <c r="G635" s="1" t="s">
        <v>4739</v>
      </c>
      <c r="H635" s="1" t="s">
        <v>4739</v>
      </c>
      <c r="I635" s="1" t="s">
        <v>4722</v>
      </c>
      <c r="J635" s="1" t="s">
        <v>39</v>
      </c>
      <c r="K635" s="1" t="s">
        <v>4851</v>
      </c>
      <c r="L635" s="1" t="s">
        <v>29</v>
      </c>
      <c r="M635" s="1" t="s">
        <v>172</v>
      </c>
      <c r="N635" s="1" t="s">
        <v>17</v>
      </c>
    </row>
    <row r="636" spans="1:14" x14ac:dyDescent="0.25">
      <c r="A636" s="1" t="s">
        <v>28</v>
      </c>
      <c r="B636" s="1" t="s">
        <v>5809</v>
      </c>
      <c r="C636" s="1" t="s">
        <v>475</v>
      </c>
      <c r="D636" s="8" t="s">
        <v>474</v>
      </c>
      <c r="E636" s="1" t="s">
        <v>290</v>
      </c>
      <c r="F636" s="1" t="s">
        <v>6427</v>
      </c>
      <c r="G636" s="1" t="s">
        <v>4739</v>
      </c>
      <c r="H636" s="1" t="s">
        <v>4739</v>
      </c>
      <c r="I636" s="1" t="s">
        <v>4721</v>
      </c>
      <c r="J636" s="1" t="s">
        <v>12</v>
      </c>
      <c r="K636" s="1" t="s">
        <v>4763</v>
      </c>
      <c r="L636" s="1" t="s">
        <v>34</v>
      </c>
      <c r="M636" s="1" t="s">
        <v>245</v>
      </c>
      <c r="N636" s="1" t="s">
        <v>21</v>
      </c>
    </row>
    <row r="637" spans="1:14" x14ac:dyDescent="0.25">
      <c r="A637" s="1" t="s">
        <v>28</v>
      </c>
      <c r="B637" s="1" t="s">
        <v>5812</v>
      </c>
      <c r="C637" s="1" t="s">
        <v>2340</v>
      </c>
      <c r="D637" s="8" t="s">
        <v>2339</v>
      </c>
      <c r="E637" s="1" t="s">
        <v>80</v>
      </c>
      <c r="F637" s="1" t="s">
        <v>6426</v>
      </c>
      <c r="G637" s="1" t="s">
        <v>4739</v>
      </c>
      <c r="H637" s="1" t="s">
        <v>4739</v>
      </c>
      <c r="I637" s="1" t="s">
        <v>4722</v>
      </c>
      <c r="J637" s="1" t="s">
        <v>39</v>
      </c>
      <c r="K637" s="1" t="s">
        <v>4767</v>
      </c>
      <c r="L637" s="1" t="s">
        <v>79</v>
      </c>
      <c r="M637" s="1" t="s">
        <v>883</v>
      </c>
      <c r="N637" s="1" t="s">
        <v>21</v>
      </c>
    </row>
    <row r="638" spans="1:14" x14ac:dyDescent="0.25">
      <c r="A638" s="1" t="s">
        <v>28</v>
      </c>
      <c r="B638" s="1" t="s">
        <v>5813</v>
      </c>
      <c r="C638" s="1" t="s">
        <v>3966</v>
      </c>
      <c r="D638" s="8" t="s">
        <v>3965</v>
      </c>
      <c r="E638" s="1" t="s">
        <v>440</v>
      </c>
      <c r="F638" s="1" t="s">
        <v>6429</v>
      </c>
      <c r="G638" s="1" t="s">
        <v>4739</v>
      </c>
      <c r="H638" s="1" t="s">
        <v>4739</v>
      </c>
      <c r="I638" s="1" t="s">
        <v>4721</v>
      </c>
      <c r="J638" s="1" t="s">
        <v>39</v>
      </c>
      <c r="K638" s="1" t="s">
        <v>4764</v>
      </c>
      <c r="L638" s="1" t="s">
        <v>34</v>
      </c>
      <c r="M638" s="1" t="s">
        <v>149</v>
      </c>
      <c r="N638" s="1" t="s">
        <v>61</v>
      </c>
    </row>
    <row r="639" spans="1:14" x14ac:dyDescent="0.25">
      <c r="A639" s="1" t="s">
        <v>28</v>
      </c>
      <c r="B639" s="1" t="s">
        <v>6176</v>
      </c>
      <c r="C639" s="1" t="s">
        <v>1786</v>
      </c>
      <c r="D639" s="8" t="s">
        <v>1785</v>
      </c>
      <c r="E639" s="1" t="s">
        <v>570</v>
      </c>
      <c r="F639" s="1" t="s">
        <v>4740</v>
      </c>
      <c r="G639" s="1" t="s">
        <v>4739</v>
      </c>
      <c r="H639" s="1" t="s">
        <v>4739</v>
      </c>
      <c r="I639" s="1" t="s">
        <v>4721</v>
      </c>
      <c r="J639" s="1" t="s">
        <v>12</v>
      </c>
      <c r="K639" s="1" t="s">
        <v>4775</v>
      </c>
      <c r="L639" s="1" t="s">
        <v>34</v>
      </c>
      <c r="M639" s="1" t="s">
        <v>637</v>
      </c>
      <c r="N639" s="1" t="s">
        <v>19</v>
      </c>
    </row>
    <row r="640" spans="1:14" x14ac:dyDescent="0.25">
      <c r="A640" s="1" t="s">
        <v>28</v>
      </c>
      <c r="B640" s="1" t="s">
        <v>6177</v>
      </c>
      <c r="C640" s="1" t="s">
        <v>886</v>
      </c>
      <c r="D640" s="8" t="s">
        <v>885</v>
      </c>
      <c r="E640" s="1" t="s">
        <v>570</v>
      </c>
      <c r="F640" s="1" t="s">
        <v>6428</v>
      </c>
      <c r="G640" s="1" t="s">
        <v>4739</v>
      </c>
      <c r="H640" s="1" t="s">
        <v>4739</v>
      </c>
      <c r="I640" s="1" t="s">
        <v>4721</v>
      </c>
      <c r="J640" s="1" t="s">
        <v>12</v>
      </c>
      <c r="K640" s="1" t="s">
        <v>4775</v>
      </c>
      <c r="L640" s="1" t="s">
        <v>34</v>
      </c>
      <c r="M640" s="1" t="s">
        <v>89</v>
      </c>
      <c r="N640" s="1" t="s">
        <v>37</v>
      </c>
    </row>
    <row r="641" spans="1:14" x14ac:dyDescent="0.25">
      <c r="A641" s="1" t="s">
        <v>28</v>
      </c>
      <c r="B641" s="1" t="s">
        <v>6181</v>
      </c>
      <c r="C641" s="1" t="s">
        <v>1331</v>
      </c>
      <c r="D641" s="8" t="s">
        <v>1330</v>
      </c>
      <c r="E641" s="1" t="s">
        <v>440</v>
      </c>
      <c r="F641" s="1" t="s">
        <v>6428</v>
      </c>
      <c r="G641" s="1" t="s">
        <v>4739</v>
      </c>
      <c r="H641" s="1" t="s">
        <v>4739</v>
      </c>
      <c r="I641" s="1" t="s">
        <v>4721</v>
      </c>
      <c r="J641" s="1" t="s">
        <v>12</v>
      </c>
      <c r="K641" s="1" t="s">
        <v>4850</v>
      </c>
      <c r="L641" s="1" t="s">
        <v>34</v>
      </c>
      <c r="M641" s="1" t="s">
        <v>883</v>
      </c>
      <c r="N641" s="1" t="s">
        <v>21</v>
      </c>
    </row>
    <row r="642" spans="1:14" x14ac:dyDescent="0.25">
      <c r="A642" s="1" t="s">
        <v>28</v>
      </c>
      <c r="B642" s="1" t="s">
        <v>5860</v>
      </c>
      <c r="C642" s="1" t="s">
        <v>895</v>
      </c>
      <c r="D642" s="8" t="s">
        <v>894</v>
      </c>
      <c r="E642" s="1" t="s">
        <v>440</v>
      </c>
      <c r="F642" s="1" t="s">
        <v>6428</v>
      </c>
      <c r="G642" s="1" t="s">
        <v>4739</v>
      </c>
      <c r="H642" s="1" t="s">
        <v>4739</v>
      </c>
      <c r="I642" s="1" t="s">
        <v>4721</v>
      </c>
      <c r="J642" s="1" t="s">
        <v>12</v>
      </c>
      <c r="K642" s="1" t="s">
        <v>4850</v>
      </c>
      <c r="L642" s="1" t="s">
        <v>34</v>
      </c>
      <c r="M642" s="1" t="s">
        <v>245</v>
      </c>
      <c r="N642" s="1" t="s">
        <v>21</v>
      </c>
    </row>
    <row r="643" spans="1:14" x14ac:dyDescent="0.25">
      <c r="A643" s="1" t="s">
        <v>28</v>
      </c>
      <c r="B643" s="1" t="s">
        <v>6331</v>
      </c>
      <c r="C643" s="1" t="s">
        <v>3945</v>
      </c>
      <c r="D643" s="8" t="s">
        <v>3944</v>
      </c>
      <c r="E643" s="1" t="s">
        <v>290</v>
      </c>
      <c r="F643" s="1" t="s">
        <v>6427</v>
      </c>
      <c r="G643" s="1" t="s">
        <v>4739</v>
      </c>
      <c r="H643" s="1" t="s">
        <v>4739</v>
      </c>
      <c r="I643" s="1" t="s">
        <v>4721</v>
      </c>
      <c r="J643" s="1" t="s">
        <v>12</v>
      </c>
      <c r="K643" s="1" t="s">
        <v>4763</v>
      </c>
      <c r="L643" s="1" t="s">
        <v>34</v>
      </c>
      <c r="M643" s="1" t="s">
        <v>58</v>
      </c>
      <c r="N643" s="1" t="s">
        <v>61</v>
      </c>
    </row>
    <row r="644" spans="1:14" x14ac:dyDescent="0.25">
      <c r="A644" s="1" t="s">
        <v>28</v>
      </c>
      <c r="B644" s="1" t="s">
        <v>6334</v>
      </c>
      <c r="C644" s="1" t="s">
        <v>3960</v>
      </c>
      <c r="D644" s="8" t="s">
        <v>3959</v>
      </c>
      <c r="E644" s="1" t="s">
        <v>154</v>
      </c>
      <c r="F644" s="1" t="s">
        <v>6429</v>
      </c>
      <c r="G644" s="1" t="s">
        <v>4739</v>
      </c>
      <c r="H644" s="1" t="s">
        <v>4739</v>
      </c>
      <c r="I644" s="1" t="s">
        <v>4721</v>
      </c>
      <c r="J644" s="1" t="s">
        <v>12</v>
      </c>
      <c r="K644" s="1" t="s">
        <v>4852</v>
      </c>
      <c r="L644" s="1" t="s">
        <v>34</v>
      </c>
      <c r="M644" s="1" t="s">
        <v>883</v>
      </c>
      <c r="N644" s="1" t="s">
        <v>21</v>
      </c>
    </row>
    <row r="645" spans="1:14" x14ac:dyDescent="0.25">
      <c r="A645" s="1" t="s">
        <v>28</v>
      </c>
      <c r="B645" s="1" t="s">
        <v>5911</v>
      </c>
      <c r="C645" s="1" t="s">
        <v>78</v>
      </c>
      <c r="D645" s="8" t="s">
        <v>77</v>
      </c>
      <c r="E645" s="1" t="s">
        <v>80</v>
      </c>
      <c r="F645" s="1" t="s">
        <v>6426</v>
      </c>
      <c r="G645" s="1" t="s">
        <v>4739</v>
      </c>
      <c r="H645" s="1" t="s">
        <v>4739</v>
      </c>
      <c r="I645" s="1" t="s">
        <v>4722</v>
      </c>
      <c r="J645" s="1" t="s">
        <v>39</v>
      </c>
      <c r="K645" s="1" t="s">
        <v>4767</v>
      </c>
      <c r="L645" s="1" t="s">
        <v>79</v>
      </c>
      <c r="M645" s="1" t="s">
        <v>245</v>
      </c>
      <c r="N645" s="1" t="s">
        <v>21</v>
      </c>
    </row>
    <row r="646" spans="1:14" x14ac:dyDescent="0.25">
      <c r="A646" s="1" t="s">
        <v>28</v>
      </c>
      <c r="B646" s="1" t="s">
        <v>5406</v>
      </c>
      <c r="C646" s="1" t="s">
        <v>2506</v>
      </c>
      <c r="D646" s="8" t="s">
        <v>2505</v>
      </c>
      <c r="E646" s="1" t="s">
        <v>30</v>
      </c>
      <c r="F646" s="1" t="s">
        <v>6425</v>
      </c>
      <c r="G646" s="1" t="s">
        <v>4739</v>
      </c>
      <c r="H646" s="1" t="s">
        <v>4739</v>
      </c>
      <c r="I646" s="1" t="s">
        <v>4722</v>
      </c>
      <c r="J646" s="1" t="s">
        <v>39</v>
      </c>
      <c r="K646" s="1" t="s">
        <v>4851</v>
      </c>
      <c r="L646" s="1" t="s">
        <v>29</v>
      </c>
      <c r="M646" s="1" t="s">
        <v>630</v>
      </c>
      <c r="N646" s="1" t="s">
        <v>21</v>
      </c>
    </row>
    <row r="647" spans="1:14" x14ac:dyDescent="0.25">
      <c r="A647" s="1" t="s">
        <v>28</v>
      </c>
      <c r="B647" s="1" t="s">
        <v>5840</v>
      </c>
      <c r="C647" s="1" t="s">
        <v>3957</v>
      </c>
      <c r="D647" s="8" t="s">
        <v>3956</v>
      </c>
      <c r="E647" s="1" t="s">
        <v>290</v>
      </c>
      <c r="F647" s="1" t="s">
        <v>6427</v>
      </c>
      <c r="G647" s="1" t="s">
        <v>4739</v>
      </c>
      <c r="H647" s="1" t="s">
        <v>4739</v>
      </c>
      <c r="I647" s="1" t="s">
        <v>4721</v>
      </c>
      <c r="J647" s="1" t="s">
        <v>12</v>
      </c>
      <c r="K647" s="1" t="s">
        <v>4763</v>
      </c>
      <c r="L647" s="1" t="s">
        <v>34</v>
      </c>
      <c r="M647" s="1" t="s">
        <v>883</v>
      </c>
      <c r="N647" s="1" t="s">
        <v>21</v>
      </c>
    </row>
    <row r="648" spans="1:14" x14ac:dyDescent="0.25">
      <c r="A648" s="1" t="s">
        <v>28</v>
      </c>
      <c r="B648" s="1" t="s">
        <v>5842</v>
      </c>
      <c r="C648" s="1" t="s">
        <v>1439</v>
      </c>
      <c r="D648" s="8" t="s">
        <v>1438</v>
      </c>
      <c r="E648" s="1" t="s">
        <v>440</v>
      </c>
      <c r="F648" s="1" t="s">
        <v>6428</v>
      </c>
      <c r="G648" s="1" t="s">
        <v>4739</v>
      </c>
      <c r="H648" s="1" t="s">
        <v>4739</v>
      </c>
      <c r="I648" s="1" t="s">
        <v>4722</v>
      </c>
      <c r="J648" s="1" t="s">
        <v>39</v>
      </c>
      <c r="K648" s="1" t="s">
        <v>4774</v>
      </c>
      <c r="L648" s="1" t="s">
        <v>34</v>
      </c>
      <c r="M648" s="1" t="s">
        <v>89</v>
      </c>
      <c r="N648" s="1" t="s">
        <v>37</v>
      </c>
    </row>
    <row r="649" spans="1:14" x14ac:dyDescent="0.25">
      <c r="A649" s="1" t="s">
        <v>28</v>
      </c>
      <c r="B649" s="1" t="s">
        <v>5843</v>
      </c>
      <c r="C649" s="1" t="s">
        <v>1044</v>
      </c>
      <c r="D649" s="8" t="s">
        <v>1043</v>
      </c>
      <c r="E649" s="1" t="s">
        <v>570</v>
      </c>
      <c r="F649" s="1" t="s">
        <v>4740</v>
      </c>
      <c r="G649" s="1" t="s">
        <v>4739</v>
      </c>
      <c r="H649" s="1" t="s">
        <v>4739</v>
      </c>
      <c r="I649" s="1" t="s">
        <v>4721</v>
      </c>
      <c r="J649" s="1" t="s">
        <v>12</v>
      </c>
      <c r="K649" s="1" t="s">
        <v>4775</v>
      </c>
      <c r="L649" s="1" t="s">
        <v>34</v>
      </c>
      <c r="M649" s="1" t="s">
        <v>89</v>
      </c>
      <c r="N649" s="1" t="s">
        <v>37</v>
      </c>
    </row>
    <row r="650" spans="1:14" x14ac:dyDescent="0.25">
      <c r="A650" s="1" t="s">
        <v>28</v>
      </c>
      <c r="B650" s="1" t="s">
        <v>5426</v>
      </c>
      <c r="C650" s="1" t="s">
        <v>2400</v>
      </c>
      <c r="D650" s="8" t="s">
        <v>2399</v>
      </c>
      <c r="E650" s="1" t="s">
        <v>586</v>
      </c>
      <c r="F650" s="1" t="s">
        <v>6426</v>
      </c>
      <c r="G650" s="1" t="s">
        <v>4739</v>
      </c>
      <c r="H650" s="1" t="s">
        <v>4739</v>
      </c>
      <c r="I650" s="1" t="s">
        <v>4721</v>
      </c>
      <c r="J650" s="1" t="s">
        <v>12</v>
      </c>
      <c r="K650" s="1" t="s">
        <v>4767</v>
      </c>
      <c r="L650" s="1" t="s">
        <v>79</v>
      </c>
      <c r="M650" s="1" t="s">
        <v>637</v>
      </c>
      <c r="N650" s="1" t="s">
        <v>19</v>
      </c>
    </row>
    <row r="651" spans="1:14" x14ac:dyDescent="0.25">
      <c r="A651" s="1" t="s">
        <v>28</v>
      </c>
      <c r="B651" s="1" t="s">
        <v>5455</v>
      </c>
      <c r="C651" s="1" t="s">
        <v>569</v>
      </c>
      <c r="D651" s="8" t="s">
        <v>568</v>
      </c>
      <c r="E651" s="1" t="s">
        <v>570</v>
      </c>
      <c r="F651" s="1" t="s">
        <v>4740</v>
      </c>
      <c r="G651" s="1" t="s">
        <v>4739</v>
      </c>
      <c r="H651" s="1" t="s">
        <v>4739</v>
      </c>
      <c r="I651" s="1" t="s">
        <v>4721</v>
      </c>
      <c r="J651" s="1" t="s">
        <v>12</v>
      </c>
      <c r="K651" s="1" t="s">
        <v>4775</v>
      </c>
      <c r="L651" s="1" t="s">
        <v>34</v>
      </c>
      <c r="M651" s="1" t="s">
        <v>630</v>
      </c>
      <c r="N651" s="1" t="s">
        <v>21</v>
      </c>
    </row>
    <row r="652" spans="1:14" x14ac:dyDescent="0.25">
      <c r="A652" s="1" t="s">
        <v>28</v>
      </c>
      <c r="B652" s="1" t="s">
        <v>6210</v>
      </c>
      <c r="C652" s="1" t="s">
        <v>2188</v>
      </c>
      <c r="D652" s="8" t="s">
        <v>2187</v>
      </c>
      <c r="E652" s="1" t="s">
        <v>290</v>
      </c>
      <c r="F652" s="1" t="s">
        <v>6427</v>
      </c>
      <c r="G652" s="1" t="s">
        <v>4739</v>
      </c>
      <c r="H652" s="1" t="s">
        <v>4739</v>
      </c>
      <c r="I652" s="1" t="s">
        <v>4722</v>
      </c>
      <c r="J652" s="1" t="s">
        <v>39</v>
      </c>
      <c r="K652" s="1" t="s">
        <v>4763</v>
      </c>
      <c r="L652" s="1" t="s">
        <v>34</v>
      </c>
      <c r="M652" s="1" t="s">
        <v>883</v>
      </c>
      <c r="N652" s="1" t="s">
        <v>21</v>
      </c>
    </row>
    <row r="653" spans="1:14" x14ac:dyDescent="0.25">
      <c r="A653" s="1" t="s">
        <v>28</v>
      </c>
      <c r="B653" s="1" t="s">
        <v>5944</v>
      </c>
      <c r="C653" s="1" t="s">
        <v>1068</v>
      </c>
      <c r="D653" s="8" t="s">
        <v>1067</v>
      </c>
      <c r="E653" s="1" t="s">
        <v>570</v>
      </c>
      <c r="F653" s="1" t="s">
        <v>4740</v>
      </c>
      <c r="G653" s="1" t="s">
        <v>4739</v>
      </c>
      <c r="H653" s="1" t="s">
        <v>4739</v>
      </c>
      <c r="I653" s="1" t="s">
        <v>4721</v>
      </c>
      <c r="J653" s="1" t="s">
        <v>12</v>
      </c>
      <c r="K653" s="1" t="s">
        <v>4775</v>
      </c>
      <c r="L653" s="1" t="s">
        <v>34</v>
      </c>
      <c r="M653" s="1" t="s">
        <v>245</v>
      </c>
      <c r="N653" s="1" t="s">
        <v>21</v>
      </c>
    </row>
    <row r="654" spans="1:14" x14ac:dyDescent="0.25">
      <c r="A654" s="1" t="s">
        <v>28</v>
      </c>
      <c r="B654" s="1" t="s">
        <v>5958</v>
      </c>
      <c r="C654" s="1" t="s">
        <v>1334</v>
      </c>
      <c r="D654" s="8" t="s">
        <v>1333</v>
      </c>
      <c r="E654" s="1" t="s">
        <v>440</v>
      </c>
      <c r="F654" s="1" t="s">
        <v>6428</v>
      </c>
      <c r="G654" s="1" t="s">
        <v>4739</v>
      </c>
      <c r="H654" s="1" t="s">
        <v>4739</v>
      </c>
      <c r="I654" s="1" t="s">
        <v>4721</v>
      </c>
      <c r="J654" s="1" t="s">
        <v>12</v>
      </c>
      <c r="K654" s="1" t="s">
        <v>4850</v>
      </c>
      <c r="L654" s="1" t="s">
        <v>34</v>
      </c>
      <c r="M654" s="1" t="s">
        <v>317</v>
      </c>
      <c r="N654" s="1" t="s">
        <v>42</v>
      </c>
    </row>
    <row r="655" spans="1:14" x14ac:dyDescent="0.25">
      <c r="A655" s="1" t="s">
        <v>28</v>
      </c>
      <c r="B655" s="1" t="s">
        <v>5976</v>
      </c>
      <c r="C655" s="1" t="s">
        <v>1762</v>
      </c>
      <c r="D655" s="8" t="s">
        <v>1761</v>
      </c>
      <c r="E655" s="1" t="s">
        <v>570</v>
      </c>
      <c r="F655" s="1" t="s">
        <v>4740</v>
      </c>
      <c r="G655" s="1" t="s">
        <v>4739</v>
      </c>
      <c r="H655" s="1" t="s">
        <v>4739</v>
      </c>
      <c r="I655" s="1" t="s">
        <v>4721</v>
      </c>
      <c r="J655" s="1" t="s">
        <v>12</v>
      </c>
      <c r="K655" s="1" t="s">
        <v>4775</v>
      </c>
      <c r="L655" s="1" t="s">
        <v>34</v>
      </c>
      <c r="M655" s="1" t="s">
        <v>883</v>
      </c>
      <c r="N655" s="1" t="s">
        <v>21</v>
      </c>
    </row>
    <row r="656" spans="1:14" x14ac:dyDescent="0.25">
      <c r="A656" s="1" t="s">
        <v>28</v>
      </c>
      <c r="B656" s="1" t="s">
        <v>6265</v>
      </c>
      <c r="C656" s="1" t="s">
        <v>3933</v>
      </c>
      <c r="D656" s="8" t="s">
        <v>3932</v>
      </c>
      <c r="E656" s="1" t="s">
        <v>290</v>
      </c>
      <c r="F656" s="1" t="s">
        <v>6427</v>
      </c>
      <c r="G656" s="1" t="s">
        <v>4739</v>
      </c>
      <c r="H656" s="1" t="s">
        <v>4739</v>
      </c>
      <c r="I656" s="1" t="s">
        <v>4721</v>
      </c>
      <c r="J656" s="1" t="s">
        <v>12</v>
      </c>
      <c r="K656" s="1" t="s">
        <v>4763</v>
      </c>
      <c r="L656" s="1" t="s">
        <v>34</v>
      </c>
      <c r="M656" s="1" t="s">
        <v>245</v>
      </c>
      <c r="N656" s="1" t="s">
        <v>21</v>
      </c>
    </row>
    <row r="657" spans="1:14" x14ac:dyDescent="0.25">
      <c r="A657" s="1" t="s">
        <v>28</v>
      </c>
      <c r="B657" s="1" t="s">
        <v>5996</v>
      </c>
      <c r="C657" s="1" t="s">
        <v>1065</v>
      </c>
      <c r="D657" s="8" t="s">
        <v>1064</v>
      </c>
      <c r="E657" s="1" t="s">
        <v>154</v>
      </c>
      <c r="F657" s="1" t="s">
        <v>4740</v>
      </c>
      <c r="G657" s="1" t="s">
        <v>4739</v>
      </c>
      <c r="H657" s="1" t="s">
        <v>4739</v>
      </c>
      <c r="I657" s="1" t="s">
        <v>4721</v>
      </c>
      <c r="J657" s="1" t="s">
        <v>12</v>
      </c>
      <c r="K657" s="1" t="s">
        <v>4776</v>
      </c>
      <c r="L657" s="1" t="s">
        <v>34</v>
      </c>
      <c r="M657" s="1" t="s">
        <v>172</v>
      </c>
      <c r="N657" s="1" t="s">
        <v>17</v>
      </c>
    </row>
    <row r="658" spans="1:14" x14ac:dyDescent="0.25">
      <c r="A658" s="1" t="s">
        <v>28</v>
      </c>
      <c r="B658" s="1" t="s">
        <v>6285</v>
      </c>
      <c r="C658" s="1" t="s">
        <v>2244</v>
      </c>
      <c r="D658" s="8" t="s">
        <v>2242</v>
      </c>
      <c r="E658" s="1" t="s">
        <v>423</v>
      </c>
      <c r="F658" s="1" t="s">
        <v>6429</v>
      </c>
      <c r="G658" s="1" t="s">
        <v>4739</v>
      </c>
      <c r="H658" s="1" t="s">
        <v>4739</v>
      </c>
      <c r="I658" s="1" t="s">
        <v>4721</v>
      </c>
      <c r="J658" s="1" t="s">
        <v>12</v>
      </c>
      <c r="K658" s="1" t="s">
        <v>4852</v>
      </c>
      <c r="L658" s="1" t="s">
        <v>34</v>
      </c>
      <c r="M658" s="1" t="s">
        <v>58</v>
      </c>
      <c r="N658" s="1" t="s">
        <v>61</v>
      </c>
    </row>
    <row r="659" spans="1:14" x14ac:dyDescent="0.25">
      <c r="A659" s="1" t="s">
        <v>28</v>
      </c>
      <c r="B659" s="1" t="s">
        <v>6004</v>
      </c>
      <c r="C659" s="1" t="s">
        <v>1047</v>
      </c>
      <c r="D659" s="8" t="s">
        <v>1046</v>
      </c>
      <c r="E659" s="1" t="s">
        <v>570</v>
      </c>
      <c r="F659" s="1" t="s">
        <v>4740</v>
      </c>
      <c r="G659" s="1" t="s">
        <v>4739</v>
      </c>
      <c r="H659" s="1" t="s">
        <v>4739</v>
      </c>
      <c r="I659" s="1" t="s">
        <v>4722</v>
      </c>
      <c r="J659" s="1" t="s">
        <v>39</v>
      </c>
      <c r="K659" s="1" t="s">
        <v>4775</v>
      </c>
      <c r="L659" s="1" t="s">
        <v>34</v>
      </c>
      <c r="M659" s="1" t="s">
        <v>883</v>
      </c>
      <c r="N659" s="1" t="s">
        <v>21</v>
      </c>
    </row>
    <row r="660" spans="1:14" x14ac:dyDescent="0.25">
      <c r="A660" s="1" t="s">
        <v>28</v>
      </c>
      <c r="B660" s="1" t="s">
        <v>6292</v>
      </c>
      <c r="C660" s="1" t="s">
        <v>439</v>
      </c>
      <c r="D660" s="8" t="s">
        <v>438</v>
      </c>
      <c r="E660" s="1" t="s">
        <v>440</v>
      </c>
      <c r="F660" s="1" t="s">
        <v>6428</v>
      </c>
      <c r="G660" s="1" t="s">
        <v>4739</v>
      </c>
      <c r="H660" s="1" t="s">
        <v>4739</v>
      </c>
      <c r="I660" s="1" t="s">
        <v>4721</v>
      </c>
      <c r="J660" s="1" t="s">
        <v>12</v>
      </c>
      <c r="K660" s="1" t="s">
        <v>4850</v>
      </c>
      <c r="L660" s="1" t="s">
        <v>34</v>
      </c>
      <c r="M660" s="1" t="s">
        <v>89</v>
      </c>
      <c r="N660" s="1" t="s">
        <v>37</v>
      </c>
    </row>
    <row r="661" spans="1:14" x14ac:dyDescent="0.25">
      <c r="A661" s="1" t="s">
        <v>28</v>
      </c>
      <c r="B661" s="1" t="s">
        <v>6009</v>
      </c>
      <c r="C661" s="1" t="s">
        <v>1448</v>
      </c>
      <c r="D661" s="8" t="s">
        <v>1447</v>
      </c>
      <c r="E661" s="1" t="s">
        <v>440</v>
      </c>
      <c r="F661" s="1" t="s">
        <v>6428</v>
      </c>
      <c r="G661" s="1" t="s">
        <v>4739</v>
      </c>
      <c r="H661" s="1" t="s">
        <v>4739</v>
      </c>
      <c r="I661" s="1" t="s">
        <v>4721</v>
      </c>
      <c r="J661" s="1" t="s">
        <v>12</v>
      </c>
      <c r="K661" s="1" t="s">
        <v>4850</v>
      </c>
      <c r="L661" s="1" t="s">
        <v>34</v>
      </c>
      <c r="M661" s="1" t="s">
        <v>245</v>
      </c>
      <c r="N661" s="1" t="s">
        <v>21</v>
      </c>
    </row>
    <row r="662" spans="1:14" x14ac:dyDescent="0.25">
      <c r="A662" s="1" t="s">
        <v>28</v>
      </c>
      <c r="B662" s="1" t="s">
        <v>6016</v>
      </c>
      <c r="C662" s="1" t="s">
        <v>2247</v>
      </c>
      <c r="D662" s="8" t="s">
        <v>2246</v>
      </c>
      <c r="E662" s="1" t="s">
        <v>154</v>
      </c>
      <c r="F662" s="1" t="s">
        <v>6429</v>
      </c>
      <c r="G662" s="1" t="s">
        <v>4739</v>
      </c>
      <c r="H662" s="1" t="s">
        <v>4739</v>
      </c>
      <c r="I662" s="1" t="s">
        <v>4721</v>
      </c>
      <c r="J662" s="1" t="s">
        <v>12</v>
      </c>
      <c r="K662" s="1" t="s">
        <v>4852</v>
      </c>
      <c r="L662" s="1" t="s">
        <v>34</v>
      </c>
      <c r="M662" s="1" t="s">
        <v>58</v>
      </c>
      <c r="N662" s="1" t="s">
        <v>61</v>
      </c>
    </row>
    <row r="663" spans="1:14" x14ac:dyDescent="0.25">
      <c r="A663" s="1" t="s">
        <v>28</v>
      </c>
      <c r="B663" s="1" t="s">
        <v>6017</v>
      </c>
      <c r="C663" s="1" t="s">
        <v>2191</v>
      </c>
      <c r="D663" s="8" t="s">
        <v>2190</v>
      </c>
      <c r="E663" s="1" t="s">
        <v>290</v>
      </c>
      <c r="F663" s="1" t="s">
        <v>6427</v>
      </c>
      <c r="G663" s="1" t="s">
        <v>4739</v>
      </c>
      <c r="H663" s="1" t="s">
        <v>4739</v>
      </c>
      <c r="I663" s="1" t="s">
        <v>4721</v>
      </c>
      <c r="J663" s="1" t="s">
        <v>12</v>
      </c>
      <c r="K663" s="1" t="s">
        <v>4763</v>
      </c>
      <c r="L663" s="1" t="s">
        <v>34</v>
      </c>
      <c r="M663" s="1" t="s">
        <v>89</v>
      </c>
      <c r="N663" s="1" t="s">
        <v>37</v>
      </c>
    </row>
    <row r="664" spans="1:14" x14ac:dyDescent="0.25">
      <c r="A664" s="1" t="s">
        <v>28</v>
      </c>
      <c r="B664" s="1" t="s">
        <v>6024</v>
      </c>
      <c r="C664" s="1" t="s">
        <v>1220</v>
      </c>
      <c r="D664" s="8" t="s">
        <v>1219</v>
      </c>
      <c r="E664" s="1" t="s">
        <v>586</v>
      </c>
      <c r="F664" s="1" t="s">
        <v>6426</v>
      </c>
      <c r="G664" s="1" t="s">
        <v>4739</v>
      </c>
      <c r="H664" s="1" t="s">
        <v>4739</v>
      </c>
      <c r="I664" s="1" t="s">
        <v>4721</v>
      </c>
      <c r="J664" s="1" t="s">
        <v>12</v>
      </c>
      <c r="K664" s="1" t="s">
        <v>4767</v>
      </c>
      <c r="L664" s="1" t="s">
        <v>79</v>
      </c>
      <c r="M664" s="1" t="s">
        <v>89</v>
      </c>
      <c r="N664" s="1" t="s">
        <v>37</v>
      </c>
    </row>
    <row r="665" spans="1:14" x14ac:dyDescent="0.25">
      <c r="A665" s="1" t="s">
        <v>28</v>
      </c>
      <c r="B665" s="1" t="s">
        <v>6031</v>
      </c>
      <c r="C665" s="1" t="s">
        <v>1362</v>
      </c>
      <c r="D665" s="8" t="s">
        <v>1361</v>
      </c>
      <c r="E665" s="1" t="s">
        <v>80</v>
      </c>
      <c r="F665" s="1" t="s">
        <v>6426</v>
      </c>
      <c r="G665" s="1" t="s">
        <v>4739</v>
      </c>
      <c r="H665" s="1" t="s">
        <v>4739</v>
      </c>
      <c r="I665" s="1" t="s">
        <v>4721</v>
      </c>
      <c r="J665" s="1" t="s">
        <v>12</v>
      </c>
      <c r="K665" s="1" t="s">
        <v>4767</v>
      </c>
      <c r="L665" s="1" t="s">
        <v>79</v>
      </c>
      <c r="M665" s="1" t="s">
        <v>41</v>
      </c>
      <c r="N665" s="1" t="s">
        <v>42</v>
      </c>
    </row>
    <row r="666" spans="1:14" x14ac:dyDescent="0.25">
      <c r="A666" s="1" t="s">
        <v>28</v>
      </c>
      <c r="B666" s="1" t="s">
        <v>6316</v>
      </c>
      <c r="C666" s="1" t="s">
        <v>523</v>
      </c>
      <c r="D666" s="8" t="s">
        <v>522</v>
      </c>
      <c r="E666" s="1" t="s">
        <v>423</v>
      </c>
      <c r="F666" s="1" t="s">
        <v>6429</v>
      </c>
      <c r="G666" s="1" t="s">
        <v>4739</v>
      </c>
      <c r="H666" s="1" t="s">
        <v>4739</v>
      </c>
      <c r="I666" s="1" t="s">
        <v>4721</v>
      </c>
      <c r="J666" s="1" t="s">
        <v>12</v>
      </c>
      <c r="K666" s="1" t="s">
        <v>4852</v>
      </c>
      <c r="L666" s="1" t="s">
        <v>34</v>
      </c>
      <c r="M666" s="1" t="s">
        <v>58</v>
      </c>
      <c r="N666" s="1" t="s">
        <v>61</v>
      </c>
    </row>
    <row r="667" spans="1:14" x14ac:dyDescent="0.25">
      <c r="A667" s="1" t="s">
        <v>28</v>
      </c>
      <c r="B667" s="1" t="s">
        <v>6034</v>
      </c>
      <c r="C667" s="1" t="s">
        <v>1672</v>
      </c>
      <c r="D667" s="8" t="s">
        <v>1671</v>
      </c>
      <c r="E667" s="1" t="s">
        <v>30</v>
      </c>
      <c r="F667" s="1" t="s">
        <v>6425</v>
      </c>
      <c r="G667" s="1" t="s">
        <v>4739</v>
      </c>
      <c r="H667" s="1" t="s">
        <v>4739</v>
      </c>
      <c r="I667" s="1" t="s">
        <v>4721</v>
      </c>
      <c r="J667" s="1" t="s">
        <v>12</v>
      </c>
      <c r="K667" s="1" t="s">
        <v>4851</v>
      </c>
      <c r="L667" s="1" t="s">
        <v>29</v>
      </c>
      <c r="M667" s="1" t="s">
        <v>883</v>
      </c>
      <c r="N667" s="1" t="s">
        <v>21</v>
      </c>
    </row>
    <row r="668" spans="1:14" x14ac:dyDescent="0.25">
      <c r="A668" s="1" t="s">
        <v>28</v>
      </c>
      <c r="B668" s="1" t="s">
        <v>6080</v>
      </c>
      <c r="C668" s="1" t="s">
        <v>1196</v>
      </c>
      <c r="D668" s="8" t="s">
        <v>1195</v>
      </c>
      <c r="E668" s="1" t="s">
        <v>80</v>
      </c>
      <c r="F668" s="1" t="s">
        <v>6426</v>
      </c>
      <c r="G668" s="1" t="s">
        <v>4739</v>
      </c>
      <c r="H668" s="1" t="s">
        <v>4739</v>
      </c>
      <c r="I668" s="1" t="s">
        <v>4721</v>
      </c>
      <c r="J668" s="1" t="s">
        <v>12</v>
      </c>
      <c r="K668" s="1" t="s">
        <v>4767</v>
      </c>
      <c r="L668" s="1" t="s">
        <v>79</v>
      </c>
      <c r="M668" s="1" t="s">
        <v>883</v>
      </c>
      <c r="N668" s="1" t="s">
        <v>21</v>
      </c>
    </row>
    <row r="669" spans="1:14" x14ac:dyDescent="0.25">
      <c r="A669" s="1" t="s">
        <v>28</v>
      </c>
      <c r="B669" s="1" t="s">
        <v>6095</v>
      </c>
      <c r="C669" s="1" t="s">
        <v>416</v>
      </c>
      <c r="D669" s="8" t="s">
        <v>415</v>
      </c>
      <c r="E669" s="1" t="s">
        <v>154</v>
      </c>
      <c r="F669" s="1" t="s">
        <v>6429</v>
      </c>
      <c r="G669" s="1" t="s">
        <v>4739</v>
      </c>
      <c r="H669" s="1" t="s">
        <v>4739</v>
      </c>
      <c r="I669" s="1" t="s">
        <v>4721</v>
      </c>
      <c r="J669" s="1" t="s">
        <v>12</v>
      </c>
      <c r="K669" s="1" t="s">
        <v>4852</v>
      </c>
      <c r="L669" s="1" t="s">
        <v>34</v>
      </c>
      <c r="M669" s="1" t="s">
        <v>245</v>
      </c>
      <c r="N669" s="1" t="s">
        <v>21</v>
      </c>
    </row>
    <row r="670" spans="1:14" x14ac:dyDescent="0.25">
      <c r="A670" s="1" t="s">
        <v>28</v>
      </c>
      <c r="B670" s="1" t="s">
        <v>6361</v>
      </c>
      <c r="C670" s="1" t="s">
        <v>2352</v>
      </c>
      <c r="D670" s="8" t="s">
        <v>2351</v>
      </c>
      <c r="E670" s="1" t="s">
        <v>80</v>
      </c>
      <c r="F670" s="1" t="s">
        <v>6426</v>
      </c>
      <c r="G670" s="1" t="s">
        <v>4739</v>
      </c>
      <c r="H670" s="1" t="s">
        <v>4739</v>
      </c>
      <c r="I670" s="1" t="s">
        <v>4721</v>
      </c>
      <c r="J670" s="1" t="s">
        <v>12</v>
      </c>
      <c r="K670" s="1" t="s">
        <v>4767</v>
      </c>
      <c r="L670" s="1" t="s">
        <v>79</v>
      </c>
      <c r="M670" s="1" t="s">
        <v>630</v>
      </c>
      <c r="N670" s="1" t="s">
        <v>21</v>
      </c>
    </row>
    <row r="671" spans="1:14" x14ac:dyDescent="0.25">
      <c r="A671" s="1" t="s">
        <v>28</v>
      </c>
      <c r="B671" s="1" t="s">
        <v>6420</v>
      </c>
      <c r="C671" s="1" t="s">
        <v>1050</v>
      </c>
      <c r="D671" s="8" t="s">
        <v>1049</v>
      </c>
      <c r="E671" s="1" t="s">
        <v>570</v>
      </c>
      <c r="F671" s="1" t="s">
        <v>4740</v>
      </c>
      <c r="G671" s="1" t="s">
        <v>4739</v>
      </c>
      <c r="H671" s="1" t="s">
        <v>4739</v>
      </c>
      <c r="I671" s="1" t="s">
        <v>6421</v>
      </c>
      <c r="J671" s="1" t="s">
        <v>39</v>
      </c>
      <c r="K671" s="1" t="s">
        <v>4775</v>
      </c>
      <c r="L671" s="1" t="s">
        <v>34</v>
      </c>
      <c r="M671" s="1" t="s">
        <v>245</v>
      </c>
      <c r="N671" s="1" t="s">
        <v>21</v>
      </c>
    </row>
    <row r="672" spans="1:14" x14ac:dyDescent="0.25">
      <c r="A672" s="1" t="s">
        <v>28</v>
      </c>
      <c r="B672" s="1" t="s">
        <v>6420</v>
      </c>
      <c r="C672" s="1" t="s">
        <v>3927</v>
      </c>
      <c r="D672" s="8" t="s">
        <v>3926</v>
      </c>
      <c r="E672" s="1" t="s">
        <v>423</v>
      </c>
      <c r="F672" s="1" t="s">
        <v>6427</v>
      </c>
      <c r="G672" s="1" t="s">
        <v>4739</v>
      </c>
      <c r="H672" s="1" t="s">
        <v>4739</v>
      </c>
      <c r="I672" s="1" t="s">
        <v>6421</v>
      </c>
      <c r="J672" s="1" t="s">
        <v>39</v>
      </c>
      <c r="K672" s="1" t="s">
        <v>4764</v>
      </c>
      <c r="L672" s="1" t="s">
        <v>34</v>
      </c>
      <c r="M672" s="1" t="s">
        <v>245</v>
      </c>
      <c r="N672" s="1" t="s">
        <v>21</v>
      </c>
    </row>
    <row r="673" spans="1:14" x14ac:dyDescent="0.25">
      <c r="A673" s="1" t="s">
        <v>28</v>
      </c>
      <c r="B673" s="1" t="s">
        <v>6420</v>
      </c>
      <c r="C673" s="1" t="s">
        <v>2960</v>
      </c>
      <c r="D673" s="8" t="s">
        <v>2959</v>
      </c>
      <c r="E673" s="1" t="s">
        <v>440</v>
      </c>
      <c r="F673" s="1" t="s">
        <v>4708</v>
      </c>
      <c r="G673" s="1" t="s">
        <v>4716</v>
      </c>
      <c r="H673" s="1" t="s">
        <v>4719</v>
      </c>
      <c r="I673" s="1" t="s">
        <v>6421</v>
      </c>
      <c r="J673" s="1" t="s">
        <v>39</v>
      </c>
      <c r="K673" s="1" t="s">
        <v>4774</v>
      </c>
      <c r="L673" s="1" t="s">
        <v>34</v>
      </c>
      <c r="M673" s="1" t="s">
        <v>245</v>
      </c>
      <c r="N673" s="1" t="s">
        <v>21</v>
      </c>
    </row>
    <row r="674" spans="1:14" x14ac:dyDescent="0.25">
      <c r="A674" s="1" t="s">
        <v>28</v>
      </c>
      <c r="B674" s="1" t="s">
        <v>6420</v>
      </c>
      <c r="C674" s="1" t="s">
        <v>3948</v>
      </c>
      <c r="D674" s="8" t="s">
        <v>3947</v>
      </c>
      <c r="E674" s="1" t="s">
        <v>423</v>
      </c>
      <c r="F674" s="1" t="s">
        <v>6427</v>
      </c>
      <c r="G674" s="1" t="s">
        <v>4739</v>
      </c>
      <c r="H674" s="1" t="s">
        <v>4739</v>
      </c>
      <c r="I674" s="1" t="s">
        <v>6421</v>
      </c>
      <c r="J674" s="1" t="s">
        <v>39</v>
      </c>
      <c r="K674" s="1" t="s">
        <v>4764</v>
      </c>
      <c r="L674" s="1" t="s">
        <v>34</v>
      </c>
      <c r="M674" s="1" t="s">
        <v>245</v>
      </c>
      <c r="N674" s="1" t="s">
        <v>21</v>
      </c>
    </row>
    <row r="675" spans="1:14" x14ac:dyDescent="0.25">
      <c r="A675" s="1" t="s">
        <v>28</v>
      </c>
      <c r="B675" s="1" t="s">
        <v>6420</v>
      </c>
      <c r="C675" s="1" t="s">
        <v>1080</v>
      </c>
      <c r="D675" s="8" t="s">
        <v>1079</v>
      </c>
      <c r="E675" s="1" t="s">
        <v>586</v>
      </c>
      <c r="F675" s="1" t="s">
        <v>4740</v>
      </c>
      <c r="G675" s="1" t="s">
        <v>4739</v>
      </c>
      <c r="H675" s="1" t="s">
        <v>4739</v>
      </c>
      <c r="I675" s="1" t="s">
        <v>6421</v>
      </c>
      <c r="J675" s="1" t="s">
        <v>39</v>
      </c>
      <c r="K675" s="1" t="s">
        <v>4774</v>
      </c>
      <c r="L675" s="1" t="s">
        <v>79</v>
      </c>
      <c r="M675" s="1" t="s">
        <v>172</v>
      </c>
      <c r="N675" s="1" t="s">
        <v>17</v>
      </c>
    </row>
    <row r="676" spans="1:14" x14ac:dyDescent="0.25">
      <c r="A676" s="1" t="s">
        <v>28</v>
      </c>
      <c r="B676" s="1" t="s">
        <v>6420</v>
      </c>
      <c r="C676" s="1" t="s">
        <v>2259</v>
      </c>
      <c r="D676" s="8" t="s">
        <v>2258</v>
      </c>
      <c r="E676" s="1" t="s">
        <v>423</v>
      </c>
      <c r="F676" s="1" t="s">
        <v>6429</v>
      </c>
      <c r="G676" s="1" t="s">
        <v>4739</v>
      </c>
      <c r="H676" s="1" t="s">
        <v>4739</v>
      </c>
      <c r="I676" s="1" t="s">
        <v>6421</v>
      </c>
      <c r="J676" s="1" t="s">
        <v>39</v>
      </c>
      <c r="K676" s="1" t="s">
        <v>4852</v>
      </c>
      <c r="L676" s="1" t="s">
        <v>34</v>
      </c>
      <c r="M676" s="1" t="s">
        <v>245</v>
      </c>
      <c r="N676" s="1" t="s">
        <v>21</v>
      </c>
    </row>
    <row r="677" spans="1:14" x14ac:dyDescent="0.25">
      <c r="A677" s="1" t="s">
        <v>28</v>
      </c>
      <c r="B677" s="1" t="s">
        <v>6420</v>
      </c>
      <c r="C677" s="1" t="s">
        <v>2346</v>
      </c>
      <c r="D677" s="8" t="s">
        <v>2345</v>
      </c>
      <c r="E677" s="1" t="s">
        <v>586</v>
      </c>
      <c r="F677" s="1" t="s">
        <v>6426</v>
      </c>
      <c r="G677" s="1" t="s">
        <v>4739</v>
      </c>
      <c r="H677" s="1" t="s">
        <v>4739</v>
      </c>
      <c r="I677" s="1" t="s">
        <v>6421</v>
      </c>
      <c r="J677" s="1" t="s">
        <v>39</v>
      </c>
      <c r="K677" s="1" t="s">
        <v>4767</v>
      </c>
      <c r="L677" s="1" t="s">
        <v>79</v>
      </c>
      <c r="M677" s="1" t="s">
        <v>630</v>
      </c>
      <c r="N677" s="1" t="s">
        <v>21</v>
      </c>
    </row>
    <row r="678" spans="1:14" x14ac:dyDescent="0.25">
      <c r="A678" s="1" t="s">
        <v>28</v>
      </c>
      <c r="B678" s="1" t="s">
        <v>6420</v>
      </c>
      <c r="C678" s="1" t="s">
        <v>898</v>
      </c>
      <c r="D678" s="8" t="s">
        <v>897</v>
      </c>
      <c r="E678" s="1" t="s">
        <v>440</v>
      </c>
      <c r="F678" s="1" t="s">
        <v>6428</v>
      </c>
      <c r="G678" s="1" t="s">
        <v>4739</v>
      </c>
      <c r="H678" s="1" t="s">
        <v>4739</v>
      </c>
      <c r="I678" s="1" t="s">
        <v>6421</v>
      </c>
      <c r="J678" s="1" t="s">
        <v>39</v>
      </c>
      <c r="K678" s="1" t="s">
        <v>4850</v>
      </c>
      <c r="L678" s="1" t="s">
        <v>34</v>
      </c>
      <c r="M678" s="1" t="s">
        <v>245</v>
      </c>
      <c r="N678" s="1" t="s">
        <v>21</v>
      </c>
    </row>
    <row r="679" spans="1:14" x14ac:dyDescent="0.25">
      <c r="A679" s="1" t="s">
        <v>28</v>
      </c>
      <c r="B679" s="1" t="s">
        <v>6420</v>
      </c>
      <c r="C679" s="1" t="s">
        <v>1328</v>
      </c>
      <c r="D679" s="8" t="s">
        <v>1327</v>
      </c>
      <c r="E679" s="1" t="s">
        <v>154</v>
      </c>
      <c r="F679" s="1" t="s">
        <v>6428</v>
      </c>
      <c r="G679" s="1" t="s">
        <v>4739</v>
      </c>
      <c r="H679" s="1" t="s">
        <v>4739</v>
      </c>
      <c r="I679" s="1" t="s">
        <v>6421</v>
      </c>
      <c r="J679" s="1" t="s">
        <v>39</v>
      </c>
      <c r="K679" s="1" t="s">
        <v>4764</v>
      </c>
      <c r="L679" s="1" t="s">
        <v>34</v>
      </c>
      <c r="M679" s="1" t="s">
        <v>172</v>
      </c>
      <c r="N679" s="1" t="s">
        <v>17</v>
      </c>
    </row>
    <row r="680" spans="1:14" x14ac:dyDescent="0.25">
      <c r="A680" s="1" t="s">
        <v>28</v>
      </c>
      <c r="B680" s="1" t="s">
        <v>6420</v>
      </c>
      <c r="C680" s="1" t="s">
        <v>853</v>
      </c>
      <c r="D680" s="8" t="s">
        <v>852</v>
      </c>
      <c r="E680" s="1" t="s">
        <v>423</v>
      </c>
      <c r="F680" s="1" t="s">
        <v>6428</v>
      </c>
      <c r="G680" s="1" t="s">
        <v>4739</v>
      </c>
      <c r="H680" s="1" t="s">
        <v>4739</v>
      </c>
      <c r="I680" s="1" t="s">
        <v>6421</v>
      </c>
      <c r="J680" s="1" t="s">
        <v>39</v>
      </c>
      <c r="K680" s="1" t="s">
        <v>4764</v>
      </c>
      <c r="L680" s="1" t="s">
        <v>34</v>
      </c>
      <c r="M680" s="1" t="s">
        <v>68</v>
      </c>
      <c r="N680" s="1" t="s">
        <v>17</v>
      </c>
    </row>
    <row r="681" spans="1:14" x14ac:dyDescent="0.25">
      <c r="A681" s="1" t="s">
        <v>28</v>
      </c>
      <c r="B681" s="1" t="s">
        <v>6420</v>
      </c>
      <c r="C681" s="1" t="s">
        <v>4362</v>
      </c>
      <c r="D681" s="8" t="s">
        <v>4360</v>
      </c>
      <c r="E681" s="1" t="s">
        <v>423</v>
      </c>
      <c r="F681" s="1" t="s">
        <v>4741</v>
      </c>
      <c r="G681" s="1" t="s">
        <v>4742</v>
      </c>
      <c r="H681" s="1" t="s">
        <v>4718</v>
      </c>
      <c r="I681" s="1" t="s">
        <v>6421</v>
      </c>
      <c r="J681" s="1" t="s">
        <v>39</v>
      </c>
      <c r="K681" s="1" t="s">
        <v>4840</v>
      </c>
      <c r="L681" s="1" t="s">
        <v>34</v>
      </c>
      <c r="M681" s="1" t="s">
        <v>58</v>
      </c>
      <c r="N681" s="1" t="s">
        <v>61</v>
      </c>
    </row>
    <row r="682" spans="1:14" x14ac:dyDescent="0.25">
      <c r="A682" s="1" t="s">
        <v>28</v>
      </c>
      <c r="B682" s="1" t="s">
        <v>6420</v>
      </c>
      <c r="C682" s="1" t="s">
        <v>3939</v>
      </c>
      <c r="D682" s="8" t="s">
        <v>3938</v>
      </c>
      <c r="E682" s="1" t="s">
        <v>154</v>
      </c>
      <c r="F682" s="1" t="s">
        <v>6427</v>
      </c>
      <c r="G682" s="1" t="s">
        <v>4739</v>
      </c>
      <c r="H682" s="1" t="s">
        <v>4739</v>
      </c>
      <c r="I682" s="1" t="s">
        <v>6421</v>
      </c>
      <c r="J682" s="1" t="s">
        <v>39</v>
      </c>
      <c r="K682" s="1" t="s">
        <v>4774</v>
      </c>
      <c r="L682" s="1" t="s">
        <v>34</v>
      </c>
      <c r="M682" s="1" t="s">
        <v>172</v>
      </c>
      <c r="N682" s="1" t="s">
        <v>17</v>
      </c>
    </row>
    <row r="683" spans="1:14" x14ac:dyDescent="0.25">
      <c r="A683" s="1" t="s">
        <v>28</v>
      </c>
      <c r="B683" s="1" t="s">
        <v>6420</v>
      </c>
      <c r="C683" s="1" t="s">
        <v>2256</v>
      </c>
      <c r="D683" s="8" t="s">
        <v>2255</v>
      </c>
      <c r="E683" s="1" t="s">
        <v>440</v>
      </c>
      <c r="F683" s="1" t="s">
        <v>6429</v>
      </c>
      <c r="G683" s="1" t="s">
        <v>4739</v>
      </c>
      <c r="H683" s="1" t="s">
        <v>4739</v>
      </c>
      <c r="I683" s="1" t="s">
        <v>6421</v>
      </c>
      <c r="J683" s="1" t="s">
        <v>39</v>
      </c>
      <c r="K683" s="1" t="s">
        <v>4905</v>
      </c>
      <c r="L683" s="1" t="s">
        <v>34</v>
      </c>
      <c r="M683" s="1" t="s">
        <v>245</v>
      </c>
      <c r="N683" s="1" t="s">
        <v>21</v>
      </c>
    </row>
    <row r="684" spans="1:14" x14ac:dyDescent="0.25">
      <c r="A684" s="1" t="s">
        <v>86</v>
      </c>
      <c r="B684" s="1" t="s">
        <v>6378</v>
      </c>
      <c r="C684" s="1" t="s">
        <v>3674</v>
      </c>
      <c r="D684" s="8" t="s">
        <v>3673</v>
      </c>
      <c r="E684" s="1" t="s">
        <v>165</v>
      </c>
      <c r="F684" s="1" t="s">
        <v>6433</v>
      </c>
      <c r="G684" s="1" t="s">
        <v>4716</v>
      </c>
      <c r="H684" s="1" t="s">
        <v>4719</v>
      </c>
      <c r="I684" s="1" t="s">
        <v>4721</v>
      </c>
      <c r="J684" s="1" t="s">
        <v>12</v>
      </c>
      <c r="K684" s="1" t="s">
        <v>4785</v>
      </c>
      <c r="L684" s="1" t="s">
        <v>164</v>
      </c>
      <c r="M684" s="1" t="s">
        <v>245</v>
      </c>
      <c r="N684" s="1" t="s">
        <v>21</v>
      </c>
    </row>
    <row r="685" spans="1:14" x14ac:dyDescent="0.25">
      <c r="A685" s="1" t="s">
        <v>86</v>
      </c>
      <c r="B685" s="1" t="s">
        <v>5941</v>
      </c>
      <c r="C685" s="1" t="s">
        <v>1639</v>
      </c>
      <c r="D685" s="8" t="s">
        <v>1638</v>
      </c>
      <c r="E685" s="1" t="s">
        <v>1029</v>
      </c>
      <c r="F685" s="1" t="s">
        <v>6434</v>
      </c>
      <c r="G685" s="1" t="s">
        <v>4715</v>
      </c>
      <c r="H685" s="1" t="s">
        <v>4719</v>
      </c>
      <c r="I685" s="1" t="s">
        <v>4721</v>
      </c>
      <c r="J685" s="1" t="s">
        <v>12</v>
      </c>
      <c r="K685" s="1" t="s">
        <v>4771</v>
      </c>
      <c r="L685" s="1" t="s">
        <v>122</v>
      </c>
      <c r="M685" s="1" t="s">
        <v>245</v>
      </c>
      <c r="N685" s="1" t="s">
        <v>21</v>
      </c>
    </row>
    <row r="686" spans="1:14" x14ac:dyDescent="0.25">
      <c r="A686" s="1" t="s">
        <v>86</v>
      </c>
      <c r="B686" s="1" t="s">
        <v>6379</v>
      </c>
      <c r="C686" s="1" t="s">
        <v>950</v>
      </c>
      <c r="D686" s="8" t="s">
        <v>949</v>
      </c>
      <c r="E686" s="1" t="s">
        <v>211</v>
      </c>
      <c r="F686" s="1" t="s">
        <v>6435</v>
      </c>
      <c r="G686" s="1" t="s">
        <v>4716</v>
      </c>
      <c r="H686" s="1" t="s">
        <v>4719</v>
      </c>
      <c r="I686" s="1" t="s">
        <v>4721</v>
      </c>
      <c r="J686" s="1" t="s">
        <v>12</v>
      </c>
      <c r="K686" s="1" t="s">
        <v>4820</v>
      </c>
      <c r="L686" s="1" t="s">
        <v>210</v>
      </c>
      <c r="M686" s="1" t="s">
        <v>245</v>
      </c>
      <c r="N686" s="1" t="s">
        <v>21</v>
      </c>
    </row>
    <row r="687" spans="1:14" x14ac:dyDescent="0.25">
      <c r="A687" s="1" t="s">
        <v>86</v>
      </c>
      <c r="B687" s="1" t="s">
        <v>5937</v>
      </c>
      <c r="C687" s="1" t="s">
        <v>4402</v>
      </c>
      <c r="D687" s="8" t="s">
        <v>4401</v>
      </c>
      <c r="E687" s="1" t="s">
        <v>177</v>
      </c>
      <c r="F687" s="1" t="s">
        <v>6436</v>
      </c>
      <c r="G687" s="1" t="s">
        <v>4716</v>
      </c>
      <c r="H687" s="1" t="s">
        <v>4719</v>
      </c>
      <c r="I687" s="1" t="s">
        <v>4721</v>
      </c>
      <c r="J687" s="1" t="s">
        <v>12</v>
      </c>
      <c r="K687" s="1" t="s">
        <v>4798</v>
      </c>
      <c r="L687" s="1" t="s">
        <v>164</v>
      </c>
      <c r="M687" s="1" t="s">
        <v>89</v>
      </c>
      <c r="N687" s="1" t="s">
        <v>37</v>
      </c>
    </row>
    <row r="688" spans="1:14" x14ac:dyDescent="0.25">
      <c r="A688" s="1" t="s">
        <v>86</v>
      </c>
      <c r="B688" s="1" t="s">
        <v>5938</v>
      </c>
      <c r="C688" s="1" t="s">
        <v>3592</v>
      </c>
      <c r="D688" s="8" t="s">
        <v>3591</v>
      </c>
      <c r="E688" s="1" t="s">
        <v>177</v>
      </c>
      <c r="F688" s="1" t="s">
        <v>6436</v>
      </c>
      <c r="G688" s="1" t="s">
        <v>4716</v>
      </c>
      <c r="H688" s="1" t="s">
        <v>4719</v>
      </c>
      <c r="I688" s="1" t="s">
        <v>4721</v>
      </c>
      <c r="J688" s="1" t="s">
        <v>12</v>
      </c>
      <c r="K688" s="1" t="s">
        <v>4798</v>
      </c>
      <c r="L688" s="1" t="s">
        <v>164</v>
      </c>
      <c r="M688" s="1" t="s">
        <v>245</v>
      </c>
      <c r="N688" s="1" t="s">
        <v>21</v>
      </c>
    </row>
    <row r="689" spans="1:14" x14ac:dyDescent="0.25">
      <c r="A689" s="1" t="s">
        <v>86</v>
      </c>
      <c r="B689" s="1" t="s">
        <v>5939</v>
      </c>
      <c r="C689" s="1" t="s">
        <v>4417</v>
      </c>
      <c r="D689" s="8" t="s">
        <v>4416</v>
      </c>
      <c r="E689" s="1" t="s">
        <v>177</v>
      </c>
      <c r="F689" s="1" t="s">
        <v>6436</v>
      </c>
      <c r="G689" s="1" t="s">
        <v>4716</v>
      </c>
      <c r="H689" s="1" t="s">
        <v>4719</v>
      </c>
      <c r="I689" s="1" t="s">
        <v>4721</v>
      </c>
      <c r="J689" s="1" t="s">
        <v>12</v>
      </c>
      <c r="K689" s="1" t="s">
        <v>4798</v>
      </c>
      <c r="L689" s="1" t="s">
        <v>164</v>
      </c>
      <c r="M689" s="1" t="s">
        <v>245</v>
      </c>
      <c r="N689" s="1" t="s">
        <v>21</v>
      </c>
    </row>
    <row r="690" spans="1:14" x14ac:dyDescent="0.25">
      <c r="A690" s="1" t="s">
        <v>86</v>
      </c>
      <c r="B690" s="1" t="s">
        <v>5940</v>
      </c>
      <c r="C690" s="1" t="s">
        <v>1826</v>
      </c>
      <c r="D690" s="8" t="s">
        <v>1825</v>
      </c>
      <c r="E690" s="1" t="s">
        <v>540</v>
      </c>
      <c r="F690" s="1" t="s">
        <v>6437</v>
      </c>
      <c r="G690" s="1" t="s">
        <v>4715</v>
      </c>
      <c r="H690" s="1" t="s">
        <v>4719</v>
      </c>
      <c r="I690" s="1" t="s">
        <v>4721</v>
      </c>
      <c r="J690" s="1" t="s">
        <v>12</v>
      </c>
      <c r="K690" s="1" t="s">
        <v>4765</v>
      </c>
      <c r="L690" s="1" t="s">
        <v>283</v>
      </c>
      <c r="M690" s="1" t="s">
        <v>99</v>
      </c>
      <c r="N690" s="1" t="s">
        <v>25</v>
      </c>
    </row>
    <row r="691" spans="1:14" x14ac:dyDescent="0.25">
      <c r="A691" s="1" t="s">
        <v>86</v>
      </c>
      <c r="B691" s="1" t="s">
        <v>6377</v>
      </c>
      <c r="C691" s="1" t="s">
        <v>4333</v>
      </c>
      <c r="D691" s="8" t="s">
        <v>4332</v>
      </c>
      <c r="E691" s="1" t="s">
        <v>497</v>
      </c>
      <c r="F691" s="1" t="s">
        <v>6438</v>
      </c>
      <c r="G691" s="1" t="s">
        <v>4716</v>
      </c>
      <c r="H691" s="1" t="s">
        <v>4719</v>
      </c>
      <c r="I691" s="1" t="s">
        <v>4721</v>
      </c>
      <c r="J691" s="1" t="s">
        <v>12</v>
      </c>
      <c r="K691" s="1" t="s">
        <v>4783</v>
      </c>
      <c r="L691" s="1" t="s">
        <v>164</v>
      </c>
      <c r="M691" s="1" t="s">
        <v>136</v>
      </c>
      <c r="N691" s="1" t="s">
        <v>72</v>
      </c>
    </row>
    <row r="692" spans="1:14" x14ac:dyDescent="0.25">
      <c r="A692" s="1" t="s">
        <v>86</v>
      </c>
      <c r="B692" s="1" t="s">
        <v>5922</v>
      </c>
      <c r="C692" s="1" t="s">
        <v>4087</v>
      </c>
      <c r="D692" s="8" t="s">
        <v>4086</v>
      </c>
      <c r="E692" s="1" t="s">
        <v>123</v>
      </c>
      <c r="F692" s="1" t="s">
        <v>4711</v>
      </c>
      <c r="G692" s="1" t="s">
        <v>4715</v>
      </c>
      <c r="H692" s="1" t="s">
        <v>4719</v>
      </c>
      <c r="I692" s="1" t="s">
        <v>4721</v>
      </c>
      <c r="J692" s="1" t="s">
        <v>12</v>
      </c>
      <c r="K692" s="1" t="s">
        <v>4771</v>
      </c>
      <c r="L692" s="1" t="s">
        <v>122</v>
      </c>
      <c r="M692" s="1" t="s">
        <v>245</v>
      </c>
      <c r="N692" s="1" t="s">
        <v>21</v>
      </c>
    </row>
    <row r="693" spans="1:14" x14ac:dyDescent="0.25">
      <c r="A693" s="1" t="s">
        <v>86</v>
      </c>
      <c r="B693" s="1" t="s">
        <v>6363</v>
      </c>
      <c r="C693" s="1" t="s">
        <v>3598</v>
      </c>
      <c r="D693" s="8" t="s">
        <v>3597</v>
      </c>
      <c r="E693" s="1" t="s">
        <v>177</v>
      </c>
      <c r="F693" s="1" t="s">
        <v>6436</v>
      </c>
      <c r="G693" s="1" t="s">
        <v>4716</v>
      </c>
      <c r="H693" s="1" t="s">
        <v>4719</v>
      </c>
      <c r="I693" s="1" t="s">
        <v>4721</v>
      </c>
      <c r="J693" s="1" t="s">
        <v>12</v>
      </c>
      <c r="K693" s="1" t="s">
        <v>4798</v>
      </c>
      <c r="L693" s="1" t="s">
        <v>164</v>
      </c>
      <c r="M693" s="1" t="s">
        <v>245</v>
      </c>
      <c r="N693" s="1" t="s">
        <v>21</v>
      </c>
    </row>
    <row r="694" spans="1:14" x14ac:dyDescent="0.25">
      <c r="A694" s="1" t="s">
        <v>86</v>
      </c>
      <c r="B694" s="1" t="s">
        <v>6364</v>
      </c>
      <c r="C694" s="1" t="s">
        <v>4405</v>
      </c>
      <c r="D694" s="8" t="s">
        <v>4404</v>
      </c>
      <c r="E694" s="1" t="s">
        <v>177</v>
      </c>
      <c r="F694" s="1" t="s">
        <v>6436</v>
      </c>
      <c r="G694" s="1" t="s">
        <v>4716</v>
      </c>
      <c r="H694" s="1" t="s">
        <v>4719</v>
      </c>
      <c r="I694" s="1" t="s">
        <v>4721</v>
      </c>
      <c r="J694" s="1" t="s">
        <v>12</v>
      </c>
      <c r="K694" s="1" t="s">
        <v>4798</v>
      </c>
      <c r="L694" s="1" t="s">
        <v>164</v>
      </c>
      <c r="M694" s="1" t="s">
        <v>89</v>
      </c>
      <c r="N694" s="1" t="s">
        <v>37</v>
      </c>
    </row>
    <row r="695" spans="1:14" x14ac:dyDescent="0.25">
      <c r="A695" s="1" t="s">
        <v>86</v>
      </c>
      <c r="B695" s="1" t="s">
        <v>5923</v>
      </c>
      <c r="C695" s="1" t="s">
        <v>1889</v>
      </c>
      <c r="D695" s="8" t="s">
        <v>1888</v>
      </c>
      <c r="E695" s="1" t="s">
        <v>1099</v>
      </c>
      <c r="F695" s="1" t="s">
        <v>4714</v>
      </c>
      <c r="G695" s="1" t="s">
        <v>4715</v>
      </c>
      <c r="H695" s="1" t="s">
        <v>4719</v>
      </c>
      <c r="I695" s="1" t="s">
        <v>4721</v>
      </c>
      <c r="J695" s="1" t="s">
        <v>12</v>
      </c>
      <c r="K695" s="1" t="s">
        <v>4777</v>
      </c>
      <c r="L695" s="1" t="s">
        <v>283</v>
      </c>
      <c r="M695" s="1" t="s">
        <v>149</v>
      </c>
      <c r="N695" s="1" t="s">
        <v>61</v>
      </c>
    </row>
    <row r="696" spans="1:14" x14ac:dyDescent="0.25">
      <c r="A696" s="1" t="s">
        <v>86</v>
      </c>
      <c r="B696" s="1" t="s">
        <v>6365</v>
      </c>
      <c r="C696" s="1" t="s">
        <v>2488</v>
      </c>
      <c r="D696" s="8" t="s">
        <v>2487</v>
      </c>
      <c r="E696" s="1" t="s">
        <v>497</v>
      </c>
      <c r="F696" s="1" t="s">
        <v>4710</v>
      </c>
      <c r="G696" s="1" t="s">
        <v>4716</v>
      </c>
      <c r="H696" s="1" t="s">
        <v>4719</v>
      </c>
      <c r="I696" s="1" t="s">
        <v>4721</v>
      </c>
      <c r="J696" s="1" t="s">
        <v>12</v>
      </c>
      <c r="K696" s="1" t="s">
        <v>4766</v>
      </c>
      <c r="L696" s="1" t="s">
        <v>164</v>
      </c>
      <c r="M696" s="1" t="s">
        <v>58</v>
      </c>
      <c r="N696" s="1" t="s">
        <v>61</v>
      </c>
    </row>
    <row r="697" spans="1:14" x14ac:dyDescent="0.25">
      <c r="A697" s="1" t="s">
        <v>86</v>
      </c>
      <c r="B697" s="1" t="s">
        <v>6366</v>
      </c>
      <c r="C697" s="1" t="s">
        <v>1877</v>
      </c>
      <c r="D697" s="8" t="s">
        <v>1876</v>
      </c>
      <c r="E697" s="1" t="s">
        <v>325</v>
      </c>
      <c r="F697" s="1" t="s">
        <v>4714</v>
      </c>
      <c r="G697" s="1" t="s">
        <v>4715</v>
      </c>
      <c r="H697" s="1" t="s">
        <v>4719</v>
      </c>
      <c r="I697" s="1" t="s">
        <v>4721</v>
      </c>
      <c r="J697" s="1" t="s">
        <v>12</v>
      </c>
      <c r="K697" s="1" t="s">
        <v>4777</v>
      </c>
      <c r="L697" s="1" t="s">
        <v>283</v>
      </c>
      <c r="M697" s="1" t="s">
        <v>245</v>
      </c>
      <c r="N697" s="1" t="s">
        <v>21</v>
      </c>
    </row>
    <row r="698" spans="1:14" x14ac:dyDescent="0.25">
      <c r="A698" s="1" t="s">
        <v>86</v>
      </c>
      <c r="B698" s="1" t="s">
        <v>6367</v>
      </c>
      <c r="C698" s="1" t="s">
        <v>3157</v>
      </c>
      <c r="D698" s="8" t="s">
        <v>3156</v>
      </c>
      <c r="E698" s="1" t="s">
        <v>205</v>
      </c>
      <c r="F698" s="1" t="s">
        <v>6439</v>
      </c>
      <c r="G698" s="1" t="s">
        <v>4715</v>
      </c>
      <c r="H698" s="1" t="s">
        <v>4719</v>
      </c>
      <c r="I698" s="1" t="s">
        <v>4721</v>
      </c>
      <c r="J698" s="1" t="s">
        <v>12</v>
      </c>
      <c r="K698" s="1" t="s">
        <v>4784</v>
      </c>
      <c r="L698" s="1" t="s">
        <v>122</v>
      </c>
      <c r="M698" s="1" t="s">
        <v>245</v>
      </c>
      <c r="N698" s="1" t="s">
        <v>21</v>
      </c>
    </row>
    <row r="699" spans="1:14" x14ac:dyDescent="0.25">
      <c r="A699" s="1" t="s">
        <v>86</v>
      </c>
      <c r="B699" s="1" t="s">
        <v>6368</v>
      </c>
      <c r="C699" s="1" t="s">
        <v>3843</v>
      </c>
      <c r="D699" s="8" t="s">
        <v>3842</v>
      </c>
      <c r="E699" s="1" t="s">
        <v>177</v>
      </c>
      <c r="F699" s="1" t="s">
        <v>6440</v>
      </c>
      <c r="G699" s="1" t="s">
        <v>4716</v>
      </c>
      <c r="H699" s="1" t="s">
        <v>4719</v>
      </c>
      <c r="I699" s="1" t="s">
        <v>4721</v>
      </c>
      <c r="J699" s="1" t="s">
        <v>12</v>
      </c>
      <c r="K699" s="1" t="s">
        <v>4887</v>
      </c>
      <c r="L699" s="1" t="s">
        <v>164</v>
      </c>
      <c r="M699" s="1" t="s">
        <v>172</v>
      </c>
      <c r="N699" s="1" t="s">
        <v>17</v>
      </c>
    </row>
    <row r="700" spans="1:14" x14ac:dyDescent="0.25">
      <c r="A700" s="1" t="s">
        <v>86</v>
      </c>
      <c r="B700" s="1" t="s">
        <v>6369</v>
      </c>
      <c r="C700" s="1" t="s">
        <v>3100</v>
      </c>
      <c r="D700" s="8" t="s">
        <v>3099</v>
      </c>
      <c r="E700" s="1" t="s">
        <v>540</v>
      </c>
      <c r="F700" s="1" t="s">
        <v>6437</v>
      </c>
      <c r="G700" s="1" t="s">
        <v>4715</v>
      </c>
      <c r="H700" s="1" t="s">
        <v>4719</v>
      </c>
      <c r="I700" s="1" t="s">
        <v>4721</v>
      </c>
      <c r="J700" s="1" t="s">
        <v>12</v>
      </c>
      <c r="K700" s="1" t="s">
        <v>4765</v>
      </c>
      <c r="L700" s="1" t="s">
        <v>283</v>
      </c>
      <c r="M700" s="1" t="s">
        <v>99</v>
      </c>
      <c r="N700" s="1" t="s">
        <v>25</v>
      </c>
    </row>
    <row r="701" spans="1:14" x14ac:dyDescent="0.25">
      <c r="A701" s="1" t="s">
        <v>86</v>
      </c>
      <c r="B701" s="1" t="s">
        <v>6370</v>
      </c>
      <c r="C701" s="1" t="s">
        <v>3206</v>
      </c>
      <c r="D701" s="8" t="s">
        <v>3205</v>
      </c>
      <c r="E701" s="1" t="s">
        <v>274</v>
      </c>
      <c r="F701" s="1" t="s">
        <v>6441</v>
      </c>
      <c r="G701" s="1" t="s">
        <v>4717</v>
      </c>
      <c r="H701" s="1" t="s">
        <v>4719</v>
      </c>
      <c r="I701" s="1" t="s">
        <v>4721</v>
      </c>
      <c r="J701" s="1" t="s">
        <v>12</v>
      </c>
      <c r="K701" s="1" t="s">
        <v>4849</v>
      </c>
      <c r="L701" s="1" t="s">
        <v>210</v>
      </c>
      <c r="M701" s="1" t="s">
        <v>58</v>
      </c>
      <c r="N701" s="1" t="s">
        <v>61</v>
      </c>
    </row>
    <row r="702" spans="1:14" x14ac:dyDescent="0.25">
      <c r="A702" s="1" t="s">
        <v>86</v>
      </c>
      <c r="B702" s="1" t="s">
        <v>6371</v>
      </c>
      <c r="C702" s="1" t="s">
        <v>496</v>
      </c>
      <c r="D702" s="8" t="s">
        <v>495</v>
      </c>
      <c r="E702" s="1" t="s">
        <v>497</v>
      </c>
      <c r="F702" s="1" t="s">
        <v>4710</v>
      </c>
      <c r="G702" s="1" t="s">
        <v>4716</v>
      </c>
      <c r="H702" s="1" t="s">
        <v>4719</v>
      </c>
      <c r="I702" s="1" t="s">
        <v>4721</v>
      </c>
      <c r="J702" s="1" t="s">
        <v>12</v>
      </c>
      <c r="K702" s="1" t="s">
        <v>4766</v>
      </c>
      <c r="L702" s="1" t="s">
        <v>164</v>
      </c>
      <c r="M702" s="1" t="s">
        <v>245</v>
      </c>
      <c r="N702" s="1" t="s">
        <v>21</v>
      </c>
    </row>
    <row r="703" spans="1:14" x14ac:dyDescent="0.25">
      <c r="A703" s="1" t="s">
        <v>86</v>
      </c>
      <c r="B703" s="1" t="s">
        <v>5924</v>
      </c>
      <c r="C703" s="1" t="s">
        <v>3133</v>
      </c>
      <c r="D703" s="8" t="s">
        <v>3132</v>
      </c>
      <c r="E703" s="1" t="s">
        <v>497</v>
      </c>
      <c r="F703" s="1" t="s">
        <v>4710</v>
      </c>
      <c r="G703" s="1" t="s">
        <v>4716</v>
      </c>
      <c r="H703" s="1" t="s">
        <v>4719</v>
      </c>
      <c r="I703" s="1" t="s">
        <v>4721</v>
      </c>
      <c r="J703" s="1" t="s">
        <v>12</v>
      </c>
      <c r="K703" s="1" t="s">
        <v>4766</v>
      </c>
      <c r="L703" s="1" t="s">
        <v>164</v>
      </c>
      <c r="M703" s="1" t="s">
        <v>245</v>
      </c>
      <c r="N703" s="1" t="s">
        <v>21</v>
      </c>
    </row>
    <row r="704" spans="1:14" x14ac:dyDescent="0.25">
      <c r="A704" s="1" t="s">
        <v>86</v>
      </c>
      <c r="B704" s="1" t="s">
        <v>5931</v>
      </c>
      <c r="C704" s="1" t="s">
        <v>501</v>
      </c>
      <c r="D704" s="8" t="s">
        <v>500</v>
      </c>
      <c r="E704" s="1" t="s">
        <v>177</v>
      </c>
      <c r="F704" s="1" t="s">
        <v>6436</v>
      </c>
      <c r="G704" s="1" t="s">
        <v>4716</v>
      </c>
      <c r="H704" s="1" t="s">
        <v>4719</v>
      </c>
      <c r="I704" s="1" t="s">
        <v>4721</v>
      </c>
      <c r="J704" s="1" t="s">
        <v>12</v>
      </c>
      <c r="K704" s="1" t="s">
        <v>4798</v>
      </c>
      <c r="L704" s="1" t="s">
        <v>164</v>
      </c>
      <c r="M704" s="1" t="s">
        <v>149</v>
      </c>
      <c r="N704" s="1" t="s">
        <v>61</v>
      </c>
    </row>
    <row r="705" spans="1:14" x14ac:dyDescent="0.25">
      <c r="A705" s="1" t="s">
        <v>86</v>
      </c>
      <c r="B705" s="1" t="s">
        <v>6372</v>
      </c>
      <c r="C705" s="1" t="s">
        <v>3650</v>
      </c>
      <c r="D705" s="8" t="s">
        <v>3649</v>
      </c>
      <c r="E705" s="1" t="s">
        <v>177</v>
      </c>
      <c r="F705" s="1" t="s">
        <v>6436</v>
      </c>
      <c r="G705" s="1" t="s">
        <v>4716</v>
      </c>
      <c r="H705" s="1" t="s">
        <v>4719</v>
      </c>
      <c r="I705" s="1" t="s">
        <v>4721</v>
      </c>
      <c r="J705" s="1" t="s">
        <v>12</v>
      </c>
      <c r="K705" s="1" t="s">
        <v>4798</v>
      </c>
      <c r="L705" s="1" t="s">
        <v>164</v>
      </c>
      <c r="M705" s="1" t="s">
        <v>245</v>
      </c>
      <c r="N705" s="1" t="s">
        <v>21</v>
      </c>
    </row>
    <row r="706" spans="1:14" x14ac:dyDescent="0.25">
      <c r="A706" s="1" t="s">
        <v>86</v>
      </c>
      <c r="B706" s="1" t="s">
        <v>5932</v>
      </c>
      <c r="C706" s="1" t="s">
        <v>931</v>
      </c>
      <c r="D706" s="8" t="s">
        <v>930</v>
      </c>
      <c r="E706" s="1" t="s">
        <v>211</v>
      </c>
      <c r="F706" s="1" t="s">
        <v>6435</v>
      </c>
      <c r="G706" s="1" t="s">
        <v>4716</v>
      </c>
      <c r="H706" s="1" t="s">
        <v>4719</v>
      </c>
      <c r="I706" s="1" t="s">
        <v>4721</v>
      </c>
      <c r="J706" s="1" t="s">
        <v>12</v>
      </c>
      <c r="K706" s="1" t="s">
        <v>4820</v>
      </c>
      <c r="L706" s="1" t="s">
        <v>210</v>
      </c>
      <c r="M706" s="1" t="s">
        <v>245</v>
      </c>
      <c r="N706" s="1" t="s">
        <v>21</v>
      </c>
    </row>
    <row r="707" spans="1:14" x14ac:dyDescent="0.25">
      <c r="A707" s="1" t="s">
        <v>86</v>
      </c>
      <c r="B707" s="1" t="s">
        <v>6373</v>
      </c>
      <c r="C707" s="1" t="s">
        <v>1735</v>
      </c>
      <c r="D707" s="8" t="s">
        <v>1734</v>
      </c>
      <c r="E707" s="1" t="s">
        <v>540</v>
      </c>
      <c r="F707" s="1" t="s">
        <v>6437</v>
      </c>
      <c r="G707" s="1" t="s">
        <v>4715</v>
      </c>
      <c r="H707" s="1" t="s">
        <v>4719</v>
      </c>
      <c r="I707" s="1" t="s">
        <v>4721</v>
      </c>
      <c r="J707" s="1" t="s">
        <v>12</v>
      </c>
      <c r="K707" s="1" t="s">
        <v>4765</v>
      </c>
      <c r="L707" s="1" t="s">
        <v>283</v>
      </c>
      <c r="M707" s="1" t="s">
        <v>99</v>
      </c>
      <c r="N707" s="1" t="s">
        <v>25</v>
      </c>
    </row>
    <row r="708" spans="1:14" x14ac:dyDescent="0.25">
      <c r="A708" s="1" t="s">
        <v>86</v>
      </c>
      <c r="B708" s="1" t="s">
        <v>5933</v>
      </c>
      <c r="C708" s="1" t="s">
        <v>2690</v>
      </c>
      <c r="D708" s="8" t="s">
        <v>2689</v>
      </c>
      <c r="E708" s="1" t="s">
        <v>123</v>
      </c>
      <c r="F708" s="1" t="s">
        <v>4711</v>
      </c>
      <c r="G708" s="1" t="s">
        <v>4715</v>
      </c>
      <c r="H708" s="1" t="s">
        <v>4719</v>
      </c>
      <c r="I708" s="1" t="s">
        <v>4721</v>
      </c>
      <c r="J708" s="1" t="s">
        <v>12</v>
      </c>
      <c r="K708" s="1" t="s">
        <v>4771</v>
      </c>
      <c r="L708" s="1" t="s">
        <v>122</v>
      </c>
      <c r="M708" s="1" t="s">
        <v>245</v>
      </c>
      <c r="N708" s="1" t="s">
        <v>21</v>
      </c>
    </row>
    <row r="709" spans="1:14" x14ac:dyDescent="0.25">
      <c r="A709" s="1" t="s">
        <v>86</v>
      </c>
      <c r="B709" s="1" t="s">
        <v>5934</v>
      </c>
      <c r="C709" s="1" t="s">
        <v>163</v>
      </c>
      <c r="D709" s="8" t="s">
        <v>162</v>
      </c>
      <c r="E709" s="1" t="s">
        <v>165</v>
      </c>
      <c r="F709" s="1" t="s">
        <v>6433</v>
      </c>
      <c r="G709" s="1" t="s">
        <v>4716</v>
      </c>
      <c r="H709" s="1" t="s">
        <v>4719</v>
      </c>
      <c r="I709" s="1" t="s">
        <v>4721</v>
      </c>
      <c r="J709" s="1" t="s">
        <v>12</v>
      </c>
      <c r="K709" s="1" t="s">
        <v>4785</v>
      </c>
      <c r="L709" s="1" t="s">
        <v>164</v>
      </c>
      <c r="M709" s="1" t="s">
        <v>89</v>
      </c>
      <c r="N709" s="1" t="s">
        <v>37</v>
      </c>
    </row>
    <row r="710" spans="1:14" x14ac:dyDescent="0.25">
      <c r="A710" s="1" t="s">
        <v>86</v>
      </c>
      <c r="B710" s="1" t="s">
        <v>6374</v>
      </c>
      <c r="C710" s="1" t="s">
        <v>3680</v>
      </c>
      <c r="D710" s="8" t="s">
        <v>3679</v>
      </c>
      <c r="E710" s="1" t="s">
        <v>165</v>
      </c>
      <c r="F710" s="1" t="s">
        <v>6433</v>
      </c>
      <c r="G710" s="1" t="s">
        <v>4716</v>
      </c>
      <c r="H710" s="1" t="s">
        <v>4719</v>
      </c>
      <c r="I710" s="1" t="s">
        <v>4721</v>
      </c>
      <c r="J710" s="1" t="s">
        <v>12</v>
      </c>
      <c r="K710" s="1" t="s">
        <v>4785</v>
      </c>
      <c r="L710" s="1" t="s">
        <v>164</v>
      </c>
      <c r="M710" s="1" t="s">
        <v>89</v>
      </c>
      <c r="N710" s="1" t="s">
        <v>37</v>
      </c>
    </row>
    <row r="711" spans="1:14" x14ac:dyDescent="0.25">
      <c r="A711" s="1" t="s">
        <v>86</v>
      </c>
      <c r="B711" s="1" t="s">
        <v>6375</v>
      </c>
      <c r="C711" s="1" t="s">
        <v>3055</v>
      </c>
      <c r="D711" s="8" t="s">
        <v>3054</v>
      </c>
      <c r="E711" s="1" t="s">
        <v>540</v>
      </c>
      <c r="F711" s="1" t="s">
        <v>6437</v>
      </c>
      <c r="G711" s="1" t="s">
        <v>4715</v>
      </c>
      <c r="H711" s="1" t="s">
        <v>4719</v>
      </c>
      <c r="I711" s="1" t="s">
        <v>4721</v>
      </c>
      <c r="J711" s="1" t="s">
        <v>12</v>
      </c>
      <c r="K711" s="1" t="s">
        <v>4765</v>
      </c>
      <c r="L711" s="1" t="s">
        <v>283</v>
      </c>
      <c r="M711" s="1" t="s">
        <v>99</v>
      </c>
      <c r="N711" s="1" t="s">
        <v>25</v>
      </c>
    </row>
    <row r="712" spans="1:14" x14ac:dyDescent="0.25">
      <c r="A712" s="1" t="s">
        <v>86</v>
      </c>
      <c r="B712" s="1" t="s">
        <v>5935</v>
      </c>
      <c r="C712" s="1" t="s">
        <v>2893</v>
      </c>
      <c r="D712" s="8" t="s">
        <v>2891</v>
      </c>
      <c r="E712" s="1" t="s">
        <v>505</v>
      </c>
      <c r="F712" s="1" t="s">
        <v>4708</v>
      </c>
      <c r="G712" s="1" t="s">
        <v>4716</v>
      </c>
      <c r="H712" s="1" t="s">
        <v>4719</v>
      </c>
      <c r="I712" s="1" t="s">
        <v>4721</v>
      </c>
      <c r="J712" s="1" t="s">
        <v>12</v>
      </c>
      <c r="K712" s="1" t="s">
        <v>4785</v>
      </c>
      <c r="L712" s="1" t="s">
        <v>164</v>
      </c>
      <c r="M712" s="1" t="s">
        <v>245</v>
      </c>
      <c r="N712" s="1" t="s">
        <v>21</v>
      </c>
    </row>
    <row r="713" spans="1:14" x14ac:dyDescent="0.25">
      <c r="A713" s="1" t="s">
        <v>86</v>
      </c>
      <c r="B713" s="1" t="s">
        <v>6376</v>
      </c>
      <c r="C713" s="1" t="s">
        <v>1948</v>
      </c>
      <c r="D713" s="8" t="s">
        <v>1947</v>
      </c>
      <c r="E713" s="1" t="s">
        <v>205</v>
      </c>
      <c r="F713" s="1" t="s">
        <v>6439</v>
      </c>
      <c r="G713" s="1" t="s">
        <v>4715</v>
      </c>
      <c r="H713" s="1" t="s">
        <v>4719</v>
      </c>
      <c r="I713" s="1" t="s">
        <v>6407</v>
      </c>
      <c r="J713" s="1" t="s">
        <v>39</v>
      </c>
      <c r="K713" s="1" t="s">
        <v>4771</v>
      </c>
      <c r="L713" s="1" t="s">
        <v>122</v>
      </c>
      <c r="M713" s="1" t="s">
        <v>245</v>
      </c>
      <c r="N713" s="1" t="s">
        <v>21</v>
      </c>
    </row>
    <row r="714" spans="1:14" x14ac:dyDescent="0.25">
      <c r="A714" s="1" t="s">
        <v>86</v>
      </c>
      <c r="B714" s="1" t="s">
        <v>5936</v>
      </c>
      <c r="C714" s="1" t="s">
        <v>3076</v>
      </c>
      <c r="D714" s="8" t="s">
        <v>3075</v>
      </c>
      <c r="E714" s="1" t="s">
        <v>540</v>
      </c>
      <c r="F714" s="1" t="s">
        <v>6437</v>
      </c>
      <c r="G714" s="1" t="s">
        <v>4715</v>
      </c>
      <c r="H714" s="1" t="s">
        <v>4719</v>
      </c>
      <c r="I714" s="1" t="s">
        <v>4721</v>
      </c>
      <c r="J714" s="1" t="s">
        <v>12</v>
      </c>
      <c r="K714" s="1" t="s">
        <v>4765</v>
      </c>
      <c r="L714" s="1" t="s">
        <v>283</v>
      </c>
      <c r="M714" s="1" t="s">
        <v>99</v>
      </c>
      <c r="N714" s="1" t="s">
        <v>25</v>
      </c>
    </row>
    <row r="715" spans="1:14" x14ac:dyDescent="0.25">
      <c r="A715" s="1" t="s">
        <v>86</v>
      </c>
      <c r="B715" s="1" t="s">
        <v>4924</v>
      </c>
      <c r="C715" s="1" t="s">
        <v>4380</v>
      </c>
      <c r="D715" s="8" t="s">
        <v>4379</v>
      </c>
      <c r="E715" s="1" t="s">
        <v>88</v>
      </c>
      <c r="F715" s="1" t="s">
        <v>6442</v>
      </c>
      <c r="G715" s="1" t="s">
        <v>4716</v>
      </c>
      <c r="H715" s="1" t="s">
        <v>4719</v>
      </c>
      <c r="I715" s="1" t="s">
        <v>4721</v>
      </c>
      <c r="J715" s="1" t="s">
        <v>12</v>
      </c>
      <c r="K715" s="1" t="s">
        <v>4865</v>
      </c>
      <c r="L715" s="1" t="s">
        <v>87</v>
      </c>
      <c r="M715" s="1" t="s">
        <v>99</v>
      </c>
      <c r="N715" s="1" t="s">
        <v>25</v>
      </c>
    </row>
    <row r="716" spans="1:14" x14ac:dyDescent="0.25">
      <c r="A716" s="1" t="s">
        <v>86</v>
      </c>
      <c r="B716" s="1" t="s">
        <v>4927</v>
      </c>
      <c r="C716" s="1" t="s">
        <v>3605</v>
      </c>
      <c r="D716" s="8" t="s">
        <v>3603</v>
      </c>
      <c r="E716" s="1" t="s">
        <v>88</v>
      </c>
      <c r="F716" s="1" t="s">
        <v>6442</v>
      </c>
      <c r="G716" s="1" t="s">
        <v>4716</v>
      </c>
      <c r="H716" s="1" t="s">
        <v>4719</v>
      </c>
      <c r="I716" s="1" t="s">
        <v>4721</v>
      </c>
      <c r="J716" s="1" t="s">
        <v>12</v>
      </c>
      <c r="K716" s="1" t="s">
        <v>4865</v>
      </c>
      <c r="L716" s="1" t="s">
        <v>87</v>
      </c>
      <c r="M716" s="1" t="s">
        <v>99</v>
      </c>
      <c r="N716" s="1" t="s">
        <v>25</v>
      </c>
    </row>
    <row r="717" spans="1:14" x14ac:dyDescent="0.25">
      <c r="A717" s="1" t="s">
        <v>86</v>
      </c>
      <c r="B717" s="1" t="s">
        <v>5105</v>
      </c>
      <c r="C717" s="1" t="s">
        <v>4411</v>
      </c>
      <c r="D717" s="8" t="s">
        <v>4410</v>
      </c>
      <c r="E717" s="1" t="s">
        <v>88</v>
      </c>
      <c r="F717" s="1" t="s">
        <v>6442</v>
      </c>
      <c r="G717" s="1" t="s">
        <v>4716</v>
      </c>
      <c r="H717" s="1" t="s">
        <v>4719</v>
      </c>
      <c r="I717" s="1" t="s">
        <v>4721</v>
      </c>
      <c r="J717" s="1" t="s">
        <v>12</v>
      </c>
      <c r="K717" s="1" t="s">
        <v>4865</v>
      </c>
      <c r="L717" s="1" t="s">
        <v>87</v>
      </c>
      <c r="M717" s="1" t="s">
        <v>99</v>
      </c>
      <c r="N717" s="1" t="s">
        <v>25</v>
      </c>
    </row>
    <row r="718" spans="1:14" x14ac:dyDescent="0.25">
      <c r="A718" s="1" t="s">
        <v>86</v>
      </c>
      <c r="B718" s="1" t="s">
        <v>4941</v>
      </c>
      <c r="C718" s="1" t="s">
        <v>4390</v>
      </c>
      <c r="D718" s="8" t="s">
        <v>4389</v>
      </c>
      <c r="E718" s="1" t="s">
        <v>88</v>
      </c>
      <c r="F718" s="1" t="s">
        <v>6442</v>
      </c>
      <c r="G718" s="1" t="s">
        <v>4716</v>
      </c>
      <c r="H718" s="1" t="s">
        <v>4719</v>
      </c>
      <c r="I718" s="1" t="s">
        <v>4721</v>
      </c>
      <c r="J718" s="1" t="s">
        <v>12</v>
      </c>
      <c r="K718" s="1" t="s">
        <v>4865</v>
      </c>
      <c r="L718" s="1" t="s">
        <v>87</v>
      </c>
      <c r="M718" s="1" t="s">
        <v>99</v>
      </c>
      <c r="N718" s="1" t="s">
        <v>25</v>
      </c>
    </row>
    <row r="719" spans="1:14" x14ac:dyDescent="0.25">
      <c r="A719" s="1" t="s">
        <v>86</v>
      </c>
      <c r="B719" s="1" t="s">
        <v>5122</v>
      </c>
      <c r="C719" s="1" t="s">
        <v>4408</v>
      </c>
      <c r="D719" s="8" t="s">
        <v>4407</v>
      </c>
      <c r="E719" s="1" t="s">
        <v>88</v>
      </c>
      <c r="F719" s="1" t="s">
        <v>6442</v>
      </c>
      <c r="G719" s="1" t="s">
        <v>4716</v>
      </c>
      <c r="H719" s="1" t="s">
        <v>4719</v>
      </c>
      <c r="I719" s="1" t="s">
        <v>4721</v>
      </c>
      <c r="J719" s="1" t="s">
        <v>12</v>
      </c>
      <c r="K719" s="1" t="s">
        <v>4865</v>
      </c>
      <c r="L719" s="1" t="s">
        <v>87</v>
      </c>
      <c r="M719" s="1" t="s">
        <v>99</v>
      </c>
      <c r="N719" s="1" t="s">
        <v>25</v>
      </c>
    </row>
    <row r="720" spans="1:14" x14ac:dyDescent="0.25">
      <c r="A720" s="1" t="s">
        <v>86</v>
      </c>
      <c r="B720" s="1" t="s">
        <v>5127</v>
      </c>
      <c r="C720" s="1" t="s">
        <v>3608</v>
      </c>
      <c r="D720" s="8" t="s">
        <v>3607</v>
      </c>
      <c r="E720" s="1" t="s">
        <v>88</v>
      </c>
      <c r="F720" s="1" t="s">
        <v>6442</v>
      </c>
      <c r="G720" s="1" t="s">
        <v>4716</v>
      </c>
      <c r="H720" s="1" t="s">
        <v>4719</v>
      </c>
      <c r="I720" s="1" t="s">
        <v>4721</v>
      </c>
      <c r="J720" s="1" t="s">
        <v>12</v>
      </c>
      <c r="K720" s="1" t="s">
        <v>4865</v>
      </c>
      <c r="L720" s="1" t="s">
        <v>87</v>
      </c>
      <c r="M720" s="1" t="s">
        <v>99</v>
      </c>
      <c r="N720" s="1" t="s">
        <v>25</v>
      </c>
    </row>
    <row r="721" spans="1:14" x14ac:dyDescent="0.25">
      <c r="A721" s="1" t="s">
        <v>86</v>
      </c>
      <c r="B721" s="1" t="s">
        <v>5132</v>
      </c>
      <c r="C721" s="1" t="s">
        <v>4393</v>
      </c>
      <c r="D721" s="8" t="s">
        <v>4392</v>
      </c>
      <c r="E721" s="1" t="s">
        <v>88</v>
      </c>
      <c r="F721" s="1" t="s">
        <v>6442</v>
      </c>
      <c r="G721" s="1" t="s">
        <v>4716</v>
      </c>
      <c r="H721" s="1" t="s">
        <v>4719</v>
      </c>
      <c r="I721" s="1" t="s">
        <v>4721</v>
      </c>
      <c r="J721" s="1" t="s">
        <v>12</v>
      </c>
      <c r="K721" s="1" t="s">
        <v>4865</v>
      </c>
      <c r="L721" s="1" t="s">
        <v>87</v>
      </c>
      <c r="M721" s="1" t="s">
        <v>99</v>
      </c>
      <c r="N721" s="1" t="s">
        <v>25</v>
      </c>
    </row>
    <row r="722" spans="1:14" x14ac:dyDescent="0.25">
      <c r="A722" s="1" t="s">
        <v>86</v>
      </c>
      <c r="B722" s="1" t="s">
        <v>4985</v>
      </c>
      <c r="C722" s="1" t="s">
        <v>721</v>
      </c>
      <c r="D722" s="8" t="s">
        <v>720</v>
      </c>
      <c r="E722" s="1" t="s">
        <v>559</v>
      </c>
      <c r="F722" s="1" t="s">
        <v>6443</v>
      </c>
      <c r="G722" s="1" t="s">
        <v>4717</v>
      </c>
      <c r="H722" s="1" t="s">
        <v>4719</v>
      </c>
      <c r="I722" s="1" t="s">
        <v>4722</v>
      </c>
      <c r="J722" s="1" t="s">
        <v>39</v>
      </c>
      <c r="K722" s="1" t="s">
        <v>4795</v>
      </c>
      <c r="L722" s="1" t="s">
        <v>558</v>
      </c>
      <c r="M722" s="1" t="s">
        <v>58</v>
      </c>
      <c r="N722" s="1" t="s">
        <v>61</v>
      </c>
    </row>
    <row r="723" spans="1:14" x14ac:dyDescent="0.25">
      <c r="A723" s="1" t="s">
        <v>86</v>
      </c>
      <c r="B723" s="1" t="s">
        <v>4986</v>
      </c>
      <c r="C723" s="1" t="s">
        <v>3806</v>
      </c>
      <c r="D723" s="8" t="s">
        <v>3805</v>
      </c>
      <c r="E723" s="1" t="s">
        <v>325</v>
      </c>
      <c r="F723" s="1" t="s">
        <v>6444</v>
      </c>
      <c r="G723" s="1" t="s">
        <v>4717</v>
      </c>
      <c r="H723" s="1" t="s">
        <v>4719</v>
      </c>
      <c r="I723" s="1" t="s">
        <v>4721</v>
      </c>
      <c r="J723" s="1" t="s">
        <v>12</v>
      </c>
      <c r="K723" s="1" t="s">
        <v>4797</v>
      </c>
      <c r="L723" s="1" t="s">
        <v>283</v>
      </c>
      <c r="M723" s="1" t="s">
        <v>58</v>
      </c>
      <c r="N723" s="1" t="s">
        <v>61</v>
      </c>
    </row>
    <row r="724" spans="1:14" x14ac:dyDescent="0.25">
      <c r="A724" s="1" t="s">
        <v>86</v>
      </c>
      <c r="B724" s="1" t="s">
        <v>4992</v>
      </c>
      <c r="C724" s="1" t="s">
        <v>557</v>
      </c>
      <c r="D724" s="8" t="s">
        <v>556</v>
      </c>
      <c r="E724" s="1" t="s">
        <v>559</v>
      </c>
      <c r="F724" s="1" t="s">
        <v>4713</v>
      </c>
      <c r="G724" s="1" t="s">
        <v>4716</v>
      </c>
      <c r="H724" s="1" t="s">
        <v>4719</v>
      </c>
      <c r="I724" s="1" t="s">
        <v>4722</v>
      </c>
      <c r="J724" s="1" t="s">
        <v>39</v>
      </c>
      <c r="K724" s="1" t="s">
        <v>4802</v>
      </c>
      <c r="L724" s="1" t="s">
        <v>558</v>
      </c>
      <c r="M724" s="1" t="s">
        <v>172</v>
      </c>
      <c r="N724" s="1" t="s">
        <v>17</v>
      </c>
    </row>
    <row r="725" spans="1:14" x14ac:dyDescent="0.25">
      <c r="A725" s="1" t="s">
        <v>86</v>
      </c>
      <c r="B725" s="1" t="s">
        <v>5000</v>
      </c>
      <c r="C725" s="1" t="s">
        <v>362</v>
      </c>
      <c r="D725" s="8" t="s">
        <v>361</v>
      </c>
      <c r="E725" s="1" t="s">
        <v>298</v>
      </c>
      <c r="F725" s="1" t="s">
        <v>6435</v>
      </c>
      <c r="G725" s="1" t="s">
        <v>4716</v>
      </c>
      <c r="H725" s="1" t="s">
        <v>4719</v>
      </c>
      <c r="I725" s="1" t="s">
        <v>4721</v>
      </c>
      <c r="J725" s="1" t="s">
        <v>12</v>
      </c>
      <c r="K725" s="1" t="s">
        <v>4794</v>
      </c>
      <c r="L725" s="1" t="s">
        <v>210</v>
      </c>
      <c r="M725" s="1" t="s">
        <v>364</v>
      </c>
      <c r="N725" s="1" t="s">
        <v>37</v>
      </c>
    </row>
    <row r="726" spans="1:14" x14ac:dyDescent="0.25">
      <c r="A726" s="1" t="s">
        <v>86</v>
      </c>
      <c r="B726" s="1" t="s">
        <v>5001</v>
      </c>
      <c r="C726" s="1" t="s">
        <v>1551</v>
      </c>
      <c r="D726" s="8" t="s">
        <v>1550</v>
      </c>
      <c r="E726" s="1" t="s">
        <v>817</v>
      </c>
      <c r="F726" s="1" t="s">
        <v>4713</v>
      </c>
      <c r="G726" s="1" t="s">
        <v>4716</v>
      </c>
      <c r="H726" s="1" t="s">
        <v>4719</v>
      </c>
      <c r="I726" s="1" t="s">
        <v>6407</v>
      </c>
      <c r="J726" s="1" t="s">
        <v>39</v>
      </c>
      <c r="K726" s="1" t="s">
        <v>4802</v>
      </c>
      <c r="L726" s="1" t="s">
        <v>217</v>
      </c>
      <c r="M726" s="1" t="s">
        <v>202</v>
      </c>
      <c r="N726" s="1" t="s">
        <v>76</v>
      </c>
    </row>
    <row r="727" spans="1:14" x14ac:dyDescent="0.25">
      <c r="A727" s="1" t="s">
        <v>86</v>
      </c>
      <c r="B727" s="1" t="s">
        <v>5003</v>
      </c>
      <c r="C727" s="1" t="s">
        <v>2939</v>
      </c>
      <c r="D727" s="8" t="s">
        <v>2938</v>
      </c>
      <c r="E727" s="1" t="s">
        <v>2894</v>
      </c>
      <c r="F727" s="1" t="s">
        <v>4708</v>
      </c>
      <c r="G727" s="1" t="s">
        <v>4716</v>
      </c>
      <c r="H727" s="1" t="s">
        <v>4719</v>
      </c>
      <c r="I727" s="1" t="s">
        <v>4721</v>
      </c>
      <c r="J727" s="1" t="s">
        <v>12</v>
      </c>
      <c r="K727" s="1" t="s">
        <v>4785</v>
      </c>
      <c r="L727" s="1" t="s">
        <v>164</v>
      </c>
      <c r="M727" s="1" t="s">
        <v>364</v>
      </c>
      <c r="N727" s="1" t="s">
        <v>37</v>
      </c>
    </row>
    <row r="728" spans="1:14" x14ac:dyDescent="0.25">
      <c r="A728" s="1" t="s">
        <v>86</v>
      </c>
      <c r="B728" s="1" t="s">
        <v>5004</v>
      </c>
      <c r="C728" s="1" t="s">
        <v>1660</v>
      </c>
      <c r="D728" s="8" t="s">
        <v>1659</v>
      </c>
      <c r="E728" s="1" t="s">
        <v>559</v>
      </c>
      <c r="F728" s="1" t="s">
        <v>4713</v>
      </c>
      <c r="G728" s="1" t="s">
        <v>4716</v>
      </c>
      <c r="H728" s="1" t="s">
        <v>4719</v>
      </c>
      <c r="I728" s="1" t="s">
        <v>4721</v>
      </c>
      <c r="J728" s="1" t="s">
        <v>12</v>
      </c>
      <c r="K728" s="1" t="s">
        <v>4802</v>
      </c>
      <c r="L728" s="1" t="s">
        <v>558</v>
      </c>
      <c r="M728" s="1" t="s">
        <v>149</v>
      </c>
      <c r="N728" s="1" t="s">
        <v>61</v>
      </c>
    </row>
    <row r="729" spans="1:14" x14ac:dyDescent="0.25">
      <c r="A729" s="1" t="s">
        <v>86</v>
      </c>
      <c r="B729" s="1" t="s">
        <v>5175</v>
      </c>
      <c r="C729" s="1" t="s">
        <v>3160</v>
      </c>
      <c r="D729" s="8" t="s">
        <v>3159</v>
      </c>
      <c r="E729" s="1" t="s">
        <v>817</v>
      </c>
      <c r="F729" s="1" t="s">
        <v>4713</v>
      </c>
      <c r="G729" s="1" t="s">
        <v>4716</v>
      </c>
      <c r="H729" s="1" t="s">
        <v>4719</v>
      </c>
      <c r="I729" s="1" t="s">
        <v>4721</v>
      </c>
      <c r="J729" s="1" t="s">
        <v>12</v>
      </c>
      <c r="K729" s="1" t="s">
        <v>4802</v>
      </c>
      <c r="L729" s="1" t="s">
        <v>217</v>
      </c>
      <c r="M729" s="1" t="s">
        <v>630</v>
      </c>
      <c r="N729" s="1" t="s">
        <v>21</v>
      </c>
    </row>
    <row r="730" spans="1:14" x14ac:dyDescent="0.25">
      <c r="A730" s="1" t="s">
        <v>86</v>
      </c>
      <c r="B730" s="1" t="s">
        <v>5007</v>
      </c>
      <c r="C730" s="1" t="s">
        <v>4355</v>
      </c>
      <c r="D730" s="8" t="s">
        <v>4354</v>
      </c>
      <c r="E730" s="1" t="s">
        <v>445</v>
      </c>
      <c r="F730" s="1" t="s">
        <v>6445</v>
      </c>
      <c r="G730" s="1" t="s">
        <v>4717</v>
      </c>
      <c r="H730" s="1" t="s">
        <v>4719</v>
      </c>
      <c r="I730" s="1" t="s">
        <v>4721</v>
      </c>
      <c r="J730" s="1" t="s">
        <v>12</v>
      </c>
      <c r="K730" s="1" t="s">
        <v>4782</v>
      </c>
      <c r="L730" s="1" t="s">
        <v>122</v>
      </c>
      <c r="M730" s="1" t="s">
        <v>89</v>
      </c>
      <c r="N730" s="1" t="s">
        <v>37</v>
      </c>
    </row>
    <row r="731" spans="1:14" x14ac:dyDescent="0.25">
      <c r="A731" s="1" t="s">
        <v>86</v>
      </c>
      <c r="B731" s="1" t="s">
        <v>5010</v>
      </c>
      <c r="C731" s="1" t="s">
        <v>2680</v>
      </c>
      <c r="D731" s="8" t="s">
        <v>2679</v>
      </c>
      <c r="E731" s="1" t="s">
        <v>199</v>
      </c>
      <c r="F731" s="1" t="s">
        <v>4709</v>
      </c>
      <c r="G731" s="1" t="s">
        <v>4716</v>
      </c>
      <c r="H731" s="1" t="s">
        <v>4719</v>
      </c>
      <c r="I731" s="1" t="s">
        <v>4721</v>
      </c>
      <c r="J731" s="1" t="s">
        <v>12</v>
      </c>
      <c r="K731" s="1" t="s">
        <v>4796</v>
      </c>
      <c r="L731" s="1" t="s">
        <v>198</v>
      </c>
      <c r="M731" s="1" t="s">
        <v>136</v>
      </c>
      <c r="N731" s="1" t="s">
        <v>72</v>
      </c>
    </row>
    <row r="732" spans="1:14" x14ac:dyDescent="0.25">
      <c r="A732" s="1" t="s">
        <v>86</v>
      </c>
      <c r="B732" s="1" t="s">
        <v>5016</v>
      </c>
      <c r="C732" s="1" t="s">
        <v>1536</v>
      </c>
      <c r="D732" s="8" t="s">
        <v>1535</v>
      </c>
      <c r="E732" s="1" t="s">
        <v>274</v>
      </c>
      <c r="F732" s="1" t="s">
        <v>6435</v>
      </c>
      <c r="G732" s="1" t="s">
        <v>4716</v>
      </c>
      <c r="H732" s="1" t="s">
        <v>4719</v>
      </c>
      <c r="I732" s="1" t="s">
        <v>4721</v>
      </c>
      <c r="J732" s="1" t="s">
        <v>12</v>
      </c>
      <c r="K732" s="1" t="s">
        <v>4846</v>
      </c>
      <c r="L732" s="1" t="s">
        <v>210</v>
      </c>
      <c r="M732" s="1" t="s">
        <v>41</v>
      </c>
      <c r="N732" s="1" t="s">
        <v>42</v>
      </c>
    </row>
    <row r="733" spans="1:14" x14ac:dyDescent="0.25">
      <c r="A733" s="1" t="s">
        <v>86</v>
      </c>
      <c r="B733" s="1" t="s">
        <v>5186</v>
      </c>
      <c r="C733" s="1" t="s">
        <v>4029</v>
      </c>
      <c r="D733" s="8" t="s">
        <v>4028</v>
      </c>
      <c r="E733" s="1" t="s">
        <v>199</v>
      </c>
      <c r="F733" s="1" t="s">
        <v>4709</v>
      </c>
      <c r="G733" s="1" t="s">
        <v>4716</v>
      </c>
      <c r="H733" s="1" t="s">
        <v>4719</v>
      </c>
      <c r="I733" s="1" t="s">
        <v>4721</v>
      </c>
      <c r="J733" s="1" t="s">
        <v>12</v>
      </c>
      <c r="K733" s="1" t="s">
        <v>4796</v>
      </c>
      <c r="L733" s="1" t="s">
        <v>198</v>
      </c>
      <c r="M733" s="1" t="s">
        <v>630</v>
      </c>
      <c r="N733" s="1" t="s">
        <v>21</v>
      </c>
    </row>
    <row r="734" spans="1:14" x14ac:dyDescent="0.25">
      <c r="A734" s="1" t="s">
        <v>86</v>
      </c>
      <c r="B734" s="1" t="s">
        <v>5191</v>
      </c>
      <c r="C734" s="1" t="s">
        <v>504</v>
      </c>
      <c r="D734" s="8" t="s">
        <v>503</v>
      </c>
      <c r="E734" s="1" t="s">
        <v>505</v>
      </c>
      <c r="F734" s="1" t="s">
        <v>6440</v>
      </c>
      <c r="G734" s="1" t="s">
        <v>4716</v>
      </c>
      <c r="H734" s="1" t="s">
        <v>4719</v>
      </c>
      <c r="I734" s="1" t="s">
        <v>4721</v>
      </c>
      <c r="J734" s="1" t="s">
        <v>12</v>
      </c>
      <c r="K734" s="1" t="s">
        <v>4887</v>
      </c>
      <c r="L734" s="1" t="s">
        <v>164</v>
      </c>
      <c r="M734" s="1" t="s">
        <v>172</v>
      </c>
      <c r="N734" s="1" t="s">
        <v>17</v>
      </c>
    </row>
    <row r="735" spans="1:14" x14ac:dyDescent="0.25">
      <c r="A735" s="1" t="s">
        <v>86</v>
      </c>
      <c r="B735" s="1" t="s">
        <v>5025</v>
      </c>
      <c r="C735" s="1" t="s">
        <v>1271</v>
      </c>
      <c r="D735" s="8" t="s">
        <v>1270</v>
      </c>
      <c r="E735" s="1" t="s">
        <v>497</v>
      </c>
      <c r="F735" s="1" t="s">
        <v>6446</v>
      </c>
      <c r="G735" s="1" t="s">
        <v>4717</v>
      </c>
      <c r="H735" s="1" t="s">
        <v>4719</v>
      </c>
      <c r="I735" s="1" t="s">
        <v>4721</v>
      </c>
      <c r="J735" s="1" t="s">
        <v>12</v>
      </c>
      <c r="K735" s="1" t="s">
        <v>4799</v>
      </c>
      <c r="L735" s="1" t="s">
        <v>164</v>
      </c>
      <c r="M735" s="1" t="s">
        <v>58</v>
      </c>
      <c r="N735" s="1" t="s">
        <v>61</v>
      </c>
    </row>
    <row r="736" spans="1:14" x14ac:dyDescent="0.25">
      <c r="A736" s="1" t="s">
        <v>86</v>
      </c>
      <c r="B736" s="1" t="s">
        <v>5196</v>
      </c>
      <c r="C736" s="1" t="s">
        <v>1105</v>
      </c>
      <c r="D736" s="8" t="s">
        <v>1104</v>
      </c>
      <c r="E736" s="1" t="s">
        <v>325</v>
      </c>
      <c r="F736" s="1" t="s">
        <v>4714</v>
      </c>
      <c r="G736" s="1" t="s">
        <v>4715</v>
      </c>
      <c r="H736" s="1" t="s">
        <v>4719</v>
      </c>
      <c r="I736" s="1" t="s">
        <v>4721</v>
      </c>
      <c r="J736" s="1" t="s">
        <v>12</v>
      </c>
      <c r="K736" s="1" t="s">
        <v>4777</v>
      </c>
      <c r="L736" s="1" t="s">
        <v>283</v>
      </c>
      <c r="M736" s="1" t="s">
        <v>245</v>
      </c>
      <c r="N736" s="1" t="s">
        <v>21</v>
      </c>
    </row>
    <row r="737" spans="1:14" x14ac:dyDescent="0.25">
      <c r="A737" s="1" t="s">
        <v>86</v>
      </c>
      <c r="B737" s="1" t="s">
        <v>5201</v>
      </c>
      <c r="C737" s="1" t="s">
        <v>2280</v>
      </c>
      <c r="D737" s="8" t="s">
        <v>2279</v>
      </c>
      <c r="E737" s="1" t="s">
        <v>88</v>
      </c>
      <c r="F737" s="1" t="s">
        <v>4709</v>
      </c>
      <c r="G737" s="1" t="s">
        <v>4716</v>
      </c>
      <c r="H737" s="1" t="s">
        <v>4719</v>
      </c>
      <c r="I737" s="1" t="s">
        <v>4721</v>
      </c>
      <c r="J737" s="1" t="s">
        <v>12</v>
      </c>
      <c r="K737" s="1" t="s">
        <v>4796</v>
      </c>
      <c r="L737" s="1" t="s">
        <v>87</v>
      </c>
      <c r="M737" s="1" t="s">
        <v>58</v>
      </c>
      <c r="N737" s="1" t="s">
        <v>61</v>
      </c>
    </row>
    <row r="738" spans="1:14" x14ac:dyDescent="0.25">
      <c r="A738" s="1" t="s">
        <v>86</v>
      </c>
      <c r="B738" s="1" t="s">
        <v>5031</v>
      </c>
      <c r="C738" s="1" t="s">
        <v>3477</v>
      </c>
      <c r="D738" s="8" t="s">
        <v>3475</v>
      </c>
      <c r="E738" s="1" t="s">
        <v>497</v>
      </c>
      <c r="F738" s="1" t="s">
        <v>6447</v>
      </c>
      <c r="G738" s="1" t="s">
        <v>4717</v>
      </c>
      <c r="H738" s="1" t="s">
        <v>4719</v>
      </c>
      <c r="I738" s="1" t="s">
        <v>4721</v>
      </c>
      <c r="J738" s="1" t="s">
        <v>12</v>
      </c>
      <c r="K738" s="1" t="s">
        <v>4800</v>
      </c>
      <c r="L738" s="1" t="s">
        <v>164</v>
      </c>
      <c r="M738" s="1" t="s">
        <v>58</v>
      </c>
      <c r="N738" s="1" t="s">
        <v>61</v>
      </c>
    </row>
    <row r="739" spans="1:14" x14ac:dyDescent="0.25">
      <c r="A739" s="1" t="s">
        <v>86</v>
      </c>
      <c r="B739" s="1" t="s">
        <v>5589</v>
      </c>
      <c r="C739" s="1" t="s">
        <v>4090</v>
      </c>
      <c r="D739" s="8" t="s">
        <v>4089</v>
      </c>
      <c r="E739" s="1" t="s">
        <v>123</v>
      </c>
      <c r="F739" s="1" t="s">
        <v>4711</v>
      </c>
      <c r="G739" s="1" t="s">
        <v>4715</v>
      </c>
      <c r="H739" s="1" t="s">
        <v>4719</v>
      </c>
      <c r="I739" s="1" t="s">
        <v>4721</v>
      </c>
      <c r="J739" s="1" t="s">
        <v>12</v>
      </c>
      <c r="K739" s="1" t="s">
        <v>4784</v>
      </c>
      <c r="L739" s="1" t="s">
        <v>122</v>
      </c>
      <c r="M739" s="1" t="s">
        <v>58</v>
      </c>
      <c r="N739" s="1" t="s">
        <v>61</v>
      </c>
    </row>
    <row r="740" spans="1:14" x14ac:dyDescent="0.25">
      <c r="A740" s="1" t="s">
        <v>86</v>
      </c>
      <c r="B740" s="1" t="s">
        <v>5591</v>
      </c>
      <c r="C740" s="1" t="s">
        <v>3004</v>
      </c>
      <c r="D740" s="8" t="s">
        <v>138</v>
      </c>
      <c r="E740" s="1" t="s">
        <v>205</v>
      </c>
      <c r="F740" s="1" t="s">
        <v>6438</v>
      </c>
      <c r="G740" s="1" t="s">
        <v>4716</v>
      </c>
      <c r="H740" s="1" t="s">
        <v>4719</v>
      </c>
      <c r="I740" s="1" t="s">
        <v>4721</v>
      </c>
      <c r="J740" s="1" t="s">
        <v>12</v>
      </c>
      <c r="K740" s="1" t="s">
        <v>4783</v>
      </c>
      <c r="L740" s="1" t="s">
        <v>122</v>
      </c>
      <c r="M740" s="1" t="s">
        <v>136</v>
      </c>
      <c r="N740" s="1" t="s">
        <v>72</v>
      </c>
    </row>
    <row r="741" spans="1:14" x14ac:dyDescent="0.25">
      <c r="A741" s="1" t="s">
        <v>86</v>
      </c>
      <c r="B741" s="1" t="s">
        <v>5592</v>
      </c>
      <c r="C741" s="1" t="s">
        <v>1841</v>
      </c>
      <c r="D741" s="8" t="s">
        <v>1840</v>
      </c>
      <c r="E741" s="1" t="s">
        <v>594</v>
      </c>
      <c r="F741" s="1" t="s">
        <v>6437</v>
      </c>
      <c r="G741" s="1" t="s">
        <v>4715</v>
      </c>
      <c r="H741" s="1" t="s">
        <v>4719</v>
      </c>
      <c r="I741" s="1" t="s">
        <v>4721</v>
      </c>
      <c r="J741" s="1" t="s">
        <v>12</v>
      </c>
      <c r="K741" s="1" t="s">
        <v>4765</v>
      </c>
      <c r="L741" s="1" t="s">
        <v>122</v>
      </c>
      <c r="M741" s="1" t="s">
        <v>99</v>
      </c>
      <c r="N741" s="1" t="s">
        <v>25</v>
      </c>
    </row>
    <row r="742" spans="1:14" x14ac:dyDescent="0.25">
      <c r="A742" s="1" t="s">
        <v>86</v>
      </c>
      <c r="B742" s="1" t="s">
        <v>5036</v>
      </c>
      <c r="C742" s="1" t="s">
        <v>2554</v>
      </c>
      <c r="D742" s="8" t="s">
        <v>2553</v>
      </c>
      <c r="E742" s="1" t="s">
        <v>497</v>
      </c>
      <c r="F742" s="1" t="s">
        <v>4710</v>
      </c>
      <c r="G742" s="1" t="s">
        <v>4716</v>
      </c>
      <c r="H742" s="1" t="s">
        <v>4719</v>
      </c>
      <c r="I742" s="1" t="s">
        <v>4721</v>
      </c>
      <c r="J742" s="1" t="s">
        <v>12</v>
      </c>
      <c r="K742" s="1" t="s">
        <v>4766</v>
      </c>
      <c r="L742" s="1" t="s">
        <v>164</v>
      </c>
      <c r="M742" s="1" t="s">
        <v>41</v>
      </c>
      <c r="N742" s="1" t="s">
        <v>42</v>
      </c>
    </row>
    <row r="743" spans="1:14" x14ac:dyDescent="0.25">
      <c r="A743" s="1" t="s">
        <v>86</v>
      </c>
      <c r="B743" s="1" t="s">
        <v>5038</v>
      </c>
      <c r="C743" s="1" t="s">
        <v>2542</v>
      </c>
      <c r="D743" s="8" t="s">
        <v>2541</v>
      </c>
      <c r="E743" s="1" t="s">
        <v>123</v>
      </c>
      <c r="F743" s="1" t="s">
        <v>6446</v>
      </c>
      <c r="G743" s="1" t="s">
        <v>4717</v>
      </c>
      <c r="H743" s="1" t="s">
        <v>4719</v>
      </c>
      <c r="I743" s="1" t="s">
        <v>4721</v>
      </c>
      <c r="J743" s="1" t="s">
        <v>12</v>
      </c>
      <c r="K743" s="1" t="s">
        <v>4771</v>
      </c>
      <c r="L743" s="1" t="s">
        <v>122</v>
      </c>
      <c r="M743" s="1" t="s">
        <v>58</v>
      </c>
      <c r="N743" s="1" t="s">
        <v>61</v>
      </c>
    </row>
    <row r="744" spans="1:14" x14ac:dyDescent="0.25">
      <c r="A744" s="1" t="s">
        <v>86</v>
      </c>
      <c r="B744" s="1" t="s">
        <v>5596</v>
      </c>
      <c r="C744" s="1" t="s">
        <v>1491</v>
      </c>
      <c r="D744" s="8" t="s">
        <v>1490</v>
      </c>
      <c r="E744" s="1" t="s">
        <v>817</v>
      </c>
      <c r="F744" s="1" t="s">
        <v>4713</v>
      </c>
      <c r="G744" s="1" t="s">
        <v>4716</v>
      </c>
      <c r="H744" s="1" t="s">
        <v>4719</v>
      </c>
      <c r="I744" s="1" t="s">
        <v>4721</v>
      </c>
      <c r="J744" s="1" t="s">
        <v>12</v>
      </c>
      <c r="K744" s="1" t="s">
        <v>4802</v>
      </c>
      <c r="L744" s="1" t="s">
        <v>217</v>
      </c>
      <c r="M744" s="1" t="s">
        <v>172</v>
      </c>
      <c r="N744" s="1" t="s">
        <v>17</v>
      </c>
    </row>
    <row r="745" spans="1:14" x14ac:dyDescent="0.25">
      <c r="A745" s="1" t="s">
        <v>86</v>
      </c>
      <c r="B745" s="1" t="s">
        <v>5041</v>
      </c>
      <c r="C745" s="1" t="s">
        <v>1657</v>
      </c>
      <c r="D745" s="8" t="s">
        <v>1656</v>
      </c>
      <c r="E745" s="1" t="s">
        <v>590</v>
      </c>
      <c r="F745" s="1" t="s">
        <v>6434</v>
      </c>
      <c r="G745" s="1" t="s">
        <v>4715</v>
      </c>
      <c r="H745" s="1" t="s">
        <v>4719</v>
      </c>
      <c r="I745" s="1" t="s">
        <v>6407</v>
      </c>
      <c r="J745" s="1" t="s">
        <v>39</v>
      </c>
      <c r="K745" s="1" t="s">
        <v>4784</v>
      </c>
      <c r="L745" s="1" t="s">
        <v>122</v>
      </c>
      <c r="M745" s="1" t="s">
        <v>245</v>
      </c>
      <c r="N745" s="1" t="s">
        <v>21</v>
      </c>
    </row>
    <row r="746" spans="1:14" x14ac:dyDescent="0.25">
      <c r="A746" s="1" t="s">
        <v>86</v>
      </c>
      <c r="B746" s="1" t="s">
        <v>5598</v>
      </c>
      <c r="C746" s="1" t="s">
        <v>4129</v>
      </c>
      <c r="D746" s="8" t="s">
        <v>4128</v>
      </c>
      <c r="E746" s="1" t="s">
        <v>505</v>
      </c>
      <c r="F746" s="1" t="s">
        <v>6419</v>
      </c>
      <c r="G746" s="1" t="s">
        <v>6419</v>
      </c>
      <c r="H746" s="1" t="s">
        <v>6419</v>
      </c>
      <c r="I746" s="1" t="s">
        <v>4722</v>
      </c>
      <c r="J746" s="1" t="s">
        <v>39</v>
      </c>
      <c r="K746" s="1" t="s">
        <v>4785</v>
      </c>
      <c r="L746" s="1" t="s">
        <v>164</v>
      </c>
      <c r="M746" s="1" t="s">
        <v>245</v>
      </c>
      <c r="N746" s="1" t="s">
        <v>21</v>
      </c>
    </row>
    <row r="747" spans="1:14" x14ac:dyDescent="0.25">
      <c r="A747" s="1" t="s">
        <v>86</v>
      </c>
      <c r="B747" s="1" t="s">
        <v>5043</v>
      </c>
      <c r="C747" s="1" t="s">
        <v>2930</v>
      </c>
      <c r="D747" s="8" t="s">
        <v>2929</v>
      </c>
      <c r="E747" s="1" t="s">
        <v>505</v>
      </c>
      <c r="F747" s="1" t="s">
        <v>4708</v>
      </c>
      <c r="G747" s="1" t="s">
        <v>4716</v>
      </c>
      <c r="H747" s="1" t="s">
        <v>4719</v>
      </c>
      <c r="I747" s="1" t="s">
        <v>6407</v>
      </c>
      <c r="J747" s="1" t="s">
        <v>39</v>
      </c>
      <c r="K747" s="1" t="s">
        <v>4785</v>
      </c>
      <c r="L747" s="1" t="s">
        <v>164</v>
      </c>
      <c r="M747" s="1" t="s">
        <v>245</v>
      </c>
      <c r="N747" s="1" t="s">
        <v>21</v>
      </c>
    </row>
    <row r="748" spans="1:14" x14ac:dyDescent="0.25">
      <c r="A748" s="1" t="s">
        <v>86</v>
      </c>
      <c r="B748" s="1" t="s">
        <v>5609</v>
      </c>
      <c r="C748" s="1" t="s">
        <v>2548</v>
      </c>
      <c r="D748" s="8" t="s">
        <v>2547</v>
      </c>
      <c r="E748" s="1" t="s">
        <v>1029</v>
      </c>
      <c r="F748" s="1" t="s">
        <v>6446</v>
      </c>
      <c r="G748" s="1" t="s">
        <v>4717</v>
      </c>
      <c r="H748" s="1" t="s">
        <v>4719</v>
      </c>
      <c r="I748" s="1" t="s">
        <v>4721</v>
      </c>
      <c r="J748" s="1" t="s">
        <v>12</v>
      </c>
      <c r="K748" s="1" t="s">
        <v>4797</v>
      </c>
      <c r="L748" s="1" t="s">
        <v>122</v>
      </c>
      <c r="M748" s="1" t="s">
        <v>58</v>
      </c>
      <c r="N748" s="1" t="s">
        <v>61</v>
      </c>
    </row>
    <row r="749" spans="1:14" x14ac:dyDescent="0.25">
      <c r="A749" s="1" t="s">
        <v>86</v>
      </c>
      <c r="B749" s="1" t="s">
        <v>5064</v>
      </c>
      <c r="C749" s="1" t="s">
        <v>237</v>
      </c>
      <c r="D749" s="8" t="s">
        <v>236</v>
      </c>
      <c r="E749" s="1" t="s">
        <v>590</v>
      </c>
      <c r="F749" s="1" t="s">
        <v>6440</v>
      </c>
      <c r="G749" s="1" t="s">
        <v>4716</v>
      </c>
      <c r="H749" s="1" t="s">
        <v>4719</v>
      </c>
      <c r="I749" s="1" t="s">
        <v>4721</v>
      </c>
      <c r="J749" s="1" t="s">
        <v>12</v>
      </c>
      <c r="K749" s="1" t="s">
        <v>4887</v>
      </c>
      <c r="L749" s="1" t="s">
        <v>122</v>
      </c>
      <c r="M749" s="1" t="s">
        <v>172</v>
      </c>
      <c r="N749" s="1" t="s">
        <v>17</v>
      </c>
    </row>
    <row r="750" spans="1:14" x14ac:dyDescent="0.25">
      <c r="A750" s="1" t="s">
        <v>86</v>
      </c>
      <c r="B750" s="1" t="s">
        <v>5615</v>
      </c>
      <c r="C750" s="1" t="s">
        <v>3659</v>
      </c>
      <c r="D750" s="8" t="s">
        <v>3658</v>
      </c>
      <c r="E750" s="1" t="s">
        <v>363</v>
      </c>
      <c r="F750" s="1" t="s">
        <v>6440</v>
      </c>
      <c r="G750" s="1" t="s">
        <v>4716</v>
      </c>
      <c r="H750" s="1" t="s">
        <v>4719</v>
      </c>
      <c r="I750" s="1" t="s">
        <v>4721</v>
      </c>
      <c r="J750" s="1" t="s">
        <v>12</v>
      </c>
      <c r="K750" s="1" t="s">
        <v>4887</v>
      </c>
      <c r="L750" s="1" t="s">
        <v>210</v>
      </c>
      <c r="M750" s="1" t="s">
        <v>172</v>
      </c>
      <c r="N750" s="1" t="s">
        <v>17</v>
      </c>
    </row>
    <row r="751" spans="1:14" x14ac:dyDescent="0.25">
      <c r="A751" s="1" t="s">
        <v>86</v>
      </c>
      <c r="B751" s="1" t="s">
        <v>5619</v>
      </c>
      <c r="C751" s="1" t="s">
        <v>2198</v>
      </c>
      <c r="D751" s="8" t="s">
        <v>2197</v>
      </c>
      <c r="E751" s="1" t="s">
        <v>284</v>
      </c>
      <c r="F751" s="1" t="s">
        <v>4714</v>
      </c>
      <c r="G751" s="1" t="s">
        <v>4715</v>
      </c>
      <c r="H751" s="1" t="s">
        <v>4719</v>
      </c>
      <c r="I751" s="1" t="s">
        <v>4722</v>
      </c>
      <c r="J751" s="1" t="s">
        <v>39</v>
      </c>
      <c r="K751" s="1" t="s">
        <v>4777</v>
      </c>
      <c r="L751" s="1" t="s">
        <v>283</v>
      </c>
      <c r="M751" s="1" t="s">
        <v>245</v>
      </c>
      <c r="N751" s="1" t="s">
        <v>21</v>
      </c>
    </row>
    <row r="752" spans="1:14" x14ac:dyDescent="0.25">
      <c r="A752" s="1" t="s">
        <v>86</v>
      </c>
      <c r="B752" s="1" t="s">
        <v>5066</v>
      </c>
      <c r="C752" s="1" t="s">
        <v>4005</v>
      </c>
      <c r="D752" s="8" t="s">
        <v>4004</v>
      </c>
      <c r="E752" s="1" t="s">
        <v>1320</v>
      </c>
      <c r="F752" s="1" t="s">
        <v>4709</v>
      </c>
      <c r="G752" s="1" t="s">
        <v>4716</v>
      </c>
      <c r="H752" s="1" t="s">
        <v>4719</v>
      </c>
      <c r="I752" s="1" t="s">
        <v>4722</v>
      </c>
      <c r="J752" s="1" t="s">
        <v>39</v>
      </c>
      <c r="K752" s="1" t="s">
        <v>4898</v>
      </c>
      <c r="L752" s="1" t="s">
        <v>1321</v>
      </c>
      <c r="M752" s="1" t="s">
        <v>630</v>
      </c>
      <c r="N752" s="1" t="s">
        <v>21</v>
      </c>
    </row>
    <row r="753" spans="1:14" x14ac:dyDescent="0.25">
      <c r="A753" s="1" t="s">
        <v>86</v>
      </c>
      <c r="B753" s="1" t="s">
        <v>5067</v>
      </c>
      <c r="C753" s="1" t="s">
        <v>928</v>
      </c>
      <c r="D753" s="8" t="s">
        <v>927</v>
      </c>
      <c r="E753" s="1" t="s">
        <v>211</v>
      </c>
      <c r="F753" s="1" t="s">
        <v>6435</v>
      </c>
      <c r="G753" s="1" t="s">
        <v>4716</v>
      </c>
      <c r="H753" s="1" t="s">
        <v>4719</v>
      </c>
      <c r="I753" s="1" t="s">
        <v>4722</v>
      </c>
      <c r="J753" s="1" t="s">
        <v>39</v>
      </c>
      <c r="K753" s="1" t="s">
        <v>4846</v>
      </c>
      <c r="L753" s="1" t="s">
        <v>210</v>
      </c>
      <c r="M753" s="1" t="s">
        <v>245</v>
      </c>
      <c r="N753" s="1" t="s">
        <v>21</v>
      </c>
    </row>
    <row r="754" spans="1:14" x14ac:dyDescent="0.25">
      <c r="A754" s="1" t="s">
        <v>86</v>
      </c>
      <c r="B754" s="1" t="s">
        <v>5620</v>
      </c>
      <c r="C754" s="1" t="s">
        <v>3662</v>
      </c>
      <c r="D754" s="8" t="s">
        <v>3661</v>
      </c>
      <c r="E754" s="1" t="s">
        <v>123</v>
      </c>
      <c r="F754" s="1" t="s">
        <v>6440</v>
      </c>
      <c r="G754" s="1" t="s">
        <v>4716</v>
      </c>
      <c r="H754" s="1" t="s">
        <v>4719</v>
      </c>
      <c r="I754" s="1" t="s">
        <v>4721</v>
      </c>
      <c r="J754" s="1" t="s">
        <v>12</v>
      </c>
      <c r="K754" s="1" t="s">
        <v>4887</v>
      </c>
      <c r="L754" s="1" t="s">
        <v>122</v>
      </c>
      <c r="M754" s="1" t="s">
        <v>172</v>
      </c>
      <c r="N754" s="1" t="s">
        <v>17</v>
      </c>
    </row>
    <row r="755" spans="1:14" x14ac:dyDescent="0.25">
      <c r="A755" s="1" t="s">
        <v>86</v>
      </c>
      <c r="B755" s="1" t="s">
        <v>5622</v>
      </c>
      <c r="C755" s="1" t="s">
        <v>2304</v>
      </c>
      <c r="D755" s="8" t="s">
        <v>2303</v>
      </c>
      <c r="E755" s="1" t="s">
        <v>1320</v>
      </c>
      <c r="F755" s="1" t="s">
        <v>4709</v>
      </c>
      <c r="G755" s="1" t="s">
        <v>4716</v>
      </c>
      <c r="H755" s="1" t="s">
        <v>4719</v>
      </c>
      <c r="I755" s="1" t="s">
        <v>4721</v>
      </c>
      <c r="J755" s="1" t="s">
        <v>12</v>
      </c>
      <c r="K755" s="1" t="s">
        <v>4898</v>
      </c>
      <c r="L755" s="1" t="s">
        <v>1321</v>
      </c>
      <c r="M755" s="1" t="s">
        <v>630</v>
      </c>
      <c r="N755" s="1" t="s">
        <v>21</v>
      </c>
    </row>
    <row r="756" spans="1:14" x14ac:dyDescent="0.25">
      <c r="A756" s="1" t="s">
        <v>86</v>
      </c>
      <c r="B756" s="1" t="s">
        <v>5625</v>
      </c>
      <c r="C756" s="1" t="s">
        <v>171</v>
      </c>
      <c r="D756" s="8" t="s">
        <v>170</v>
      </c>
      <c r="E756" s="1" t="s">
        <v>165</v>
      </c>
      <c r="F756" s="1" t="s">
        <v>6440</v>
      </c>
      <c r="G756" s="1" t="s">
        <v>4716</v>
      </c>
      <c r="H756" s="1" t="s">
        <v>4719</v>
      </c>
      <c r="I756" s="1" t="s">
        <v>4721</v>
      </c>
      <c r="J756" s="1" t="s">
        <v>12</v>
      </c>
      <c r="K756" s="1" t="s">
        <v>4887</v>
      </c>
      <c r="L756" s="1" t="s">
        <v>164</v>
      </c>
      <c r="M756" s="1" t="s">
        <v>172</v>
      </c>
      <c r="N756" s="1" t="s">
        <v>17</v>
      </c>
    </row>
    <row r="757" spans="1:14" x14ac:dyDescent="0.25">
      <c r="A757" s="1" t="s">
        <v>86</v>
      </c>
      <c r="B757" s="1" t="s">
        <v>5626</v>
      </c>
      <c r="C757" s="1" t="s">
        <v>730</v>
      </c>
      <c r="D757" s="8" t="s">
        <v>729</v>
      </c>
      <c r="E757" s="1" t="s">
        <v>540</v>
      </c>
      <c r="F757" s="1" t="s">
        <v>4715</v>
      </c>
      <c r="G757" s="1" t="s">
        <v>4715</v>
      </c>
      <c r="H757" s="1" t="s">
        <v>4719</v>
      </c>
      <c r="I757" s="1" t="s">
        <v>4721</v>
      </c>
      <c r="J757" s="1" t="s">
        <v>12</v>
      </c>
      <c r="K757" s="1" t="s">
        <v>4765</v>
      </c>
      <c r="L757" s="1" t="s">
        <v>283</v>
      </c>
      <c r="M757" s="1" t="s">
        <v>99</v>
      </c>
      <c r="N757" s="1" t="s">
        <v>25</v>
      </c>
    </row>
    <row r="758" spans="1:14" x14ac:dyDescent="0.25">
      <c r="A758" s="1" t="s">
        <v>86</v>
      </c>
      <c r="B758" s="1" t="s">
        <v>5629</v>
      </c>
      <c r="C758" s="1" t="s">
        <v>3127</v>
      </c>
      <c r="D758" s="8" t="s">
        <v>3126</v>
      </c>
      <c r="E758" s="1" t="s">
        <v>497</v>
      </c>
      <c r="F758" s="1" t="s">
        <v>4710</v>
      </c>
      <c r="G758" s="1" t="s">
        <v>4716</v>
      </c>
      <c r="H758" s="1" t="s">
        <v>4719</v>
      </c>
      <c r="I758" s="1" t="s">
        <v>4721</v>
      </c>
      <c r="J758" s="1" t="s">
        <v>12</v>
      </c>
      <c r="K758" s="1" t="s">
        <v>4766</v>
      </c>
      <c r="L758" s="1" t="s">
        <v>164</v>
      </c>
      <c r="M758" s="1" t="s">
        <v>245</v>
      </c>
      <c r="N758" s="1" t="s">
        <v>21</v>
      </c>
    </row>
    <row r="759" spans="1:14" x14ac:dyDescent="0.25">
      <c r="A759" s="1" t="s">
        <v>86</v>
      </c>
      <c r="B759" s="1" t="s">
        <v>5074</v>
      </c>
      <c r="C759" s="1" t="s">
        <v>4054</v>
      </c>
      <c r="D759" s="8" t="s">
        <v>4053</v>
      </c>
      <c r="E759" s="1" t="s">
        <v>88</v>
      </c>
      <c r="F759" s="1" t="s">
        <v>4709</v>
      </c>
      <c r="G759" s="1" t="s">
        <v>4716</v>
      </c>
      <c r="H759" s="1" t="s">
        <v>4719</v>
      </c>
      <c r="I759" s="1" t="s">
        <v>4721</v>
      </c>
      <c r="J759" s="1" t="s">
        <v>12</v>
      </c>
      <c r="K759" s="1" t="s">
        <v>4796</v>
      </c>
      <c r="L759" s="1" t="s">
        <v>87</v>
      </c>
      <c r="M759" s="1" t="s">
        <v>630</v>
      </c>
      <c r="N759" s="1" t="s">
        <v>21</v>
      </c>
    </row>
    <row r="760" spans="1:14" x14ac:dyDescent="0.25">
      <c r="A760" s="1" t="s">
        <v>86</v>
      </c>
      <c r="B760" s="1" t="s">
        <v>5075</v>
      </c>
      <c r="C760" s="1" t="s">
        <v>1820</v>
      </c>
      <c r="D760" s="8" t="s">
        <v>1819</v>
      </c>
      <c r="E760" s="1" t="s">
        <v>540</v>
      </c>
      <c r="F760" s="1" t="s">
        <v>6437</v>
      </c>
      <c r="G760" s="1" t="s">
        <v>4715</v>
      </c>
      <c r="H760" s="1" t="s">
        <v>4719</v>
      </c>
      <c r="I760" s="1" t="s">
        <v>4721</v>
      </c>
      <c r="J760" s="1" t="s">
        <v>12</v>
      </c>
      <c r="K760" s="1" t="s">
        <v>4765</v>
      </c>
      <c r="L760" s="1" t="s">
        <v>283</v>
      </c>
      <c r="M760" s="1" t="s">
        <v>99</v>
      </c>
      <c r="N760" s="1" t="s">
        <v>25</v>
      </c>
    </row>
    <row r="761" spans="1:14" x14ac:dyDescent="0.25">
      <c r="A761" s="1" t="s">
        <v>86</v>
      </c>
      <c r="B761" s="1" t="s">
        <v>5630</v>
      </c>
      <c r="C761" s="1" t="s">
        <v>3142</v>
      </c>
      <c r="D761" s="8" t="s">
        <v>3141</v>
      </c>
      <c r="E761" s="1" t="s">
        <v>817</v>
      </c>
      <c r="F761" s="1" t="s">
        <v>4713</v>
      </c>
      <c r="G761" s="1" t="s">
        <v>4716</v>
      </c>
      <c r="H761" s="1" t="s">
        <v>4719</v>
      </c>
      <c r="I761" s="1" t="s">
        <v>4721</v>
      </c>
      <c r="J761" s="1" t="s">
        <v>12</v>
      </c>
      <c r="K761" s="1" t="s">
        <v>4802</v>
      </c>
      <c r="L761" s="1" t="s">
        <v>217</v>
      </c>
      <c r="M761" s="1" t="s">
        <v>637</v>
      </c>
      <c r="N761" s="1" t="s">
        <v>19</v>
      </c>
    </row>
    <row r="762" spans="1:14" x14ac:dyDescent="0.25">
      <c r="A762" s="1" t="s">
        <v>86</v>
      </c>
      <c r="B762" s="1" t="s">
        <v>5633</v>
      </c>
      <c r="C762" s="1" t="s">
        <v>2076</v>
      </c>
      <c r="D762" s="8" t="s">
        <v>2075</v>
      </c>
      <c r="E762" s="1" t="s">
        <v>325</v>
      </c>
      <c r="F762" s="1" t="s">
        <v>4714</v>
      </c>
      <c r="G762" s="1" t="s">
        <v>4715</v>
      </c>
      <c r="H762" s="1" t="s">
        <v>4719</v>
      </c>
      <c r="I762" s="1" t="s">
        <v>4722</v>
      </c>
      <c r="J762" s="1" t="s">
        <v>39</v>
      </c>
      <c r="K762" s="1" t="s">
        <v>4777</v>
      </c>
      <c r="L762" s="1" t="s">
        <v>283</v>
      </c>
      <c r="M762" s="1" t="s">
        <v>245</v>
      </c>
      <c r="N762" s="1" t="s">
        <v>21</v>
      </c>
    </row>
    <row r="763" spans="1:14" x14ac:dyDescent="0.25">
      <c r="A763" s="1" t="s">
        <v>86</v>
      </c>
      <c r="B763" s="1" t="s">
        <v>5078</v>
      </c>
      <c r="C763" s="1" t="s">
        <v>826</v>
      </c>
      <c r="D763" s="8" t="s">
        <v>825</v>
      </c>
      <c r="E763" s="1" t="s">
        <v>817</v>
      </c>
      <c r="F763" s="1" t="s">
        <v>6443</v>
      </c>
      <c r="G763" s="1" t="s">
        <v>4717</v>
      </c>
      <c r="H763" s="1" t="s">
        <v>4719</v>
      </c>
      <c r="I763" s="1" t="s">
        <v>4722</v>
      </c>
      <c r="J763" s="1" t="s">
        <v>39</v>
      </c>
      <c r="K763" s="1" t="s">
        <v>4795</v>
      </c>
      <c r="L763" s="1" t="s">
        <v>217</v>
      </c>
      <c r="M763" s="1" t="s">
        <v>58</v>
      </c>
      <c r="N763" s="1" t="s">
        <v>61</v>
      </c>
    </row>
    <row r="764" spans="1:14" x14ac:dyDescent="0.25">
      <c r="A764" s="1" t="s">
        <v>86</v>
      </c>
      <c r="B764" s="1" t="s">
        <v>5636</v>
      </c>
      <c r="C764" s="1" t="s">
        <v>2031</v>
      </c>
      <c r="D764" s="8" t="s">
        <v>2030</v>
      </c>
      <c r="E764" s="1" t="s">
        <v>165</v>
      </c>
      <c r="F764" s="1" t="s">
        <v>6440</v>
      </c>
      <c r="G764" s="1" t="s">
        <v>4716</v>
      </c>
      <c r="H764" s="1" t="s">
        <v>4719</v>
      </c>
      <c r="I764" s="1" t="s">
        <v>4721</v>
      </c>
      <c r="J764" s="1" t="s">
        <v>12</v>
      </c>
      <c r="K764" s="1" t="s">
        <v>4887</v>
      </c>
      <c r="L764" s="1" t="s">
        <v>164</v>
      </c>
      <c r="M764" s="1" t="s">
        <v>172</v>
      </c>
      <c r="N764" s="1" t="s">
        <v>17</v>
      </c>
    </row>
    <row r="765" spans="1:14" x14ac:dyDescent="0.25">
      <c r="A765" s="1" t="s">
        <v>86</v>
      </c>
      <c r="B765" s="1" t="s">
        <v>5638</v>
      </c>
      <c r="C765" s="1" t="s">
        <v>3656</v>
      </c>
      <c r="D765" s="8" t="s">
        <v>3655</v>
      </c>
      <c r="E765" s="1" t="s">
        <v>497</v>
      </c>
      <c r="F765" s="1" t="s">
        <v>6440</v>
      </c>
      <c r="G765" s="1" t="s">
        <v>4716</v>
      </c>
      <c r="H765" s="1" t="s">
        <v>4719</v>
      </c>
      <c r="I765" s="1" t="s">
        <v>4721</v>
      </c>
      <c r="J765" s="1" t="s">
        <v>12</v>
      </c>
      <c r="K765" s="1" t="s">
        <v>4887</v>
      </c>
      <c r="L765" s="1" t="s">
        <v>164</v>
      </c>
      <c r="M765" s="1" t="s">
        <v>172</v>
      </c>
      <c r="N765" s="1" t="s">
        <v>17</v>
      </c>
    </row>
    <row r="766" spans="1:14" x14ac:dyDescent="0.25">
      <c r="A766" s="1" t="s">
        <v>86</v>
      </c>
      <c r="B766" s="1" t="s">
        <v>5082</v>
      </c>
      <c r="C766" s="1" t="s">
        <v>616</v>
      </c>
      <c r="D766" s="8" t="s">
        <v>615</v>
      </c>
      <c r="E766" s="1" t="s">
        <v>594</v>
      </c>
      <c r="F766" s="1" t="s">
        <v>4715</v>
      </c>
      <c r="G766" s="1" t="s">
        <v>4715</v>
      </c>
      <c r="H766" s="1" t="s">
        <v>4719</v>
      </c>
      <c r="I766" s="1" t="s">
        <v>4721</v>
      </c>
      <c r="J766" s="1" t="s">
        <v>12</v>
      </c>
      <c r="K766" s="1" t="s">
        <v>4765</v>
      </c>
      <c r="L766" s="1" t="s">
        <v>122</v>
      </c>
      <c r="M766" s="1" t="s">
        <v>99</v>
      </c>
      <c r="N766" s="1" t="s">
        <v>25</v>
      </c>
    </row>
    <row r="767" spans="1:14" x14ac:dyDescent="0.25">
      <c r="A767" s="1" t="s">
        <v>86</v>
      </c>
      <c r="B767" s="1" t="s">
        <v>5641</v>
      </c>
      <c r="C767" s="1" t="s">
        <v>3464</v>
      </c>
      <c r="D767" s="8" t="s">
        <v>3463</v>
      </c>
      <c r="E767" s="1" t="s">
        <v>497</v>
      </c>
      <c r="F767" s="1" t="s">
        <v>4710</v>
      </c>
      <c r="G767" s="1" t="s">
        <v>4716</v>
      </c>
      <c r="H767" s="1" t="s">
        <v>4719</v>
      </c>
      <c r="I767" s="1" t="s">
        <v>4721</v>
      </c>
      <c r="J767" s="1" t="s">
        <v>12</v>
      </c>
      <c r="K767" s="1" t="s">
        <v>4766</v>
      </c>
      <c r="L767" s="1" t="s">
        <v>164</v>
      </c>
      <c r="M767" s="1" t="s">
        <v>711</v>
      </c>
      <c r="N767" s="1" t="s">
        <v>126</v>
      </c>
    </row>
    <row r="768" spans="1:14" x14ac:dyDescent="0.25">
      <c r="A768" s="1" t="s">
        <v>86</v>
      </c>
      <c r="B768" s="1" t="s">
        <v>5642</v>
      </c>
      <c r="C768" s="1" t="s">
        <v>469</v>
      </c>
      <c r="D768" s="8" t="s">
        <v>468</v>
      </c>
      <c r="E768" s="1" t="s">
        <v>199</v>
      </c>
      <c r="F768" s="1" t="s">
        <v>4709</v>
      </c>
      <c r="G768" s="1" t="s">
        <v>4716</v>
      </c>
      <c r="H768" s="1" t="s">
        <v>4719</v>
      </c>
      <c r="I768" s="1" t="s">
        <v>4721</v>
      </c>
      <c r="J768" s="1" t="s">
        <v>12</v>
      </c>
      <c r="K768" s="1" t="s">
        <v>4796</v>
      </c>
      <c r="L768" s="1" t="s">
        <v>198</v>
      </c>
      <c r="M768" s="1" t="s">
        <v>58</v>
      </c>
      <c r="N768" s="1" t="s">
        <v>61</v>
      </c>
    </row>
    <row r="769" spans="1:14" x14ac:dyDescent="0.25">
      <c r="A769" s="1" t="s">
        <v>86</v>
      </c>
      <c r="B769" s="1" t="s">
        <v>5643</v>
      </c>
      <c r="C769" s="1" t="s">
        <v>2807</v>
      </c>
      <c r="D769" s="8" t="s">
        <v>2806</v>
      </c>
      <c r="E769" s="1" t="s">
        <v>459</v>
      </c>
      <c r="F769" s="1" t="s">
        <v>6448</v>
      </c>
      <c r="G769" s="1" t="s">
        <v>4716</v>
      </c>
      <c r="H769" s="1" t="s">
        <v>4719</v>
      </c>
      <c r="I769" s="1" t="s">
        <v>4721</v>
      </c>
      <c r="J769" s="1" t="s">
        <v>12</v>
      </c>
      <c r="K769" s="1" t="s">
        <v>4796</v>
      </c>
      <c r="L769" s="1" t="s">
        <v>458</v>
      </c>
      <c r="M769" s="1" t="s">
        <v>630</v>
      </c>
      <c r="N769" s="1" t="s">
        <v>21</v>
      </c>
    </row>
    <row r="770" spans="1:14" x14ac:dyDescent="0.25">
      <c r="A770" s="1" t="s">
        <v>86</v>
      </c>
      <c r="B770" s="1" t="s">
        <v>5087</v>
      </c>
      <c r="C770" s="1" t="s">
        <v>2662</v>
      </c>
      <c r="D770" s="8" t="s">
        <v>2661</v>
      </c>
      <c r="E770" s="1" t="s">
        <v>1320</v>
      </c>
      <c r="F770" s="1" t="s">
        <v>4709</v>
      </c>
      <c r="G770" s="1" t="s">
        <v>4716</v>
      </c>
      <c r="H770" s="1" t="s">
        <v>4719</v>
      </c>
      <c r="I770" s="1" t="s">
        <v>4722</v>
      </c>
      <c r="J770" s="1" t="s">
        <v>39</v>
      </c>
      <c r="K770" s="1" t="s">
        <v>4898</v>
      </c>
      <c r="L770" s="1" t="s">
        <v>1321</v>
      </c>
      <c r="M770" s="1" t="s">
        <v>172</v>
      </c>
      <c r="N770" s="1" t="s">
        <v>17</v>
      </c>
    </row>
    <row r="771" spans="1:14" x14ac:dyDescent="0.25">
      <c r="A771" s="1" t="s">
        <v>86</v>
      </c>
      <c r="B771" s="1" t="s">
        <v>5088</v>
      </c>
      <c r="C771" s="1" t="s">
        <v>3088</v>
      </c>
      <c r="D771" s="8" t="s">
        <v>3087</v>
      </c>
      <c r="E771" s="1" t="s">
        <v>594</v>
      </c>
      <c r="F771" s="1" t="s">
        <v>6437</v>
      </c>
      <c r="G771" s="1" t="s">
        <v>4715</v>
      </c>
      <c r="H771" s="1" t="s">
        <v>4719</v>
      </c>
      <c r="I771" s="1" t="s">
        <v>4721</v>
      </c>
      <c r="J771" s="1" t="s">
        <v>12</v>
      </c>
      <c r="K771" s="1" t="s">
        <v>4765</v>
      </c>
      <c r="L771" s="1" t="s">
        <v>122</v>
      </c>
      <c r="M771" s="1" t="s">
        <v>99</v>
      </c>
      <c r="N771" s="1" t="s">
        <v>25</v>
      </c>
    </row>
    <row r="772" spans="1:14" x14ac:dyDescent="0.25">
      <c r="A772" s="1" t="s">
        <v>86</v>
      </c>
      <c r="B772" s="1" t="s">
        <v>5090</v>
      </c>
      <c r="C772" s="1" t="s">
        <v>1500</v>
      </c>
      <c r="D772" s="8" t="s">
        <v>1499</v>
      </c>
      <c r="E772" s="1" t="s">
        <v>559</v>
      </c>
      <c r="F772" s="1" t="s">
        <v>4713</v>
      </c>
      <c r="G772" s="1" t="s">
        <v>4716</v>
      </c>
      <c r="H772" s="1" t="s">
        <v>4719</v>
      </c>
      <c r="I772" s="1" t="s">
        <v>4721</v>
      </c>
      <c r="J772" s="1" t="s">
        <v>12</v>
      </c>
      <c r="K772" s="1" t="s">
        <v>4802</v>
      </c>
      <c r="L772" s="1" t="s">
        <v>558</v>
      </c>
      <c r="M772" s="1" t="s">
        <v>630</v>
      </c>
      <c r="N772" s="1" t="s">
        <v>21</v>
      </c>
    </row>
    <row r="773" spans="1:14" x14ac:dyDescent="0.25">
      <c r="A773" s="1" t="s">
        <v>86</v>
      </c>
      <c r="B773" s="1" t="s">
        <v>5644</v>
      </c>
      <c r="C773" s="1" t="s">
        <v>3822</v>
      </c>
      <c r="D773" s="8" t="s">
        <v>3821</v>
      </c>
      <c r="E773" s="1" t="s">
        <v>205</v>
      </c>
      <c r="F773" s="1" t="s">
        <v>6439</v>
      </c>
      <c r="G773" s="1" t="s">
        <v>4715</v>
      </c>
      <c r="H773" s="1" t="s">
        <v>4719</v>
      </c>
      <c r="I773" s="1" t="s">
        <v>4721</v>
      </c>
      <c r="J773" s="1" t="s">
        <v>12</v>
      </c>
      <c r="K773" s="1" t="s">
        <v>4784</v>
      </c>
      <c r="L773" s="1" t="s">
        <v>122</v>
      </c>
      <c r="M773" s="1" t="s">
        <v>245</v>
      </c>
      <c r="N773" s="1" t="s">
        <v>21</v>
      </c>
    </row>
    <row r="774" spans="1:14" x14ac:dyDescent="0.25">
      <c r="A774" s="1" t="s">
        <v>86</v>
      </c>
      <c r="B774" s="1" t="s">
        <v>5645</v>
      </c>
      <c r="C774" s="1" t="s">
        <v>4158</v>
      </c>
      <c r="D774" s="8" t="s">
        <v>4157</v>
      </c>
      <c r="E774" s="1" t="s">
        <v>840</v>
      </c>
      <c r="F774" s="1" t="s">
        <v>6448</v>
      </c>
      <c r="G774" s="1" t="s">
        <v>4716</v>
      </c>
      <c r="H774" s="1" t="s">
        <v>4719</v>
      </c>
      <c r="I774" s="1" t="s">
        <v>4721</v>
      </c>
      <c r="J774" s="1" t="s">
        <v>12</v>
      </c>
      <c r="K774" s="1" t="s">
        <v>4796</v>
      </c>
      <c r="L774" s="1" t="s">
        <v>198</v>
      </c>
      <c r="M774" s="1" t="s">
        <v>41</v>
      </c>
      <c r="N774" s="1" t="s">
        <v>42</v>
      </c>
    </row>
    <row r="775" spans="1:14" x14ac:dyDescent="0.25">
      <c r="A775" s="1" t="s">
        <v>86</v>
      </c>
      <c r="B775" s="1" t="s">
        <v>5092</v>
      </c>
      <c r="C775" s="1" t="s">
        <v>3601</v>
      </c>
      <c r="D775" s="8" t="s">
        <v>3600</v>
      </c>
      <c r="E775" s="1" t="s">
        <v>177</v>
      </c>
      <c r="F775" s="1" t="s">
        <v>6436</v>
      </c>
      <c r="G775" s="1" t="s">
        <v>4716</v>
      </c>
      <c r="H775" s="1" t="s">
        <v>4719</v>
      </c>
      <c r="I775" s="1" t="s">
        <v>4721</v>
      </c>
      <c r="J775" s="1" t="s">
        <v>12</v>
      </c>
      <c r="K775" s="1" t="s">
        <v>4798</v>
      </c>
      <c r="L775" s="1" t="s">
        <v>164</v>
      </c>
      <c r="M775" s="1" t="s">
        <v>711</v>
      </c>
      <c r="N775" s="1" t="s">
        <v>126</v>
      </c>
    </row>
    <row r="776" spans="1:14" x14ac:dyDescent="0.25">
      <c r="A776" s="1" t="s">
        <v>86</v>
      </c>
      <c r="B776" s="1" t="s">
        <v>5209</v>
      </c>
      <c r="C776" s="1" t="s">
        <v>3082</v>
      </c>
      <c r="D776" s="8" t="s">
        <v>3081</v>
      </c>
      <c r="E776" s="1" t="s">
        <v>540</v>
      </c>
      <c r="F776" s="1" t="s">
        <v>6437</v>
      </c>
      <c r="G776" s="1" t="s">
        <v>4715</v>
      </c>
      <c r="H776" s="1" t="s">
        <v>4719</v>
      </c>
      <c r="I776" s="1" t="s">
        <v>4721</v>
      </c>
      <c r="J776" s="1" t="s">
        <v>12</v>
      </c>
      <c r="K776" s="1" t="s">
        <v>4765</v>
      </c>
      <c r="L776" s="1" t="s">
        <v>283</v>
      </c>
      <c r="M776" s="1" t="s">
        <v>99</v>
      </c>
      <c r="N776" s="1" t="s">
        <v>25</v>
      </c>
    </row>
    <row r="777" spans="1:14" x14ac:dyDescent="0.25">
      <c r="A777" s="1" t="s">
        <v>86</v>
      </c>
      <c r="B777" s="1" t="s">
        <v>5211</v>
      </c>
      <c r="C777" s="1" t="s">
        <v>2804</v>
      </c>
      <c r="D777" s="8" t="s">
        <v>2803</v>
      </c>
      <c r="E777" s="1" t="s">
        <v>459</v>
      </c>
      <c r="F777" s="1" t="s">
        <v>6448</v>
      </c>
      <c r="G777" s="1" t="s">
        <v>4716</v>
      </c>
      <c r="H777" s="1" t="s">
        <v>4719</v>
      </c>
      <c r="I777" s="1" t="s">
        <v>4721</v>
      </c>
      <c r="J777" s="1" t="s">
        <v>12</v>
      </c>
      <c r="K777" s="1" t="s">
        <v>4796</v>
      </c>
      <c r="L777" s="1" t="s">
        <v>458</v>
      </c>
      <c r="M777" s="1" t="s">
        <v>637</v>
      </c>
      <c r="N777" s="1" t="s">
        <v>19</v>
      </c>
    </row>
    <row r="778" spans="1:14" x14ac:dyDescent="0.25">
      <c r="A778" s="1" t="s">
        <v>86</v>
      </c>
      <c r="B778" s="1" t="s">
        <v>5651</v>
      </c>
      <c r="C778" s="1" t="s">
        <v>2274</v>
      </c>
      <c r="D778" s="8" t="s">
        <v>2273</v>
      </c>
      <c r="E778" s="1" t="s">
        <v>199</v>
      </c>
      <c r="F778" s="1" t="s">
        <v>4709</v>
      </c>
      <c r="G778" s="1" t="s">
        <v>4716</v>
      </c>
      <c r="H778" s="1" t="s">
        <v>4719</v>
      </c>
      <c r="I778" s="1" t="s">
        <v>4721</v>
      </c>
      <c r="J778" s="1" t="s">
        <v>12</v>
      </c>
      <c r="K778" s="1" t="s">
        <v>4796</v>
      </c>
      <c r="L778" s="1" t="s">
        <v>198</v>
      </c>
      <c r="M778" s="1" t="s">
        <v>89</v>
      </c>
      <c r="N778" s="1" t="s">
        <v>37</v>
      </c>
    </row>
    <row r="779" spans="1:14" x14ac:dyDescent="0.25">
      <c r="A779" s="1" t="s">
        <v>86</v>
      </c>
      <c r="B779" s="1" t="s">
        <v>5212</v>
      </c>
      <c r="C779" s="1" t="s">
        <v>2319</v>
      </c>
      <c r="D779" s="8" t="s">
        <v>2318</v>
      </c>
      <c r="E779" s="1" t="s">
        <v>199</v>
      </c>
      <c r="F779" s="1" t="s">
        <v>4709</v>
      </c>
      <c r="G779" s="1" t="s">
        <v>4716</v>
      </c>
      <c r="H779" s="1" t="s">
        <v>4719</v>
      </c>
      <c r="I779" s="1" t="s">
        <v>4722</v>
      </c>
      <c r="J779" s="1" t="s">
        <v>39</v>
      </c>
      <c r="K779" s="1" t="s">
        <v>4796</v>
      </c>
      <c r="L779" s="1" t="s">
        <v>198</v>
      </c>
      <c r="M779" s="1" t="s">
        <v>172</v>
      </c>
      <c r="N779" s="1" t="s">
        <v>17</v>
      </c>
    </row>
    <row r="780" spans="1:14" x14ac:dyDescent="0.25">
      <c r="A780" s="1" t="s">
        <v>86</v>
      </c>
      <c r="B780" s="1" t="s">
        <v>5652</v>
      </c>
      <c r="C780" s="1" t="s">
        <v>576</v>
      </c>
      <c r="D780" s="8" t="s">
        <v>575</v>
      </c>
      <c r="E780" s="1" t="s">
        <v>211</v>
      </c>
      <c r="F780" s="1" t="s">
        <v>6435</v>
      </c>
      <c r="G780" s="1" t="s">
        <v>4716</v>
      </c>
      <c r="H780" s="1" t="s">
        <v>4719</v>
      </c>
      <c r="I780" s="1" t="s">
        <v>4721</v>
      </c>
      <c r="J780" s="1" t="s">
        <v>12</v>
      </c>
      <c r="K780" s="1" t="s">
        <v>4820</v>
      </c>
      <c r="L780" s="1" t="s">
        <v>210</v>
      </c>
      <c r="M780" s="1" t="s">
        <v>245</v>
      </c>
      <c r="N780" s="1" t="s">
        <v>21</v>
      </c>
    </row>
    <row r="781" spans="1:14" x14ac:dyDescent="0.25">
      <c r="A781" s="1" t="s">
        <v>86</v>
      </c>
      <c r="B781" s="1" t="s">
        <v>5213</v>
      </c>
      <c r="C781" s="1" t="s">
        <v>1951</v>
      </c>
      <c r="D781" s="8" t="s">
        <v>1950</v>
      </c>
      <c r="E781" s="1" t="s">
        <v>205</v>
      </c>
      <c r="F781" s="1" t="s">
        <v>6439</v>
      </c>
      <c r="G781" s="1" t="s">
        <v>4715</v>
      </c>
      <c r="H781" s="1" t="s">
        <v>4719</v>
      </c>
      <c r="I781" s="1" t="s">
        <v>4721</v>
      </c>
      <c r="J781" s="1" t="s">
        <v>12</v>
      </c>
      <c r="K781" s="1" t="s">
        <v>4771</v>
      </c>
      <c r="L781" s="1" t="s">
        <v>122</v>
      </c>
      <c r="M781" s="1" t="s">
        <v>89</v>
      </c>
      <c r="N781" s="1" t="s">
        <v>37</v>
      </c>
    </row>
    <row r="782" spans="1:14" x14ac:dyDescent="0.25">
      <c r="A782" s="1" t="s">
        <v>86</v>
      </c>
      <c r="B782" s="1" t="s">
        <v>5654</v>
      </c>
      <c r="C782" s="1" t="s">
        <v>2596</v>
      </c>
      <c r="D782" s="8" t="s">
        <v>2595</v>
      </c>
      <c r="E782" s="1" t="s">
        <v>559</v>
      </c>
      <c r="F782" s="1" t="s">
        <v>4713</v>
      </c>
      <c r="G782" s="1" t="s">
        <v>4716</v>
      </c>
      <c r="H782" s="1" t="s">
        <v>4719</v>
      </c>
      <c r="I782" s="1" t="s">
        <v>4721</v>
      </c>
      <c r="J782" s="1" t="s">
        <v>12</v>
      </c>
      <c r="K782" s="1" t="s">
        <v>4802</v>
      </c>
      <c r="L782" s="1" t="s">
        <v>558</v>
      </c>
      <c r="M782" s="1" t="s">
        <v>89</v>
      </c>
      <c r="N782" s="1" t="s">
        <v>37</v>
      </c>
    </row>
    <row r="783" spans="1:14" x14ac:dyDescent="0.25">
      <c r="A783" s="1" t="s">
        <v>86</v>
      </c>
      <c r="B783" s="1" t="s">
        <v>5657</v>
      </c>
      <c r="C783" s="1" t="s">
        <v>554</v>
      </c>
      <c r="D783" s="8" t="s">
        <v>553</v>
      </c>
      <c r="E783" s="1" t="s">
        <v>459</v>
      </c>
      <c r="F783" s="1" t="s">
        <v>6448</v>
      </c>
      <c r="G783" s="1" t="s">
        <v>4716</v>
      </c>
      <c r="H783" s="1" t="s">
        <v>4719</v>
      </c>
      <c r="I783" s="1" t="s">
        <v>4721</v>
      </c>
      <c r="J783" s="1" t="s">
        <v>12</v>
      </c>
      <c r="K783" s="1" t="s">
        <v>4796</v>
      </c>
      <c r="L783" s="1" t="s">
        <v>458</v>
      </c>
      <c r="M783" s="1" t="s">
        <v>630</v>
      </c>
      <c r="N783" s="1" t="s">
        <v>21</v>
      </c>
    </row>
    <row r="784" spans="1:14" x14ac:dyDescent="0.25">
      <c r="A784" s="1" t="s">
        <v>86</v>
      </c>
      <c r="B784" s="1" t="s">
        <v>5658</v>
      </c>
      <c r="C784" s="1" t="s">
        <v>4020</v>
      </c>
      <c r="D784" s="8" t="s">
        <v>4019</v>
      </c>
      <c r="E784" s="1" t="s">
        <v>1320</v>
      </c>
      <c r="F784" s="1" t="s">
        <v>4709</v>
      </c>
      <c r="G784" s="1" t="s">
        <v>4716</v>
      </c>
      <c r="H784" s="1" t="s">
        <v>4719</v>
      </c>
      <c r="I784" s="1" t="s">
        <v>4721</v>
      </c>
      <c r="J784" s="1" t="s">
        <v>12</v>
      </c>
      <c r="K784" s="1" t="s">
        <v>4898</v>
      </c>
      <c r="L784" s="1" t="s">
        <v>1321</v>
      </c>
      <c r="M784" s="1" t="s">
        <v>637</v>
      </c>
      <c r="N784" s="1" t="s">
        <v>19</v>
      </c>
    </row>
    <row r="785" spans="1:14" x14ac:dyDescent="0.25">
      <c r="A785" s="1" t="s">
        <v>86</v>
      </c>
      <c r="B785" s="1" t="s">
        <v>5659</v>
      </c>
      <c r="C785" s="1" t="s">
        <v>3707</v>
      </c>
      <c r="D785" s="8" t="s">
        <v>3706</v>
      </c>
      <c r="E785" s="1" t="s">
        <v>165</v>
      </c>
      <c r="F785" s="1" t="s">
        <v>6433</v>
      </c>
      <c r="G785" s="1" t="s">
        <v>4716</v>
      </c>
      <c r="H785" s="1" t="s">
        <v>4719</v>
      </c>
      <c r="I785" s="1" t="s">
        <v>4722</v>
      </c>
      <c r="J785" s="1" t="s">
        <v>39</v>
      </c>
      <c r="K785" s="1" t="s">
        <v>4785</v>
      </c>
      <c r="L785" s="1" t="s">
        <v>164</v>
      </c>
      <c r="M785" s="1" t="s">
        <v>245</v>
      </c>
      <c r="N785" s="1" t="s">
        <v>21</v>
      </c>
    </row>
    <row r="786" spans="1:14" x14ac:dyDescent="0.25">
      <c r="A786" s="1" t="s">
        <v>86</v>
      </c>
      <c r="B786" s="1" t="s">
        <v>5662</v>
      </c>
      <c r="C786" s="1" t="s">
        <v>3231</v>
      </c>
      <c r="D786" s="8" t="s">
        <v>3230</v>
      </c>
      <c r="E786" s="1" t="s">
        <v>817</v>
      </c>
      <c r="F786" s="1" t="s">
        <v>4713</v>
      </c>
      <c r="G786" s="1" t="s">
        <v>4716</v>
      </c>
      <c r="H786" s="1" t="s">
        <v>4719</v>
      </c>
      <c r="I786" s="1" t="s">
        <v>4721</v>
      </c>
      <c r="J786" s="1" t="s">
        <v>12</v>
      </c>
      <c r="K786" s="1" t="s">
        <v>4802</v>
      </c>
      <c r="L786" s="1" t="s">
        <v>217</v>
      </c>
      <c r="M786" s="1" t="s">
        <v>637</v>
      </c>
      <c r="N786" s="1" t="s">
        <v>19</v>
      </c>
    </row>
    <row r="787" spans="1:14" x14ac:dyDescent="0.25">
      <c r="A787" s="1" t="s">
        <v>86</v>
      </c>
      <c r="B787" s="1" t="s">
        <v>5664</v>
      </c>
      <c r="C787" s="1" t="s">
        <v>1789</v>
      </c>
      <c r="D787" s="8" t="s">
        <v>1788</v>
      </c>
      <c r="E787" s="1" t="s">
        <v>1320</v>
      </c>
      <c r="F787" s="1" t="s">
        <v>6449</v>
      </c>
      <c r="G787" s="1" t="s">
        <v>4717</v>
      </c>
      <c r="H787" s="1" t="s">
        <v>4719</v>
      </c>
      <c r="I787" s="1" t="s">
        <v>4721</v>
      </c>
      <c r="J787" s="1" t="s">
        <v>12</v>
      </c>
      <c r="K787" s="1" t="s">
        <v>4904</v>
      </c>
      <c r="L787" s="1" t="s">
        <v>1321</v>
      </c>
      <c r="M787" s="1" t="s">
        <v>58</v>
      </c>
      <c r="N787" s="1" t="s">
        <v>61</v>
      </c>
    </row>
    <row r="788" spans="1:14" x14ac:dyDescent="0.25">
      <c r="A788" s="1" t="s">
        <v>86</v>
      </c>
      <c r="B788" s="1" t="s">
        <v>5219</v>
      </c>
      <c r="C788" s="1" t="s">
        <v>4069</v>
      </c>
      <c r="D788" s="8" t="s">
        <v>4068</v>
      </c>
      <c r="E788" s="1" t="s">
        <v>205</v>
      </c>
      <c r="F788" s="1" t="s">
        <v>4711</v>
      </c>
      <c r="G788" s="1" t="s">
        <v>4715</v>
      </c>
      <c r="H788" s="1" t="s">
        <v>4719</v>
      </c>
      <c r="I788" s="1" t="s">
        <v>4721</v>
      </c>
      <c r="J788" s="1" t="s">
        <v>12</v>
      </c>
      <c r="K788" s="1" t="s">
        <v>4782</v>
      </c>
      <c r="L788" s="1" t="s">
        <v>122</v>
      </c>
      <c r="M788" s="1" t="s">
        <v>58</v>
      </c>
      <c r="N788" s="1" t="s">
        <v>61</v>
      </c>
    </row>
    <row r="789" spans="1:14" x14ac:dyDescent="0.25">
      <c r="A789" s="1" t="s">
        <v>86</v>
      </c>
      <c r="B789" s="1" t="s">
        <v>5665</v>
      </c>
      <c r="C789" s="1" t="s">
        <v>1838</v>
      </c>
      <c r="D789" s="8" t="s">
        <v>1837</v>
      </c>
      <c r="E789" s="1" t="s">
        <v>540</v>
      </c>
      <c r="F789" s="1" t="s">
        <v>6437</v>
      </c>
      <c r="G789" s="1" t="s">
        <v>4715</v>
      </c>
      <c r="H789" s="1" t="s">
        <v>4719</v>
      </c>
      <c r="I789" s="1" t="s">
        <v>4721</v>
      </c>
      <c r="J789" s="1" t="s">
        <v>12</v>
      </c>
      <c r="K789" s="1" t="s">
        <v>4765</v>
      </c>
      <c r="L789" s="1" t="s">
        <v>283</v>
      </c>
      <c r="M789" s="1" t="s">
        <v>99</v>
      </c>
      <c r="N789" s="1" t="s">
        <v>25</v>
      </c>
    </row>
    <row r="790" spans="1:14" x14ac:dyDescent="0.25">
      <c r="A790" s="1" t="s">
        <v>86</v>
      </c>
      <c r="B790" s="1" t="s">
        <v>5220</v>
      </c>
      <c r="C790" s="1" t="s">
        <v>4161</v>
      </c>
      <c r="D790" s="8" t="s">
        <v>4160</v>
      </c>
      <c r="E790" s="1" t="s">
        <v>459</v>
      </c>
      <c r="F790" s="1" t="s">
        <v>6448</v>
      </c>
      <c r="G790" s="1" t="s">
        <v>4716</v>
      </c>
      <c r="H790" s="1" t="s">
        <v>4719</v>
      </c>
      <c r="I790" s="1" t="s">
        <v>4722</v>
      </c>
      <c r="J790" s="1" t="s">
        <v>39</v>
      </c>
      <c r="K790" s="1" t="s">
        <v>4796</v>
      </c>
      <c r="L790" s="1" t="s">
        <v>458</v>
      </c>
      <c r="M790" s="1" t="s">
        <v>630</v>
      </c>
      <c r="N790" s="1" t="s">
        <v>21</v>
      </c>
    </row>
    <row r="791" spans="1:14" x14ac:dyDescent="0.25">
      <c r="A791" s="1" t="s">
        <v>86</v>
      </c>
      <c r="B791" s="1" t="s">
        <v>5221</v>
      </c>
      <c r="C791" s="1" t="s">
        <v>2560</v>
      </c>
      <c r="D791" s="8" t="s">
        <v>2559</v>
      </c>
      <c r="E791" s="1" t="s">
        <v>559</v>
      </c>
      <c r="F791" s="1" t="s">
        <v>4713</v>
      </c>
      <c r="G791" s="1" t="s">
        <v>4716</v>
      </c>
      <c r="H791" s="1" t="s">
        <v>4719</v>
      </c>
      <c r="I791" s="1" t="s">
        <v>4721</v>
      </c>
      <c r="J791" s="1" t="s">
        <v>12</v>
      </c>
      <c r="K791" s="1" t="s">
        <v>4802</v>
      </c>
      <c r="L791" s="1" t="s">
        <v>558</v>
      </c>
      <c r="M791" s="1" t="s">
        <v>149</v>
      </c>
      <c r="N791" s="1" t="s">
        <v>61</v>
      </c>
    </row>
    <row r="792" spans="1:14" x14ac:dyDescent="0.25">
      <c r="A792" s="1" t="s">
        <v>86</v>
      </c>
      <c r="B792" s="1" t="s">
        <v>5668</v>
      </c>
      <c r="C792" s="1" t="s">
        <v>1829</v>
      </c>
      <c r="D792" s="8" t="s">
        <v>1828</v>
      </c>
      <c r="E792" s="1" t="s">
        <v>594</v>
      </c>
      <c r="F792" s="1" t="s">
        <v>6437</v>
      </c>
      <c r="G792" s="1" t="s">
        <v>4715</v>
      </c>
      <c r="H792" s="1" t="s">
        <v>4719</v>
      </c>
      <c r="I792" s="1" t="s">
        <v>4722</v>
      </c>
      <c r="J792" s="1" t="s">
        <v>39</v>
      </c>
      <c r="K792" s="1" t="s">
        <v>4765</v>
      </c>
      <c r="L792" s="1" t="s">
        <v>122</v>
      </c>
      <c r="M792" s="1" t="s">
        <v>99</v>
      </c>
      <c r="N792" s="1" t="s">
        <v>25</v>
      </c>
    </row>
    <row r="793" spans="1:14" x14ac:dyDescent="0.25">
      <c r="A793" s="1" t="s">
        <v>86</v>
      </c>
      <c r="B793" s="1" t="s">
        <v>5669</v>
      </c>
      <c r="C793" s="1" t="s">
        <v>4155</v>
      </c>
      <c r="D793" s="8" t="s">
        <v>4154</v>
      </c>
      <c r="E793" s="1" t="s">
        <v>459</v>
      </c>
      <c r="F793" s="1" t="s">
        <v>6448</v>
      </c>
      <c r="G793" s="1" t="s">
        <v>4716</v>
      </c>
      <c r="H793" s="1" t="s">
        <v>4719</v>
      </c>
      <c r="I793" s="1" t="s">
        <v>4721</v>
      </c>
      <c r="J793" s="1" t="s">
        <v>12</v>
      </c>
      <c r="K793" s="1" t="s">
        <v>4796</v>
      </c>
      <c r="L793" s="1" t="s">
        <v>458</v>
      </c>
      <c r="M793" s="1" t="s">
        <v>89</v>
      </c>
      <c r="N793" s="1" t="s">
        <v>37</v>
      </c>
    </row>
    <row r="794" spans="1:14" x14ac:dyDescent="0.25">
      <c r="A794" s="1" t="s">
        <v>86</v>
      </c>
      <c r="B794" s="1" t="s">
        <v>5670</v>
      </c>
      <c r="C794" s="1" t="s">
        <v>1916</v>
      </c>
      <c r="D794" s="8" t="s">
        <v>1915</v>
      </c>
      <c r="E794" s="1" t="s">
        <v>363</v>
      </c>
      <c r="F794" s="1" t="s">
        <v>6435</v>
      </c>
      <c r="G794" s="1" t="s">
        <v>4716</v>
      </c>
      <c r="H794" s="1" t="s">
        <v>4719</v>
      </c>
      <c r="I794" s="1" t="s">
        <v>4721</v>
      </c>
      <c r="J794" s="1" t="s">
        <v>12</v>
      </c>
      <c r="K794" s="1" t="s">
        <v>4794</v>
      </c>
      <c r="L794" s="1" t="s">
        <v>210</v>
      </c>
      <c r="M794" s="1" t="s">
        <v>245</v>
      </c>
      <c r="N794" s="1" t="s">
        <v>21</v>
      </c>
    </row>
    <row r="795" spans="1:14" x14ac:dyDescent="0.25">
      <c r="A795" s="1" t="s">
        <v>86</v>
      </c>
      <c r="B795" s="1" t="s">
        <v>5671</v>
      </c>
      <c r="C795" s="1" t="s">
        <v>530</v>
      </c>
      <c r="D795" s="8" t="s">
        <v>529</v>
      </c>
      <c r="E795" s="1" t="s">
        <v>363</v>
      </c>
      <c r="F795" s="1" t="s">
        <v>6435</v>
      </c>
      <c r="G795" s="1" t="s">
        <v>4716</v>
      </c>
      <c r="H795" s="1" t="s">
        <v>4719</v>
      </c>
      <c r="I795" s="1" t="s">
        <v>4721</v>
      </c>
      <c r="J795" s="1" t="s">
        <v>12</v>
      </c>
      <c r="K795" s="1" t="s">
        <v>4794</v>
      </c>
      <c r="L795" s="1" t="s">
        <v>210</v>
      </c>
      <c r="M795" s="1" t="s">
        <v>4819</v>
      </c>
      <c r="N795" s="1" t="s">
        <v>76</v>
      </c>
    </row>
    <row r="796" spans="1:14" x14ac:dyDescent="0.25">
      <c r="A796" s="1" t="s">
        <v>86</v>
      </c>
      <c r="B796" s="1" t="s">
        <v>5223</v>
      </c>
      <c r="C796" s="1" t="s">
        <v>1919</v>
      </c>
      <c r="D796" s="8" t="s">
        <v>1918</v>
      </c>
      <c r="E796" s="1" t="s">
        <v>817</v>
      </c>
      <c r="F796" s="1" t="s">
        <v>4713</v>
      </c>
      <c r="G796" s="1" t="s">
        <v>4716</v>
      </c>
      <c r="H796" s="1" t="s">
        <v>4719</v>
      </c>
      <c r="I796" s="1" t="s">
        <v>6407</v>
      </c>
      <c r="J796" s="1" t="s">
        <v>39</v>
      </c>
      <c r="K796" s="1" t="s">
        <v>4802</v>
      </c>
      <c r="L796" s="1" t="s">
        <v>217</v>
      </c>
      <c r="M796" s="1" t="s">
        <v>202</v>
      </c>
      <c r="N796" s="1" t="s">
        <v>76</v>
      </c>
    </row>
    <row r="797" spans="1:14" x14ac:dyDescent="0.25">
      <c r="A797" s="1" t="s">
        <v>86</v>
      </c>
      <c r="B797" s="1" t="s">
        <v>5672</v>
      </c>
      <c r="C797" s="1" t="s">
        <v>1497</v>
      </c>
      <c r="D797" s="8" t="s">
        <v>1496</v>
      </c>
      <c r="E797" s="1" t="s">
        <v>817</v>
      </c>
      <c r="F797" s="1" t="s">
        <v>4713</v>
      </c>
      <c r="G797" s="1" t="s">
        <v>4716</v>
      </c>
      <c r="H797" s="1" t="s">
        <v>4719</v>
      </c>
      <c r="I797" s="1" t="s">
        <v>4721</v>
      </c>
      <c r="J797" s="1" t="s">
        <v>12</v>
      </c>
      <c r="K797" s="1" t="s">
        <v>4802</v>
      </c>
      <c r="L797" s="1" t="s">
        <v>217</v>
      </c>
      <c r="M797" s="1" t="s">
        <v>637</v>
      </c>
      <c r="N797" s="1" t="s">
        <v>19</v>
      </c>
    </row>
    <row r="798" spans="1:14" x14ac:dyDescent="0.25">
      <c r="A798" s="1" t="s">
        <v>86</v>
      </c>
      <c r="B798" s="1" t="s">
        <v>5674</v>
      </c>
      <c r="C798" s="1" t="s">
        <v>1964</v>
      </c>
      <c r="D798" s="8" t="s">
        <v>1963</v>
      </c>
      <c r="E798" s="1" t="s">
        <v>284</v>
      </c>
      <c r="F798" s="1" t="s">
        <v>6444</v>
      </c>
      <c r="G798" s="1" t="s">
        <v>4717</v>
      </c>
      <c r="H798" s="1" t="s">
        <v>4719</v>
      </c>
      <c r="I798" s="1" t="s">
        <v>4721</v>
      </c>
      <c r="J798" s="1" t="s">
        <v>12</v>
      </c>
      <c r="K798" s="1" t="s">
        <v>4797</v>
      </c>
      <c r="L798" s="1" t="s">
        <v>283</v>
      </c>
      <c r="M798" s="1" t="s">
        <v>58</v>
      </c>
      <c r="N798" s="1" t="s">
        <v>61</v>
      </c>
    </row>
    <row r="799" spans="1:14" x14ac:dyDescent="0.25">
      <c r="A799" s="1" t="s">
        <v>86</v>
      </c>
      <c r="B799" s="1" t="s">
        <v>5675</v>
      </c>
      <c r="C799" s="1" t="s">
        <v>1684</v>
      </c>
      <c r="D799" s="8" t="s">
        <v>1683</v>
      </c>
      <c r="E799" s="1" t="s">
        <v>497</v>
      </c>
      <c r="F799" s="1" t="s">
        <v>4710</v>
      </c>
      <c r="G799" s="1" t="s">
        <v>4716</v>
      </c>
      <c r="H799" s="1" t="s">
        <v>4719</v>
      </c>
      <c r="I799" s="1" t="s">
        <v>4722</v>
      </c>
      <c r="J799" s="1" t="s">
        <v>39</v>
      </c>
      <c r="K799" s="1" t="s">
        <v>4766</v>
      </c>
      <c r="L799" s="1" t="s">
        <v>164</v>
      </c>
      <c r="M799" s="1" t="s">
        <v>245</v>
      </c>
      <c r="N799" s="1" t="s">
        <v>21</v>
      </c>
    </row>
    <row r="800" spans="1:14" x14ac:dyDescent="0.25">
      <c r="A800" s="1" t="s">
        <v>86</v>
      </c>
      <c r="B800" s="1" t="s">
        <v>5676</v>
      </c>
      <c r="C800" s="1" t="s">
        <v>2569</v>
      </c>
      <c r="D800" s="8" t="s">
        <v>2568</v>
      </c>
      <c r="E800" s="1" t="s">
        <v>559</v>
      </c>
      <c r="F800" s="1" t="s">
        <v>4713</v>
      </c>
      <c r="G800" s="1" t="s">
        <v>4716</v>
      </c>
      <c r="H800" s="1" t="s">
        <v>4719</v>
      </c>
      <c r="I800" s="1" t="s">
        <v>4721</v>
      </c>
      <c r="J800" s="1" t="s">
        <v>12</v>
      </c>
      <c r="K800" s="1" t="s">
        <v>4802</v>
      </c>
      <c r="L800" s="1" t="s">
        <v>558</v>
      </c>
      <c r="M800" s="1" t="s">
        <v>637</v>
      </c>
      <c r="N800" s="1" t="s">
        <v>19</v>
      </c>
    </row>
    <row r="801" spans="1:14" x14ac:dyDescent="0.25">
      <c r="A801" s="1" t="s">
        <v>86</v>
      </c>
      <c r="B801" s="1" t="s">
        <v>5229</v>
      </c>
      <c r="C801" s="1" t="s">
        <v>2578</v>
      </c>
      <c r="D801" s="8" t="s">
        <v>2577</v>
      </c>
      <c r="E801" s="1" t="s">
        <v>559</v>
      </c>
      <c r="F801" s="1" t="s">
        <v>4713</v>
      </c>
      <c r="G801" s="1" t="s">
        <v>4716</v>
      </c>
      <c r="H801" s="1" t="s">
        <v>4719</v>
      </c>
      <c r="I801" s="1" t="s">
        <v>4721</v>
      </c>
      <c r="J801" s="1" t="s">
        <v>12</v>
      </c>
      <c r="K801" s="1" t="s">
        <v>4802</v>
      </c>
      <c r="L801" s="1" t="s">
        <v>558</v>
      </c>
      <c r="M801" s="1" t="s">
        <v>172</v>
      </c>
      <c r="N801" s="1" t="s">
        <v>17</v>
      </c>
    </row>
    <row r="802" spans="1:14" x14ac:dyDescent="0.25">
      <c r="A802" s="1" t="s">
        <v>86</v>
      </c>
      <c r="B802" s="1" t="s">
        <v>5679</v>
      </c>
      <c r="C802" s="1" t="s">
        <v>3451</v>
      </c>
      <c r="D802" s="8" t="s">
        <v>3450</v>
      </c>
      <c r="E802" s="1" t="s">
        <v>274</v>
      </c>
      <c r="F802" s="1" t="s">
        <v>6440</v>
      </c>
      <c r="G802" s="1" t="s">
        <v>4716</v>
      </c>
      <c r="H802" s="1" t="s">
        <v>4719</v>
      </c>
      <c r="I802" s="1" t="s">
        <v>4721</v>
      </c>
      <c r="J802" s="1" t="s">
        <v>12</v>
      </c>
      <c r="K802" s="1" t="s">
        <v>4887</v>
      </c>
      <c r="L802" s="1" t="s">
        <v>210</v>
      </c>
      <c r="M802" s="1" t="s">
        <v>172</v>
      </c>
      <c r="N802" s="1" t="s">
        <v>17</v>
      </c>
    </row>
    <row r="803" spans="1:14" x14ac:dyDescent="0.25">
      <c r="A803" s="1" t="s">
        <v>86</v>
      </c>
      <c r="B803" s="1" t="s">
        <v>5682</v>
      </c>
      <c r="C803" s="1" t="s">
        <v>1566</v>
      </c>
      <c r="D803" s="8" t="s">
        <v>1565</v>
      </c>
      <c r="E803" s="1" t="s">
        <v>817</v>
      </c>
      <c r="F803" s="1" t="s">
        <v>4713</v>
      </c>
      <c r="G803" s="1" t="s">
        <v>4716</v>
      </c>
      <c r="H803" s="1" t="s">
        <v>4719</v>
      </c>
      <c r="I803" s="1" t="s">
        <v>4721</v>
      </c>
      <c r="J803" s="1" t="s">
        <v>12</v>
      </c>
      <c r="K803" s="1" t="s">
        <v>4802</v>
      </c>
      <c r="L803" s="1" t="s">
        <v>217</v>
      </c>
      <c r="M803" s="1" t="s">
        <v>630</v>
      </c>
      <c r="N803" s="1" t="s">
        <v>21</v>
      </c>
    </row>
    <row r="804" spans="1:14" x14ac:dyDescent="0.25">
      <c r="A804" s="1" t="s">
        <v>86</v>
      </c>
      <c r="B804" s="1" t="s">
        <v>5235</v>
      </c>
      <c r="C804" s="1" t="s">
        <v>1585</v>
      </c>
      <c r="D804" s="8" t="s">
        <v>1584</v>
      </c>
      <c r="E804" s="1" t="s">
        <v>211</v>
      </c>
      <c r="F804" s="1" t="s">
        <v>6435</v>
      </c>
      <c r="G804" s="1" t="s">
        <v>4716</v>
      </c>
      <c r="H804" s="1" t="s">
        <v>4719</v>
      </c>
      <c r="I804" s="1" t="s">
        <v>4721</v>
      </c>
      <c r="J804" s="1" t="s">
        <v>12</v>
      </c>
      <c r="K804" s="1" t="s">
        <v>4820</v>
      </c>
      <c r="L804" s="1" t="s">
        <v>210</v>
      </c>
      <c r="M804" s="1" t="s">
        <v>245</v>
      </c>
      <c r="N804" s="1" t="s">
        <v>21</v>
      </c>
    </row>
    <row r="805" spans="1:14" x14ac:dyDescent="0.25">
      <c r="A805" s="1" t="s">
        <v>86</v>
      </c>
      <c r="B805" s="1" t="s">
        <v>5683</v>
      </c>
      <c r="C805" s="1" t="s">
        <v>1454</v>
      </c>
      <c r="D805" s="8" t="s">
        <v>1453</v>
      </c>
      <c r="E805" s="1" t="s">
        <v>497</v>
      </c>
      <c r="F805" s="1" t="s">
        <v>4710</v>
      </c>
      <c r="G805" s="1" t="s">
        <v>4716</v>
      </c>
      <c r="H805" s="1" t="s">
        <v>4719</v>
      </c>
      <c r="I805" s="1" t="s">
        <v>4721</v>
      </c>
      <c r="J805" s="1" t="s">
        <v>12</v>
      </c>
      <c r="K805" s="1" t="s">
        <v>4785</v>
      </c>
      <c r="L805" s="1" t="s">
        <v>164</v>
      </c>
      <c r="M805" s="1" t="s">
        <v>58</v>
      </c>
      <c r="N805" s="1" t="s">
        <v>61</v>
      </c>
    </row>
    <row r="806" spans="1:14" x14ac:dyDescent="0.25">
      <c r="A806" s="1" t="s">
        <v>86</v>
      </c>
      <c r="B806" s="1" t="s">
        <v>5686</v>
      </c>
      <c r="C806" s="1" t="s">
        <v>1485</v>
      </c>
      <c r="D806" s="8" t="s">
        <v>1484</v>
      </c>
      <c r="E806" s="1" t="s">
        <v>218</v>
      </c>
      <c r="F806" s="1" t="s">
        <v>4713</v>
      </c>
      <c r="G806" s="1" t="s">
        <v>4716</v>
      </c>
      <c r="H806" s="1" t="s">
        <v>4719</v>
      </c>
      <c r="I806" s="1" t="s">
        <v>4721</v>
      </c>
      <c r="J806" s="1" t="s">
        <v>12</v>
      </c>
      <c r="K806" s="1" t="s">
        <v>4802</v>
      </c>
      <c r="L806" s="1" t="s">
        <v>217</v>
      </c>
      <c r="M806" s="1" t="s">
        <v>172</v>
      </c>
      <c r="N806" s="1" t="s">
        <v>17</v>
      </c>
    </row>
    <row r="807" spans="1:14" x14ac:dyDescent="0.25">
      <c r="A807" s="1" t="s">
        <v>86</v>
      </c>
      <c r="B807" s="1" t="s">
        <v>5241</v>
      </c>
      <c r="C807" s="1" t="s">
        <v>533</v>
      </c>
      <c r="D807" s="8" t="s">
        <v>532</v>
      </c>
      <c r="E807" s="1" t="s">
        <v>211</v>
      </c>
      <c r="F807" s="1" t="s">
        <v>6435</v>
      </c>
      <c r="G807" s="1" t="s">
        <v>4716</v>
      </c>
      <c r="H807" s="1" t="s">
        <v>4719</v>
      </c>
      <c r="I807" s="1" t="s">
        <v>4722</v>
      </c>
      <c r="J807" s="1" t="s">
        <v>39</v>
      </c>
      <c r="K807" s="1" t="s">
        <v>4820</v>
      </c>
      <c r="L807" s="1" t="s">
        <v>210</v>
      </c>
      <c r="M807" s="1" t="s">
        <v>245</v>
      </c>
      <c r="N807" s="1" t="s">
        <v>21</v>
      </c>
    </row>
    <row r="808" spans="1:14" x14ac:dyDescent="0.25">
      <c r="A808" s="1" t="s">
        <v>86</v>
      </c>
      <c r="B808" s="1" t="s">
        <v>5689</v>
      </c>
      <c r="C808" s="1" t="s">
        <v>4282</v>
      </c>
      <c r="D808" s="8" t="s">
        <v>4281</v>
      </c>
      <c r="E808" s="1" t="s">
        <v>2894</v>
      </c>
      <c r="F808" s="1" t="s">
        <v>4708</v>
      </c>
      <c r="G808" s="1" t="s">
        <v>4716</v>
      </c>
      <c r="H808" s="1" t="s">
        <v>4719</v>
      </c>
      <c r="I808" s="1" t="s">
        <v>4721</v>
      </c>
      <c r="J808" s="1" t="s">
        <v>12</v>
      </c>
      <c r="K808" s="1" t="s">
        <v>4785</v>
      </c>
      <c r="L808" s="1" t="s">
        <v>164</v>
      </c>
      <c r="M808" s="1" t="s">
        <v>89</v>
      </c>
      <c r="N808" s="1" t="s">
        <v>37</v>
      </c>
    </row>
    <row r="809" spans="1:14" x14ac:dyDescent="0.25">
      <c r="A809" s="1" t="s">
        <v>86</v>
      </c>
      <c r="B809" s="1" t="s">
        <v>5690</v>
      </c>
      <c r="C809" s="1" t="s">
        <v>2461</v>
      </c>
      <c r="D809" s="8" t="s">
        <v>2460</v>
      </c>
      <c r="E809" s="1" t="s">
        <v>205</v>
      </c>
      <c r="F809" s="1" t="s">
        <v>6446</v>
      </c>
      <c r="G809" s="1" t="s">
        <v>4717</v>
      </c>
      <c r="H809" s="1" t="s">
        <v>4719</v>
      </c>
      <c r="I809" s="1" t="s">
        <v>4721</v>
      </c>
      <c r="J809" s="1" t="s">
        <v>39</v>
      </c>
      <c r="K809" s="1" t="s">
        <v>4799</v>
      </c>
      <c r="L809" s="1" t="s">
        <v>122</v>
      </c>
      <c r="M809" s="1" t="s">
        <v>58</v>
      </c>
      <c r="N809" s="1" t="s">
        <v>61</v>
      </c>
    </row>
    <row r="810" spans="1:14" x14ac:dyDescent="0.25">
      <c r="A810" s="1" t="s">
        <v>86</v>
      </c>
      <c r="B810" s="1" t="s">
        <v>5692</v>
      </c>
      <c r="C810" s="1" t="s">
        <v>846</v>
      </c>
      <c r="D810" s="8" t="s">
        <v>845</v>
      </c>
      <c r="E810" s="1" t="s">
        <v>840</v>
      </c>
      <c r="F810" s="1" t="s">
        <v>6449</v>
      </c>
      <c r="G810" s="1" t="s">
        <v>4717</v>
      </c>
      <c r="H810" s="1" t="s">
        <v>4719</v>
      </c>
      <c r="I810" s="1" t="s">
        <v>4721</v>
      </c>
      <c r="J810" s="1" t="s">
        <v>12</v>
      </c>
      <c r="K810" s="1" t="s">
        <v>4904</v>
      </c>
      <c r="L810" s="1" t="s">
        <v>198</v>
      </c>
      <c r="M810" s="1" t="s">
        <v>58</v>
      </c>
      <c r="N810" s="1" t="s">
        <v>61</v>
      </c>
    </row>
    <row r="811" spans="1:14" x14ac:dyDescent="0.25">
      <c r="A811" s="1" t="s">
        <v>86</v>
      </c>
      <c r="B811" s="1" t="s">
        <v>5694</v>
      </c>
      <c r="C811" s="1" t="s">
        <v>2470</v>
      </c>
      <c r="D811" s="8" t="s">
        <v>2469</v>
      </c>
      <c r="E811" s="1" t="s">
        <v>497</v>
      </c>
      <c r="F811" s="1" t="s">
        <v>6434</v>
      </c>
      <c r="G811" s="1" t="s">
        <v>4715</v>
      </c>
      <c r="H811" s="1" t="s">
        <v>4719</v>
      </c>
      <c r="I811" s="1" t="s">
        <v>4721</v>
      </c>
      <c r="J811" s="1" t="s">
        <v>12</v>
      </c>
      <c r="K811" s="1" t="s">
        <v>4799</v>
      </c>
      <c r="L811" s="1" t="s">
        <v>164</v>
      </c>
      <c r="M811" s="1" t="s">
        <v>58</v>
      </c>
      <c r="N811" s="1" t="s">
        <v>61</v>
      </c>
    </row>
    <row r="812" spans="1:14" x14ac:dyDescent="0.25">
      <c r="A812" s="1" t="s">
        <v>86</v>
      </c>
      <c r="B812" s="1" t="s">
        <v>5695</v>
      </c>
      <c r="C812" s="1" t="s">
        <v>3028</v>
      </c>
      <c r="D812" s="8" t="s">
        <v>3027</v>
      </c>
      <c r="E812" s="1" t="s">
        <v>325</v>
      </c>
      <c r="F812" s="1" t="s">
        <v>6438</v>
      </c>
      <c r="G812" s="1" t="s">
        <v>4716</v>
      </c>
      <c r="H812" s="1" t="s">
        <v>4719</v>
      </c>
      <c r="I812" s="1" t="s">
        <v>4721</v>
      </c>
      <c r="J812" s="1" t="s">
        <v>39</v>
      </c>
      <c r="K812" s="1" t="s">
        <v>4783</v>
      </c>
      <c r="L812" s="1" t="s">
        <v>283</v>
      </c>
      <c r="M812" s="1" t="s">
        <v>136</v>
      </c>
      <c r="N812" s="1" t="s">
        <v>72</v>
      </c>
    </row>
    <row r="813" spans="1:14" x14ac:dyDescent="0.25">
      <c r="A813" s="1" t="s">
        <v>86</v>
      </c>
      <c r="B813" s="1" t="s">
        <v>5243</v>
      </c>
      <c r="C813" s="1" t="s">
        <v>4084</v>
      </c>
      <c r="D813" s="8" t="s">
        <v>4083</v>
      </c>
      <c r="E813" s="1" t="s">
        <v>123</v>
      </c>
      <c r="F813" s="1" t="s">
        <v>4711</v>
      </c>
      <c r="G813" s="1" t="s">
        <v>4715</v>
      </c>
      <c r="H813" s="1" t="s">
        <v>4719</v>
      </c>
      <c r="I813" s="1" t="s">
        <v>4721</v>
      </c>
      <c r="J813" s="1" t="s">
        <v>12</v>
      </c>
      <c r="K813" s="1" t="s">
        <v>4771</v>
      </c>
      <c r="L813" s="1" t="s">
        <v>122</v>
      </c>
      <c r="M813" s="1" t="s">
        <v>245</v>
      </c>
      <c r="N813" s="1" t="s">
        <v>21</v>
      </c>
    </row>
    <row r="814" spans="1:14" x14ac:dyDescent="0.25">
      <c r="A814" s="1" t="s">
        <v>86</v>
      </c>
      <c r="B814" s="1" t="s">
        <v>5245</v>
      </c>
      <c r="C814" s="1" t="s">
        <v>2677</v>
      </c>
      <c r="D814" s="8" t="s">
        <v>2676</v>
      </c>
      <c r="E814" s="1" t="s">
        <v>1320</v>
      </c>
      <c r="F814" s="1" t="s">
        <v>4709</v>
      </c>
      <c r="G814" s="1" t="s">
        <v>4716</v>
      </c>
      <c r="H814" s="1" t="s">
        <v>4719</v>
      </c>
      <c r="I814" s="1" t="s">
        <v>4721</v>
      </c>
      <c r="J814" s="1" t="s">
        <v>12</v>
      </c>
      <c r="K814" s="1" t="s">
        <v>4898</v>
      </c>
      <c r="L814" s="1" t="s">
        <v>1321</v>
      </c>
      <c r="M814" s="1" t="s">
        <v>172</v>
      </c>
      <c r="N814" s="1" t="s">
        <v>17</v>
      </c>
    </row>
    <row r="815" spans="1:14" x14ac:dyDescent="0.25">
      <c r="A815" s="1" t="s">
        <v>86</v>
      </c>
      <c r="B815" s="1" t="s">
        <v>5697</v>
      </c>
      <c r="C815" s="1" t="s">
        <v>1506</v>
      </c>
      <c r="D815" s="8" t="s">
        <v>1505</v>
      </c>
      <c r="E815" s="1" t="s">
        <v>559</v>
      </c>
      <c r="F815" s="1" t="s">
        <v>4713</v>
      </c>
      <c r="G815" s="1" t="s">
        <v>4716</v>
      </c>
      <c r="H815" s="1" t="s">
        <v>4719</v>
      </c>
      <c r="I815" s="1" t="s">
        <v>4721</v>
      </c>
      <c r="J815" s="1" t="s">
        <v>12</v>
      </c>
      <c r="K815" s="1" t="s">
        <v>4802</v>
      </c>
      <c r="L815" s="1" t="s">
        <v>558</v>
      </c>
      <c r="M815" s="1" t="s">
        <v>172</v>
      </c>
      <c r="N815" s="1" t="s">
        <v>17</v>
      </c>
    </row>
    <row r="816" spans="1:14" x14ac:dyDescent="0.25">
      <c r="A816" s="1" t="s">
        <v>86</v>
      </c>
      <c r="B816" s="1" t="s">
        <v>5462</v>
      </c>
      <c r="C816" s="1" t="s">
        <v>4051</v>
      </c>
      <c r="D816" s="8" t="s">
        <v>4050</v>
      </c>
      <c r="E816" s="1" t="s">
        <v>1320</v>
      </c>
      <c r="F816" s="1" t="s">
        <v>4709</v>
      </c>
      <c r="G816" s="1" t="s">
        <v>4716</v>
      </c>
      <c r="H816" s="1" t="s">
        <v>4719</v>
      </c>
      <c r="I816" s="1" t="s">
        <v>4722</v>
      </c>
      <c r="J816" s="1" t="s">
        <v>39</v>
      </c>
      <c r="K816" s="1" t="s">
        <v>4898</v>
      </c>
      <c r="L816" s="1" t="s">
        <v>1321</v>
      </c>
      <c r="M816" s="1" t="s">
        <v>630</v>
      </c>
      <c r="N816" s="1" t="s">
        <v>21</v>
      </c>
    </row>
    <row r="817" spans="1:14" x14ac:dyDescent="0.25">
      <c r="A817" s="1" t="s">
        <v>86</v>
      </c>
      <c r="B817" s="1" t="s">
        <v>6054</v>
      </c>
      <c r="C817" s="1" t="s">
        <v>3200</v>
      </c>
      <c r="D817" s="8" t="s">
        <v>3199</v>
      </c>
      <c r="E817" s="1" t="s">
        <v>211</v>
      </c>
      <c r="F817" s="1" t="s">
        <v>6441</v>
      </c>
      <c r="G817" s="1" t="s">
        <v>4717</v>
      </c>
      <c r="H817" s="1" t="s">
        <v>4719</v>
      </c>
      <c r="I817" s="1" t="s">
        <v>4721</v>
      </c>
      <c r="J817" s="1" t="s">
        <v>12</v>
      </c>
      <c r="K817" s="1" t="s">
        <v>4849</v>
      </c>
      <c r="L817" s="1" t="s">
        <v>210</v>
      </c>
      <c r="M817" s="1" t="s">
        <v>58</v>
      </c>
      <c r="N817" s="1" t="s">
        <v>61</v>
      </c>
    </row>
    <row r="818" spans="1:14" x14ac:dyDescent="0.25">
      <c r="A818" s="1" t="s">
        <v>86</v>
      </c>
      <c r="B818" s="1" t="s">
        <v>6058</v>
      </c>
      <c r="C818" s="1" t="s">
        <v>2313</v>
      </c>
      <c r="D818" s="8" t="s">
        <v>2312</v>
      </c>
      <c r="E818" s="1" t="s">
        <v>1320</v>
      </c>
      <c r="F818" s="1" t="s">
        <v>4709</v>
      </c>
      <c r="G818" s="1" t="s">
        <v>4716</v>
      </c>
      <c r="H818" s="1" t="s">
        <v>4719</v>
      </c>
      <c r="I818" s="1" t="s">
        <v>4721</v>
      </c>
      <c r="J818" s="1" t="s">
        <v>12</v>
      </c>
      <c r="K818" s="1" t="s">
        <v>4898</v>
      </c>
      <c r="L818" s="1" t="s">
        <v>1321</v>
      </c>
      <c r="M818" s="1" t="s">
        <v>637</v>
      </c>
      <c r="N818" s="1" t="s">
        <v>19</v>
      </c>
    </row>
    <row r="819" spans="1:14" x14ac:dyDescent="0.25">
      <c r="A819" s="1" t="s">
        <v>86</v>
      </c>
      <c r="B819" s="1" t="s">
        <v>6060</v>
      </c>
      <c r="C819" s="1" t="s">
        <v>1098</v>
      </c>
      <c r="D819" s="8" t="s">
        <v>6059</v>
      </c>
      <c r="E819" s="1" t="s">
        <v>1099</v>
      </c>
      <c r="F819" s="1" t="s">
        <v>4714</v>
      </c>
      <c r="G819" s="1" t="s">
        <v>4715</v>
      </c>
      <c r="H819" s="1" t="s">
        <v>4719</v>
      </c>
      <c r="I819" s="1" t="s">
        <v>4721</v>
      </c>
      <c r="J819" s="1" t="s">
        <v>39</v>
      </c>
      <c r="K819" s="1" t="s">
        <v>4777</v>
      </c>
      <c r="L819" s="1" t="s">
        <v>283</v>
      </c>
      <c r="M819" s="1" t="s">
        <v>245</v>
      </c>
      <c r="N819" s="1" t="s">
        <v>21</v>
      </c>
    </row>
    <row r="820" spans="1:14" x14ac:dyDescent="0.25">
      <c r="A820" s="1" t="s">
        <v>86</v>
      </c>
      <c r="B820" s="1" t="s">
        <v>6061</v>
      </c>
      <c r="C820" s="1" t="s">
        <v>2298</v>
      </c>
      <c r="D820" s="8" t="s">
        <v>2297</v>
      </c>
      <c r="E820" s="1" t="s">
        <v>88</v>
      </c>
      <c r="F820" s="1" t="s">
        <v>4709</v>
      </c>
      <c r="G820" s="1" t="s">
        <v>4716</v>
      </c>
      <c r="H820" s="1" t="s">
        <v>4719</v>
      </c>
      <c r="I820" s="1" t="s">
        <v>4721</v>
      </c>
      <c r="J820" s="1" t="s">
        <v>12</v>
      </c>
      <c r="K820" s="1" t="s">
        <v>4796</v>
      </c>
      <c r="L820" s="1" t="s">
        <v>87</v>
      </c>
      <c r="M820" s="1" t="s">
        <v>41</v>
      </c>
      <c r="N820" s="1" t="s">
        <v>42</v>
      </c>
    </row>
    <row r="821" spans="1:14" x14ac:dyDescent="0.25">
      <c r="A821" s="1" t="s">
        <v>86</v>
      </c>
      <c r="B821" s="1" t="s">
        <v>5463</v>
      </c>
      <c r="C821" s="1" t="s">
        <v>3461</v>
      </c>
      <c r="D821" s="8" t="s">
        <v>3460</v>
      </c>
      <c r="E821" s="1" t="s">
        <v>165</v>
      </c>
      <c r="F821" s="1" t="s">
        <v>6433</v>
      </c>
      <c r="G821" s="1" t="s">
        <v>4716</v>
      </c>
      <c r="H821" s="1" t="s">
        <v>4719</v>
      </c>
      <c r="I821" s="1" t="s">
        <v>4721</v>
      </c>
      <c r="J821" s="1" t="s">
        <v>12</v>
      </c>
      <c r="K821" s="1" t="s">
        <v>4794</v>
      </c>
      <c r="L821" s="1" t="s">
        <v>164</v>
      </c>
      <c r="M821" s="1" t="s">
        <v>711</v>
      </c>
      <c r="N821" s="1" t="s">
        <v>126</v>
      </c>
    </row>
    <row r="822" spans="1:14" x14ac:dyDescent="0.25">
      <c r="A822" s="1" t="s">
        <v>86</v>
      </c>
      <c r="B822" s="1" t="s">
        <v>6062</v>
      </c>
      <c r="C822" s="1" t="s">
        <v>4081</v>
      </c>
      <c r="D822" s="8" t="s">
        <v>4080</v>
      </c>
      <c r="E822" s="1" t="s">
        <v>123</v>
      </c>
      <c r="F822" s="1" t="s">
        <v>4711</v>
      </c>
      <c r="G822" s="1" t="s">
        <v>4715</v>
      </c>
      <c r="H822" s="1" t="s">
        <v>4719</v>
      </c>
      <c r="I822" s="1" t="s">
        <v>4721</v>
      </c>
      <c r="J822" s="1" t="s">
        <v>12</v>
      </c>
      <c r="K822" s="1" t="s">
        <v>4771</v>
      </c>
      <c r="L822" s="1" t="s">
        <v>122</v>
      </c>
      <c r="M822" s="1" t="s">
        <v>245</v>
      </c>
      <c r="N822" s="1" t="s">
        <v>21</v>
      </c>
    </row>
    <row r="823" spans="1:14" x14ac:dyDescent="0.25">
      <c r="A823" s="1" t="s">
        <v>86</v>
      </c>
      <c r="B823" s="1" t="s">
        <v>6063</v>
      </c>
      <c r="C823" s="1" t="s">
        <v>1183</v>
      </c>
      <c r="D823" s="8" t="s">
        <v>1182</v>
      </c>
      <c r="E823" s="1" t="s">
        <v>211</v>
      </c>
      <c r="F823" s="1" t="s">
        <v>6435</v>
      </c>
      <c r="G823" s="1" t="s">
        <v>4716</v>
      </c>
      <c r="H823" s="1" t="s">
        <v>4719</v>
      </c>
      <c r="I823" s="1" t="s">
        <v>4721</v>
      </c>
      <c r="J823" s="1" t="s">
        <v>12</v>
      </c>
      <c r="K823" s="1" t="s">
        <v>4820</v>
      </c>
      <c r="L823" s="1" t="s">
        <v>210</v>
      </c>
      <c r="M823" s="1" t="s">
        <v>245</v>
      </c>
      <c r="N823" s="1" t="s">
        <v>21</v>
      </c>
    </row>
    <row r="824" spans="1:14" x14ac:dyDescent="0.25">
      <c r="A824" s="1" t="s">
        <v>86</v>
      </c>
      <c r="B824" s="1" t="s">
        <v>5468</v>
      </c>
      <c r="C824" s="1" t="s">
        <v>2999</v>
      </c>
      <c r="D824" s="8" t="s">
        <v>2998</v>
      </c>
      <c r="E824" s="1" t="s">
        <v>274</v>
      </c>
      <c r="F824" s="1" t="s">
        <v>6438</v>
      </c>
      <c r="G824" s="1" t="s">
        <v>4716</v>
      </c>
      <c r="H824" s="1" t="s">
        <v>4719</v>
      </c>
      <c r="I824" s="1" t="s">
        <v>4721</v>
      </c>
      <c r="J824" s="1" t="s">
        <v>12</v>
      </c>
      <c r="K824" s="1" t="s">
        <v>4783</v>
      </c>
      <c r="L824" s="1" t="s">
        <v>210</v>
      </c>
      <c r="M824" s="1" t="s">
        <v>136</v>
      </c>
      <c r="N824" s="1" t="s">
        <v>72</v>
      </c>
    </row>
    <row r="825" spans="1:14" x14ac:dyDescent="0.25">
      <c r="A825" s="1" t="s">
        <v>86</v>
      </c>
      <c r="B825" s="1" t="s">
        <v>6070</v>
      </c>
      <c r="C825" s="1" t="s">
        <v>2674</v>
      </c>
      <c r="D825" s="8" t="s">
        <v>2673</v>
      </c>
      <c r="E825" s="1" t="s">
        <v>1320</v>
      </c>
      <c r="F825" s="1" t="s">
        <v>4709</v>
      </c>
      <c r="G825" s="1" t="s">
        <v>4716</v>
      </c>
      <c r="H825" s="1" t="s">
        <v>4719</v>
      </c>
      <c r="I825" s="1" t="s">
        <v>4721</v>
      </c>
      <c r="J825" s="1" t="s">
        <v>12</v>
      </c>
      <c r="K825" s="1" t="s">
        <v>4898</v>
      </c>
      <c r="L825" s="1" t="s">
        <v>1321</v>
      </c>
      <c r="M825" s="1" t="s">
        <v>630</v>
      </c>
      <c r="N825" s="1" t="s">
        <v>21</v>
      </c>
    </row>
    <row r="826" spans="1:14" x14ac:dyDescent="0.25">
      <c r="A826" s="1" t="s">
        <v>86</v>
      </c>
      <c r="B826" s="1" t="s">
        <v>5471</v>
      </c>
      <c r="C826" s="1" t="s">
        <v>1108</v>
      </c>
      <c r="D826" s="8" t="s">
        <v>1107</v>
      </c>
      <c r="E826" s="1" t="s">
        <v>284</v>
      </c>
      <c r="F826" s="1" t="s">
        <v>4714</v>
      </c>
      <c r="G826" s="1" t="s">
        <v>4715</v>
      </c>
      <c r="H826" s="1" t="s">
        <v>4719</v>
      </c>
      <c r="I826" s="1" t="s">
        <v>4721</v>
      </c>
      <c r="J826" s="1" t="s">
        <v>12</v>
      </c>
      <c r="K826" s="1" t="s">
        <v>4777</v>
      </c>
      <c r="L826" s="1" t="s">
        <v>283</v>
      </c>
      <c r="M826" s="1" t="s">
        <v>245</v>
      </c>
      <c r="N826" s="1" t="s">
        <v>21</v>
      </c>
    </row>
    <row r="827" spans="1:14" x14ac:dyDescent="0.25">
      <c r="A827" s="1" t="s">
        <v>86</v>
      </c>
      <c r="B827" s="1" t="s">
        <v>5473</v>
      </c>
      <c r="C827" s="1" t="s">
        <v>3668</v>
      </c>
      <c r="D827" s="8" t="s">
        <v>3667</v>
      </c>
      <c r="E827" s="1" t="s">
        <v>325</v>
      </c>
      <c r="F827" s="1" t="s">
        <v>6440</v>
      </c>
      <c r="G827" s="1" t="s">
        <v>4716</v>
      </c>
      <c r="H827" s="1" t="s">
        <v>4719</v>
      </c>
      <c r="I827" s="1" t="s">
        <v>4721</v>
      </c>
      <c r="J827" s="1" t="s">
        <v>12</v>
      </c>
      <c r="K827" s="1" t="s">
        <v>4887</v>
      </c>
      <c r="L827" s="1" t="s">
        <v>283</v>
      </c>
      <c r="M827" s="1" t="s">
        <v>172</v>
      </c>
      <c r="N827" s="1" t="s">
        <v>17</v>
      </c>
    </row>
    <row r="828" spans="1:14" x14ac:dyDescent="0.25">
      <c r="A828" s="1" t="s">
        <v>86</v>
      </c>
      <c r="B828" s="1" t="s">
        <v>6075</v>
      </c>
      <c r="C828" s="1" t="s">
        <v>4066</v>
      </c>
      <c r="D828" s="8" t="s">
        <v>4065</v>
      </c>
      <c r="E828" s="1" t="s">
        <v>88</v>
      </c>
      <c r="F828" s="1" t="s">
        <v>4709</v>
      </c>
      <c r="G828" s="1" t="s">
        <v>4716</v>
      </c>
      <c r="H828" s="1" t="s">
        <v>4719</v>
      </c>
      <c r="I828" s="1" t="s">
        <v>4721</v>
      </c>
      <c r="J828" s="1" t="s">
        <v>12</v>
      </c>
      <c r="K828" s="1" t="s">
        <v>4796</v>
      </c>
      <c r="L828" s="1" t="s">
        <v>87</v>
      </c>
      <c r="M828" s="1" t="s">
        <v>89</v>
      </c>
      <c r="N828" s="1" t="s">
        <v>37</v>
      </c>
    </row>
    <row r="829" spans="1:14" x14ac:dyDescent="0.25">
      <c r="A829" s="1" t="s">
        <v>86</v>
      </c>
      <c r="B829" s="1" t="s">
        <v>6076</v>
      </c>
      <c r="C829" s="1" t="s">
        <v>4346</v>
      </c>
      <c r="D829" s="8" t="s">
        <v>4344</v>
      </c>
      <c r="E829" s="1" t="s">
        <v>165</v>
      </c>
      <c r="F829" s="1" t="s">
        <v>6450</v>
      </c>
      <c r="G829" s="1" t="s">
        <v>6451</v>
      </c>
      <c r="H829" s="1" t="s">
        <v>4718</v>
      </c>
      <c r="I829" s="1" t="s">
        <v>4721</v>
      </c>
      <c r="J829" s="1" t="s">
        <v>39</v>
      </c>
      <c r="K829" s="1" t="s">
        <v>4889</v>
      </c>
      <c r="L829" s="1" t="s">
        <v>164</v>
      </c>
      <c r="M829" s="1" t="s">
        <v>58</v>
      </c>
      <c r="N829" s="1" t="s">
        <v>61</v>
      </c>
    </row>
    <row r="830" spans="1:14" x14ac:dyDescent="0.25">
      <c r="A830" s="1" t="s">
        <v>86</v>
      </c>
      <c r="B830" s="1" t="s">
        <v>5478</v>
      </c>
      <c r="C830" s="1" t="s">
        <v>2599</v>
      </c>
      <c r="D830" s="8" t="s">
        <v>2598</v>
      </c>
      <c r="E830" s="1" t="s">
        <v>218</v>
      </c>
      <c r="F830" s="1" t="s">
        <v>4713</v>
      </c>
      <c r="G830" s="1" t="s">
        <v>4716</v>
      </c>
      <c r="H830" s="1" t="s">
        <v>4719</v>
      </c>
      <c r="I830" s="1" t="s">
        <v>4721</v>
      </c>
      <c r="J830" s="1" t="s">
        <v>12</v>
      </c>
      <c r="K830" s="1" t="s">
        <v>4802</v>
      </c>
      <c r="L830" s="1" t="s">
        <v>217</v>
      </c>
      <c r="M830" s="1" t="s">
        <v>630</v>
      </c>
      <c r="N830" s="1" t="s">
        <v>21</v>
      </c>
    </row>
    <row r="831" spans="1:14" x14ac:dyDescent="0.25">
      <c r="A831" s="1" t="s">
        <v>86</v>
      </c>
      <c r="B831" s="1" t="s">
        <v>6098</v>
      </c>
      <c r="C831" s="1" t="s">
        <v>3013</v>
      </c>
      <c r="D831" s="8" t="s">
        <v>3012</v>
      </c>
      <c r="E831" s="1" t="s">
        <v>284</v>
      </c>
      <c r="F831" s="1" t="s">
        <v>6438</v>
      </c>
      <c r="G831" s="1" t="s">
        <v>4716</v>
      </c>
      <c r="H831" s="1" t="s">
        <v>4719</v>
      </c>
      <c r="I831" s="1" t="s">
        <v>4721</v>
      </c>
      <c r="J831" s="1" t="s">
        <v>12</v>
      </c>
      <c r="K831" s="1" t="s">
        <v>4783</v>
      </c>
      <c r="L831" s="1" t="s">
        <v>283</v>
      </c>
      <c r="M831" s="1" t="s">
        <v>136</v>
      </c>
      <c r="N831" s="1" t="s">
        <v>72</v>
      </c>
    </row>
    <row r="832" spans="1:14" x14ac:dyDescent="0.25">
      <c r="A832" s="1" t="s">
        <v>86</v>
      </c>
      <c r="B832" s="1" t="s">
        <v>6099</v>
      </c>
      <c r="C832" s="1" t="s">
        <v>1503</v>
      </c>
      <c r="D832" s="8" t="s">
        <v>1502</v>
      </c>
      <c r="E832" s="1" t="s">
        <v>218</v>
      </c>
      <c r="F832" s="1" t="s">
        <v>4713</v>
      </c>
      <c r="G832" s="1" t="s">
        <v>4716</v>
      </c>
      <c r="H832" s="1" t="s">
        <v>4719</v>
      </c>
      <c r="I832" s="1" t="s">
        <v>4721</v>
      </c>
      <c r="J832" s="1" t="s">
        <v>12</v>
      </c>
      <c r="K832" s="1" t="s">
        <v>4802</v>
      </c>
      <c r="L832" s="1" t="s">
        <v>217</v>
      </c>
      <c r="M832" s="1" t="s">
        <v>630</v>
      </c>
      <c r="N832" s="1" t="s">
        <v>21</v>
      </c>
    </row>
    <row r="833" spans="1:14" x14ac:dyDescent="0.25">
      <c r="A833" s="1" t="s">
        <v>86</v>
      </c>
      <c r="B833" s="1" t="s">
        <v>6101</v>
      </c>
      <c r="C833" s="1" t="s">
        <v>3852</v>
      </c>
      <c r="D833" s="8" t="s">
        <v>3851</v>
      </c>
      <c r="E833" s="1" t="s">
        <v>298</v>
      </c>
      <c r="F833" s="1" t="s">
        <v>6440</v>
      </c>
      <c r="G833" s="1" t="s">
        <v>4716</v>
      </c>
      <c r="H833" s="1" t="s">
        <v>4719</v>
      </c>
      <c r="I833" s="1" t="s">
        <v>4721</v>
      </c>
      <c r="J833" s="1" t="s">
        <v>12</v>
      </c>
      <c r="K833" s="1" t="s">
        <v>4887</v>
      </c>
      <c r="L833" s="1" t="s">
        <v>210</v>
      </c>
      <c r="M833" s="1" t="s">
        <v>172</v>
      </c>
      <c r="N833" s="1" t="s">
        <v>17</v>
      </c>
    </row>
    <row r="834" spans="1:14" x14ac:dyDescent="0.25">
      <c r="A834" s="1" t="s">
        <v>86</v>
      </c>
      <c r="B834" s="1" t="s">
        <v>6102</v>
      </c>
      <c r="C834" s="1" t="s">
        <v>2650</v>
      </c>
      <c r="D834" s="8" t="s">
        <v>2649</v>
      </c>
      <c r="E834" s="1" t="s">
        <v>88</v>
      </c>
      <c r="F834" s="1" t="s">
        <v>4709</v>
      </c>
      <c r="G834" s="1" t="s">
        <v>4716</v>
      </c>
      <c r="H834" s="1" t="s">
        <v>4719</v>
      </c>
      <c r="I834" s="1" t="s">
        <v>4721</v>
      </c>
      <c r="J834" s="1" t="s">
        <v>12</v>
      </c>
      <c r="K834" s="1" t="s">
        <v>4898</v>
      </c>
      <c r="L834" s="1" t="s">
        <v>87</v>
      </c>
      <c r="M834" s="1" t="s">
        <v>637</v>
      </c>
      <c r="N834" s="1" t="s">
        <v>19</v>
      </c>
    </row>
    <row r="835" spans="1:14" x14ac:dyDescent="0.25">
      <c r="A835" s="1" t="s">
        <v>86</v>
      </c>
      <c r="B835" s="1" t="s">
        <v>5485</v>
      </c>
      <c r="C835" s="1" t="s">
        <v>3166</v>
      </c>
      <c r="D835" s="8" t="s">
        <v>3165</v>
      </c>
      <c r="E835" s="1" t="s">
        <v>559</v>
      </c>
      <c r="F835" s="1" t="s">
        <v>4713</v>
      </c>
      <c r="G835" s="1" t="s">
        <v>4716</v>
      </c>
      <c r="H835" s="1" t="s">
        <v>4719</v>
      </c>
      <c r="I835" s="1" t="s">
        <v>4721</v>
      </c>
      <c r="J835" s="1" t="s">
        <v>12</v>
      </c>
      <c r="K835" s="1" t="s">
        <v>4802</v>
      </c>
      <c r="L835" s="1" t="s">
        <v>558</v>
      </c>
      <c r="M835" s="1" t="s">
        <v>172</v>
      </c>
      <c r="N835" s="1" t="s">
        <v>17</v>
      </c>
    </row>
    <row r="836" spans="1:14" x14ac:dyDescent="0.25">
      <c r="A836" s="1" t="s">
        <v>86</v>
      </c>
      <c r="B836" s="1" t="s">
        <v>5486</v>
      </c>
      <c r="C836" s="1" t="s">
        <v>3031</v>
      </c>
      <c r="D836" s="8" t="s">
        <v>3030</v>
      </c>
      <c r="E836" s="1" t="s">
        <v>284</v>
      </c>
      <c r="F836" s="1" t="s">
        <v>6438</v>
      </c>
      <c r="G836" s="1" t="s">
        <v>4716</v>
      </c>
      <c r="H836" s="1" t="s">
        <v>4719</v>
      </c>
      <c r="I836" s="1" t="s">
        <v>4721</v>
      </c>
      <c r="J836" s="1" t="s">
        <v>12</v>
      </c>
      <c r="K836" s="1" t="s">
        <v>4783</v>
      </c>
      <c r="L836" s="1" t="s">
        <v>283</v>
      </c>
      <c r="M836" s="1" t="s">
        <v>136</v>
      </c>
      <c r="N836" s="1" t="s">
        <v>72</v>
      </c>
    </row>
    <row r="837" spans="1:14" x14ac:dyDescent="0.25">
      <c r="A837" s="1" t="s">
        <v>86</v>
      </c>
      <c r="B837" s="1" t="s">
        <v>6108</v>
      </c>
      <c r="C837" s="1" t="s">
        <v>4321</v>
      </c>
      <c r="D837" s="8" t="s">
        <v>4320</v>
      </c>
      <c r="E837" s="1" t="s">
        <v>505</v>
      </c>
      <c r="F837" s="1" t="s">
        <v>4708</v>
      </c>
      <c r="G837" s="1" t="s">
        <v>4716</v>
      </c>
      <c r="H837" s="1" t="s">
        <v>4719</v>
      </c>
      <c r="I837" s="1" t="s">
        <v>4721</v>
      </c>
      <c r="J837" s="1" t="s">
        <v>12</v>
      </c>
      <c r="K837" s="1" t="s">
        <v>4785</v>
      </c>
      <c r="L837" s="1" t="s">
        <v>164</v>
      </c>
      <c r="M837" s="1" t="s">
        <v>364</v>
      </c>
      <c r="N837" s="1" t="s">
        <v>37</v>
      </c>
    </row>
    <row r="838" spans="1:14" x14ac:dyDescent="0.25">
      <c r="A838" s="1" t="s">
        <v>86</v>
      </c>
      <c r="B838" s="1" t="s">
        <v>5487</v>
      </c>
      <c r="C838" s="1" t="s">
        <v>3671</v>
      </c>
      <c r="D838" s="8" t="s">
        <v>3670</v>
      </c>
      <c r="E838" s="1" t="s">
        <v>497</v>
      </c>
      <c r="F838" s="1" t="s">
        <v>6440</v>
      </c>
      <c r="G838" s="1" t="s">
        <v>4716</v>
      </c>
      <c r="H838" s="1" t="s">
        <v>4719</v>
      </c>
      <c r="I838" s="1" t="s">
        <v>4722</v>
      </c>
      <c r="J838" s="1" t="s">
        <v>39</v>
      </c>
      <c r="K838" s="1" t="s">
        <v>4887</v>
      </c>
      <c r="L838" s="1" t="s">
        <v>164</v>
      </c>
      <c r="M838" s="1" t="s">
        <v>172</v>
      </c>
      <c r="N838" s="1" t="s">
        <v>17</v>
      </c>
    </row>
    <row r="839" spans="1:14" x14ac:dyDescent="0.25">
      <c r="A839" s="1" t="s">
        <v>86</v>
      </c>
      <c r="B839" s="1" t="s">
        <v>5488</v>
      </c>
      <c r="C839" s="1" t="s">
        <v>1123</v>
      </c>
      <c r="D839" s="8" t="s">
        <v>4805</v>
      </c>
      <c r="E839" s="1" t="s">
        <v>325</v>
      </c>
      <c r="F839" s="1" t="s">
        <v>4714</v>
      </c>
      <c r="G839" s="1" t="s">
        <v>4715</v>
      </c>
      <c r="H839" s="1" t="s">
        <v>4719</v>
      </c>
      <c r="I839" s="1" t="s">
        <v>4721</v>
      </c>
      <c r="J839" s="1" t="s">
        <v>12</v>
      </c>
      <c r="K839" s="1" t="s">
        <v>4777</v>
      </c>
      <c r="L839" s="1" t="s">
        <v>283</v>
      </c>
      <c r="M839" s="1" t="s">
        <v>149</v>
      </c>
      <c r="N839" s="1" t="s">
        <v>61</v>
      </c>
    </row>
    <row r="840" spans="1:14" x14ac:dyDescent="0.25">
      <c r="A840" s="1" t="s">
        <v>86</v>
      </c>
      <c r="B840" s="1" t="s">
        <v>5490</v>
      </c>
      <c r="C840" s="1" t="s">
        <v>4327</v>
      </c>
      <c r="D840" s="8" t="s">
        <v>4326</v>
      </c>
      <c r="E840" s="1" t="s">
        <v>445</v>
      </c>
      <c r="F840" s="1" t="s">
        <v>6438</v>
      </c>
      <c r="G840" s="1" t="s">
        <v>4716</v>
      </c>
      <c r="H840" s="1" t="s">
        <v>4719</v>
      </c>
      <c r="I840" s="1" t="s">
        <v>4722</v>
      </c>
      <c r="J840" s="1" t="s">
        <v>39</v>
      </c>
      <c r="K840" s="1" t="s">
        <v>4783</v>
      </c>
      <c r="L840" s="1" t="s">
        <v>122</v>
      </c>
      <c r="M840" s="1" t="s">
        <v>136</v>
      </c>
      <c r="N840" s="1" t="s">
        <v>72</v>
      </c>
    </row>
    <row r="841" spans="1:14" x14ac:dyDescent="0.25">
      <c r="A841" s="1" t="s">
        <v>86</v>
      </c>
      <c r="B841" s="1" t="s">
        <v>6109</v>
      </c>
      <c r="C841" s="1" t="s">
        <v>1310</v>
      </c>
      <c r="D841" s="8" t="s">
        <v>1309</v>
      </c>
      <c r="E841" s="1" t="s">
        <v>88</v>
      </c>
      <c r="F841" s="1" t="s">
        <v>6443</v>
      </c>
      <c r="G841" s="1" t="s">
        <v>4717</v>
      </c>
      <c r="H841" s="1" t="s">
        <v>4719</v>
      </c>
      <c r="I841" s="1" t="s">
        <v>4721</v>
      </c>
      <c r="J841" s="1" t="s">
        <v>12</v>
      </c>
      <c r="K841" s="1" t="s">
        <v>4796</v>
      </c>
      <c r="L841" s="1" t="s">
        <v>87</v>
      </c>
      <c r="M841" s="1" t="s">
        <v>58</v>
      </c>
      <c r="N841" s="1" t="s">
        <v>61</v>
      </c>
    </row>
    <row r="842" spans="1:14" x14ac:dyDescent="0.25">
      <c r="A842" s="1" t="s">
        <v>86</v>
      </c>
      <c r="B842" s="1" t="s">
        <v>5493</v>
      </c>
      <c r="C842" s="1" t="s">
        <v>2936</v>
      </c>
      <c r="D842" s="8" t="s">
        <v>2935</v>
      </c>
      <c r="E842" s="1" t="s">
        <v>505</v>
      </c>
      <c r="F842" s="1" t="s">
        <v>4708</v>
      </c>
      <c r="G842" s="1" t="s">
        <v>4716</v>
      </c>
      <c r="H842" s="1" t="s">
        <v>4719</v>
      </c>
      <c r="I842" s="1" t="s">
        <v>4722</v>
      </c>
      <c r="J842" s="1" t="s">
        <v>39</v>
      </c>
      <c r="K842" s="1" t="s">
        <v>4785</v>
      </c>
      <c r="L842" s="1" t="s">
        <v>164</v>
      </c>
      <c r="M842" s="1" t="s">
        <v>245</v>
      </c>
      <c r="N842" s="1" t="s">
        <v>21</v>
      </c>
    </row>
    <row r="843" spans="1:14" x14ac:dyDescent="0.25">
      <c r="A843" s="1" t="s">
        <v>86</v>
      </c>
      <c r="B843" s="1" t="s">
        <v>5494</v>
      </c>
      <c r="C843" s="1" t="s">
        <v>1588</v>
      </c>
      <c r="D843" s="8" t="s">
        <v>1587</v>
      </c>
      <c r="E843" s="1" t="s">
        <v>298</v>
      </c>
      <c r="F843" s="1" t="s">
        <v>6435</v>
      </c>
      <c r="G843" s="1" t="s">
        <v>4716</v>
      </c>
      <c r="H843" s="1" t="s">
        <v>4719</v>
      </c>
      <c r="I843" s="1" t="s">
        <v>4722</v>
      </c>
      <c r="J843" s="1" t="s">
        <v>39</v>
      </c>
      <c r="K843" s="1" t="s">
        <v>4846</v>
      </c>
      <c r="L843" s="1" t="s">
        <v>210</v>
      </c>
      <c r="M843" s="1" t="s">
        <v>41</v>
      </c>
      <c r="N843" s="1" t="s">
        <v>42</v>
      </c>
    </row>
    <row r="844" spans="1:14" x14ac:dyDescent="0.25">
      <c r="A844" s="1" t="s">
        <v>86</v>
      </c>
      <c r="B844" s="1" t="s">
        <v>5496</v>
      </c>
      <c r="C844" s="1" t="s">
        <v>839</v>
      </c>
      <c r="D844" s="8" t="s">
        <v>838</v>
      </c>
      <c r="E844" s="1" t="s">
        <v>840</v>
      </c>
      <c r="F844" s="1" t="s">
        <v>6449</v>
      </c>
      <c r="G844" s="1" t="s">
        <v>4717</v>
      </c>
      <c r="H844" s="1" t="s">
        <v>4719</v>
      </c>
      <c r="I844" s="1" t="s">
        <v>4721</v>
      </c>
      <c r="J844" s="1" t="s">
        <v>12</v>
      </c>
      <c r="K844" s="1" t="s">
        <v>4904</v>
      </c>
      <c r="L844" s="1" t="s">
        <v>198</v>
      </c>
      <c r="M844" s="1" t="s">
        <v>58</v>
      </c>
      <c r="N844" s="1" t="s">
        <v>61</v>
      </c>
    </row>
    <row r="845" spans="1:14" x14ac:dyDescent="0.25">
      <c r="A845" s="1" t="s">
        <v>86</v>
      </c>
      <c r="B845" s="1" t="s">
        <v>5497</v>
      </c>
      <c r="C845" s="1" t="s">
        <v>3480</v>
      </c>
      <c r="D845" s="8" t="s">
        <v>3479</v>
      </c>
      <c r="E845" s="1" t="s">
        <v>445</v>
      </c>
      <c r="F845" s="1" t="s">
        <v>6447</v>
      </c>
      <c r="G845" s="1" t="s">
        <v>4717</v>
      </c>
      <c r="H845" s="1" t="s">
        <v>4719</v>
      </c>
      <c r="I845" s="1" t="s">
        <v>4721</v>
      </c>
      <c r="J845" s="1" t="s">
        <v>39</v>
      </c>
      <c r="K845" s="1" t="s">
        <v>4800</v>
      </c>
      <c r="L845" s="1" t="s">
        <v>122</v>
      </c>
      <c r="M845" s="1" t="s">
        <v>58</v>
      </c>
      <c r="N845" s="1" t="s">
        <v>61</v>
      </c>
    </row>
    <row r="846" spans="1:14" x14ac:dyDescent="0.25">
      <c r="A846" s="1" t="s">
        <v>86</v>
      </c>
      <c r="B846" s="1" t="s">
        <v>6113</v>
      </c>
      <c r="C846" s="1" t="s">
        <v>1563</v>
      </c>
      <c r="D846" s="8" t="s">
        <v>1562</v>
      </c>
      <c r="E846" s="1" t="s">
        <v>559</v>
      </c>
      <c r="F846" s="1" t="s">
        <v>4713</v>
      </c>
      <c r="G846" s="1" t="s">
        <v>4716</v>
      </c>
      <c r="H846" s="1" t="s">
        <v>4719</v>
      </c>
      <c r="I846" s="1" t="s">
        <v>4721</v>
      </c>
      <c r="J846" s="1" t="s">
        <v>12</v>
      </c>
      <c r="K846" s="1" t="s">
        <v>4802</v>
      </c>
      <c r="L846" s="1" t="s">
        <v>558</v>
      </c>
      <c r="M846" s="1" t="s">
        <v>637</v>
      </c>
      <c r="N846" s="1" t="s">
        <v>19</v>
      </c>
    </row>
    <row r="847" spans="1:14" x14ac:dyDescent="0.25">
      <c r="A847" s="1" t="s">
        <v>86</v>
      </c>
      <c r="B847" s="1" t="s">
        <v>6117</v>
      </c>
      <c r="C847" s="1" t="s">
        <v>234</v>
      </c>
      <c r="D847" s="8" t="s">
        <v>233</v>
      </c>
      <c r="E847" s="1" t="s">
        <v>165</v>
      </c>
      <c r="F847" s="1" t="s">
        <v>6433</v>
      </c>
      <c r="G847" s="1" t="s">
        <v>4716</v>
      </c>
      <c r="H847" s="1" t="s">
        <v>4719</v>
      </c>
      <c r="I847" s="1" t="s">
        <v>4722</v>
      </c>
      <c r="J847" s="1" t="s">
        <v>39</v>
      </c>
      <c r="K847" s="1" t="s">
        <v>4785</v>
      </c>
      <c r="L847" s="1" t="s">
        <v>164</v>
      </c>
      <c r="M847" s="1" t="s">
        <v>245</v>
      </c>
      <c r="N847" s="1" t="s">
        <v>21</v>
      </c>
    </row>
    <row r="848" spans="1:14" x14ac:dyDescent="0.25">
      <c r="A848" s="1" t="s">
        <v>86</v>
      </c>
      <c r="B848" s="1" t="s">
        <v>5500</v>
      </c>
      <c r="C848" s="1" t="s">
        <v>3085</v>
      </c>
      <c r="D848" s="8" t="s">
        <v>3084</v>
      </c>
      <c r="E848" s="1" t="s">
        <v>594</v>
      </c>
      <c r="F848" s="1" t="s">
        <v>6437</v>
      </c>
      <c r="G848" s="1" t="s">
        <v>4715</v>
      </c>
      <c r="H848" s="1" t="s">
        <v>4719</v>
      </c>
      <c r="I848" s="1" t="s">
        <v>4721</v>
      </c>
      <c r="J848" s="1" t="s">
        <v>12</v>
      </c>
      <c r="K848" s="1" t="s">
        <v>4765</v>
      </c>
      <c r="L848" s="1" t="s">
        <v>122</v>
      </c>
      <c r="M848" s="1" t="s">
        <v>99</v>
      </c>
      <c r="N848" s="1" t="s">
        <v>25</v>
      </c>
    </row>
    <row r="849" spans="1:14" x14ac:dyDescent="0.25">
      <c r="A849" s="1" t="s">
        <v>86</v>
      </c>
      <c r="B849" s="1" t="s">
        <v>6118</v>
      </c>
      <c r="C849" s="1" t="s">
        <v>1983</v>
      </c>
      <c r="D849" s="8" t="s">
        <v>1982</v>
      </c>
      <c r="E849" s="1" t="s">
        <v>284</v>
      </c>
      <c r="F849" s="1" t="s">
        <v>4714</v>
      </c>
      <c r="G849" s="1" t="s">
        <v>4715</v>
      </c>
      <c r="H849" s="1" t="s">
        <v>4719</v>
      </c>
      <c r="I849" s="1" t="s">
        <v>4721</v>
      </c>
      <c r="J849" s="1" t="s">
        <v>12</v>
      </c>
      <c r="K849" s="1" t="s">
        <v>4777</v>
      </c>
      <c r="L849" s="1" t="s">
        <v>283</v>
      </c>
      <c r="M849" s="1" t="s">
        <v>89</v>
      </c>
      <c r="N849" s="1" t="s">
        <v>37</v>
      </c>
    </row>
    <row r="850" spans="1:14" x14ac:dyDescent="0.25">
      <c r="A850" s="1" t="s">
        <v>86</v>
      </c>
      <c r="B850" s="1" t="s">
        <v>5502</v>
      </c>
      <c r="C850" s="1" t="s">
        <v>1835</v>
      </c>
      <c r="D850" s="8" t="s">
        <v>1834</v>
      </c>
      <c r="E850" s="1" t="s">
        <v>540</v>
      </c>
      <c r="F850" s="1" t="s">
        <v>6437</v>
      </c>
      <c r="G850" s="1" t="s">
        <v>4715</v>
      </c>
      <c r="H850" s="1" t="s">
        <v>4719</v>
      </c>
      <c r="I850" s="1" t="s">
        <v>4721</v>
      </c>
      <c r="J850" s="1" t="s">
        <v>12</v>
      </c>
      <c r="K850" s="1" t="s">
        <v>4765</v>
      </c>
      <c r="L850" s="1" t="s">
        <v>283</v>
      </c>
      <c r="M850" s="1" t="s">
        <v>99</v>
      </c>
      <c r="N850" s="1" t="s">
        <v>25</v>
      </c>
    </row>
    <row r="851" spans="1:14" x14ac:dyDescent="0.25">
      <c r="A851" s="1" t="s">
        <v>86</v>
      </c>
      <c r="B851" s="1" t="s">
        <v>6119</v>
      </c>
      <c r="C851" s="1" t="s">
        <v>3990</v>
      </c>
      <c r="D851" s="8" t="s">
        <v>3989</v>
      </c>
      <c r="E851" s="1" t="s">
        <v>1320</v>
      </c>
      <c r="F851" s="1" t="s">
        <v>4709</v>
      </c>
      <c r="G851" s="1" t="s">
        <v>4716</v>
      </c>
      <c r="H851" s="1" t="s">
        <v>4719</v>
      </c>
      <c r="I851" s="1" t="s">
        <v>4722</v>
      </c>
      <c r="J851" s="1" t="s">
        <v>39</v>
      </c>
      <c r="K851" s="1" t="s">
        <v>4898</v>
      </c>
      <c r="L851" s="1" t="s">
        <v>1321</v>
      </c>
      <c r="M851" s="1" t="s">
        <v>1350</v>
      </c>
      <c r="N851" s="1" t="s">
        <v>126</v>
      </c>
    </row>
    <row r="852" spans="1:14" x14ac:dyDescent="0.25">
      <c r="A852" s="1" t="s">
        <v>86</v>
      </c>
      <c r="B852" s="1" t="s">
        <v>5503</v>
      </c>
      <c r="C852" s="1" t="s">
        <v>2668</v>
      </c>
      <c r="D852" s="8" t="s">
        <v>2667</v>
      </c>
      <c r="E852" s="1" t="s">
        <v>199</v>
      </c>
      <c r="F852" s="1" t="s">
        <v>4709</v>
      </c>
      <c r="G852" s="1" t="s">
        <v>4716</v>
      </c>
      <c r="H852" s="1" t="s">
        <v>4719</v>
      </c>
      <c r="I852" s="1" t="s">
        <v>4721</v>
      </c>
      <c r="J852" s="1" t="s">
        <v>12</v>
      </c>
      <c r="K852" s="1" t="s">
        <v>4796</v>
      </c>
      <c r="L852" s="1" t="s">
        <v>198</v>
      </c>
      <c r="M852" s="1" t="s">
        <v>637</v>
      </c>
      <c r="N852" s="1" t="s">
        <v>19</v>
      </c>
    </row>
    <row r="853" spans="1:14" x14ac:dyDescent="0.25">
      <c r="A853" s="1" t="s">
        <v>86</v>
      </c>
      <c r="B853" s="1" t="s">
        <v>6122</v>
      </c>
      <c r="C853" s="1" t="s">
        <v>1025</v>
      </c>
      <c r="D853" s="8" t="s">
        <v>1024</v>
      </c>
      <c r="E853" s="1" t="s">
        <v>590</v>
      </c>
      <c r="F853" s="1" t="s">
        <v>6434</v>
      </c>
      <c r="G853" s="1" t="s">
        <v>4715</v>
      </c>
      <c r="H853" s="1" t="s">
        <v>4719</v>
      </c>
      <c r="I853" s="1" t="s">
        <v>4721</v>
      </c>
      <c r="J853" s="1" t="s">
        <v>12</v>
      </c>
      <c r="K853" s="1" t="s">
        <v>4771</v>
      </c>
      <c r="L853" s="1" t="s">
        <v>122</v>
      </c>
      <c r="M853" s="1" t="s">
        <v>89</v>
      </c>
      <c r="N853" s="1" t="s">
        <v>37</v>
      </c>
    </row>
    <row r="854" spans="1:14" x14ac:dyDescent="0.25">
      <c r="A854" s="1" t="s">
        <v>86</v>
      </c>
      <c r="B854" s="1" t="s">
        <v>6123</v>
      </c>
      <c r="C854" s="1" t="s">
        <v>3163</v>
      </c>
      <c r="D854" s="8" t="s">
        <v>3162</v>
      </c>
      <c r="E854" s="1" t="s">
        <v>218</v>
      </c>
      <c r="F854" s="1" t="s">
        <v>4713</v>
      </c>
      <c r="G854" s="1" t="s">
        <v>4716</v>
      </c>
      <c r="H854" s="1" t="s">
        <v>4719</v>
      </c>
      <c r="I854" s="1" t="s">
        <v>4721</v>
      </c>
      <c r="J854" s="1" t="s">
        <v>12</v>
      </c>
      <c r="K854" s="1" t="s">
        <v>4802</v>
      </c>
      <c r="L854" s="1" t="s">
        <v>217</v>
      </c>
      <c r="M854" s="1" t="s">
        <v>1350</v>
      </c>
      <c r="N854" s="1" t="s">
        <v>126</v>
      </c>
    </row>
    <row r="855" spans="1:14" x14ac:dyDescent="0.25">
      <c r="A855" s="1" t="s">
        <v>86</v>
      </c>
      <c r="B855" s="1" t="s">
        <v>5507</v>
      </c>
      <c r="C855" s="1" t="s">
        <v>579</v>
      </c>
      <c r="D855" s="8" t="s">
        <v>578</v>
      </c>
      <c r="E855" s="1" t="s">
        <v>123</v>
      </c>
      <c r="F855" s="1" t="s">
        <v>4711</v>
      </c>
      <c r="G855" s="1" t="s">
        <v>4715</v>
      </c>
      <c r="H855" s="1" t="s">
        <v>4719</v>
      </c>
      <c r="I855" s="1" t="s">
        <v>4721</v>
      </c>
      <c r="J855" s="1" t="s">
        <v>12</v>
      </c>
      <c r="K855" s="1" t="s">
        <v>4771</v>
      </c>
      <c r="L855" s="1" t="s">
        <v>122</v>
      </c>
      <c r="M855" s="1" t="s">
        <v>89</v>
      </c>
      <c r="N855" s="1" t="s">
        <v>37</v>
      </c>
    </row>
    <row r="856" spans="1:14" x14ac:dyDescent="0.25">
      <c r="A856" s="1" t="s">
        <v>86</v>
      </c>
      <c r="B856" s="1" t="s">
        <v>5508</v>
      </c>
      <c r="C856" s="1" t="s">
        <v>1177</v>
      </c>
      <c r="D856" s="8" t="s">
        <v>1176</v>
      </c>
      <c r="E856" s="1" t="s">
        <v>274</v>
      </c>
      <c r="F856" s="1" t="s">
        <v>6435</v>
      </c>
      <c r="G856" s="1" t="s">
        <v>4716</v>
      </c>
      <c r="H856" s="1" t="s">
        <v>4719</v>
      </c>
      <c r="I856" s="1" t="s">
        <v>4722</v>
      </c>
      <c r="J856" s="1" t="s">
        <v>39</v>
      </c>
      <c r="K856" s="1" t="s">
        <v>4846</v>
      </c>
      <c r="L856" s="1" t="s">
        <v>210</v>
      </c>
      <c r="M856" s="1" t="s">
        <v>245</v>
      </c>
      <c r="N856" s="1" t="s">
        <v>21</v>
      </c>
    </row>
    <row r="857" spans="1:14" x14ac:dyDescent="0.25">
      <c r="A857" s="1" t="s">
        <v>86</v>
      </c>
      <c r="B857" s="1" t="s">
        <v>6126</v>
      </c>
      <c r="C857" s="1" t="s">
        <v>1359</v>
      </c>
      <c r="D857" s="8" t="s">
        <v>1358</v>
      </c>
      <c r="E857" s="1" t="s">
        <v>497</v>
      </c>
      <c r="F857" s="1" t="s">
        <v>4710</v>
      </c>
      <c r="G857" s="1" t="s">
        <v>4716</v>
      </c>
      <c r="H857" s="1" t="s">
        <v>4719</v>
      </c>
      <c r="I857" s="1" t="s">
        <v>4721</v>
      </c>
      <c r="J857" s="1" t="s">
        <v>39</v>
      </c>
      <c r="K857" s="1" t="s">
        <v>4766</v>
      </c>
      <c r="L857" s="1" t="s">
        <v>164</v>
      </c>
      <c r="M857" s="1" t="s">
        <v>89</v>
      </c>
      <c r="N857" s="1" t="s">
        <v>37</v>
      </c>
    </row>
    <row r="858" spans="1:14" x14ac:dyDescent="0.25">
      <c r="A858" s="1" t="s">
        <v>86</v>
      </c>
      <c r="B858" s="1" t="s">
        <v>5509</v>
      </c>
      <c r="C858" s="1" t="s">
        <v>2310</v>
      </c>
      <c r="D858" s="8" t="s">
        <v>2309</v>
      </c>
      <c r="E858" s="1" t="s">
        <v>1320</v>
      </c>
      <c r="F858" s="1" t="s">
        <v>4709</v>
      </c>
      <c r="G858" s="1" t="s">
        <v>4716</v>
      </c>
      <c r="H858" s="1" t="s">
        <v>4719</v>
      </c>
      <c r="I858" s="1" t="s">
        <v>4721</v>
      </c>
      <c r="J858" s="1" t="s">
        <v>12</v>
      </c>
      <c r="K858" s="1" t="s">
        <v>4898</v>
      </c>
      <c r="L858" s="1" t="s">
        <v>1321</v>
      </c>
      <c r="M858" s="1" t="s">
        <v>637</v>
      </c>
      <c r="N858" s="1" t="s">
        <v>19</v>
      </c>
    </row>
    <row r="859" spans="1:14" x14ac:dyDescent="0.25">
      <c r="A859" s="1" t="s">
        <v>86</v>
      </c>
      <c r="B859" s="1" t="s">
        <v>5510</v>
      </c>
      <c r="C859" s="1" t="s">
        <v>3181</v>
      </c>
      <c r="D859" s="8" t="s">
        <v>3180</v>
      </c>
      <c r="E859" s="1" t="s">
        <v>817</v>
      </c>
      <c r="F859" s="1" t="s">
        <v>4713</v>
      </c>
      <c r="G859" s="1" t="s">
        <v>4716</v>
      </c>
      <c r="H859" s="1" t="s">
        <v>4719</v>
      </c>
      <c r="I859" s="1" t="s">
        <v>4721</v>
      </c>
      <c r="J859" s="1" t="s">
        <v>12</v>
      </c>
      <c r="K859" s="1" t="s">
        <v>4802</v>
      </c>
      <c r="L859" s="1" t="s">
        <v>217</v>
      </c>
      <c r="M859" s="1" t="s">
        <v>630</v>
      </c>
      <c r="N859" s="1" t="s">
        <v>21</v>
      </c>
    </row>
    <row r="860" spans="1:14" x14ac:dyDescent="0.25">
      <c r="A860" s="1" t="s">
        <v>86</v>
      </c>
      <c r="B860" s="1" t="s">
        <v>5512</v>
      </c>
      <c r="C860" s="1" t="s">
        <v>1633</v>
      </c>
      <c r="D860" s="8" t="s">
        <v>1632</v>
      </c>
      <c r="E860" s="1" t="s">
        <v>590</v>
      </c>
      <c r="F860" s="1" t="s">
        <v>6434</v>
      </c>
      <c r="G860" s="1" t="s">
        <v>4715</v>
      </c>
      <c r="H860" s="1" t="s">
        <v>4719</v>
      </c>
      <c r="I860" s="1" t="s">
        <v>4721</v>
      </c>
      <c r="J860" s="1" t="s">
        <v>12</v>
      </c>
      <c r="K860" s="1" t="s">
        <v>4913</v>
      </c>
      <c r="L860" s="1" t="s">
        <v>122</v>
      </c>
      <c r="M860" s="1" t="s">
        <v>41</v>
      </c>
      <c r="N860" s="1" t="s">
        <v>42</v>
      </c>
    </row>
    <row r="861" spans="1:14" x14ac:dyDescent="0.25">
      <c r="A861" s="1" t="s">
        <v>86</v>
      </c>
      <c r="B861" s="1" t="s">
        <v>6129</v>
      </c>
      <c r="C861" s="1" t="s">
        <v>3046</v>
      </c>
      <c r="D861" s="8" t="s">
        <v>3045</v>
      </c>
      <c r="E861" s="1" t="s">
        <v>540</v>
      </c>
      <c r="F861" s="1" t="s">
        <v>6437</v>
      </c>
      <c r="G861" s="1" t="s">
        <v>4715</v>
      </c>
      <c r="H861" s="1" t="s">
        <v>4719</v>
      </c>
      <c r="I861" s="1" t="s">
        <v>4721</v>
      </c>
      <c r="J861" s="1" t="s">
        <v>12</v>
      </c>
      <c r="K861" s="1" t="s">
        <v>4765</v>
      </c>
      <c r="L861" s="1" t="s">
        <v>283</v>
      </c>
      <c r="M861" s="1" t="s">
        <v>99</v>
      </c>
      <c r="N861" s="1" t="s">
        <v>25</v>
      </c>
    </row>
    <row r="862" spans="1:14" x14ac:dyDescent="0.25">
      <c r="A862" s="1" t="s">
        <v>86</v>
      </c>
      <c r="B862" s="1" t="s">
        <v>6131</v>
      </c>
      <c r="C862" s="1" t="s">
        <v>3094</v>
      </c>
      <c r="D862" s="8" t="s">
        <v>3093</v>
      </c>
      <c r="E862" s="1" t="s">
        <v>594</v>
      </c>
      <c r="F862" s="1" t="s">
        <v>6437</v>
      </c>
      <c r="G862" s="1" t="s">
        <v>4715</v>
      </c>
      <c r="H862" s="1" t="s">
        <v>4719</v>
      </c>
      <c r="I862" s="1" t="s">
        <v>4721</v>
      </c>
      <c r="J862" s="1" t="s">
        <v>12</v>
      </c>
      <c r="K862" s="1" t="s">
        <v>4765</v>
      </c>
      <c r="L862" s="1" t="s">
        <v>122</v>
      </c>
      <c r="M862" s="1" t="s">
        <v>99</v>
      </c>
      <c r="N862" s="1" t="s">
        <v>25</v>
      </c>
    </row>
    <row r="863" spans="1:14" x14ac:dyDescent="0.25">
      <c r="A863" s="1" t="s">
        <v>86</v>
      </c>
      <c r="B863" s="1" t="s">
        <v>5515</v>
      </c>
      <c r="C863" s="1" t="s">
        <v>833</v>
      </c>
      <c r="D863" s="8" t="s">
        <v>832</v>
      </c>
      <c r="E863" s="1" t="s">
        <v>459</v>
      </c>
      <c r="F863" s="1" t="s">
        <v>6449</v>
      </c>
      <c r="G863" s="1" t="s">
        <v>4717</v>
      </c>
      <c r="H863" s="1" t="s">
        <v>4719</v>
      </c>
      <c r="I863" s="1" t="s">
        <v>4721</v>
      </c>
      <c r="J863" s="1" t="s">
        <v>12</v>
      </c>
      <c r="K863" s="1" t="s">
        <v>4904</v>
      </c>
      <c r="L863" s="1" t="s">
        <v>458</v>
      </c>
      <c r="M863" s="1" t="s">
        <v>58</v>
      </c>
      <c r="N863" s="1" t="s">
        <v>61</v>
      </c>
    </row>
    <row r="864" spans="1:14" x14ac:dyDescent="0.25">
      <c r="A864" s="1" t="s">
        <v>86</v>
      </c>
      <c r="B864" s="1" t="s">
        <v>6132</v>
      </c>
      <c r="C864" s="1" t="s">
        <v>4352</v>
      </c>
      <c r="D864" s="8" t="s">
        <v>4351</v>
      </c>
      <c r="E864" s="1" t="s">
        <v>123</v>
      </c>
      <c r="F864" s="1" t="s">
        <v>6441</v>
      </c>
      <c r="G864" s="1" t="s">
        <v>4717</v>
      </c>
      <c r="H864" s="1" t="s">
        <v>4719</v>
      </c>
      <c r="I864" s="1" t="s">
        <v>4721</v>
      </c>
      <c r="J864" s="1" t="s">
        <v>12</v>
      </c>
      <c r="K864" s="1" t="s">
        <v>4849</v>
      </c>
      <c r="L864" s="1" t="s">
        <v>122</v>
      </c>
      <c r="M864" s="1" t="s">
        <v>58</v>
      </c>
      <c r="N864" s="1" t="s">
        <v>61</v>
      </c>
    </row>
    <row r="865" spans="1:14" x14ac:dyDescent="0.25">
      <c r="A865" s="1" t="s">
        <v>86</v>
      </c>
      <c r="B865" s="1" t="s">
        <v>5516</v>
      </c>
      <c r="C865" s="1" t="s">
        <v>3219</v>
      </c>
      <c r="D865" s="8" t="s">
        <v>3218</v>
      </c>
      <c r="E865" s="1" t="s">
        <v>445</v>
      </c>
      <c r="F865" s="1" t="s">
        <v>6445</v>
      </c>
      <c r="G865" s="1" t="s">
        <v>4717</v>
      </c>
      <c r="H865" s="1" t="s">
        <v>4719</v>
      </c>
      <c r="I865" s="1" t="s">
        <v>4721</v>
      </c>
      <c r="J865" s="1" t="s">
        <v>12</v>
      </c>
      <c r="K865" s="1" t="s">
        <v>4782</v>
      </c>
      <c r="L865" s="1" t="s">
        <v>122</v>
      </c>
      <c r="M865" s="1" t="s">
        <v>58</v>
      </c>
      <c r="N865" s="1" t="s">
        <v>61</v>
      </c>
    </row>
    <row r="866" spans="1:14" x14ac:dyDescent="0.25">
      <c r="A866" s="1" t="s">
        <v>86</v>
      </c>
      <c r="B866" s="1" t="s">
        <v>5517</v>
      </c>
      <c r="C866" s="1" t="s">
        <v>3996</v>
      </c>
      <c r="D866" s="8" t="s">
        <v>3995</v>
      </c>
      <c r="E866" s="1" t="s">
        <v>1320</v>
      </c>
      <c r="F866" s="1" t="s">
        <v>4709</v>
      </c>
      <c r="G866" s="1" t="s">
        <v>4716</v>
      </c>
      <c r="H866" s="1" t="s">
        <v>4719</v>
      </c>
      <c r="I866" s="1" t="s">
        <v>4721</v>
      </c>
      <c r="J866" s="1" t="s">
        <v>12</v>
      </c>
      <c r="K866" s="1" t="s">
        <v>4796</v>
      </c>
      <c r="L866" s="1" t="s">
        <v>1321</v>
      </c>
      <c r="M866" s="1" t="s">
        <v>89</v>
      </c>
      <c r="N866" s="1" t="s">
        <v>37</v>
      </c>
    </row>
    <row r="867" spans="1:14" x14ac:dyDescent="0.25">
      <c r="A867" s="1" t="s">
        <v>86</v>
      </c>
      <c r="B867" s="1" t="s">
        <v>6135</v>
      </c>
      <c r="C867" s="1" t="s">
        <v>2283</v>
      </c>
      <c r="D867" s="8" t="s">
        <v>2282</v>
      </c>
      <c r="E867" s="1" t="s">
        <v>1320</v>
      </c>
      <c r="F867" s="1" t="s">
        <v>4709</v>
      </c>
      <c r="G867" s="1" t="s">
        <v>4716</v>
      </c>
      <c r="H867" s="1" t="s">
        <v>4719</v>
      </c>
      <c r="I867" s="1" t="s">
        <v>4721</v>
      </c>
      <c r="J867" s="1" t="s">
        <v>12</v>
      </c>
      <c r="K867" s="1" t="s">
        <v>4898</v>
      </c>
      <c r="L867" s="1" t="s">
        <v>1321</v>
      </c>
      <c r="M867" s="1" t="s">
        <v>883</v>
      </c>
      <c r="N867" s="1" t="s">
        <v>21</v>
      </c>
    </row>
    <row r="868" spans="1:14" x14ac:dyDescent="0.25">
      <c r="A868" s="1" t="s">
        <v>86</v>
      </c>
      <c r="B868" s="1" t="s">
        <v>6136</v>
      </c>
      <c r="C868" s="1" t="s">
        <v>582</v>
      </c>
      <c r="D868" s="8" t="s">
        <v>581</v>
      </c>
      <c r="E868" s="1" t="s">
        <v>445</v>
      </c>
      <c r="F868" s="1" t="s">
        <v>6434</v>
      </c>
      <c r="G868" s="1" t="s">
        <v>4715</v>
      </c>
      <c r="H868" s="1" t="s">
        <v>4719</v>
      </c>
      <c r="I868" s="1" t="s">
        <v>4721</v>
      </c>
      <c r="J868" s="1" t="s">
        <v>12</v>
      </c>
      <c r="K868" s="1" t="s">
        <v>4771</v>
      </c>
      <c r="L868" s="1" t="s">
        <v>122</v>
      </c>
      <c r="M868" s="1" t="s">
        <v>245</v>
      </c>
      <c r="N868" s="1" t="s">
        <v>21</v>
      </c>
    </row>
    <row r="869" spans="1:14" x14ac:dyDescent="0.25">
      <c r="A869" s="1" t="s">
        <v>86</v>
      </c>
      <c r="B869" s="1" t="s">
        <v>6137</v>
      </c>
      <c r="C869" s="1" t="s">
        <v>3683</v>
      </c>
      <c r="D869" s="8" t="s">
        <v>3682</v>
      </c>
      <c r="E869" s="1" t="s">
        <v>165</v>
      </c>
      <c r="F869" s="1" t="s">
        <v>6433</v>
      </c>
      <c r="G869" s="1" t="s">
        <v>4716</v>
      </c>
      <c r="H869" s="1" t="s">
        <v>4719</v>
      </c>
      <c r="I869" s="1" t="s">
        <v>4721</v>
      </c>
      <c r="J869" s="1" t="s">
        <v>12</v>
      </c>
      <c r="K869" s="1" t="s">
        <v>4785</v>
      </c>
      <c r="L869" s="1" t="s">
        <v>164</v>
      </c>
      <c r="M869" s="1" t="s">
        <v>245</v>
      </c>
      <c r="N869" s="1" t="s">
        <v>21</v>
      </c>
    </row>
    <row r="870" spans="1:14" x14ac:dyDescent="0.25">
      <c r="A870" s="1" t="s">
        <v>86</v>
      </c>
      <c r="B870" s="1" t="s">
        <v>5518</v>
      </c>
      <c r="C870" s="1" t="s">
        <v>4164</v>
      </c>
      <c r="D870" s="8" t="s">
        <v>4163</v>
      </c>
      <c r="E870" s="1" t="s">
        <v>840</v>
      </c>
      <c r="F870" s="1" t="s">
        <v>6448</v>
      </c>
      <c r="G870" s="1" t="s">
        <v>4716</v>
      </c>
      <c r="H870" s="1" t="s">
        <v>4719</v>
      </c>
      <c r="I870" s="1" t="s">
        <v>4721</v>
      </c>
      <c r="J870" s="1" t="s">
        <v>12</v>
      </c>
      <c r="K870" s="1" t="s">
        <v>4796</v>
      </c>
      <c r="L870" s="1" t="s">
        <v>198</v>
      </c>
      <c r="M870" s="1" t="s">
        <v>637</v>
      </c>
      <c r="N870" s="1" t="s">
        <v>19</v>
      </c>
    </row>
    <row r="871" spans="1:14" x14ac:dyDescent="0.25">
      <c r="A871" s="1" t="s">
        <v>86</v>
      </c>
      <c r="B871" s="1" t="s">
        <v>6138</v>
      </c>
      <c r="C871" s="1" t="s">
        <v>478</v>
      </c>
      <c r="D871" s="8" t="s">
        <v>477</v>
      </c>
      <c r="E871" s="1" t="s">
        <v>88</v>
      </c>
      <c r="F871" s="1" t="s">
        <v>4709</v>
      </c>
      <c r="G871" s="1" t="s">
        <v>4716</v>
      </c>
      <c r="H871" s="1" t="s">
        <v>4719</v>
      </c>
      <c r="I871" s="1" t="s">
        <v>4721</v>
      </c>
      <c r="J871" s="1" t="s">
        <v>12</v>
      </c>
      <c r="K871" s="1" t="s">
        <v>4796</v>
      </c>
      <c r="L871" s="1" t="s">
        <v>87</v>
      </c>
      <c r="M871" s="1" t="s">
        <v>172</v>
      </c>
      <c r="N871" s="1" t="s">
        <v>17</v>
      </c>
    </row>
    <row r="872" spans="1:14" x14ac:dyDescent="0.25">
      <c r="A872" s="1" t="s">
        <v>86</v>
      </c>
      <c r="B872" s="1" t="s">
        <v>6142</v>
      </c>
      <c r="C872" s="1" t="s">
        <v>1013</v>
      </c>
      <c r="D872" s="8" t="s">
        <v>1012</v>
      </c>
      <c r="E872" s="1" t="s">
        <v>445</v>
      </c>
      <c r="F872" s="1" t="s">
        <v>6434</v>
      </c>
      <c r="G872" s="1" t="s">
        <v>4715</v>
      </c>
      <c r="H872" s="1" t="s">
        <v>4719</v>
      </c>
      <c r="I872" s="1" t="s">
        <v>4721</v>
      </c>
      <c r="J872" s="1" t="s">
        <v>12</v>
      </c>
      <c r="K872" s="1" t="s">
        <v>4771</v>
      </c>
      <c r="L872" s="1" t="s">
        <v>122</v>
      </c>
      <c r="M872" s="1" t="s">
        <v>245</v>
      </c>
      <c r="N872" s="1" t="s">
        <v>21</v>
      </c>
    </row>
    <row r="873" spans="1:14" x14ac:dyDescent="0.25">
      <c r="A873" s="1" t="s">
        <v>86</v>
      </c>
      <c r="B873" s="1" t="s">
        <v>5521</v>
      </c>
      <c r="C873" s="1" t="s">
        <v>2656</v>
      </c>
      <c r="D873" s="8" t="s">
        <v>2655</v>
      </c>
      <c r="E873" s="1" t="s">
        <v>1320</v>
      </c>
      <c r="F873" s="1" t="s">
        <v>4709</v>
      </c>
      <c r="G873" s="1" t="s">
        <v>4716</v>
      </c>
      <c r="H873" s="1" t="s">
        <v>4719</v>
      </c>
      <c r="I873" s="1" t="s">
        <v>4721</v>
      </c>
      <c r="J873" s="1" t="s">
        <v>12</v>
      </c>
      <c r="K873" s="1" t="s">
        <v>4898</v>
      </c>
      <c r="L873" s="1" t="s">
        <v>1321</v>
      </c>
      <c r="M873" s="1" t="s">
        <v>630</v>
      </c>
      <c r="N873" s="1" t="s">
        <v>21</v>
      </c>
    </row>
    <row r="874" spans="1:14" x14ac:dyDescent="0.25">
      <c r="A874" s="1" t="s">
        <v>86</v>
      </c>
      <c r="B874" s="1" t="s">
        <v>5522</v>
      </c>
      <c r="C874" s="1" t="s">
        <v>1986</v>
      </c>
      <c r="D874" s="8" t="s">
        <v>1985</v>
      </c>
      <c r="E874" s="1" t="s">
        <v>325</v>
      </c>
      <c r="F874" s="1" t="s">
        <v>4714</v>
      </c>
      <c r="G874" s="1" t="s">
        <v>4715</v>
      </c>
      <c r="H874" s="1" t="s">
        <v>4719</v>
      </c>
      <c r="I874" s="1" t="s">
        <v>4721</v>
      </c>
      <c r="J874" s="1" t="s">
        <v>12</v>
      </c>
      <c r="K874" s="1" t="s">
        <v>4777</v>
      </c>
      <c r="L874" s="1" t="s">
        <v>283</v>
      </c>
      <c r="M874" s="1" t="s">
        <v>245</v>
      </c>
      <c r="N874" s="1" t="s">
        <v>21</v>
      </c>
    </row>
    <row r="875" spans="1:14" x14ac:dyDescent="0.25">
      <c r="A875" s="1" t="s">
        <v>86</v>
      </c>
      <c r="B875" s="1" t="s">
        <v>6145</v>
      </c>
      <c r="C875" s="1" t="s">
        <v>4075</v>
      </c>
      <c r="D875" s="8" t="s">
        <v>4074</v>
      </c>
      <c r="E875" s="1" t="s">
        <v>123</v>
      </c>
      <c r="F875" s="1" t="s">
        <v>4711</v>
      </c>
      <c r="G875" s="1" t="s">
        <v>4715</v>
      </c>
      <c r="H875" s="1" t="s">
        <v>4719</v>
      </c>
      <c r="I875" s="1" t="s">
        <v>4721</v>
      </c>
      <c r="J875" s="1" t="s">
        <v>12</v>
      </c>
      <c r="K875" s="1" t="s">
        <v>4784</v>
      </c>
      <c r="L875" s="1" t="s">
        <v>122</v>
      </c>
      <c r="M875" s="1" t="s">
        <v>245</v>
      </c>
      <c r="N875" s="1" t="s">
        <v>21</v>
      </c>
    </row>
    <row r="876" spans="1:14" x14ac:dyDescent="0.25">
      <c r="A876" s="1" t="s">
        <v>86</v>
      </c>
      <c r="B876" s="1" t="s">
        <v>6147</v>
      </c>
      <c r="C876" s="1" t="s">
        <v>3010</v>
      </c>
      <c r="D876" s="8" t="s">
        <v>3009</v>
      </c>
      <c r="E876" s="1" t="s">
        <v>497</v>
      </c>
      <c r="F876" s="1" t="s">
        <v>6438</v>
      </c>
      <c r="G876" s="1" t="s">
        <v>4716</v>
      </c>
      <c r="H876" s="1" t="s">
        <v>4719</v>
      </c>
      <c r="I876" s="1" t="s">
        <v>4721</v>
      </c>
      <c r="J876" s="1" t="s">
        <v>12</v>
      </c>
      <c r="K876" s="1" t="s">
        <v>4783</v>
      </c>
      <c r="L876" s="1" t="s">
        <v>164</v>
      </c>
      <c r="M876" s="1" t="s">
        <v>136</v>
      </c>
      <c r="N876" s="1" t="s">
        <v>72</v>
      </c>
    </row>
    <row r="877" spans="1:14" x14ac:dyDescent="0.25">
      <c r="A877" s="1" t="s">
        <v>86</v>
      </c>
      <c r="B877" s="1" t="s">
        <v>5524</v>
      </c>
      <c r="C877" s="1" t="s">
        <v>1418</v>
      </c>
      <c r="D877" s="8" t="s">
        <v>1416</v>
      </c>
      <c r="E877" s="1" t="s">
        <v>123</v>
      </c>
      <c r="F877" s="1" t="s">
        <v>4712</v>
      </c>
      <c r="G877" s="1" t="s">
        <v>4717</v>
      </c>
      <c r="H877" s="1" t="s">
        <v>4719</v>
      </c>
      <c r="I877" s="1" t="s">
        <v>4721</v>
      </c>
      <c r="J877" s="1" t="s">
        <v>39</v>
      </c>
      <c r="K877" s="1" t="s">
        <v>4800</v>
      </c>
      <c r="L877" s="1" t="s">
        <v>122</v>
      </c>
      <c r="M877" s="1" t="s">
        <v>58</v>
      </c>
      <c r="N877" s="1" t="s">
        <v>61</v>
      </c>
    </row>
    <row r="878" spans="1:14" x14ac:dyDescent="0.25">
      <c r="A878" s="1" t="s">
        <v>86</v>
      </c>
      <c r="B878" s="1" t="s">
        <v>5525</v>
      </c>
      <c r="C878" s="1" t="s">
        <v>2010</v>
      </c>
      <c r="D878" s="8" t="s">
        <v>2009</v>
      </c>
      <c r="E878" s="1" t="s">
        <v>205</v>
      </c>
      <c r="F878" s="1" t="s">
        <v>6439</v>
      </c>
      <c r="G878" s="1" t="s">
        <v>4715</v>
      </c>
      <c r="H878" s="1" t="s">
        <v>4719</v>
      </c>
      <c r="I878" s="1" t="s">
        <v>4721</v>
      </c>
      <c r="J878" s="1" t="s">
        <v>12</v>
      </c>
      <c r="K878" s="1" t="s">
        <v>4784</v>
      </c>
      <c r="L878" s="1" t="s">
        <v>122</v>
      </c>
      <c r="M878" s="1" t="s">
        <v>58</v>
      </c>
      <c r="N878" s="1" t="s">
        <v>61</v>
      </c>
    </row>
    <row r="879" spans="1:14" x14ac:dyDescent="0.25">
      <c r="A879" s="1" t="s">
        <v>86</v>
      </c>
      <c r="B879" s="1" t="s">
        <v>5528</v>
      </c>
      <c r="C879" s="1" t="s">
        <v>3228</v>
      </c>
      <c r="D879" s="8" t="s">
        <v>3227</v>
      </c>
      <c r="E879" s="1" t="s">
        <v>559</v>
      </c>
      <c r="F879" s="1" t="s">
        <v>4713</v>
      </c>
      <c r="G879" s="1" t="s">
        <v>4716</v>
      </c>
      <c r="H879" s="1" t="s">
        <v>4719</v>
      </c>
      <c r="I879" s="1" t="s">
        <v>4721</v>
      </c>
      <c r="J879" s="1" t="s">
        <v>12</v>
      </c>
      <c r="K879" s="1" t="s">
        <v>4802</v>
      </c>
      <c r="L879" s="1" t="s">
        <v>558</v>
      </c>
      <c r="M879" s="1" t="s">
        <v>630</v>
      </c>
      <c r="N879" s="1" t="s">
        <v>21</v>
      </c>
    </row>
    <row r="880" spans="1:14" x14ac:dyDescent="0.25">
      <c r="A880" s="1" t="s">
        <v>86</v>
      </c>
      <c r="B880" s="1" t="s">
        <v>6150</v>
      </c>
      <c r="C880" s="1" t="s">
        <v>2001</v>
      </c>
      <c r="D880" s="8" t="s">
        <v>2000</v>
      </c>
      <c r="E880" s="1" t="s">
        <v>205</v>
      </c>
      <c r="F880" s="1" t="s">
        <v>6439</v>
      </c>
      <c r="G880" s="1" t="s">
        <v>4715</v>
      </c>
      <c r="H880" s="1" t="s">
        <v>4719</v>
      </c>
      <c r="I880" s="1" t="s">
        <v>4721</v>
      </c>
      <c r="J880" s="1" t="s">
        <v>12</v>
      </c>
      <c r="K880" s="1" t="s">
        <v>4771</v>
      </c>
      <c r="L880" s="1" t="s">
        <v>122</v>
      </c>
      <c r="M880" s="1" t="s">
        <v>245</v>
      </c>
      <c r="N880" s="1" t="s">
        <v>21</v>
      </c>
    </row>
    <row r="881" spans="1:14" x14ac:dyDescent="0.25">
      <c r="A881" s="1" t="s">
        <v>86</v>
      </c>
      <c r="B881" s="1" t="s">
        <v>6151</v>
      </c>
      <c r="C881" s="1" t="s">
        <v>4142</v>
      </c>
      <c r="D881" s="8" t="s">
        <v>4141</v>
      </c>
      <c r="E881" s="1" t="s">
        <v>1974</v>
      </c>
      <c r="F881" s="1" t="s">
        <v>6452</v>
      </c>
      <c r="G881" s="1" t="s">
        <v>6418</v>
      </c>
      <c r="H881" s="1" t="s">
        <v>4718</v>
      </c>
      <c r="I881" s="1" t="s">
        <v>4721</v>
      </c>
      <c r="J881" s="1" t="s">
        <v>39</v>
      </c>
      <c r="K881" s="1" t="s">
        <v>4777</v>
      </c>
      <c r="L881" s="1" t="s">
        <v>283</v>
      </c>
      <c r="M881" s="1" t="s">
        <v>245</v>
      </c>
      <c r="N881" s="1" t="s">
        <v>21</v>
      </c>
    </row>
    <row r="882" spans="1:14" x14ac:dyDescent="0.25">
      <c r="A882" s="1" t="s">
        <v>86</v>
      </c>
      <c r="B882" s="1" t="s">
        <v>5531</v>
      </c>
      <c r="C882" s="1" t="s">
        <v>4387</v>
      </c>
      <c r="D882" s="8" t="s">
        <v>4385</v>
      </c>
      <c r="E882" s="1" t="s">
        <v>205</v>
      </c>
      <c r="F882" s="1" t="s">
        <v>6453</v>
      </c>
      <c r="G882" s="1" t="s">
        <v>6451</v>
      </c>
      <c r="H882" s="1" t="s">
        <v>4718</v>
      </c>
      <c r="I882" s="1" t="s">
        <v>4721</v>
      </c>
      <c r="J882" s="1" t="s">
        <v>39</v>
      </c>
      <c r="K882" s="1" t="s">
        <v>4784</v>
      </c>
      <c r="L882" s="1" t="s">
        <v>122</v>
      </c>
      <c r="M882" s="1" t="s">
        <v>149</v>
      </c>
      <c r="N882" s="1" t="s">
        <v>61</v>
      </c>
    </row>
    <row r="883" spans="1:14" x14ac:dyDescent="0.25">
      <c r="A883" s="1" t="s">
        <v>86</v>
      </c>
      <c r="B883" s="1" t="s">
        <v>5533</v>
      </c>
      <c r="C883" s="1" t="s">
        <v>1180</v>
      </c>
      <c r="D883" s="8" t="s">
        <v>1179</v>
      </c>
      <c r="E883" s="1" t="s">
        <v>211</v>
      </c>
      <c r="F883" s="1" t="s">
        <v>6435</v>
      </c>
      <c r="G883" s="1" t="s">
        <v>4716</v>
      </c>
      <c r="H883" s="1" t="s">
        <v>4719</v>
      </c>
      <c r="I883" s="1" t="s">
        <v>4722</v>
      </c>
      <c r="J883" s="1" t="s">
        <v>39</v>
      </c>
      <c r="K883" s="1" t="s">
        <v>4820</v>
      </c>
      <c r="L883" s="1" t="s">
        <v>210</v>
      </c>
      <c r="M883" s="1" t="s">
        <v>58</v>
      </c>
      <c r="N883" s="1" t="s">
        <v>61</v>
      </c>
    </row>
    <row r="884" spans="1:14" x14ac:dyDescent="0.25">
      <c r="A884" s="1" t="s">
        <v>86</v>
      </c>
      <c r="B884" s="1" t="s">
        <v>5535</v>
      </c>
      <c r="C884" s="1" t="s">
        <v>4139</v>
      </c>
      <c r="D884" s="8" t="s">
        <v>4137</v>
      </c>
      <c r="E884" s="1" t="s">
        <v>211</v>
      </c>
      <c r="F884" s="1" t="s">
        <v>6452</v>
      </c>
      <c r="G884" s="1" t="s">
        <v>6418</v>
      </c>
      <c r="H884" s="1" t="s">
        <v>4718</v>
      </c>
      <c r="I884" s="1" t="s">
        <v>4721</v>
      </c>
      <c r="J884" s="1" t="s">
        <v>12</v>
      </c>
      <c r="K884" s="1" t="s">
        <v>4914</v>
      </c>
      <c r="L884" s="1" t="s">
        <v>210</v>
      </c>
      <c r="M884" s="1" t="s">
        <v>149</v>
      </c>
      <c r="N884" s="1" t="s">
        <v>61</v>
      </c>
    </row>
    <row r="885" spans="1:14" x14ac:dyDescent="0.25">
      <c r="A885" s="1" t="s">
        <v>86</v>
      </c>
      <c r="B885" s="1" t="s">
        <v>5547</v>
      </c>
      <c r="C885" s="1" t="s">
        <v>3194</v>
      </c>
      <c r="D885" s="8" t="s">
        <v>3193</v>
      </c>
      <c r="E885" s="1" t="s">
        <v>123</v>
      </c>
      <c r="F885" s="1" t="s">
        <v>6441</v>
      </c>
      <c r="G885" s="1" t="s">
        <v>4717</v>
      </c>
      <c r="H885" s="1" t="s">
        <v>4719</v>
      </c>
      <c r="I885" s="1" t="s">
        <v>4721</v>
      </c>
      <c r="J885" s="1" t="s">
        <v>12</v>
      </c>
      <c r="K885" s="1" t="s">
        <v>4849</v>
      </c>
      <c r="L885" s="1" t="s">
        <v>122</v>
      </c>
      <c r="M885" s="1" t="s">
        <v>58</v>
      </c>
      <c r="N885" s="1" t="s">
        <v>61</v>
      </c>
    </row>
    <row r="886" spans="1:14" x14ac:dyDescent="0.25">
      <c r="A886" s="1" t="s">
        <v>86</v>
      </c>
      <c r="B886" s="1" t="s">
        <v>6160</v>
      </c>
      <c r="C886" s="1" t="s">
        <v>1627</v>
      </c>
      <c r="D886" s="8" t="s">
        <v>1626</v>
      </c>
      <c r="E886" s="1" t="s">
        <v>590</v>
      </c>
      <c r="F886" s="1" t="s">
        <v>6434</v>
      </c>
      <c r="G886" s="1" t="s">
        <v>4715</v>
      </c>
      <c r="H886" s="1" t="s">
        <v>4719</v>
      </c>
      <c r="I886" s="1" t="s">
        <v>4721</v>
      </c>
      <c r="J886" s="1" t="s">
        <v>12</v>
      </c>
      <c r="K886" s="1" t="s">
        <v>4771</v>
      </c>
      <c r="L886" s="1" t="s">
        <v>122</v>
      </c>
      <c r="M886" s="1" t="s">
        <v>245</v>
      </c>
      <c r="N886" s="1" t="s">
        <v>21</v>
      </c>
    </row>
    <row r="887" spans="1:14" x14ac:dyDescent="0.25">
      <c r="A887" s="1" t="s">
        <v>86</v>
      </c>
      <c r="B887" s="1" t="s">
        <v>6161</v>
      </c>
      <c r="C887" s="1" t="s">
        <v>1494</v>
      </c>
      <c r="D887" s="8" t="s">
        <v>1493</v>
      </c>
      <c r="E887" s="1" t="s">
        <v>218</v>
      </c>
      <c r="F887" s="1" t="s">
        <v>4713</v>
      </c>
      <c r="G887" s="1" t="s">
        <v>4716</v>
      </c>
      <c r="H887" s="1" t="s">
        <v>4719</v>
      </c>
      <c r="I887" s="1" t="s">
        <v>4721</v>
      </c>
      <c r="J887" s="1" t="s">
        <v>12</v>
      </c>
      <c r="K887" s="1" t="s">
        <v>4802</v>
      </c>
      <c r="L887" s="1" t="s">
        <v>217</v>
      </c>
      <c r="M887" s="1" t="s">
        <v>89</v>
      </c>
      <c r="N887" s="1" t="s">
        <v>37</v>
      </c>
    </row>
    <row r="888" spans="1:14" x14ac:dyDescent="0.25">
      <c r="A888" s="1" t="s">
        <v>86</v>
      </c>
      <c r="B888" s="1" t="s">
        <v>5552</v>
      </c>
      <c r="C888" s="1" t="s">
        <v>947</v>
      </c>
      <c r="D888" s="8" t="s">
        <v>946</v>
      </c>
      <c r="E888" s="1" t="s">
        <v>211</v>
      </c>
      <c r="F888" s="1" t="s">
        <v>6435</v>
      </c>
      <c r="G888" s="1" t="s">
        <v>4716</v>
      </c>
      <c r="H888" s="1" t="s">
        <v>4719</v>
      </c>
      <c r="I888" s="1" t="s">
        <v>4721</v>
      </c>
      <c r="J888" s="1" t="s">
        <v>12</v>
      </c>
      <c r="K888" s="1" t="s">
        <v>4784</v>
      </c>
      <c r="L888" s="1" t="s">
        <v>210</v>
      </c>
      <c r="M888" s="1" t="s">
        <v>41</v>
      </c>
      <c r="N888" s="1" t="s">
        <v>42</v>
      </c>
    </row>
    <row r="889" spans="1:14" x14ac:dyDescent="0.25">
      <c r="A889" s="1" t="s">
        <v>86</v>
      </c>
      <c r="B889" s="1" t="s">
        <v>5554</v>
      </c>
      <c r="C889" s="1" t="s">
        <v>1022</v>
      </c>
      <c r="D889" s="8" t="s">
        <v>1021</v>
      </c>
      <c r="E889" s="1" t="s">
        <v>590</v>
      </c>
      <c r="F889" s="1" t="s">
        <v>6434</v>
      </c>
      <c r="G889" s="1" t="s">
        <v>4715</v>
      </c>
      <c r="H889" s="1" t="s">
        <v>4719</v>
      </c>
      <c r="I889" s="1" t="s">
        <v>4721</v>
      </c>
      <c r="J889" s="1" t="s">
        <v>12</v>
      </c>
      <c r="K889" s="1" t="s">
        <v>4771</v>
      </c>
      <c r="L889" s="1" t="s">
        <v>122</v>
      </c>
      <c r="M889" s="1" t="s">
        <v>245</v>
      </c>
      <c r="N889" s="1" t="s">
        <v>21</v>
      </c>
    </row>
    <row r="890" spans="1:14" x14ac:dyDescent="0.25">
      <c r="A890" s="1" t="s">
        <v>86</v>
      </c>
      <c r="B890" s="1" t="s">
        <v>5555</v>
      </c>
      <c r="C890" s="1" t="s">
        <v>563</v>
      </c>
      <c r="D890" s="8" t="s">
        <v>562</v>
      </c>
      <c r="E890" s="1" t="s">
        <v>445</v>
      </c>
      <c r="F890" s="1" t="s">
        <v>6434</v>
      </c>
      <c r="G890" s="1" t="s">
        <v>4715</v>
      </c>
      <c r="H890" s="1" t="s">
        <v>4719</v>
      </c>
      <c r="I890" s="1" t="s">
        <v>4721</v>
      </c>
      <c r="J890" s="1" t="s">
        <v>12</v>
      </c>
      <c r="K890" s="1" t="s">
        <v>4770</v>
      </c>
      <c r="L890" s="1" t="s">
        <v>122</v>
      </c>
      <c r="M890" s="1" t="s">
        <v>245</v>
      </c>
      <c r="N890" s="1" t="s">
        <v>21</v>
      </c>
    </row>
    <row r="891" spans="1:14" x14ac:dyDescent="0.25">
      <c r="A891" s="1" t="s">
        <v>86</v>
      </c>
      <c r="B891" s="1" t="s">
        <v>6164</v>
      </c>
      <c r="C891" s="1" t="s">
        <v>2491</v>
      </c>
      <c r="D891" s="8" t="s">
        <v>2490</v>
      </c>
      <c r="E891" s="1" t="s">
        <v>497</v>
      </c>
      <c r="F891" s="1" t="s">
        <v>4710</v>
      </c>
      <c r="G891" s="1" t="s">
        <v>4716</v>
      </c>
      <c r="H891" s="1" t="s">
        <v>4719</v>
      </c>
      <c r="I891" s="1" t="s">
        <v>4721</v>
      </c>
      <c r="J891" s="1" t="s">
        <v>12</v>
      </c>
      <c r="K891" s="1" t="s">
        <v>4766</v>
      </c>
      <c r="L891" s="1" t="s">
        <v>164</v>
      </c>
      <c r="M891" s="1" t="s">
        <v>89</v>
      </c>
      <c r="N891" s="1" t="s">
        <v>37</v>
      </c>
    </row>
    <row r="892" spans="1:14" x14ac:dyDescent="0.25">
      <c r="A892" s="1" t="s">
        <v>86</v>
      </c>
      <c r="B892" s="1" t="s">
        <v>5557</v>
      </c>
      <c r="C892" s="1" t="s">
        <v>1530</v>
      </c>
      <c r="D892" s="8" t="s">
        <v>1529</v>
      </c>
      <c r="E892" s="1" t="s">
        <v>211</v>
      </c>
      <c r="F892" s="1" t="s">
        <v>6435</v>
      </c>
      <c r="G892" s="1" t="s">
        <v>4716</v>
      </c>
      <c r="H892" s="1" t="s">
        <v>4719</v>
      </c>
      <c r="I892" s="1" t="s">
        <v>4721</v>
      </c>
      <c r="J892" s="1" t="s">
        <v>12</v>
      </c>
      <c r="K892" s="1" t="s">
        <v>4820</v>
      </c>
      <c r="L892" s="1" t="s">
        <v>210</v>
      </c>
      <c r="M892" s="1" t="s">
        <v>58</v>
      </c>
      <c r="N892" s="1" t="s">
        <v>61</v>
      </c>
    </row>
    <row r="893" spans="1:14" x14ac:dyDescent="0.25">
      <c r="A893" s="1" t="s">
        <v>86</v>
      </c>
      <c r="B893" s="1" t="s">
        <v>5559</v>
      </c>
      <c r="C893" s="1" t="s">
        <v>619</v>
      </c>
      <c r="D893" s="8" t="s">
        <v>618</v>
      </c>
      <c r="E893" s="1" t="s">
        <v>540</v>
      </c>
      <c r="F893" s="1" t="s">
        <v>4715</v>
      </c>
      <c r="G893" s="1" t="s">
        <v>4715</v>
      </c>
      <c r="H893" s="1" t="s">
        <v>4719</v>
      </c>
      <c r="I893" s="1" t="s">
        <v>4721</v>
      </c>
      <c r="J893" s="1" t="s">
        <v>12</v>
      </c>
      <c r="K893" s="1" t="s">
        <v>4765</v>
      </c>
      <c r="L893" s="1" t="s">
        <v>283</v>
      </c>
      <c r="M893" s="1" t="s">
        <v>99</v>
      </c>
      <c r="N893" s="1" t="s">
        <v>25</v>
      </c>
    </row>
    <row r="894" spans="1:14" x14ac:dyDescent="0.25">
      <c r="A894" s="1" t="s">
        <v>86</v>
      </c>
      <c r="B894" s="1" t="s">
        <v>5561</v>
      </c>
      <c r="C894" s="1" t="s">
        <v>1977</v>
      </c>
      <c r="D894" s="8" t="s">
        <v>1976</v>
      </c>
      <c r="E894" s="1" t="s">
        <v>325</v>
      </c>
      <c r="F894" s="1" t="s">
        <v>4714</v>
      </c>
      <c r="G894" s="1" t="s">
        <v>4715</v>
      </c>
      <c r="H894" s="1" t="s">
        <v>4719</v>
      </c>
      <c r="I894" s="1" t="s">
        <v>4721</v>
      </c>
      <c r="J894" s="1" t="s">
        <v>12</v>
      </c>
      <c r="K894" s="1" t="s">
        <v>4777</v>
      </c>
      <c r="L894" s="1" t="s">
        <v>283</v>
      </c>
      <c r="M894" s="1" t="s">
        <v>41</v>
      </c>
      <c r="N894" s="1" t="s">
        <v>42</v>
      </c>
    </row>
    <row r="895" spans="1:14" x14ac:dyDescent="0.25">
      <c r="A895" s="1" t="s">
        <v>86</v>
      </c>
      <c r="B895" s="1" t="s">
        <v>5562</v>
      </c>
      <c r="C895" s="1" t="s">
        <v>1847</v>
      </c>
      <c r="D895" s="8" t="s">
        <v>1846</v>
      </c>
      <c r="E895" s="1" t="s">
        <v>540</v>
      </c>
      <c r="F895" s="1" t="s">
        <v>6437</v>
      </c>
      <c r="G895" s="1" t="s">
        <v>4715</v>
      </c>
      <c r="H895" s="1" t="s">
        <v>4719</v>
      </c>
      <c r="I895" s="1" t="s">
        <v>4721</v>
      </c>
      <c r="J895" s="1" t="s">
        <v>12</v>
      </c>
      <c r="K895" s="1" t="s">
        <v>4765</v>
      </c>
      <c r="L895" s="1" t="s">
        <v>283</v>
      </c>
      <c r="M895" s="1" t="s">
        <v>99</v>
      </c>
      <c r="N895" s="1" t="s">
        <v>25</v>
      </c>
    </row>
    <row r="896" spans="1:14" x14ac:dyDescent="0.25">
      <c r="A896" s="1" t="s">
        <v>86</v>
      </c>
      <c r="B896" s="1" t="s">
        <v>5563</v>
      </c>
      <c r="C896" s="1" t="s">
        <v>1560</v>
      </c>
      <c r="D896" s="8" t="s">
        <v>1559</v>
      </c>
      <c r="E896" s="1" t="s">
        <v>218</v>
      </c>
      <c r="F896" s="1" t="s">
        <v>4713</v>
      </c>
      <c r="G896" s="1" t="s">
        <v>4716</v>
      </c>
      <c r="H896" s="1" t="s">
        <v>4719</v>
      </c>
      <c r="I896" s="1" t="s">
        <v>4721</v>
      </c>
      <c r="J896" s="1" t="s">
        <v>12</v>
      </c>
      <c r="K896" s="1" t="s">
        <v>4802</v>
      </c>
      <c r="L896" s="1" t="s">
        <v>217</v>
      </c>
      <c r="M896" s="1" t="s">
        <v>630</v>
      </c>
      <c r="N896" s="1" t="s">
        <v>21</v>
      </c>
    </row>
    <row r="897" spans="1:14" x14ac:dyDescent="0.25">
      <c r="A897" s="1" t="s">
        <v>86</v>
      </c>
      <c r="B897" s="1" t="s">
        <v>5565</v>
      </c>
      <c r="C897" s="1" t="s">
        <v>4152</v>
      </c>
      <c r="D897" s="8" t="s">
        <v>4151</v>
      </c>
      <c r="E897" s="1" t="s">
        <v>840</v>
      </c>
      <c r="F897" s="1" t="s">
        <v>6448</v>
      </c>
      <c r="G897" s="1" t="s">
        <v>4716</v>
      </c>
      <c r="H897" s="1" t="s">
        <v>4719</v>
      </c>
      <c r="I897" s="1" t="s">
        <v>4721</v>
      </c>
      <c r="J897" s="1" t="s">
        <v>12</v>
      </c>
      <c r="K897" s="1" t="s">
        <v>4796</v>
      </c>
      <c r="L897" s="1" t="s">
        <v>198</v>
      </c>
      <c r="M897" s="1" t="s">
        <v>637</v>
      </c>
      <c r="N897" s="1" t="s">
        <v>19</v>
      </c>
    </row>
    <row r="898" spans="1:14" x14ac:dyDescent="0.25">
      <c r="A898" s="1" t="s">
        <v>86</v>
      </c>
      <c r="B898" s="1" t="s">
        <v>5566</v>
      </c>
      <c r="C898" s="1" t="s">
        <v>4035</v>
      </c>
      <c r="D898" s="8" t="s">
        <v>4034</v>
      </c>
      <c r="E898" s="1" t="s">
        <v>88</v>
      </c>
      <c r="F898" s="1" t="s">
        <v>4709</v>
      </c>
      <c r="G898" s="1" t="s">
        <v>4716</v>
      </c>
      <c r="H898" s="1" t="s">
        <v>4719</v>
      </c>
      <c r="I898" s="1" t="s">
        <v>4721</v>
      </c>
      <c r="J898" s="1" t="s">
        <v>12</v>
      </c>
      <c r="K898" s="1" t="s">
        <v>4796</v>
      </c>
      <c r="L898" s="1" t="s">
        <v>87</v>
      </c>
      <c r="M898" s="1" t="s">
        <v>172</v>
      </c>
      <c r="N898" s="1" t="s">
        <v>17</v>
      </c>
    </row>
    <row r="899" spans="1:14" x14ac:dyDescent="0.25">
      <c r="A899" s="1" t="s">
        <v>86</v>
      </c>
      <c r="B899" s="1" t="s">
        <v>6167</v>
      </c>
      <c r="C899" s="1" t="s">
        <v>3067</v>
      </c>
      <c r="D899" s="8" t="s">
        <v>3066</v>
      </c>
      <c r="E899" s="1" t="s">
        <v>594</v>
      </c>
      <c r="F899" s="1" t="s">
        <v>6437</v>
      </c>
      <c r="G899" s="1" t="s">
        <v>4715</v>
      </c>
      <c r="H899" s="1" t="s">
        <v>4719</v>
      </c>
      <c r="I899" s="1" t="s">
        <v>4721</v>
      </c>
      <c r="J899" s="1" t="s">
        <v>12</v>
      </c>
      <c r="K899" s="1" t="s">
        <v>4765</v>
      </c>
      <c r="L899" s="1" t="s">
        <v>122</v>
      </c>
      <c r="M899" s="1" t="s">
        <v>99</v>
      </c>
      <c r="N899" s="1" t="s">
        <v>25</v>
      </c>
    </row>
    <row r="900" spans="1:14" x14ac:dyDescent="0.25">
      <c r="A900" s="1" t="s">
        <v>86</v>
      </c>
      <c r="B900" s="1" t="s">
        <v>6168</v>
      </c>
      <c r="C900" s="1" t="s">
        <v>1741</v>
      </c>
      <c r="D900" s="8" t="s">
        <v>1740</v>
      </c>
      <c r="E900" s="1" t="s">
        <v>540</v>
      </c>
      <c r="F900" s="1" t="s">
        <v>6437</v>
      </c>
      <c r="G900" s="1" t="s">
        <v>4715</v>
      </c>
      <c r="H900" s="1" t="s">
        <v>4719</v>
      </c>
      <c r="I900" s="1" t="s">
        <v>4722</v>
      </c>
      <c r="J900" s="1" t="s">
        <v>39</v>
      </c>
      <c r="K900" s="1" t="s">
        <v>4765</v>
      </c>
      <c r="L900" s="1" t="s">
        <v>283</v>
      </c>
      <c r="M900" s="1" t="s">
        <v>99</v>
      </c>
      <c r="N900" s="1" t="s">
        <v>25</v>
      </c>
    </row>
    <row r="901" spans="1:14" x14ac:dyDescent="0.25">
      <c r="A901" s="1" t="s">
        <v>86</v>
      </c>
      <c r="B901" s="1" t="s">
        <v>5568</v>
      </c>
      <c r="C901" s="1" t="s">
        <v>3467</v>
      </c>
      <c r="D901" s="8" t="s">
        <v>3466</v>
      </c>
      <c r="E901" s="1" t="s">
        <v>165</v>
      </c>
      <c r="F901" s="1" t="s">
        <v>6433</v>
      </c>
      <c r="G901" s="1" t="s">
        <v>4716</v>
      </c>
      <c r="H901" s="1" t="s">
        <v>4719</v>
      </c>
      <c r="I901" s="1" t="s">
        <v>4721</v>
      </c>
      <c r="J901" s="1" t="s">
        <v>12</v>
      </c>
      <c r="K901" s="1" t="s">
        <v>4785</v>
      </c>
      <c r="L901" s="1" t="s">
        <v>164</v>
      </c>
      <c r="M901" s="1" t="s">
        <v>364</v>
      </c>
      <c r="N901" s="1" t="s">
        <v>37</v>
      </c>
    </row>
    <row r="902" spans="1:14" x14ac:dyDescent="0.25">
      <c r="A902" s="1" t="s">
        <v>86</v>
      </c>
      <c r="B902" s="1" t="s">
        <v>6170</v>
      </c>
      <c r="C902" s="1" t="s">
        <v>1576</v>
      </c>
      <c r="D902" s="8" t="s">
        <v>1575</v>
      </c>
      <c r="E902" s="1" t="s">
        <v>274</v>
      </c>
      <c r="F902" s="1" t="s">
        <v>6435</v>
      </c>
      <c r="G902" s="1" t="s">
        <v>4716</v>
      </c>
      <c r="H902" s="1" t="s">
        <v>4719</v>
      </c>
      <c r="I902" s="1" t="s">
        <v>4721</v>
      </c>
      <c r="J902" s="1" t="s">
        <v>12</v>
      </c>
      <c r="K902" s="1" t="s">
        <v>4846</v>
      </c>
      <c r="L902" s="1" t="s">
        <v>210</v>
      </c>
      <c r="M902" s="1" t="s">
        <v>245</v>
      </c>
      <c r="N902" s="1" t="s">
        <v>21</v>
      </c>
    </row>
    <row r="903" spans="1:14" x14ac:dyDescent="0.25">
      <c r="A903" s="1" t="s">
        <v>86</v>
      </c>
      <c r="B903" s="1" t="s">
        <v>6171</v>
      </c>
      <c r="C903" s="1" t="s">
        <v>1859</v>
      </c>
      <c r="D903" s="8" t="s">
        <v>1858</v>
      </c>
      <c r="E903" s="1" t="s">
        <v>363</v>
      </c>
      <c r="F903" s="1" t="s">
        <v>6435</v>
      </c>
      <c r="G903" s="1" t="s">
        <v>4716</v>
      </c>
      <c r="H903" s="1" t="s">
        <v>4719</v>
      </c>
      <c r="I903" s="1" t="s">
        <v>4721</v>
      </c>
      <c r="J903" s="1" t="s">
        <v>12</v>
      </c>
      <c r="K903" s="1" t="s">
        <v>4794</v>
      </c>
      <c r="L903" s="1" t="s">
        <v>210</v>
      </c>
      <c r="M903" s="1" t="s">
        <v>245</v>
      </c>
      <c r="N903" s="1" t="s">
        <v>21</v>
      </c>
    </row>
    <row r="904" spans="1:14" x14ac:dyDescent="0.25">
      <c r="A904" s="1" t="s">
        <v>86</v>
      </c>
      <c r="B904" s="1" t="s">
        <v>5570</v>
      </c>
      <c r="C904" s="1" t="s">
        <v>2485</v>
      </c>
      <c r="D904" s="8" t="s">
        <v>2484</v>
      </c>
      <c r="E904" s="1" t="s">
        <v>497</v>
      </c>
      <c r="F904" s="1" t="s">
        <v>4710</v>
      </c>
      <c r="G904" s="1" t="s">
        <v>4716</v>
      </c>
      <c r="H904" s="1" t="s">
        <v>4719</v>
      </c>
      <c r="I904" s="1" t="s">
        <v>4721</v>
      </c>
      <c r="J904" s="1" t="s">
        <v>12</v>
      </c>
      <c r="K904" s="1" t="s">
        <v>4766</v>
      </c>
      <c r="L904" s="1" t="s">
        <v>164</v>
      </c>
      <c r="M904" s="1" t="s">
        <v>89</v>
      </c>
      <c r="N904" s="1" t="s">
        <v>37</v>
      </c>
    </row>
    <row r="905" spans="1:14" x14ac:dyDescent="0.25">
      <c r="A905" s="1" t="s">
        <v>86</v>
      </c>
      <c r="B905" s="1" t="s">
        <v>5574</v>
      </c>
      <c r="C905" s="1" t="s">
        <v>4008</v>
      </c>
      <c r="D905" s="8" t="s">
        <v>4007</v>
      </c>
      <c r="E905" s="1" t="s">
        <v>88</v>
      </c>
      <c r="F905" s="1" t="s">
        <v>4709</v>
      </c>
      <c r="G905" s="1" t="s">
        <v>4716</v>
      </c>
      <c r="H905" s="1" t="s">
        <v>4719</v>
      </c>
      <c r="I905" s="1" t="s">
        <v>4721</v>
      </c>
      <c r="J905" s="1" t="s">
        <v>12</v>
      </c>
      <c r="K905" s="1" t="s">
        <v>4796</v>
      </c>
      <c r="L905" s="1" t="s">
        <v>87</v>
      </c>
      <c r="M905" s="1" t="s">
        <v>630</v>
      </c>
      <c r="N905" s="1" t="s">
        <v>21</v>
      </c>
    </row>
    <row r="906" spans="1:14" x14ac:dyDescent="0.25">
      <c r="A906" s="1" t="s">
        <v>86</v>
      </c>
      <c r="B906" s="1" t="s">
        <v>5250</v>
      </c>
      <c r="C906" s="1" t="s">
        <v>4063</v>
      </c>
      <c r="D906" s="8" t="s">
        <v>4062</v>
      </c>
      <c r="E906" s="1" t="s">
        <v>199</v>
      </c>
      <c r="F906" s="1" t="s">
        <v>4709</v>
      </c>
      <c r="G906" s="1" t="s">
        <v>4716</v>
      </c>
      <c r="H906" s="1" t="s">
        <v>4719</v>
      </c>
      <c r="I906" s="1" t="s">
        <v>4721</v>
      </c>
      <c r="J906" s="1" t="s">
        <v>12</v>
      </c>
      <c r="K906" s="1" t="s">
        <v>4796</v>
      </c>
      <c r="L906" s="1" t="s">
        <v>198</v>
      </c>
      <c r="M906" s="1" t="s">
        <v>637</v>
      </c>
      <c r="N906" s="1" t="s">
        <v>19</v>
      </c>
    </row>
    <row r="907" spans="1:14" x14ac:dyDescent="0.25">
      <c r="A907" s="1" t="s">
        <v>86</v>
      </c>
      <c r="B907" s="1" t="s">
        <v>5251</v>
      </c>
      <c r="C907" s="1" t="s">
        <v>1289</v>
      </c>
      <c r="D907" s="8" t="s">
        <v>1288</v>
      </c>
      <c r="E907" s="1" t="s">
        <v>1029</v>
      </c>
      <c r="F907" s="1" t="s">
        <v>6434</v>
      </c>
      <c r="G907" s="1" t="s">
        <v>4715</v>
      </c>
      <c r="H907" s="1" t="s">
        <v>4719</v>
      </c>
      <c r="I907" s="1" t="s">
        <v>4721</v>
      </c>
      <c r="J907" s="1" t="s">
        <v>12</v>
      </c>
      <c r="K907" s="1" t="s">
        <v>4799</v>
      </c>
      <c r="L907" s="1" t="s">
        <v>122</v>
      </c>
      <c r="M907" s="1" t="s">
        <v>245</v>
      </c>
      <c r="N907" s="1" t="s">
        <v>21</v>
      </c>
    </row>
    <row r="908" spans="1:14" x14ac:dyDescent="0.25">
      <c r="A908" s="1" t="s">
        <v>86</v>
      </c>
      <c r="B908" s="1" t="s">
        <v>5700</v>
      </c>
      <c r="C908" s="1" t="s">
        <v>3118</v>
      </c>
      <c r="D908" s="8" t="s">
        <v>3117</v>
      </c>
      <c r="E908" s="1" t="s">
        <v>363</v>
      </c>
      <c r="F908" s="1" t="s">
        <v>6435</v>
      </c>
      <c r="G908" s="1" t="s">
        <v>4716</v>
      </c>
      <c r="H908" s="1" t="s">
        <v>4719</v>
      </c>
      <c r="I908" s="1" t="s">
        <v>4721</v>
      </c>
      <c r="J908" s="1" t="s">
        <v>12</v>
      </c>
      <c r="K908" s="1" t="s">
        <v>4820</v>
      </c>
      <c r="L908" s="1" t="s">
        <v>210</v>
      </c>
      <c r="M908" s="1" t="s">
        <v>58</v>
      </c>
      <c r="N908" s="1" t="s">
        <v>61</v>
      </c>
    </row>
    <row r="909" spans="1:14" x14ac:dyDescent="0.25">
      <c r="A909" s="1" t="s">
        <v>86</v>
      </c>
      <c r="B909" s="1" t="s">
        <v>5701</v>
      </c>
      <c r="C909" s="1" t="s">
        <v>4444</v>
      </c>
      <c r="D909" s="8" t="s">
        <v>4443</v>
      </c>
      <c r="E909" s="1" t="s">
        <v>177</v>
      </c>
      <c r="F909" s="1" t="s">
        <v>6436</v>
      </c>
      <c r="G909" s="1" t="s">
        <v>4716</v>
      </c>
      <c r="H909" s="1" t="s">
        <v>4719</v>
      </c>
      <c r="I909" s="1" t="s">
        <v>4721</v>
      </c>
      <c r="J909" s="1" t="s">
        <v>12</v>
      </c>
      <c r="K909" s="1" t="s">
        <v>4798</v>
      </c>
      <c r="L909" s="1" t="s">
        <v>164</v>
      </c>
      <c r="M909" s="1" t="s">
        <v>58</v>
      </c>
      <c r="N909" s="1" t="s">
        <v>61</v>
      </c>
    </row>
    <row r="910" spans="1:14" x14ac:dyDescent="0.25">
      <c r="A910" s="1" t="s">
        <v>86</v>
      </c>
      <c r="B910" s="1" t="s">
        <v>5703</v>
      </c>
      <c r="C910" s="1" t="s">
        <v>197</v>
      </c>
      <c r="D910" s="8" t="s">
        <v>196</v>
      </c>
      <c r="E910" s="1" t="s">
        <v>199</v>
      </c>
      <c r="F910" s="1" t="s">
        <v>4709</v>
      </c>
      <c r="G910" s="1" t="s">
        <v>4716</v>
      </c>
      <c r="H910" s="1" t="s">
        <v>4719</v>
      </c>
      <c r="I910" s="1" t="s">
        <v>4721</v>
      </c>
      <c r="J910" s="1" t="s">
        <v>12</v>
      </c>
      <c r="K910" s="1" t="s">
        <v>4796</v>
      </c>
      <c r="L910" s="1" t="s">
        <v>198</v>
      </c>
      <c r="M910" s="1" t="s">
        <v>172</v>
      </c>
      <c r="N910" s="1" t="s">
        <v>17</v>
      </c>
    </row>
    <row r="911" spans="1:14" x14ac:dyDescent="0.25">
      <c r="A911" s="1" t="s">
        <v>86</v>
      </c>
      <c r="B911" s="1" t="s">
        <v>5254</v>
      </c>
      <c r="C911" s="1" t="s">
        <v>3112</v>
      </c>
      <c r="D911" s="8" t="s">
        <v>3111</v>
      </c>
      <c r="E911" s="1" t="s">
        <v>363</v>
      </c>
      <c r="F911" s="1" t="s">
        <v>6435</v>
      </c>
      <c r="G911" s="1" t="s">
        <v>4716</v>
      </c>
      <c r="H911" s="1" t="s">
        <v>4719</v>
      </c>
      <c r="I911" s="1" t="s">
        <v>4721</v>
      </c>
      <c r="J911" s="1" t="s">
        <v>12</v>
      </c>
      <c r="K911" s="1" t="s">
        <v>4794</v>
      </c>
      <c r="L911" s="1" t="s">
        <v>210</v>
      </c>
      <c r="M911" s="1" t="s">
        <v>245</v>
      </c>
      <c r="N911" s="1" t="s">
        <v>21</v>
      </c>
    </row>
    <row r="912" spans="1:14" x14ac:dyDescent="0.25">
      <c r="A912" s="1" t="s">
        <v>86</v>
      </c>
      <c r="B912" s="1" t="s">
        <v>5256</v>
      </c>
      <c r="C912" s="1" t="s">
        <v>1569</v>
      </c>
      <c r="D912" s="8" t="s">
        <v>1568</v>
      </c>
      <c r="E912" s="1" t="s">
        <v>218</v>
      </c>
      <c r="F912" s="1" t="s">
        <v>4713</v>
      </c>
      <c r="G912" s="1" t="s">
        <v>4716</v>
      </c>
      <c r="H912" s="1" t="s">
        <v>4719</v>
      </c>
      <c r="I912" s="1" t="s">
        <v>4721</v>
      </c>
      <c r="J912" s="1" t="s">
        <v>12</v>
      </c>
      <c r="K912" s="1" t="s">
        <v>4802</v>
      </c>
      <c r="L912" s="1" t="s">
        <v>217</v>
      </c>
      <c r="M912" s="1" t="s">
        <v>58</v>
      </c>
      <c r="N912" s="1" t="s">
        <v>61</v>
      </c>
    </row>
    <row r="913" spans="1:14" x14ac:dyDescent="0.25">
      <c r="A913" s="1" t="s">
        <v>86</v>
      </c>
      <c r="B913" s="1" t="s">
        <v>5257</v>
      </c>
      <c r="C913" s="1" t="s">
        <v>2289</v>
      </c>
      <c r="D913" s="8" t="s">
        <v>2288</v>
      </c>
      <c r="E913" s="1" t="s">
        <v>1320</v>
      </c>
      <c r="F913" s="1" t="s">
        <v>4709</v>
      </c>
      <c r="G913" s="1" t="s">
        <v>4716</v>
      </c>
      <c r="H913" s="1" t="s">
        <v>4719</v>
      </c>
      <c r="I913" s="1" t="s">
        <v>4721</v>
      </c>
      <c r="J913" s="1" t="s">
        <v>12</v>
      </c>
      <c r="K913" s="1" t="s">
        <v>4898</v>
      </c>
      <c r="L913" s="1" t="s">
        <v>1321</v>
      </c>
      <c r="M913" s="1" t="s">
        <v>630</v>
      </c>
      <c r="N913" s="1" t="s">
        <v>21</v>
      </c>
    </row>
    <row r="914" spans="1:14" x14ac:dyDescent="0.25">
      <c r="A914" s="1" t="s">
        <v>86</v>
      </c>
      <c r="B914" s="1" t="s">
        <v>5707</v>
      </c>
      <c r="C914" s="1" t="s">
        <v>724</v>
      </c>
      <c r="D914" s="8" t="s">
        <v>723</v>
      </c>
      <c r="E914" s="1" t="s">
        <v>123</v>
      </c>
      <c r="F914" s="1" t="s">
        <v>6443</v>
      </c>
      <c r="G914" s="1" t="s">
        <v>4717</v>
      </c>
      <c r="H914" s="1" t="s">
        <v>4719</v>
      </c>
      <c r="I914" s="1" t="s">
        <v>4721</v>
      </c>
      <c r="J914" s="1" t="s">
        <v>12</v>
      </c>
      <c r="K914" s="1" t="s">
        <v>4795</v>
      </c>
      <c r="L914" s="1" t="s">
        <v>122</v>
      </c>
      <c r="M914" s="1" t="s">
        <v>58</v>
      </c>
      <c r="N914" s="1" t="s">
        <v>61</v>
      </c>
    </row>
    <row r="915" spans="1:14" x14ac:dyDescent="0.25">
      <c r="A915" s="1" t="s">
        <v>86</v>
      </c>
      <c r="B915" s="1" t="s">
        <v>5260</v>
      </c>
      <c r="C915" s="1" t="s">
        <v>2464</v>
      </c>
      <c r="D915" s="8" t="s">
        <v>2463</v>
      </c>
      <c r="E915" s="1" t="s">
        <v>497</v>
      </c>
      <c r="F915" s="1" t="s">
        <v>6454</v>
      </c>
      <c r="G915" s="1" t="s">
        <v>6451</v>
      </c>
      <c r="H915" s="1" t="s">
        <v>4718</v>
      </c>
      <c r="I915" s="1" t="s">
        <v>4721</v>
      </c>
      <c r="J915" s="1" t="s">
        <v>12</v>
      </c>
      <c r="K915" s="1" t="s">
        <v>4799</v>
      </c>
      <c r="L915" s="1" t="s">
        <v>164</v>
      </c>
      <c r="M915" s="1" t="s">
        <v>58</v>
      </c>
      <c r="N915" s="1" t="s">
        <v>61</v>
      </c>
    </row>
    <row r="916" spans="1:14" x14ac:dyDescent="0.25">
      <c r="A916" s="1" t="s">
        <v>86</v>
      </c>
      <c r="B916" s="1" t="s">
        <v>5264</v>
      </c>
      <c r="C916" s="1" t="s">
        <v>956</v>
      </c>
      <c r="D916" s="8" t="s">
        <v>955</v>
      </c>
      <c r="E916" s="1" t="s">
        <v>274</v>
      </c>
      <c r="F916" s="1" t="s">
        <v>6435</v>
      </c>
      <c r="G916" s="1" t="s">
        <v>4716</v>
      </c>
      <c r="H916" s="1" t="s">
        <v>4719</v>
      </c>
      <c r="I916" s="1" t="s">
        <v>4721</v>
      </c>
      <c r="J916" s="1" t="s">
        <v>12</v>
      </c>
      <c r="K916" s="1" t="s">
        <v>4846</v>
      </c>
      <c r="L916" s="1" t="s">
        <v>210</v>
      </c>
      <c r="M916" s="1" t="s">
        <v>41</v>
      </c>
      <c r="N916" s="1" t="s">
        <v>42</v>
      </c>
    </row>
    <row r="917" spans="1:14" x14ac:dyDescent="0.25">
      <c r="A917" s="1" t="s">
        <v>86</v>
      </c>
      <c r="B917" s="1" t="s">
        <v>5265</v>
      </c>
      <c r="C917" s="1" t="s">
        <v>3840</v>
      </c>
      <c r="D917" s="8" t="s">
        <v>3839</v>
      </c>
      <c r="E917" s="1" t="s">
        <v>459</v>
      </c>
      <c r="F917" s="1" t="s">
        <v>6440</v>
      </c>
      <c r="G917" s="1" t="s">
        <v>4716</v>
      </c>
      <c r="H917" s="1" t="s">
        <v>4719</v>
      </c>
      <c r="I917" s="1" t="s">
        <v>4721</v>
      </c>
      <c r="J917" s="1" t="s">
        <v>12</v>
      </c>
      <c r="K917" s="1" t="s">
        <v>4887</v>
      </c>
      <c r="L917" s="1" t="s">
        <v>458</v>
      </c>
      <c r="M917" s="1" t="s">
        <v>172</v>
      </c>
      <c r="N917" s="1" t="s">
        <v>17</v>
      </c>
    </row>
    <row r="918" spans="1:14" x14ac:dyDescent="0.25">
      <c r="A918" s="1" t="s">
        <v>86</v>
      </c>
      <c r="B918" s="1" t="s">
        <v>5266</v>
      </c>
      <c r="C918" s="1" t="s">
        <v>4002</v>
      </c>
      <c r="D918" s="8" t="s">
        <v>4001</v>
      </c>
      <c r="E918" s="1" t="s">
        <v>88</v>
      </c>
      <c r="F918" s="1" t="s">
        <v>4709</v>
      </c>
      <c r="G918" s="1" t="s">
        <v>4716</v>
      </c>
      <c r="H918" s="1" t="s">
        <v>4719</v>
      </c>
      <c r="I918" s="1" t="s">
        <v>4721</v>
      </c>
      <c r="J918" s="1" t="s">
        <v>12</v>
      </c>
      <c r="K918" s="1" t="s">
        <v>4796</v>
      </c>
      <c r="L918" s="1" t="s">
        <v>87</v>
      </c>
      <c r="M918" s="1" t="s">
        <v>245</v>
      </c>
      <c r="N918" s="1" t="s">
        <v>21</v>
      </c>
    </row>
    <row r="919" spans="1:14" x14ac:dyDescent="0.25">
      <c r="A919" s="1" t="s">
        <v>86</v>
      </c>
      <c r="B919" s="1" t="s">
        <v>5709</v>
      </c>
      <c r="C919" s="1" t="s">
        <v>2693</v>
      </c>
      <c r="D919" s="8" t="s">
        <v>2692</v>
      </c>
      <c r="E919" s="1" t="s">
        <v>123</v>
      </c>
      <c r="F919" s="1" t="s">
        <v>4711</v>
      </c>
      <c r="G919" s="1" t="s">
        <v>4715</v>
      </c>
      <c r="H919" s="1" t="s">
        <v>4719</v>
      </c>
      <c r="I919" s="1" t="s">
        <v>4722</v>
      </c>
      <c r="J919" s="1" t="s">
        <v>39</v>
      </c>
      <c r="K919" s="1" t="s">
        <v>4771</v>
      </c>
      <c r="L919" s="1" t="s">
        <v>122</v>
      </c>
      <c r="M919" s="1" t="s">
        <v>149</v>
      </c>
      <c r="N919" s="1" t="s">
        <v>61</v>
      </c>
    </row>
    <row r="920" spans="1:14" x14ac:dyDescent="0.25">
      <c r="A920" s="1" t="s">
        <v>86</v>
      </c>
      <c r="B920" s="1" t="s">
        <v>5267</v>
      </c>
      <c r="C920" s="1" t="s">
        <v>2783</v>
      </c>
      <c r="D920" s="8" t="s">
        <v>2781</v>
      </c>
      <c r="E920" s="1" t="s">
        <v>840</v>
      </c>
      <c r="F920" s="1" t="s">
        <v>6448</v>
      </c>
      <c r="G920" s="1" t="s">
        <v>4716</v>
      </c>
      <c r="H920" s="1" t="s">
        <v>4719</v>
      </c>
      <c r="I920" s="1" t="s">
        <v>4721</v>
      </c>
      <c r="J920" s="1" t="s">
        <v>12</v>
      </c>
      <c r="K920" s="1" t="s">
        <v>4796</v>
      </c>
      <c r="L920" s="1" t="s">
        <v>198</v>
      </c>
      <c r="M920" s="1" t="s">
        <v>172</v>
      </c>
      <c r="N920" s="1" t="s">
        <v>17</v>
      </c>
    </row>
    <row r="921" spans="1:14" x14ac:dyDescent="0.25">
      <c r="A921" s="1" t="s">
        <v>86</v>
      </c>
      <c r="B921" s="1" t="s">
        <v>5710</v>
      </c>
      <c r="C921" s="1" t="s">
        <v>3061</v>
      </c>
      <c r="D921" s="8" t="s">
        <v>3060</v>
      </c>
      <c r="E921" s="1" t="s">
        <v>594</v>
      </c>
      <c r="F921" s="1" t="s">
        <v>6437</v>
      </c>
      <c r="G921" s="1" t="s">
        <v>4715</v>
      </c>
      <c r="H921" s="1" t="s">
        <v>4719</v>
      </c>
      <c r="I921" s="1" t="s">
        <v>4721</v>
      </c>
      <c r="J921" s="1" t="s">
        <v>12</v>
      </c>
      <c r="K921" s="1" t="s">
        <v>4765</v>
      </c>
      <c r="L921" s="1" t="s">
        <v>122</v>
      </c>
      <c r="M921" s="1" t="s">
        <v>99</v>
      </c>
      <c r="N921" s="1" t="s">
        <v>25</v>
      </c>
    </row>
    <row r="922" spans="1:14" x14ac:dyDescent="0.25">
      <c r="A922" s="1" t="s">
        <v>86</v>
      </c>
      <c r="B922" s="1" t="s">
        <v>5712</v>
      </c>
      <c r="C922" s="1" t="s">
        <v>1729</v>
      </c>
      <c r="D922" s="8" t="s">
        <v>1728</v>
      </c>
      <c r="E922" s="1" t="s">
        <v>594</v>
      </c>
      <c r="F922" s="1" t="s">
        <v>6437</v>
      </c>
      <c r="G922" s="1" t="s">
        <v>4715</v>
      </c>
      <c r="H922" s="1" t="s">
        <v>4719</v>
      </c>
      <c r="I922" s="1" t="s">
        <v>4721</v>
      </c>
      <c r="J922" s="1" t="s">
        <v>12</v>
      </c>
      <c r="K922" s="1" t="s">
        <v>4765</v>
      </c>
      <c r="L922" s="1" t="s">
        <v>122</v>
      </c>
      <c r="M922" s="1" t="s">
        <v>99</v>
      </c>
      <c r="N922" s="1" t="s">
        <v>25</v>
      </c>
    </row>
    <row r="923" spans="1:14" x14ac:dyDescent="0.25">
      <c r="A923" s="1" t="s">
        <v>86</v>
      </c>
      <c r="B923" s="1" t="s">
        <v>5271</v>
      </c>
      <c r="C923" s="1" t="s">
        <v>733</v>
      </c>
      <c r="D923" s="8" t="s">
        <v>732</v>
      </c>
      <c r="E923" s="1" t="s">
        <v>540</v>
      </c>
      <c r="F923" s="1" t="s">
        <v>4715</v>
      </c>
      <c r="G923" s="1" t="s">
        <v>4715</v>
      </c>
      <c r="H923" s="1" t="s">
        <v>4719</v>
      </c>
      <c r="I923" s="1" t="s">
        <v>4721</v>
      </c>
      <c r="J923" s="1" t="s">
        <v>12</v>
      </c>
      <c r="K923" s="1" t="s">
        <v>4765</v>
      </c>
      <c r="L923" s="1" t="s">
        <v>283</v>
      </c>
      <c r="M923" s="1" t="s">
        <v>99</v>
      </c>
      <c r="N923" s="1" t="s">
        <v>25</v>
      </c>
    </row>
    <row r="924" spans="1:14" x14ac:dyDescent="0.25">
      <c r="A924" s="1" t="s">
        <v>86</v>
      </c>
      <c r="B924" s="1" t="s">
        <v>5719</v>
      </c>
      <c r="C924" s="1" t="s">
        <v>1995</v>
      </c>
      <c r="D924" s="8" t="s">
        <v>1994</v>
      </c>
      <c r="E924" s="1" t="s">
        <v>284</v>
      </c>
      <c r="F924" s="1" t="s">
        <v>6444</v>
      </c>
      <c r="G924" s="1" t="s">
        <v>4717</v>
      </c>
      <c r="H924" s="1" t="s">
        <v>4719</v>
      </c>
      <c r="I924" s="1" t="s">
        <v>4721</v>
      </c>
      <c r="J924" s="1" t="s">
        <v>12</v>
      </c>
      <c r="K924" s="1" t="s">
        <v>4797</v>
      </c>
      <c r="L924" s="1" t="s">
        <v>283</v>
      </c>
      <c r="M924" s="1" t="s">
        <v>58</v>
      </c>
      <c r="N924" s="1" t="s">
        <v>61</v>
      </c>
    </row>
    <row r="925" spans="1:14" x14ac:dyDescent="0.25">
      <c r="A925" s="1" t="s">
        <v>86</v>
      </c>
      <c r="B925" s="1" t="s">
        <v>5721</v>
      </c>
      <c r="C925" s="1" t="s">
        <v>1844</v>
      </c>
      <c r="D925" s="8" t="s">
        <v>1843</v>
      </c>
      <c r="E925" s="1" t="s">
        <v>594</v>
      </c>
      <c r="F925" s="1" t="s">
        <v>6437</v>
      </c>
      <c r="G925" s="1" t="s">
        <v>4715</v>
      </c>
      <c r="H925" s="1" t="s">
        <v>4719</v>
      </c>
      <c r="I925" s="1" t="s">
        <v>4721</v>
      </c>
      <c r="J925" s="1" t="s">
        <v>12</v>
      </c>
      <c r="K925" s="1" t="s">
        <v>4765</v>
      </c>
      <c r="L925" s="1" t="s">
        <v>122</v>
      </c>
      <c r="M925" s="1" t="s">
        <v>99</v>
      </c>
      <c r="N925" s="1" t="s">
        <v>25</v>
      </c>
    </row>
    <row r="926" spans="1:14" x14ac:dyDescent="0.25">
      <c r="A926" s="1" t="s">
        <v>86</v>
      </c>
      <c r="B926" s="1" t="s">
        <v>5722</v>
      </c>
      <c r="C926" s="1" t="s">
        <v>3049</v>
      </c>
      <c r="D926" s="8" t="s">
        <v>3048</v>
      </c>
      <c r="E926" s="1" t="s">
        <v>594</v>
      </c>
      <c r="F926" s="1" t="s">
        <v>6437</v>
      </c>
      <c r="G926" s="1" t="s">
        <v>4715</v>
      </c>
      <c r="H926" s="1" t="s">
        <v>4719</v>
      </c>
      <c r="I926" s="1" t="s">
        <v>4721</v>
      </c>
      <c r="J926" s="1" t="s">
        <v>12</v>
      </c>
      <c r="K926" s="1" t="s">
        <v>4765</v>
      </c>
      <c r="L926" s="1" t="s">
        <v>122</v>
      </c>
      <c r="M926" s="1" t="s">
        <v>99</v>
      </c>
      <c r="N926" s="1" t="s">
        <v>25</v>
      </c>
    </row>
    <row r="927" spans="1:14" x14ac:dyDescent="0.25">
      <c r="A927" s="1" t="s">
        <v>86</v>
      </c>
      <c r="B927" s="1" t="s">
        <v>5723</v>
      </c>
      <c r="C927" s="1" t="s">
        <v>550</v>
      </c>
      <c r="D927" s="8" t="s">
        <v>549</v>
      </c>
      <c r="E927" s="1" t="s">
        <v>445</v>
      </c>
      <c r="F927" s="1" t="s">
        <v>6434</v>
      </c>
      <c r="G927" s="1" t="s">
        <v>4715</v>
      </c>
      <c r="H927" s="1" t="s">
        <v>4719</v>
      </c>
      <c r="I927" s="1" t="s">
        <v>4721</v>
      </c>
      <c r="J927" s="1" t="s">
        <v>12</v>
      </c>
      <c r="K927" s="1" t="s">
        <v>4799</v>
      </c>
      <c r="L927" s="1" t="s">
        <v>122</v>
      </c>
      <c r="M927" s="1" t="s">
        <v>58</v>
      </c>
      <c r="N927" s="1" t="s">
        <v>61</v>
      </c>
    </row>
    <row r="928" spans="1:14" x14ac:dyDescent="0.25">
      <c r="A928" s="1" t="s">
        <v>86</v>
      </c>
      <c r="B928" s="1" t="s">
        <v>5287</v>
      </c>
      <c r="C928" s="1" t="s">
        <v>1980</v>
      </c>
      <c r="D928" s="8" t="s">
        <v>1979</v>
      </c>
      <c r="E928" s="1" t="s">
        <v>590</v>
      </c>
      <c r="F928" s="1" t="s">
        <v>4714</v>
      </c>
      <c r="G928" s="1" t="s">
        <v>4715</v>
      </c>
      <c r="H928" s="1" t="s">
        <v>4719</v>
      </c>
      <c r="I928" s="1" t="s">
        <v>4721</v>
      </c>
      <c r="J928" s="1" t="s">
        <v>12</v>
      </c>
      <c r="K928" s="1" t="s">
        <v>4777</v>
      </c>
      <c r="L928" s="1" t="s">
        <v>122</v>
      </c>
      <c r="M928" s="1" t="s">
        <v>245</v>
      </c>
      <c r="N928" s="1" t="s">
        <v>21</v>
      </c>
    </row>
    <row r="929" spans="1:14" x14ac:dyDescent="0.25">
      <c r="A929" s="1" t="s">
        <v>86</v>
      </c>
      <c r="B929" s="1" t="s">
        <v>5728</v>
      </c>
      <c r="C929" s="1" t="s">
        <v>1509</v>
      </c>
      <c r="D929" s="8" t="s">
        <v>1508</v>
      </c>
      <c r="E929" s="1" t="s">
        <v>559</v>
      </c>
      <c r="F929" s="1" t="s">
        <v>4713</v>
      </c>
      <c r="G929" s="1" t="s">
        <v>4716</v>
      </c>
      <c r="H929" s="1" t="s">
        <v>4719</v>
      </c>
      <c r="I929" s="1" t="s">
        <v>4721</v>
      </c>
      <c r="J929" s="1" t="s">
        <v>12</v>
      </c>
      <c r="K929" s="1" t="s">
        <v>4802</v>
      </c>
      <c r="L929" s="1" t="s">
        <v>558</v>
      </c>
      <c r="M929" s="1" t="s">
        <v>136</v>
      </c>
      <c r="N929" s="1" t="s">
        <v>72</v>
      </c>
    </row>
    <row r="930" spans="1:14" x14ac:dyDescent="0.25">
      <c r="A930" s="1" t="s">
        <v>86</v>
      </c>
      <c r="B930" s="1" t="s">
        <v>5288</v>
      </c>
      <c r="C930" s="1" t="s">
        <v>1548</v>
      </c>
      <c r="D930" s="8" t="s">
        <v>1547</v>
      </c>
      <c r="E930" s="1" t="s">
        <v>817</v>
      </c>
      <c r="F930" s="1" t="s">
        <v>4713</v>
      </c>
      <c r="G930" s="1" t="s">
        <v>4716</v>
      </c>
      <c r="H930" s="1" t="s">
        <v>4719</v>
      </c>
      <c r="I930" s="1" t="s">
        <v>4721</v>
      </c>
      <c r="J930" s="1" t="s">
        <v>12</v>
      </c>
      <c r="K930" s="1" t="s">
        <v>4802</v>
      </c>
      <c r="L930" s="1" t="s">
        <v>217</v>
      </c>
      <c r="M930" s="1" t="s">
        <v>637</v>
      </c>
      <c r="N930" s="1" t="s">
        <v>19</v>
      </c>
    </row>
    <row r="931" spans="1:14" x14ac:dyDescent="0.25">
      <c r="A931" s="1" t="s">
        <v>86</v>
      </c>
      <c r="B931" s="1" t="s">
        <v>5731</v>
      </c>
      <c r="C931" s="1" t="s">
        <v>1624</v>
      </c>
      <c r="D931" s="8" t="s">
        <v>1623</v>
      </c>
      <c r="E931" s="1" t="s">
        <v>590</v>
      </c>
      <c r="F931" s="1" t="s">
        <v>6434</v>
      </c>
      <c r="G931" s="1" t="s">
        <v>4715</v>
      </c>
      <c r="H931" s="1" t="s">
        <v>4719</v>
      </c>
      <c r="I931" s="1" t="s">
        <v>4721</v>
      </c>
      <c r="J931" s="1" t="s">
        <v>12</v>
      </c>
      <c r="K931" s="1" t="s">
        <v>4771</v>
      </c>
      <c r="L931" s="1" t="s">
        <v>122</v>
      </c>
      <c r="M931" s="1" t="s">
        <v>89</v>
      </c>
      <c r="N931" s="1" t="s">
        <v>37</v>
      </c>
    </row>
    <row r="932" spans="1:14" x14ac:dyDescent="0.25">
      <c r="A932" s="1" t="s">
        <v>86</v>
      </c>
      <c r="B932" s="1" t="s">
        <v>5290</v>
      </c>
      <c r="C932" s="1" t="s">
        <v>1832</v>
      </c>
      <c r="D932" s="8" t="s">
        <v>1831</v>
      </c>
      <c r="E932" s="1" t="s">
        <v>594</v>
      </c>
      <c r="F932" s="1" t="s">
        <v>6437</v>
      </c>
      <c r="G932" s="1" t="s">
        <v>4715</v>
      </c>
      <c r="H932" s="1" t="s">
        <v>4719</v>
      </c>
      <c r="I932" s="1" t="s">
        <v>4721</v>
      </c>
      <c r="J932" s="1" t="s">
        <v>12</v>
      </c>
      <c r="K932" s="1" t="s">
        <v>4770</v>
      </c>
      <c r="L932" s="1" t="s">
        <v>122</v>
      </c>
      <c r="M932" s="1" t="s">
        <v>99</v>
      </c>
      <c r="N932" s="1" t="s">
        <v>25</v>
      </c>
    </row>
    <row r="933" spans="1:14" x14ac:dyDescent="0.25">
      <c r="A933" s="1" t="s">
        <v>86</v>
      </c>
      <c r="B933" s="1" t="s">
        <v>5292</v>
      </c>
      <c r="C933" s="1" t="s">
        <v>727</v>
      </c>
      <c r="D933" s="8" t="s">
        <v>726</v>
      </c>
      <c r="E933" s="1" t="s">
        <v>540</v>
      </c>
      <c r="F933" s="1" t="s">
        <v>4715</v>
      </c>
      <c r="G933" s="1" t="s">
        <v>4715</v>
      </c>
      <c r="H933" s="1" t="s">
        <v>4719</v>
      </c>
      <c r="I933" s="1" t="s">
        <v>4721</v>
      </c>
      <c r="J933" s="1" t="s">
        <v>12</v>
      </c>
      <c r="K933" s="1" t="s">
        <v>4765</v>
      </c>
      <c r="L933" s="1" t="s">
        <v>283</v>
      </c>
      <c r="M933" s="1" t="s">
        <v>99</v>
      </c>
      <c r="N933" s="1" t="s">
        <v>25</v>
      </c>
    </row>
    <row r="934" spans="1:14" x14ac:dyDescent="0.25">
      <c r="A934" s="1" t="s">
        <v>86</v>
      </c>
      <c r="B934" s="1" t="s">
        <v>5293</v>
      </c>
      <c r="C934" s="1" t="s">
        <v>2792</v>
      </c>
      <c r="D934" s="8" t="s">
        <v>2791</v>
      </c>
      <c r="E934" s="1" t="s">
        <v>459</v>
      </c>
      <c r="F934" s="1" t="s">
        <v>6448</v>
      </c>
      <c r="G934" s="1" t="s">
        <v>4716</v>
      </c>
      <c r="H934" s="1" t="s">
        <v>4719</v>
      </c>
      <c r="I934" s="1" t="s">
        <v>4721</v>
      </c>
      <c r="J934" s="1" t="s">
        <v>12</v>
      </c>
      <c r="K934" s="1" t="s">
        <v>4796</v>
      </c>
      <c r="L934" s="1" t="s">
        <v>458</v>
      </c>
      <c r="M934" s="1" t="s">
        <v>637</v>
      </c>
      <c r="N934" s="1" t="s">
        <v>19</v>
      </c>
    </row>
    <row r="935" spans="1:14" x14ac:dyDescent="0.25">
      <c r="A935" s="1" t="s">
        <v>86</v>
      </c>
      <c r="B935" s="1" t="s">
        <v>5733</v>
      </c>
      <c r="C935" s="1" t="s">
        <v>2073</v>
      </c>
      <c r="D935" s="8" t="s">
        <v>2072</v>
      </c>
      <c r="E935" s="1" t="s">
        <v>325</v>
      </c>
      <c r="F935" s="1" t="s">
        <v>4714</v>
      </c>
      <c r="G935" s="1" t="s">
        <v>4715</v>
      </c>
      <c r="H935" s="1" t="s">
        <v>4719</v>
      </c>
      <c r="I935" s="1" t="s">
        <v>4721</v>
      </c>
      <c r="J935" s="1" t="s">
        <v>12</v>
      </c>
      <c r="K935" s="1" t="s">
        <v>4777</v>
      </c>
      <c r="L935" s="1" t="s">
        <v>283</v>
      </c>
      <c r="M935" s="1" t="s">
        <v>245</v>
      </c>
      <c r="N935" s="1" t="s">
        <v>21</v>
      </c>
    </row>
    <row r="936" spans="1:14" x14ac:dyDescent="0.25">
      <c r="A936" s="1" t="s">
        <v>86</v>
      </c>
      <c r="B936" s="1" t="s">
        <v>5734</v>
      </c>
      <c r="C936" s="1" t="s">
        <v>1850</v>
      </c>
      <c r="D936" s="8" t="s">
        <v>1849</v>
      </c>
      <c r="E936" s="1" t="s">
        <v>540</v>
      </c>
      <c r="F936" s="1" t="s">
        <v>6437</v>
      </c>
      <c r="G936" s="1" t="s">
        <v>4715</v>
      </c>
      <c r="H936" s="1" t="s">
        <v>4719</v>
      </c>
      <c r="I936" s="1" t="s">
        <v>4721</v>
      </c>
      <c r="J936" s="1" t="s">
        <v>12</v>
      </c>
      <c r="K936" s="1" t="s">
        <v>4765</v>
      </c>
      <c r="L936" s="1" t="s">
        <v>283</v>
      </c>
      <c r="M936" s="1" t="s">
        <v>99</v>
      </c>
      <c r="N936" s="1" t="s">
        <v>25</v>
      </c>
    </row>
    <row r="937" spans="1:14" x14ac:dyDescent="0.25">
      <c r="A937" s="1" t="s">
        <v>86</v>
      </c>
      <c r="B937" s="1" t="s">
        <v>5735</v>
      </c>
      <c r="C937" s="1" t="s">
        <v>2022</v>
      </c>
      <c r="D937" s="8" t="s">
        <v>2021</v>
      </c>
      <c r="E937" s="1" t="s">
        <v>205</v>
      </c>
      <c r="F937" s="1" t="s">
        <v>6440</v>
      </c>
      <c r="G937" s="1" t="s">
        <v>4716</v>
      </c>
      <c r="H937" s="1" t="s">
        <v>4719</v>
      </c>
      <c r="I937" s="1" t="s">
        <v>4721</v>
      </c>
      <c r="J937" s="1" t="s">
        <v>12</v>
      </c>
      <c r="K937" s="1" t="s">
        <v>4887</v>
      </c>
      <c r="L937" s="1" t="s">
        <v>122</v>
      </c>
      <c r="M937" s="1" t="s">
        <v>89</v>
      </c>
      <c r="N937" s="1" t="s">
        <v>37</v>
      </c>
    </row>
    <row r="938" spans="1:14" x14ac:dyDescent="0.25">
      <c r="A938" s="1" t="s">
        <v>86</v>
      </c>
      <c r="B938" s="1" t="s">
        <v>5299</v>
      </c>
      <c r="C938" s="1" t="s">
        <v>514</v>
      </c>
      <c r="D938" s="8" t="s">
        <v>513</v>
      </c>
      <c r="E938" s="1" t="s">
        <v>88</v>
      </c>
      <c r="F938" s="1" t="s">
        <v>4709</v>
      </c>
      <c r="G938" s="1" t="s">
        <v>4716</v>
      </c>
      <c r="H938" s="1" t="s">
        <v>4719</v>
      </c>
      <c r="I938" s="1" t="s">
        <v>4721</v>
      </c>
      <c r="J938" s="1" t="s">
        <v>12</v>
      </c>
      <c r="K938" s="1" t="s">
        <v>4796</v>
      </c>
      <c r="L938" s="1" t="s">
        <v>87</v>
      </c>
      <c r="M938" s="1" t="s">
        <v>172</v>
      </c>
      <c r="N938" s="1" t="s">
        <v>17</v>
      </c>
    </row>
    <row r="939" spans="1:14" x14ac:dyDescent="0.25">
      <c r="A939" s="1" t="s">
        <v>86</v>
      </c>
      <c r="B939" s="1" t="s">
        <v>5301</v>
      </c>
      <c r="C939" s="1" t="s">
        <v>1744</v>
      </c>
      <c r="D939" s="8" t="s">
        <v>1743</v>
      </c>
      <c r="E939" s="1" t="s">
        <v>594</v>
      </c>
      <c r="F939" s="1" t="s">
        <v>6437</v>
      </c>
      <c r="G939" s="1" t="s">
        <v>4715</v>
      </c>
      <c r="H939" s="1" t="s">
        <v>4719</v>
      </c>
      <c r="I939" s="1" t="s">
        <v>4721</v>
      </c>
      <c r="J939" s="1" t="s">
        <v>12</v>
      </c>
      <c r="K939" s="1" t="s">
        <v>4765</v>
      </c>
      <c r="L939" s="1" t="s">
        <v>122</v>
      </c>
      <c r="M939" s="1" t="s">
        <v>99</v>
      </c>
      <c r="N939" s="1" t="s">
        <v>25</v>
      </c>
    </row>
    <row r="940" spans="1:14" x14ac:dyDescent="0.25">
      <c r="A940" s="1" t="s">
        <v>86</v>
      </c>
      <c r="B940" s="1" t="s">
        <v>5737</v>
      </c>
      <c r="C940" s="1" t="s">
        <v>1880</v>
      </c>
      <c r="D940" s="8" t="s">
        <v>1879</v>
      </c>
      <c r="E940" s="1" t="s">
        <v>1099</v>
      </c>
      <c r="F940" s="1" t="s">
        <v>4714</v>
      </c>
      <c r="G940" s="1" t="s">
        <v>4715</v>
      </c>
      <c r="H940" s="1" t="s">
        <v>4719</v>
      </c>
      <c r="I940" s="1" t="s">
        <v>4721</v>
      </c>
      <c r="J940" s="1" t="s">
        <v>12</v>
      </c>
      <c r="K940" s="1" t="s">
        <v>4777</v>
      </c>
      <c r="L940" s="1" t="s">
        <v>283</v>
      </c>
      <c r="M940" s="1" t="s">
        <v>245</v>
      </c>
      <c r="N940" s="1" t="s">
        <v>21</v>
      </c>
    </row>
    <row r="941" spans="1:14" x14ac:dyDescent="0.25">
      <c r="A941" s="1" t="s">
        <v>86</v>
      </c>
      <c r="B941" s="1" t="s">
        <v>5738</v>
      </c>
      <c r="C941" s="1" t="s">
        <v>4078</v>
      </c>
      <c r="D941" s="8" t="s">
        <v>4077</v>
      </c>
      <c r="E941" s="1" t="s">
        <v>123</v>
      </c>
      <c r="F941" s="1" t="s">
        <v>4711</v>
      </c>
      <c r="G941" s="1" t="s">
        <v>4715</v>
      </c>
      <c r="H941" s="1" t="s">
        <v>4719</v>
      </c>
      <c r="I941" s="1" t="s">
        <v>4721</v>
      </c>
      <c r="J941" s="1" t="s">
        <v>12</v>
      </c>
      <c r="K941" s="1" t="s">
        <v>4771</v>
      </c>
      <c r="L941" s="1" t="s">
        <v>122</v>
      </c>
      <c r="M941" s="1" t="s">
        <v>149</v>
      </c>
      <c r="N941" s="1" t="s">
        <v>61</v>
      </c>
    </row>
    <row r="942" spans="1:14" x14ac:dyDescent="0.25">
      <c r="A942" s="1" t="s">
        <v>86</v>
      </c>
      <c r="B942" s="1" t="s">
        <v>5302</v>
      </c>
      <c r="C942" s="1" t="s">
        <v>2687</v>
      </c>
      <c r="D942" s="8" t="s">
        <v>2686</v>
      </c>
      <c r="E942" s="1" t="s">
        <v>123</v>
      </c>
      <c r="F942" s="1" t="s">
        <v>4711</v>
      </c>
      <c r="G942" s="1" t="s">
        <v>4715</v>
      </c>
      <c r="H942" s="1" t="s">
        <v>4719</v>
      </c>
      <c r="I942" s="1" t="s">
        <v>4721</v>
      </c>
      <c r="J942" s="1" t="s">
        <v>12</v>
      </c>
      <c r="K942" s="1" t="s">
        <v>4771</v>
      </c>
      <c r="L942" s="1" t="s">
        <v>122</v>
      </c>
      <c r="M942" s="1" t="s">
        <v>41</v>
      </c>
      <c r="N942" s="1" t="s">
        <v>42</v>
      </c>
    </row>
    <row r="943" spans="1:14" x14ac:dyDescent="0.25">
      <c r="A943" s="1" t="s">
        <v>86</v>
      </c>
      <c r="B943" s="1" t="s">
        <v>5305</v>
      </c>
      <c r="C943" s="1" t="s">
        <v>1295</v>
      </c>
      <c r="D943" s="8" t="s">
        <v>1294</v>
      </c>
      <c r="E943" s="1" t="s">
        <v>363</v>
      </c>
      <c r="F943" s="1" t="s">
        <v>6454</v>
      </c>
      <c r="G943" s="1" t="s">
        <v>6451</v>
      </c>
      <c r="H943" s="1" t="s">
        <v>4718</v>
      </c>
      <c r="I943" s="1" t="s">
        <v>4721</v>
      </c>
      <c r="J943" s="1" t="s">
        <v>12</v>
      </c>
      <c r="K943" s="1" t="s">
        <v>4799</v>
      </c>
      <c r="L943" s="1" t="s">
        <v>210</v>
      </c>
      <c r="M943" s="1" t="s">
        <v>245</v>
      </c>
      <c r="N943" s="1" t="s">
        <v>21</v>
      </c>
    </row>
    <row r="944" spans="1:14" x14ac:dyDescent="0.25">
      <c r="A944" s="1" t="s">
        <v>86</v>
      </c>
      <c r="B944" s="1" t="s">
        <v>5306</v>
      </c>
      <c r="C944" s="1" t="s">
        <v>1970</v>
      </c>
      <c r="D944" s="8" t="s">
        <v>1969</v>
      </c>
      <c r="E944" s="1" t="s">
        <v>1099</v>
      </c>
      <c r="F944" s="1" t="s">
        <v>4714</v>
      </c>
      <c r="G944" s="1" t="s">
        <v>4715</v>
      </c>
      <c r="H944" s="1" t="s">
        <v>4719</v>
      </c>
      <c r="I944" s="1" t="s">
        <v>4721</v>
      </c>
      <c r="J944" s="1" t="s">
        <v>12</v>
      </c>
      <c r="K944" s="1" t="s">
        <v>4777</v>
      </c>
      <c r="L944" s="1" t="s">
        <v>283</v>
      </c>
      <c r="M944" s="1" t="s">
        <v>245</v>
      </c>
      <c r="N944" s="1" t="s">
        <v>21</v>
      </c>
    </row>
    <row r="945" spans="1:14" x14ac:dyDescent="0.25">
      <c r="A945" s="1" t="s">
        <v>86</v>
      </c>
      <c r="B945" s="1" t="s">
        <v>5740</v>
      </c>
      <c r="C945" s="1" t="s">
        <v>4120</v>
      </c>
      <c r="D945" s="8" t="s">
        <v>4119</v>
      </c>
      <c r="E945" s="1" t="s">
        <v>594</v>
      </c>
      <c r="F945" s="1" t="s">
        <v>6419</v>
      </c>
      <c r="G945" s="1" t="s">
        <v>6419</v>
      </c>
      <c r="H945" s="1" t="s">
        <v>6419</v>
      </c>
      <c r="I945" s="1" t="s">
        <v>4721</v>
      </c>
      <c r="J945" s="1" t="s">
        <v>39</v>
      </c>
      <c r="K945" s="1" t="s">
        <v>4765</v>
      </c>
      <c r="L945" s="1" t="s">
        <v>122</v>
      </c>
      <c r="M945" s="1" t="s">
        <v>99</v>
      </c>
      <c r="N945" s="1" t="s">
        <v>25</v>
      </c>
    </row>
    <row r="946" spans="1:14" x14ac:dyDescent="0.25">
      <c r="A946" s="1" t="s">
        <v>86</v>
      </c>
      <c r="B946" s="1" t="s">
        <v>5741</v>
      </c>
      <c r="C946" s="1" t="s">
        <v>4324</v>
      </c>
      <c r="D946" s="8" t="s">
        <v>4323</v>
      </c>
      <c r="E946" s="1" t="s">
        <v>211</v>
      </c>
      <c r="F946" s="1" t="s">
        <v>6438</v>
      </c>
      <c r="G946" s="1" t="s">
        <v>4716</v>
      </c>
      <c r="H946" s="1" t="s">
        <v>4719</v>
      </c>
      <c r="I946" s="1" t="s">
        <v>4721</v>
      </c>
      <c r="J946" s="1" t="s">
        <v>12</v>
      </c>
      <c r="K946" s="1" t="s">
        <v>4783</v>
      </c>
      <c r="L946" s="1" t="s">
        <v>210</v>
      </c>
      <c r="M946" s="1" t="s">
        <v>136</v>
      </c>
      <c r="N946" s="1" t="s">
        <v>72</v>
      </c>
    </row>
    <row r="947" spans="1:14" x14ac:dyDescent="0.25">
      <c r="A947" s="1" t="s">
        <v>86</v>
      </c>
      <c r="B947" s="1" t="s">
        <v>5307</v>
      </c>
      <c r="C947" s="1" t="s">
        <v>2581</v>
      </c>
      <c r="D947" s="8" t="s">
        <v>2580</v>
      </c>
      <c r="E947" s="1" t="s">
        <v>559</v>
      </c>
      <c r="F947" s="1" t="s">
        <v>4713</v>
      </c>
      <c r="G947" s="1" t="s">
        <v>4716</v>
      </c>
      <c r="H947" s="1" t="s">
        <v>4719</v>
      </c>
      <c r="I947" s="1" t="s">
        <v>4721</v>
      </c>
      <c r="J947" s="1" t="s">
        <v>12</v>
      </c>
      <c r="K947" s="1" t="s">
        <v>4802</v>
      </c>
      <c r="L947" s="1" t="s">
        <v>558</v>
      </c>
      <c r="M947" s="1" t="s">
        <v>58</v>
      </c>
      <c r="N947" s="1" t="s">
        <v>61</v>
      </c>
    </row>
    <row r="948" spans="1:14" x14ac:dyDescent="0.25">
      <c r="A948" s="1" t="s">
        <v>86</v>
      </c>
      <c r="B948" s="1" t="s">
        <v>5742</v>
      </c>
      <c r="C948" s="1" t="s">
        <v>2717</v>
      </c>
      <c r="D948" s="8" t="s">
        <v>2716</v>
      </c>
      <c r="E948" s="1" t="s">
        <v>497</v>
      </c>
      <c r="F948" s="1" t="s">
        <v>4710</v>
      </c>
      <c r="G948" s="1" t="s">
        <v>4716</v>
      </c>
      <c r="H948" s="1" t="s">
        <v>4719</v>
      </c>
      <c r="I948" s="1" t="s">
        <v>4722</v>
      </c>
      <c r="J948" s="1" t="s">
        <v>39</v>
      </c>
      <c r="K948" s="1" t="s">
        <v>4766</v>
      </c>
      <c r="L948" s="1" t="s">
        <v>164</v>
      </c>
      <c r="M948" s="1" t="s">
        <v>58</v>
      </c>
      <c r="N948" s="1" t="s">
        <v>61</v>
      </c>
    </row>
    <row r="949" spans="1:14" x14ac:dyDescent="0.25">
      <c r="A949" s="1" t="s">
        <v>86</v>
      </c>
      <c r="B949" s="1" t="s">
        <v>5743</v>
      </c>
      <c r="C949" s="1" t="s">
        <v>1268</v>
      </c>
      <c r="D949" s="8" t="s">
        <v>1267</v>
      </c>
      <c r="E949" s="1" t="s">
        <v>165</v>
      </c>
      <c r="F949" s="1" t="s">
        <v>6433</v>
      </c>
      <c r="G949" s="1" t="s">
        <v>4716</v>
      </c>
      <c r="H949" s="1" t="s">
        <v>4719</v>
      </c>
      <c r="I949" s="1" t="s">
        <v>4721</v>
      </c>
      <c r="J949" s="1" t="s">
        <v>12</v>
      </c>
      <c r="K949" s="1" t="s">
        <v>4785</v>
      </c>
      <c r="L949" s="1" t="s">
        <v>164</v>
      </c>
      <c r="M949" s="1" t="s">
        <v>149</v>
      </c>
      <c r="N949" s="1" t="s">
        <v>61</v>
      </c>
    </row>
    <row r="950" spans="1:14" x14ac:dyDescent="0.25">
      <c r="A950" s="1" t="s">
        <v>86</v>
      </c>
      <c r="B950" s="1" t="s">
        <v>5309</v>
      </c>
      <c r="C950" s="1" t="s">
        <v>3064</v>
      </c>
      <c r="D950" s="8" t="s">
        <v>3063</v>
      </c>
      <c r="E950" s="1" t="s">
        <v>594</v>
      </c>
      <c r="F950" s="1" t="s">
        <v>6437</v>
      </c>
      <c r="G950" s="1" t="s">
        <v>4715</v>
      </c>
      <c r="H950" s="1" t="s">
        <v>4719</v>
      </c>
      <c r="I950" s="1" t="s">
        <v>4721</v>
      </c>
      <c r="J950" s="1" t="s">
        <v>12</v>
      </c>
      <c r="K950" s="1" t="s">
        <v>4765</v>
      </c>
      <c r="L950" s="1" t="s">
        <v>122</v>
      </c>
      <c r="M950" s="1" t="s">
        <v>99</v>
      </c>
      <c r="N950" s="1" t="s">
        <v>25</v>
      </c>
    </row>
    <row r="951" spans="1:14" x14ac:dyDescent="0.25">
      <c r="A951" s="1" t="s">
        <v>86</v>
      </c>
      <c r="B951" s="1" t="s">
        <v>5310</v>
      </c>
      <c r="C951" s="1" t="s">
        <v>3073</v>
      </c>
      <c r="D951" s="8" t="s">
        <v>3072</v>
      </c>
      <c r="E951" s="1" t="s">
        <v>540</v>
      </c>
      <c r="F951" s="1" t="s">
        <v>6437</v>
      </c>
      <c r="G951" s="1" t="s">
        <v>4715</v>
      </c>
      <c r="H951" s="1" t="s">
        <v>4719</v>
      </c>
      <c r="I951" s="1" t="s">
        <v>4721</v>
      </c>
      <c r="J951" s="1" t="s">
        <v>12</v>
      </c>
      <c r="K951" s="1" t="s">
        <v>4765</v>
      </c>
      <c r="L951" s="1" t="s">
        <v>283</v>
      </c>
      <c r="M951" s="1" t="s">
        <v>99</v>
      </c>
      <c r="N951" s="1" t="s">
        <v>25</v>
      </c>
    </row>
    <row r="952" spans="1:14" x14ac:dyDescent="0.25">
      <c r="A952" s="1" t="s">
        <v>86</v>
      </c>
      <c r="B952" s="1" t="s">
        <v>5746</v>
      </c>
      <c r="C952" s="1" t="s">
        <v>612</v>
      </c>
      <c r="D952" s="8" t="s">
        <v>611</v>
      </c>
      <c r="E952" s="1" t="s">
        <v>540</v>
      </c>
      <c r="F952" s="1" t="s">
        <v>4715</v>
      </c>
      <c r="G952" s="1" t="s">
        <v>4715</v>
      </c>
      <c r="H952" s="1" t="s">
        <v>4719</v>
      </c>
      <c r="I952" s="1" t="s">
        <v>4721</v>
      </c>
      <c r="J952" s="1" t="s">
        <v>12</v>
      </c>
      <c r="K952" s="1" t="s">
        <v>4765</v>
      </c>
      <c r="L952" s="1" t="s">
        <v>283</v>
      </c>
      <c r="M952" s="1" t="s">
        <v>99</v>
      </c>
      <c r="N952" s="1" t="s">
        <v>25</v>
      </c>
    </row>
    <row r="953" spans="1:14" x14ac:dyDescent="0.25">
      <c r="A953" s="1" t="s">
        <v>86</v>
      </c>
      <c r="B953" s="1" t="s">
        <v>5747</v>
      </c>
      <c r="C953" s="1" t="s">
        <v>4044</v>
      </c>
      <c r="D953" s="8" t="s">
        <v>4043</v>
      </c>
      <c r="E953" s="1" t="s">
        <v>1320</v>
      </c>
      <c r="F953" s="1" t="s">
        <v>4709</v>
      </c>
      <c r="G953" s="1" t="s">
        <v>4716</v>
      </c>
      <c r="H953" s="1" t="s">
        <v>4719</v>
      </c>
      <c r="I953" s="1" t="s">
        <v>4721</v>
      </c>
      <c r="J953" s="1" t="s">
        <v>12</v>
      </c>
      <c r="K953" s="1" t="s">
        <v>4898</v>
      </c>
      <c r="L953" s="1" t="s">
        <v>1321</v>
      </c>
      <c r="M953" s="1" t="s">
        <v>630</v>
      </c>
      <c r="N953" s="1" t="s">
        <v>21</v>
      </c>
    </row>
    <row r="954" spans="1:14" x14ac:dyDescent="0.25">
      <c r="A954" s="1" t="s">
        <v>86</v>
      </c>
      <c r="B954" s="1" t="s">
        <v>5748</v>
      </c>
      <c r="C954" s="1" t="s">
        <v>1732</v>
      </c>
      <c r="D954" s="8" t="s">
        <v>1731</v>
      </c>
      <c r="E954" s="1" t="s">
        <v>594</v>
      </c>
      <c r="F954" s="1" t="s">
        <v>6437</v>
      </c>
      <c r="G954" s="1" t="s">
        <v>4715</v>
      </c>
      <c r="H954" s="1" t="s">
        <v>4719</v>
      </c>
      <c r="I954" s="1" t="s">
        <v>4721</v>
      </c>
      <c r="J954" s="1" t="s">
        <v>12</v>
      </c>
      <c r="K954" s="1" t="s">
        <v>4771</v>
      </c>
      <c r="L954" s="1" t="s">
        <v>122</v>
      </c>
      <c r="M954" s="1" t="s">
        <v>99</v>
      </c>
      <c r="N954" s="1" t="s">
        <v>25</v>
      </c>
    </row>
    <row r="955" spans="1:14" x14ac:dyDescent="0.25">
      <c r="A955" s="1" t="s">
        <v>86</v>
      </c>
      <c r="B955" s="1" t="s">
        <v>5312</v>
      </c>
      <c r="C955" s="1" t="s">
        <v>487</v>
      </c>
      <c r="D955" s="8" t="s">
        <v>486</v>
      </c>
      <c r="E955" s="1" t="s">
        <v>445</v>
      </c>
      <c r="F955" s="1" t="s">
        <v>6434</v>
      </c>
      <c r="G955" s="1" t="s">
        <v>4715</v>
      </c>
      <c r="H955" s="1" t="s">
        <v>4719</v>
      </c>
      <c r="I955" s="1" t="s">
        <v>4722</v>
      </c>
      <c r="J955" s="1" t="s">
        <v>39</v>
      </c>
      <c r="K955" s="1" t="s">
        <v>4771</v>
      </c>
      <c r="L955" s="1" t="s">
        <v>122</v>
      </c>
      <c r="M955" s="1" t="s">
        <v>245</v>
      </c>
      <c r="N955" s="1" t="s">
        <v>21</v>
      </c>
    </row>
    <row r="956" spans="1:14" x14ac:dyDescent="0.25">
      <c r="A956" s="1" t="s">
        <v>86</v>
      </c>
      <c r="B956" s="1" t="s">
        <v>5313</v>
      </c>
      <c r="C956" s="1" t="s">
        <v>2437</v>
      </c>
      <c r="D956" s="8" t="s">
        <v>2436</v>
      </c>
      <c r="E956" s="1" t="s">
        <v>590</v>
      </c>
      <c r="F956" s="1" t="s">
        <v>6434</v>
      </c>
      <c r="G956" s="1" t="s">
        <v>4715</v>
      </c>
      <c r="H956" s="1" t="s">
        <v>4719</v>
      </c>
      <c r="I956" s="1" t="s">
        <v>4721</v>
      </c>
      <c r="J956" s="1" t="s">
        <v>12</v>
      </c>
      <c r="K956" s="1" t="s">
        <v>4799</v>
      </c>
      <c r="L956" s="1" t="s">
        <v>122</v>
      </c>
      <c r="M956" s="1" t="s">
        <v>245</v>
      </c>
      <c r="N956" s="1" t="s">
        <v>21</v>
      </c>
    </row>
    <row r="957" spans="1:14" x14ac:dyDescent="0.25">
      <c r="A957" s="1" t="s">
        <v>86</v>
      </c>
      <c r="B957" s="1" t="s">
        <v>5749</v>
      </c>
      <c r="C957" s="1" t="s">
        <v>4420</v>
      </c>
      <c r="D957" s="8" t="s">
        <v>4419</v>
      </c>
      <c r="E957" s="1" t="s">
        <v>177</v>
      </c>
      <c r="F957" s="1" t="s">
        <v>6436</v>
      </c>
      <c r="G957" s="1" t="s">
        <v>4716</v>
      </c>
      <c r="H957" s="1" t="s">
        <v>4719</v>
      </c>
      <c r="I957" s="1" t="s">
        <v>4721</v>
      </c>
      <c r="J957" s="1" t="s">
        <v>12</v>
      </c>
      <c r="K957" s="1" t="s">
        <v>4798</v>
      </c>
      <c r="L957" s="1" t="s">
        <v>164</v>
      </c>
      <c r="M957" s="1" t="s">
        <v>245</v>
      </c>
      <c r="N957" s="1" t="s">
        <v>21</v>
      </c>
    </row>
    <row r="958" spans="1:14" x14ac:dyDescent="0.25">
      <c r="A958" s="1" t="s">
        <v>86</v>
      </c>
      <c r="B958" s="1" t="s">
        <v>5751</v>
      </c>
      <c r="C958" s="1" t="s">
        <v>3151</v>
      </c>
      <c r="D958" s="8" t="s">
        <v>3150</v>
      </c>
      <c r="E958" s="1" t="s">
        <v>205</v>
      </c>
      <c r="F958" s="1" t="s">
        <v>6439</v>
      </c>
      <c r="G958" s="1" t="s">
        <v>4715</v>
      </c>
      <c r="H958" s="1" t="s">
        <v>4719</v>
      </c>
      <c r="I958" s="1" t="s">
        <v>4721</v>
      </c>
      <c r="J958" s="1" t="s">
        <v>12</v>
      </c>
      <c r="K958" s="1" t="s">
        <v>4770</v>
      </c>
      <c r="L958" s="1" t="s">
        <v>122</v>
      </c>
      <c r="M958" s="1" t="s">
        <v>41</v>
      </c>
      <c r="N958" s="1" t="s">
        <v>42</v>
      </c>
    </row>
    <row r="959" spans="1:14" x14ac:dyDescent="0.25">
      <c r="A959" s="1" t="s">
        <v>86</v>
      </c>
      <c r="B959" s="1" t="s">
        <v>5320</v>
      </c>
      <c r="C959" s="1" t="s">
        <v>3686</v>
      </c>
      <c r="D959" s="8" t="s">
        <v>3685</v>
      </c>
      <c r="E959" s="1" t="s">
        <v>165</v>
      </c>
      <c r="F959" s="1" t="s">
        <v>6433</v>
      </c>
      <c r="G959" s="1" t="s">
        <v>4716</v>
      </c>
      <c r="H959" s="1" t="s">
        <v>4719</v>
      </c>
      <c r="I959" s="1" t="s">
        <v>4721</v>
      </c>
      <c r="J959" s="1" t="s">
        <v>12</v>
      </c>
      <c r="K959" s="1" t="s">
        <v>4785</v>
      </c>
      <c r="L959" s="1" t="s">
        <v>164</v>
      </c>
      <c r="M959" s="1" t="s">
        <v>89</v>
      </c>
      <c r="N959" s="1" t="s">
        <v>37</v>
      </c>
    </row>
    <row r="960" spans="1:14" x14ac:dyDescent="0.25">
      <c r="A960" s="1" t="s">
        <v>86</v>
      </c>
      <c r="B960" s="1" t="s">
        <v>5321</v>
      </c>
      <c r="C960" s="1" t="s">
        <v>1651</v>
      </c>
      <c r="D960" s="8" t="s">
        <v>1650</v>
      </c>
      <c r="E960" s="1" t="s">
        <v>445</v>
      </c>
      <c r="F960" s="1" t="s">
        <v>6434</v>
      </c>
      <c r="G960" s="1" t="s">
        <v>4715</v>
      </c>
      <c r="H960" s="1" t="s">
        <v>4719</v>
      </c>
      <c r="I960" s="1" t="s">
        <v>4722</v>
      </c>
      <c r="J960" s="1" t="s">
        <v>39</v>
      </c>
      <c r="K960" s="1" t="s">
        <v>4771</v>
      </c>
      <c r="L960" s="1" t="s">
        <v>122</v>
      </c>
      <c r="M960" s="1" t="s">
        <v>245</v>
      </c>
      <c r="N960" s="1" t="s">
        <v>21</v>
      </c>
    </row>
    <row r="961" spans="1:14" x14ac:dyDescent="0.25">
      <c r="A961" s="1" t="s">
        <v>86</v>
      </c>
      <c r="B961" s="1" t="s">
        <v>5322</v>
      </c>
      <c r="C961" s="1" t="s">
        <v>1545</v>
      </c>
      <c r="D961" s="8" t="s">
        <v>1544</v>
      </c>
      <c r="E961" s="1" t="s">
        <v>559</v>
      </c>
      <c r="F961" s="1" t="s">
        <v>4713</v>
      </c>
      <c r="G961" s="1" t="s">
        <v>4716</v>
      </c>
      <c r="H961" s="1" t="s">
        <v>4719</v>
      </c>
      <c r="I961" s="1" t="s">
        <v>4721</v>
      </c>
      <c r="J961" s="1" t="s">
        <v>12</v>
      </c>
      <c r="K961" s="1" t="s">
        <v>4802</v>
      </c>
      <c r="L961" s="1" t="s">
        <v>558</v>
      </c>
      <c r="M961" s="1" t="s">
        <v>630</v>
      </c>
      <c r="N961" s="1" t="s">
        <v>21</v>
      </c>
    </row>
    <row r="962" spans="1:14" x14ac:dyDescent="0.25">
      <c r="A962" s="1" t="s">
        <v>86</v>
      </c>
      <c r="B962" s="1" t="s">
        <v>5754</v>
      </c>
      <c r="C962" s="1" t="s">
        <v>3136</v>
      </c>
      <c r="D962" s="8" t="s">
        <v>3135</v>
      </c>
      <c r="E962" s="1" t="s">
        <v>497</v>
      </c>
      <c r="F962" s="1" t="s">
        <v>4710</v>
      </c>
      <c r="G962" s="1" t="s">
        <v>4716</v>
      </c>
      <c r="H962" s="1" t="s">
        <v>4719</v>
      </c>
      <c r="I962" s="1" t="s">
        <v>4721</v>
      </c>
      <c r="J962" s="1" t="s">
        <v>12</v>
      </c>
      <c r="K962" s="1" t="s">
        <v>4766</v>
      </c>
      <c r="L962" s="1" t="s">
        <v>164</v>
      </c>
      <c r="M962" s="1" t="s">
        <v>245</v>
      </c>
      <c r="N962" s="1" t="s">
        <v>21</v>
      </c>
    </row>
    <row r="963" spans="1:14" x14ac:dyDescent="0.25">
      <c r="A963" s="1" t="s">
        <v>86</v>
      </c>
      <c r="B963" s="1" t="s">
        <v>5755</v>
      </c>
      <c r="C963" s="1" t="s">
        <v>2204</v>
      </c>
      <c r="D963" s="8" t="s">
        <v>2203</v>
      </c>
      <c r="E963" s="1" t="s">
        <v>274</v>
      </c>
      <c r="F963" s="1" t="s">
        <v>6435</v>
      </c>
      <c r="G963" s="1" t="s">
        <v>4716</v>
      </c>
      <c r="H963" s="1" t="s">
        <v>4719</v>
      </c>
      <c r="I963" s="1" t="s">
        <v>4721</v>
      </c>
      <c r="J963" s="1" t="s">
        <v>12</v>
      </c>
      <c r="K963" s="1" t="s">
        <v>4846</v>
      </c>
      <c r="L963" s="1" t="s">
        <v>210</v>
      </c>
      <c r="M963" s="1" t="s">
        <v>89</v>
      </c>
      <c r="N963" s="1" t="s">
        <v>37</v>
      </c>
    </row>
    <row r="964" spans="1:14" x14ac:dyDescent="0.25">
      <c r="A964" s="1" t="s">
        <v>86</v>
      </c>
      <c r="B964" s="1" t="s">
        <v>5325</v>
      </c>
      <c r="C964" s="1" t="s">
        <v>2789</v>
      </c>
      <c r="D964" s="8" t="s">
        <v>2788</v>
      </c>
      <c r="E964" s="1" t="s">
        <v>840</v>
      </c>
      <c r="F964" s="1" t="s">
        <v>6448</v>
      </c>
      <c r="G964" s="1" t="s">
        <v>4716</v>
      </c>
      <c r="H964" s="1" t="s">
        <v>4719</v>
      </c>
      <c r="I964" s="1" t="s">
        <v>4721</v>
      </c>
      <c r="J964" s="1" t="s">
        <v>12</v>
      </c>
      <c r="K964" s="1" t="s">
        <v>4796</v>
      </c>
      <c r="L964" s="1" t="s">
        <v>198</v>
      </c>
      <c r="M964" s="1" t="s">
        <v>630</v>
      </c>
      <c r="N964" s="1" t="s">
        <v>21</v>
      </c>
    </row>
    <row r="965" spans="1:14" x14ac:dyDescent="0.25">
      <c r="A965" s="1" t="s">
        <v>86</v>
      </c>
      <c r="B965" s="1" t="s">
        <v>5328</v>
      </c>
      <c r="C965" s="1" t="s">
        <v>3203</v>
      </c>
      <c r="D965" s="8" t="s">
        <v>3202</v>
      </c>
      <c r="E965" s="1" t="s">
        <v>274</v>
      </c>
      <c r="F965" s="1" t="s">
        <v>6441</v>
      </c>
      <c r="G965" s="1" t="s">
        <v>4717</v>
      </c>
      <c r="H965" s="1" t="s">
        <v>4719</v>
      </c>
      <c r="I965" s="1" t="s">
        <v>4721</v>
      </c>
      <c r="J965" s="1" t="s">
        <v>12</v>
      </c>
      <c r="K965" s="1" t="s">
        <v>4849</v>
      </c>
      <c r="L965" s="1" t="s">
        <v>210</v>
      </c>
      <c r="M965" s="1" t="s">
        <v>58</v>
      </c>
      <c r="N965" s="1" t="s">
        <v>61</v>
      </c>
    </row>
    <row r="966" spans="1:14" x14ac:dyDescent="0.25">
      <c r="A966" s="1" t="s">
        <v>86</v>
      </c>
      <c r="B966" s="1" t="s">
        <v>5759</v>
      </c>
      <c r="C966" s="1" t="s">
        <v>3259</v>
      </c>
      <c r="D966" s="8" t="s">
        <v>3257</v>
      </c>
      <c r="E966" s="1" t="s">
        <v>363</v>
      </c>
      <c r="F966" s="1" t="s">
        <v>6455</v>
      </c>
      <c r="G966" s="1" t="s">
        <v>4717</v>
      </c>
      <c r="H966" s="1" t="s">
        <v>4719</v>
      </c>
      <c r="I966" s="1" t="s">
        <v>4721</v>
      </c>
      <c r="J966" s="1" t="s">
        <v>12</v>
      </c>
      <c r="K966" s="1" t="s">
        <v>4847</v>
      </c>
      <c r="L966" s="1" t="s">
        <v>210</v>
      </c>
      <c r="M966" s="1" t="s">
        <v>58</v>
      </c>
      <c r="N966" s="1" t="s">
        <v>61</v>
      </c>
    </row>
    <row r="967" spans="1:14" x14ac:dyDescent="0.25">
      <c r="A967" s="1" t="s">
        <v>86</v>
      </c>
      <c r="B967" s="1" t="s">
        <v>5761</v>
      </c>
      <c r="C967" s="1" t="s">
        <v>953</v>
      </c>
      <c r="D967" s="8" t="s">
        <v>952</v>
      </c>
      <c r="E967" s="1" t="s">
        <v>211</v>
      </c>
      <c r="F967" s="1" t="s">
        <v>6435</v>
      </c>
      <c r="G967" s="1" t="s">
        <v>4716</v>
      </c>
      <c r="H967" s="1" t="s">
        <v>4719</v>
      </c>
      <c r="I967" s="1" t="s">
        <v>4721</v>
      </c>
      <c r="J967" s="1" t="s">
        <v>12</v>
      </c>
      <c r="K967" s="1" t="s">
        <v>4846</v>
      </c>
      <c r="L967" s="1" t="s">
        <v>210</v>
      </c>
      <c r="M967" s="1" t="s">
        <v>245</v>
      </c>
      <c r="N967" s="1" t="s">
        <v>21</v>
      </c>
    </row>
    <row r="968" spans="1:14" x14ac:dyDescent="0.25">
      <c r="A968" s="1" t="s">
        <v>86</v>
      </c>
      <c r="B968" s="1" t="s">
        <v>5329</v>
      </c>
      <c r="C968" s="1" t="s">
        <v>2467</v>
      </c>
      <c r="D968" s="8" t="s">
        <v>2466</v>
      </c>
      <c r="E968" s="1" t="s">
        <v>205</v>
      </c>
      <c r="F968" s="1" t="s">
        <v>6454</v>
      </c>
      <c r="G968" s="1" t="s">
        <v>6451</v>
      </c>
      <c r="H968" s="1" t="s">
        <v>4718</v>
      </c>
      <c r="I968" s="1" t="s">
        <v>4721</v>
      </c>
      <c r="J968" s="1" t="s">
        <v>12</v>
      </c>
      <c r="K968" s="1" t="s">
        <v>4799</v>
      </c>
      <c r="L968" s="1" t="s">
        <v>122</v>
      </c>
      <c r="M968" s="1" t="s">
        <v>245</v>
      </c>
      <c r="N968" s="1" t="s">
        <v>21</v>
      </c>
    </row>
    <row r="969" spans="1:14" x14ac:dyDescent="0.25">
      <c r="A969" s="1" t="s">
        <v>86</v>
      </c>
      <c r="B969" s="1" t="s">
        <v>5332</v>
      </c>
      <c r="C969" s="1" t="s">
        <v>944</v>
      </c>
      <c r="D969" s="8" t="s">
        <v>943</v>
      </c>
      <c r="E969" s="1" t="s">
        <v>211</v>
      </c>
      <c r="F969" s="1" t="s">
        <v>6435</v>
      </c>
      <c r="G969" s="1" t="s">
        <v>4716</v>
      </c>
      <c r="H969" s="1" t="s">
        <v>4719</v>
      </c>
      <c r="I969" s="1" t="s">
        <v>4721</v>
      </c>
      <c r="J969" s="1" t="s">
        <v>12</v>
      </c>
      <c r="K969" s="1" t="s">
        <v>4820</v>
      </c>
      <c r="L969" s="1" t="s">
        <v>210</v>
      </c>
      <c r="M969" s="1" t="s">
        <v>245</v>
      </c>
      <c r="N969" s="1" t="s">
        <v>21</v>
      </c>
    </row>
    <row r="970" spans="1:14" x14ac:dyDescent="0.25">
      <c r="A970" s="1" t="s">
        <v>86</v>
      </c>
      <c r="B970" s="1" t="s">
        <v>5763</v>
      </c>
      <c r="C970" s="1" t="s">
        <v>1738</v>
      </c>
      <c r="D970" s="8" t="s">
        <v>1737</v>
      </c>
      <c r="E970" s="1" t="s">
        <v>540</v>
      </c>
      <c r="F970" s="1" t="s">
        <v>6437</v>
      </c>
      <c r="G970" s="1" t="s">
        <v>4715</v>
      </c>
      <c r="H970" s="1" t="s">
        <v>4719</v>
      </c>
      <c r="I970" s="1" t="s">
        <v>4721</v>
      </c>
      <c r="J970" s="1" t="s">
        <v>12</v>
      </c>
      <c r="K970" s="1" t="s">
        <v>4765</v>
      </c>
      <c r="L970" s="1" t="s">
        <v>283</v>
      </c>
      <c r="M970" s="1" t="s">
        <v>99</v>
      </c>
      <c r="N970" s="1" t="s">
        <v>25</v>
      </c>
    </row>
    <row r="971" spans="1:14" x14ac:dyDescent="0.25">
      <c r="A971" s="1" t="s">
        <v>86</v>
      </c>
      <c r="B971" s="1" t="s">
        <v>5764</v>
      </c>
      <c r="C971" s="1" t="s">
        <v>316</v>
      </c>
      <c r="D971" s="8" t="s">
        <v>315</v>
      </c>
      <c r="E971" s="1" t="s">
        <v>211</v>
      </c>
      <c r="F971" s="1" t="s">
        <v>6435</v>
      </c>
      <c r="G971" s="1" t="s">
        <v>4716</v>
      </c>
      <c r="H971" s="1" t="s">
        <v>4719</v>
      </c>
      <c r="I971" s="1" t="s">
        <v>4722</v>
      </c>
      <c r="J971" s="1" t="s">
        <v>39</v>
      </c>
      <c r="K971" s="1" t="s">
        <v>4846</v>
      </c>
      <c r="L971" s="1" t="s">
        <v>210</v>
      </c>
      <c r="M971" s="1" t="s">
        <v>41</v>
      </c>
      <c r="N971" s="1" t="s">
        <v>42</v>
      </c>
    </row>
    <row r="972" spans="1:14" x14ac:dyDescent="0.25">
      <c r="A972" s="1" t="s">
        <v>86</v>
      </c>
      <c r="B972" s="1" t="s">
        <v>5333</v>
      </c>
      <c r="C972" s="1" t="s">
        <v>3079</v>
      </c>
      <c r="D972" s="8" t="s">
        <v>3078</v>
      </c>
      <c r="E972" s="1" t="s">
        <v>594</v>
      </c>
      <c r="F972" s="1" t="s">
        <v>6437</v>
      </c>
      <c r="G972" s="1" t="s">
        <v>4715</v>
      </c>
      <c r="H972" s="1" t="s">
        <v>4719</v>
      </c>
      <c r="I972" s="1" t="s">
        <v>4721</v>
      </c>
      <c r="J972" s="1" t="s">
        <v>12</v>
      </c>
      <c r="K972" s="1" t="s">
        <v>4765</v>
      </c>
      <c r="L972" s="1" t="s">
        <v>122</v>
      </c>
      <c r="M972" s="1" t="s">
        <v>99</v>
      </c>
      <c r="N972" s="1" t="s">
        <v>25</v>
      </c>
    </row>
    <row r="973" spans="1:14" x14ac:dyDescent="0.25">
      <c r="A973" s="1" t="s">
        <v>86</v>
      </c>
      <c r="B973" s="1" t="s">
        <v>5334</v>
      </c>
      <c r="C973" s="1" t="s">
        <v>1810</v>
      </c>
      <c r="D973" s="8" t="s">
        <v>1809</v>
      </c>
      <c r="E973" s="1" t="s">
        <v>594</v>
      </c>
      <c r="F973" s="1" t="s">
        <v>6437</v>
      </c>
      <c r="G973" s="1" t="s">
        <v>4715</v>
      </c>
      <c r="H973" s="1" t="s">
        <v>4719</v>
      </c>
      <c r="I973" s="1" t="s">
        <v>4721</v>
      </c>
      <c r="J973" s="1" t="s">
        <v>12</v>
      </c>
      <c r="K973" s="1" t="s">
        <v>4765</v>
      </c>
      <c r="L973" s="1" t="s">
        <v>122</v>
      </c>
      <c r="M973" s="1" t="s">
        <v>99</v>
      </c>
      <c r="N973" s="1" t="s">
        <v>25</v>
      </c>
    </row>
    <row r="974" spans="1:14" x14ac:dyDescent="0.25">
      <c r="A974" s="1" t="s">
        <v>86</v>
      </c>
      <c r="B974" s="1" t="s">
        <v>5335</v>
      </c>
      <c r="C974" s="1" t="s">
        <v>1687</v>
      </c>
      <c r="D974" s="8" t="s">
        <v>1686</v>
      </c>
      <c r="E974" s="1" t="s">
        <v>497</v>
      </c>
      <c r="F974" s="1" t="s">
        <v>4710</v>
      </c>
      <c r="G974" s="1" t="s">
        <v>4716</v>
      </c>
      <c r="H974" s="1" t="s">
        <v>4719</v>
      </c>
      <c r="I974" s="1" t="s">
        <v>4721</v>
      </c>
      <c r="J974" s="1" t="s">
        <v>12</v>
      </c>
      <c r="K974" s="1" t="s">
        <v>4766</v>
      </c>
      <c r="L974" s="1" t="s">
        <v>164</v>
      </c>
      <c r="M974" s="1" t="s">
        <v>711</v>
      </c>
      <c r="N974" s="1" t="s">
        <v>126</v>
      </c>
    </row>
    <row r="975" spans="1:14" x14ac:dyDescent="0.25">
      <c r="A975" s="1" t="s">
        <v>86</v>
      </c>
      <c r="B975" s="1" t="s">
        <v>5766</v>
      </c>
      <c r="C975" s="1" t="s">
        <v>4014</v>
      </c>
      <c r="D975" s="8" t="s">
        <v>4013</v>
      </c>
      <c r="E975" s="1" t="s">
        <v>1320</v>
      </c>
      <c r="F975" s="1" t="s">
        <v>4709</v>
      </c>
      <c r="G975" s="1" t="s">
        <v>4716</v>
      </c>
      <c r="H975" s="1" t="s">
        <v>4719</v>
      </c>
      <c r="I975" s="1" t="s">
        <v>4721</v>
      </c>
      <c r="J975" s="1" t="s">
        <v>12</v>
      </c>
      <c r="K975" s="1" t="s">
        <v>4898</v>
      </c>
      <c r="L975" s="1" t="s">
        <v>1321</v>
      </c>
      <c r="M975" s="1" t="s">
        <v>630</v>
      </c>
      <c r="N975" s="1" t="s">
        <v>21</v>
      </c>
    </row>
    <row r="976" spans="1:14" x14ac:dyDescent="0.25">
      <c r="A976" s="1" t="s">
        <v>86</v>
      </c>
      <c r="B976" s="1" t="s">
        <v>5767</v>
      </c>
      <c r="C976" s="1" t="s">
        <v>209</v>
      </c>
      <c r="D976" s="8" t="s">
        <v>208</v>
      </c>
      <c r="E976" s="1" t="s">
        <v>211</v>
      </c>
      <c r="F976" s="1" t="s">
        <v>6435</v>
      </c>
      <c r="G976" s="1" t="s">
        <v>4716</v>
      </c>
      <c r="H976" s="1" t="s">
        <v>4719</v>
      </c>
      <c r="I976" s="1" t="s">
        <v>4721</v>
      </c>
      <c r="J976" s="1" t="s">
        <v>12</v>
      </c>
      <c r="K976" s="1" t="s">
        <v>4820</v>
      </c>
      <c r="L976" s="1" t="s">
        <v>210</v>
      </c>
      <c r="M976" s="1" t="s">
        <v>245</v>
      </c>
      <c r="N976" s="1" t="s">
        <v>21</v>
      </c>
    </row>
    <row r="977" spans="1:14" x14ac:dyDescent="0.25">
      <c r="A977" s="1" t="s">
        <v>86</v>
      </c>
      <c r="B977" s="1" t="s">
        <v>5338</v>
      </c>
      <c r="C977" s="1" t="s">
        <v>1141</v>
      </c>
      <c r="D977" s="8" t="s">
        <v>1140</v>
      </c>
      <c r="E977" s="1" t="s">
        <v>284</v>
      </c>
      <c r="F977" s="1" t="s">
        <v>4714</v>
      </c>
      <c r="G977" s="1" t="s">
        <v>4715</v>
      </c>
      <c r="H977" s="1" t="s">
        <v>4719</v>
      </c>
      <c r="I977" s="1" t="s">
        <v>4721</v>
      </c>
      <c r="J977" s="1" t="s">
        <v>12</v>
      </c>
      <c r="K977" s="1" t="s">
        <v>4777</v>
      </c>
      <c r="L977" s="1" t="s">
        <v>283</v>
      </c>
      <c r="M977" s="1" t="s">
        <v>245</v>
      </c>
      <c r="N977" s="1" t="s">
        <v>21</v>
      </c>
    </row>
    <row r="978" spans="1:14" x14ac:dyDescent="0.25">
      <c r="A978" s="1" t="s">
        <v>86</v>
      </c>
      <c r="B978" s="1" t="s">
        <v>5770</v>
      </c>
      <c r="C978" s="1" t="s">
        <v>1886</v>
      </c>
      <c r="D978" s="8" t="s">
        <v>1885</v>
      </c>
      <c r="E978" s="1" t="s">
        <v>325</v>
      </c>
      <c r="F978" s="1" t="s">
        <v>4714</v>
      </c>
      <c r="G978" s="1" t="s">
        <v>4715</v>
      </c>
      <c r="H978" s="1" t="s">
        <v>4719</v>
      </c>
      <c r="I978" s="1" t="s">
        <v>4721</v>
      </c>
      <c r="J978" s="1" t="s">
        <v>12</v>
      </c>
      <c r="K978" s="1" t="s">
        <v>4777</v>
      </c>
      <c r="L978" s="1" t="s">
        <v>283</v>
      </c>
      <c r="M978" s="1" t="s">
        <v>245</v>
      </c>
      <c r="N978" s="1" t="s">
        <v>21</v>
      </c>
    </row>
    <row r="979" spans="1:14" x14ac:dyDescent="0.25">
      <c r="A979" s="1" t="s">
        <v>86</v>
      </c>
      <c r="B979" s="1" t="s">
        <v>5344</v>
      </c>
      <c r="C979" s="1" t="s">
        <v>3154</v>
      </c>
      <c r="D979" s="8" t="s">
        <v>3153</v>
      </c>
      <c r="E979" s="1" t="s">
        <v>205</v>
      </c>
      <c r="F979" s="1" t="s">
        <v>6439</v>
      </c>
      <c r="G979" s="1" t="s">
        <v>4715</v>
      </c>
      <c r="H979" s="1" t="s">
        <v>4719</v>
      </c>
      <c r="I979" s="1" t="s">
        <v>4722</v>
      </c>
      <c r="J979" s="1" t="s">
        <v>39</v>
      </c>
      <c r="K979" s="1" t="s">
        <v>4771</v>
      </c>
      <c r="L979" s="1" t="s">
        <v>122</v>
      </c>
      <c r="M979" s="1" t="s">
        <v>58</v>
      </c>
      <c r="N979" s="1" t="s">
        <v>61</v>
      </c>
    </row>
    <row r="980" spans="1:14" x14ac:dyDescent="0.25">
      <c r="A980" s="1" t="s">
        <v>86</v>
      </c>
      <c r="B980" s="1" t="s">
        <v>5772</v>
      </c>
      <c r="C980" s="1" t="s">
        <v>3987</v>
      </c>
      <c r="D980" s="8" t="s">
        <v>3986</v>
      </c>
      <c r="E980" s="1" t="s">
        <v>88</v>
      </c>
      <c r="F980" s="1" t="s">
        <v>4709</v>
      </c>
      <c r="G980" s="1" t="s">
        <v>4716</v>
      </c>
      <c r="H980" s="1" t="s">
        <v>4719</v>
      </c>
      <c r="I980" s="1" t="s">
        <v>4721</v>
      </c>
      <c r="J980" s="1" t="s">
        <v>12</v>
      </c>
      <c r="K980" s="1" t="s">
        <v>4796</v>
      </c>
      <c r="L980" s="1" t="s">
        <v>87</v>
      </c>
      <c r="M980" s="1" t="s">
        <v>89</v>
      </c>
      <c r="N980" s="1" t="s">
        <v>37</v>
      </c>
    </row>
    <row r="981" spans="1:14" x14ac:dyDescent="0.25">
      <c r="A981" s="1" t="s">
        <v>86</v>
      </c>
      <c r="B981" s="1" t="s">
        <v>5345</v>
      </c>
      <c r="C981" s="1" t="s">
        <v>1813</v>
      </c>
      <c r="D981" s="8" t="s">
        <v>1812</v>
      </c>
      <c r="E981" s="1" t="s">
        <v>540</v>
      </c>
      <c r="F981" s="1" t="s">
        <v>6437</v>
      </c>
      <c r="G981" s="1" t="s">
        <v>4715</v>
      </c>
      <c r="H981" s="1" t="s">
        <v>4719</v>
      </c>
      <c r="I981" s="1" t="s">
        <v>4721</v>
      </c>
      <c r="J981" s="1" t="s">
        <v>12</v>
      </c>
      <c r="K981" s="1" t="s">
        <v>4765</v>
      </c>
      <c r="L981" s="1" t="s">
        <v>283</v>
      </c>
      <c r="M981" s="1" t="s">
        <v>99</v>
      </c>
      <c r="N981" s="1" t="s">
        <v>25</v>
      </c>
    </row>
    <row r="982" spans="1:14" x14ac:dyDescent="0.25">
      <c r="A982" s="1" t="s">
        <v>86</v>
      </c>
      <c r="B982" s="1" t="s">
        <v>5348</v>
      </c>
      <c r="C982" s="1" t="s">
        <v>1945</v>
      </c>
      <c r="D982" s="8" t="s">
        <v>1944</v>
      </c>
      <c r="E982" s="1" t="s">
        <v>205</v>
      </c>
      <c r="F982" s="1" t="s">
        <v>6439</v>
      </c>
      <c r="G982" s="1" t="s">
        <v>4715</v>
      </c>
      <c r="H982" s="1" t="s">
        <v>4719</v>
      </c>
      <c r="I982" s="1" t="s">
        <v>4721</v>
      </c>
      <c r="J982" s="1" t="s">
        <v>12</v>
      </c>
      <c r="K982" s="1" t="s">
        <v>4771</v>
      </c>
      <c r="L982" s="1" t="s">
        <v>122</v>
      </c>
      <c r="M982" s="1" t="s">
        <v>58</v>
      </c>
      <c r="N982" s="1" t="s">
        <v>61</v>
      </c>
    </row>
    <row r="983" spans="1:14" x14ac:dyDescent="0.25">
      <c r="A983" s="1" t="s">
        <v>86</v>
      </c>
      <c r="B983" s="1" t="s">
        <v>5774</v>
      </c>
      <c r="C983" s="1" t="s">
        <v>3595</v>
      </c>
      <c r="D983" s="8" t="s">
        <v>3594</v>
      </c>
      <c r="E983" s="1" t="s">
        <v>497</v>
      </c>
      <c r="F983" s="1" t="s">
        <v>6436</v>
      </c>
      <c r="G983" s="1" t="s">
        <v>4716</v>
      </c>
      <c r="H983" s="1" t="s">
        <v>4719</v>
      </c>
      <c r="I983" s="1" t="s">
        <v>4721</v>
      </c>
      <c r="J983" s="1" t="s">
        <v>12</v>
      </c>
      <c r="K983" s="1" t="s">
        <v>4766</v>
      </c>
      <c r="L983" s="1" t="s">
        <v>164</v>
      </c>
      <c r="M983" s="1" t="s">
        <v>41</v>
      </c>
      <c r="N983" s="1" t="s">
        <v>42</v>
      </c>
    </row>
    <row r="984" spans="1:14" x14ac:dyDescent="0.25">
      <c r="A984" s="1" t="s">
        <v>86</v>
      </c>
      <c r="B984" s="1" t="s">
        <v>5349</v>
      </c>
      <c r="C984" s="1" t="s">
        <v>419</v>
      </c>
      <c r="D984" s="8" t="s">
        <v>418</v>
      </c>
      <c r="E984" s="1" t="s">
        <v>123</v>
      </c>
      <c r="F984" s="1" t="s">
        <v>4711</v>
      </c>
      <c r="G984" s="1" t="s">
        <v>4715</v>
      </c>
      <c r="H984" s="1" t="s">
        <v>4719</v>
      </c>
      <c r="I984" s="1" t="s">
        <v>4721</v>
      </c>
      <c r="J984" s="1" t="s">
        <v>12</v>
      </c>
      <c r="K984" s="1" t="s">
        <v>4784</v>
      </c>
      <c r="L984" s="1" t="s">
        <v>122</v>
      </c>
      <c r="M984" s="1" t="s">
        <v>245</v>
      </c>
      <c r="N984" s="1" t="s">
        <v>21</v>
      </c>
    </row>
    <row r="985" spans="1:14" x14ac:dyDescent="0.25">
      <c r="A985" s="1" t="s">
        <v>86</v>
      </c>
      <c r="B985" s="1" t="s">
        <v>5775</v>
      </c>
      <c r="C985" s="1" t="s">
        <v>2684</v>
      </c>
      <c r="D985" s="8" t="s">
        <v>2682</v>
      </c>
      <c r="E985" s="1" t="s">
        <v>123</v>
      </c>
      <c r="F985" s="1" t="s">
        <v>4711</v>
      </c>
      <c r="G985" s="1" t="s">
        <v>4715</v>
      </c>
      <c r="H985" s="1" t="s">
        <v>4719</v>
      </c>
      <c r="I985" s="1" t="s">
        <v>4721</v>
      </c>
      <c r="J985" s="1" t="s">
        <v>12</v>
      </c>
      <c r="K985" s="1" t="s">
        <v>4771</v>
      </c>
      <c r="L985" s="1" t="s">
        <v>122</v>
      </c>
      <c r="M985" s="1" t="s">
        <v>245</v>
      </c>
      <c r="N985" s="1" t="s">
        <v>21</v>
      </c>
    </row>
    <row r="986" spans="1:14" x14ac:dyDescent="0.25">
      <c r="A986" s="1" t="s">
        <v>86</v>
      </c>
      <c r="B986" s="1" t="s">
        <v>5350</v>
      </c>
      <c r="C986" s="1" t="s">
        <v>1961</v>
      </c>
      <c r="D986" s="8" t="s">
        <v>1960</v>
      </c>
      <c r="E986" s="1" t="s">
        <v>123</v>
      </c>
      <c r="F986" s="1" t="s">
        <v>6444</v>
      </c>
      <c r="G986" s="1" t="s">
        <v>4717</v>
      </c>
      <c r="H986" s="1" t="s">
        <v>4719</v>
      </c>
      <c r="I986" s="1" t="s">
        <v>4722</v>
      </c>
      <c r="J986" s="1" t="s">
        <v>39</v>
      </c>
      <c r="K986" s="1" t="s">
        <v>4797</v>
      </c>
      <c r="L986" s="1" t="s">
        <v>122</v>
      </c>
      <c r="M986" s="1" t="s">
        <v>58</v>
      </c>
      <c r="N986" s="1" t="s">
        <v>61</v>
      </c>
    </row>
    <row r="987" spans="1:14" x14ac:dyDescent="0.25">
      <c r="A987" s="1" t="s">
        <v>86</v>
      </c>
      <c r="B987" s="1" t="s">
        <v>5351</v>
      </c>
      <c r="C987" s="1" t="s">
        <v>3058</v>
      </c>
      <c r="D987" s="8" t="s">
        <v>3057</v>
      </c>
      <c r="E987" s="1" t="s">
        <v>540</v>
      </c>
      <c r="F987" s="1" t="s">
        <v>6437</v>
      </c>
      <c r="G987" s="1" t="s">
        <v>4715</v>
      </c>
      <c r="H987" s="1" t="s">
        <v>4719</v>
      </c>
      <c r="I987" s="1" t="s">
        <v>4721</v>
      </c>
      <c r="J987" s="1" t="s">
        <v>12</v>
      </c>
      <c r="K987" s="1" t="s">
        <v>4765</v>
      </c>
      <c r="L987" s="1" t="s">
        <v>283</v>
      </c>
      <c r="M987" s="1" t="s">
        <v>99</v>
      </c>
      <c r="N987" s="1" t="s">
        <v>25</v>
      </c>
    </row>
    <row r="988" spans="1:14" x14ac:dyDescent="0.25">
      <c r="A988" s="1" t="s">
        <v>86</v>
      </c>
      <c r="B988" s="1" t="s">
        <v>5776</v>
      </c>
      <c r="C988" s="1" t="s">
        <v>1421</v>
      </c>
      <c r="D988" s="8" t="s">
        <v>1420</v>
      </c>
      <c r="E988" s="1" t="s">
        <v>445</v>
      </c>
      <c r="F988" s="1" t="s">
        <v>6446</v>
      </c>
      <c r="G988" s="1" t="s">
        <v>4717</v>
      </c>
      <c r="H988" s="1" t="s">
        <v>4719</v>
      </c>
      <c r="I988" s="1" t="s">
        <v>4721</v>
      </c>
      <c r="J988" s="1" t="s">
        <v>12</v>
      </c>
      <c r="K988" s="1" t="s">
        <v>4771</v>
      </c>
      <c r="L988" s="1" t="s">
        <v>122</v>
      </c>
      <c r="M988" s="1" t="s">
        <v>89</v>
      </c>
      <c r="N988" s="1" t="s">
        <v>37</v>
      </c>
    </row>
    <row r="989" spans="1:14" x14ac:dyDescent="0.25">
      <c r="A989" s="1" t="s">
        <v>86</v>
      </c>
      <c r="B989" s="1" t="s">
        <v>5777</v>
      </c>
      <c r="C989" s="1" t="s">
        <v>3178</v>
      </c>
      <c r="D989" s="8" t="s">
        <v>3177</v>
      </c>
      <c r="E989" s="1" t="s">
        <v>817</v>
      </c>
      <c r="F989" s="1" t="s">
        <v>4713</v>
      </c>
      <c r="G989" s="1" t="s">
        <v>4716</v>
      </c>
      <c r="H989" s="1" t="s">
        <v>4719</v>
      </c>
      <c r="I989" s="1" t="s">
        <v>4721</v>
      </c>
      <c r="J989" s="1" t="s">
        <v>12</v>
      </c>
      <c r="K989" s="1" t="s">
        <v>4802</v>
      </c>
      <c r="L989" s="1" t="s">
        <v>217</v>
      </c>
      <c r="M989" s="1" t="s">
        <v>41</v>
      </c>
      <c r="N989" s="1" t="s">
        <v>42</v>
      </c>
    </row>
    <row r="990" spans="1:14" x14ac:dyDescent="0.25">
      <c r="A990" s="1" t="s">
        <v>86</v>
      </c>
      <c r="B990" s="1" t="s">
        <v>5353</v>
      </c>
      <c r="C990" s="1" t="s">
        <v>3825</v>
      </c>
      <c r="D990" s="8" t="s">
        <v>3824</v>
      </c>
      <c r="E990" s="1" t="s">
        <v>205</v>
      </c>
      <c r="F990" s="1" t="s">
        <v>6439</v>
      </c>
      <c r="G990" s="1" t="s">
        <v>4715</v>
      </c>
      <c r="H990" s="1" t="s">
        <v>4719</v>
      </c>
      <c r="I990" s="1" t="s">
        <v>4721</v>
      </c>
      <c r="J990" s="1" t="s">
        <v>12</v>
      </c>
      <c r="K990" s="1" t="s">
        <v>4771</v>
      </c>
      <c r="L990" s="1" t="s">
        <v>122</v>
      </c>
      <c r="M990" s="1" t="s">
        <v>58</v>
      </c>
      <c r="N990" s="1" t="s">
        <v>61</v>
      </c>
    </row>
    <row r="991" spans="1:14" x14ac:dyDescent="0.25">
      <c r="A991" s="1" t="s">
        <v>86</v>
      </c>
      <c r="B991" s="1" t="s">
        <v>5778</v>
      </c>
      <c r="C991" s="1" t="s">
        <v>2665</v>
      </c>
      <c r="D991" s="8" t="s">
        <v>2664</v>
      </c>
      <c r="E991" s="1" t="s">
        <v>199</v>
      </c>
      <c r="F991" s="1" t="s">
        <v>4709</v>
      </c>
      <c r="G991" s="1" t="s">
        <v>4716</v>
      </c>
      <c r="H991" s="1" t="s">
        <v>4719</v>
      </c>
      <c r="I991" s="1" t="s">
        <v>4721</v>
      </c>
      <c r="J991" s="1" t="s">
        <v>12</v>
      </c>
      <c r="K991" s="1" t="s">
        <v>4796</v>
      </c>
      <c r="L991" s="1" t="s">
        <v>198</v>
      </c>
      <c r="M991" s="1" t="s">
        <v>630</v>
      </c>
      <c r="N991" s="1" t="s">
        <v>21</v>
      </c>
    </row>
    <row r="992" spans="1:14" x14ac:dyDescent="0.25">
      <c r="A992" s="1" t="s">
        <v>86</v>
      </c>
      <c r="B992" s="1" t="s">
        <v>5781</v>
      </c>
      <c r="C992" s="1" t="s">
        <v>1319</v>
      </c>
      <c r="D992" s="8" t="s">
        <v>1318</v>
      </c>
      <c r="E992" s="1" t="s">
        <v>1320</v>
      </c>
      <c r="F992" s="1" t="s">
        <v>6449</v>
      </c>
      <c r="G992" s="1" t="s">
        <v>4717</v>
      </c>
      <c r="H992" s="1" t="s">
        <v>4719</v>
      </c>
      <c r="I992" s="1" t="s">
        <v>4722</v>
      </c>
      <c r="J992" s="1" t="s">
        <v>39</v>
      </c>
      <c r="K992" s="1" t="s">
        <v>4904</v>
      </c>
      <c r="L992" s="1" t="s">
        <v>1321</v>
      </c>
      <c r="M992" s="1" t="s">
        <v>58</v>
      </c>
      <c r="N992" s="1" t="s">
        <v>61</v>
      </c>
    </row>
    <row r="993" spans="1:14" x14ac:dyDescent="0.25">
      <c r="A993" s="1" t="s">
        <v>86</v>
      </c>
      <c r="B993" s="1" t="s">
        <v>5783</v>
      </c>
      <c r="C993" s="1" t="s">
        <v>4149</v>
      </c>
      <c r="D993" s="8" t="s">
        <v>4148</v>
      </c>
      <c r="E993" s="1" t="s">
        <v>840</v>
      </c>
      <c r="F993" s="1" t="s">
        <v>6448</v>
      </c>
      <c r="G993" s="1" t="s">
        <v>4716</v>
      </c>
      <c r="H993" s="1" t="s">
        <v>4719</v>
      </c>
      <c r="I993" s="1" t="s">
        <v>4721</v>
      </c>
      <c r="J993" s="1" t="s">
        <v>12</v>
      </c>
      <c r="K993" s="1" t="s">
        <v>4796</v>
      </c>
      <c r="L993" s="1" t="s">
        <v>198</v>
      </c>
      <c r="M993" s="1" t="s">
        <v>172</v>
      </c>
      <c r="N993" s="1" t="s">
        <v>17</v>
      </c>
    </row>
    <row r="994" spans="1:14" x14ac:dyDescent="0.25">
      <c r="A994" s="1" t="s">
        <v>86</v>
      </c>
      <c r="B994" s="1" t="s">
        <v>5358</v>
      </c>
      <c r="C994" s="1" t="s">
        <v>4414</v>
      </c>
      <c r="D994" s="8" t="s">
        <v>4413</v>
      </c>
      <c r="E994" s="1" t="s">
        <v>177</v>
      </c>
      <c r="F994" s="1" t="s">
        <v>6436</v>
      </c>
      <c r="G994" s="1" t="s">
        <v>4716</v>
      </c>
      <c r="H994" s="1" t="s">
        <v>4719</v>
      </c>
      <c r="I994" s="1" t="s">
        <v>4721</v>
      </c>
      <c r="J994" s="1" t="s">
        <v>12</v>
      </c>
      <c r="K994" s="1" t="s">
        <v>4798</v>
      </c>
      <c r="L994" s="1" t="s">
        <v>164</v>
      </c>
      <c r="M994" s="1" t="s">
        <v>711</v>
      </c>
      <c r="N994" s="1" t="s">
        <v>126</v>
      </c>
    </row>
    <row r="995" spans="1:14" x14ac:dyDescent="0.25">
      <c r="A995" s="1" t="s">
        <v>86</v>
      </c>
      <c r="B995" s="1" t="s">
        <v>5359</v>
      </c>
      <c r="C995" s="1" t="s">
        <v>1512</v>
      </c>
      <c r="D995" s="8" t="s">
        <v>1511</v>
      </c>
      <c r="E995" s="1" t="s">
        <v>817</v>
      </c>
      <c r="F995" s="1" t="s">
        <v>4713</v>
      </c>
      <c r="G995" s="1" t="s">
        <v>4716</v>
      </c>
      <c r="H995" s="1" t="s">
        <v>4719</v>
      </c>
      <c r="I995" s="1" t="s">
        <v>4721</v>
      </c>
      <c r="J995" s="1" t="s">
        <v>12</v>
      </c>
      <c r="K995" s="1" t="s">
        <v>4802</v>
      </c>
      <c r="L995" s="1" t="s">
        <v>217</v>
      </c>
      <c r="M995" s="1" t="s">
        <v>41</v>
      </c>
      <c r="N995" s="1" t="s">
        <v>42</v>
      </c>
    </row>
    <row r="996" spans="1:14" x14ac:dyDescent="0.25">
      <c r="A996" s="1" t="s">
        <v>86</v>
      </c>
      <c r="B996" s="1" t="s">
        <v>5361</v>
      </c>
      <c r="C996" s="1" t="s">
        <v>1356</v>
      </c>
      <c r="D996" s="8" t="s">
        <v>1355</v>
      </c>
      <c r="E996" s="1" t="s">
        <v>497</v>
      </c>
      <c r="F996" s="1" t="s">
        <v>4710</v>
      </c>
      <c r="G996" s="1" t="s">
        <v>4716</v>
      </c>
      <c r="H996" s="1" t="s">
        <v>4719</v>
      </c>
      <c r="I996" s="1" t="s">
        <v>4721</v>
      </c>
      <c r="J996" s="1" t="s">
        <v>12</v>
      </c>
      <c r="K996" s="1" t="s">
        <v>4784</v>
      </c>
      <c r="L996" s="1" t="s">
        <v>164</v>
      </c>
      <c r="M996" s="1" t="s">
        <v>149</v>
      </c>
      <c r="N996" s="1" t="s">
        <v>61</v>
      </c>
    </row>
    <row r="997" spans="1:14" x14ac:dyDescent="0.25">
      <c r="A997" s="1" t="s">
        <v>86</v>
      </c>
      <c r="B997" s="1" t="s">
        <v>5787</v>
      </c>
      <c r="C997" s="1" t="s">
        <v>3016</v>
      </c>
      <c r="D997" s="8" t="s">
        <v>3015</v>
      </c>
      <c r="E997" s="1" t="s">
        <v>274</v>
      </c>
      <c r="F997" s="1" t="s">
        <v>6438</v>
      </c>
      <c r="G997" s="1" t="s">
        <v>4716</v>
      </c>
      <c r="H997" s="1" t="s">
        <v>4719</v>
      </c>
      <c r="I997" s="1" t="s">
        <v>4721</v>
      </c>
      <c r="J997" s="1" t="s">
        <v>12</v>
      </c>
      <c r="K997" s="1" t="s">
        <v>4783</v>
      </c>
      <c r="L997" s="1" t="s">
        <v>210</v>
      </c>
      <c r="M997" s="1" t="s">
        <v>136</v>
      </c>
      <c r="N997" s="1" t="s">
        <v>72</v>
      </c>
    </row>
    <row r="998" spans="1:14" x14ac:dyDescent="0.25">
      <c r="A998" s="1" t="s">
        <v>86</v>
      </c>
      <c r="B998" s="1" t="s">
        <v>5788</v>
      </c>
      <c r="C998" s="1" t="s">
        <v>3002</v>
      </c>
      <c r="D998" s="8" t="s">
        <v>3001</v>
      </c>
      <c r="E998" s="1" t="s">
        <v>205</v>
      </c>
      <c r="F998" s="1" t="s">
        <v>6438</v>
      </c>
      <c r="G998" s="1" t="s">
        <v>4716</v>
      </c>
      <c r="H998" s="1" t="s">
        <v>4719</v>
      </c>
      <c r="I998" s="1" t="s">
        <v>4721</v>
      </c>
      <c r="J998" s="1" t="s">
        <v>12</v>
      </c>
      <c r="K998" s="1" t="s">
        <v>4783</v>
      </c>
      <c r="L998" s="1" t="s">
        <v>122</v>
      </c>
      <c r="M998" s="1" t="s">
        <v>136</v>
      </c>
      <c r="N998" s="1" t="s">
        <v>72</v>
      </c>
    </row>
    <row r="999" spans="1:14" x14ac:dyDescent="0.25">
      <c r="A999" s="1" t="s">
        <v>86</v>
      </c>
      <c r="B999" s="1" t="s">
        <v>5789</v>
      </c>
      <c r="C999" s="1" t="s">
        <v>3052</v>
      </c>
      <c r="D999" s="8" t="s">
        <v>3051</v>
      </c>
      <c r="E999" s="1" t="s">
        <v>540</v>
      </c>
      <c r="F999" s="1" t="s">
        <v>6437</v>
      </c>
      <c r="G999" s="1" t="s">
        <v>4715</v>
      </c>
      <c r="H999" s="1" t="s">
        <v>4719</v>
      </c>
      <c r="I999" s="1" t="s">
        <v>4721</v>
      </c>
      <c r="J999" s="1" t="s">
        <v>12</v>
      </c>
      <c r="K999" s="1" t="s">
        <v>4765</v>
      </c>
      <c r="L999" s="1" t="s">
        <v>283</v>
      </c>
      <c r="M999" s="1" t="s">
        <v>99</v>
      </c>
      <c r="N999" s="1" t="s">
        <v>25</v>
      </c>
    </row>
    <row r="1000" spans="1:14" x14ac:dyDescent="0.25">
      <c r="A1000" s="1" t="s">
        <v>86</v>
      </c>
      <c r="B1000" s="1" t="s">
        <v>5790</v>
      </c>
      <c r="C1000" s="1" t="s">
        <v>2458</v>
      </c>
      <c r="D1000" s="8" t="s">
        <v>2457</v>
      </c>
      <c r="E1000" s="1" t="s">
        <v>325</v>
      </c>
      <c r="F1000" s="1" t="s">
        <v>6454</v>
      </c>
      <c r="G1000" s="1" t="s">
        <v>6451</v>
      </c>
      <c r="H1000" s="1" t="s">
        <v>4718</v>
      </c>
      <c r="I1000" s="1" t="s">
        <v>4721</v>
      </c>
      <c r="J1000" s="1" t="s">
        <v>12</v>
      </c>
      <c r="K1000" s="1" t="s">
        <v>4777</v>
      </c>
      <c r="L1000" s="1" t="s">
        <v>283</v>
      </c>
      <c r="M1000" s="1" t="s">
        <v>245</v>
      </c>
      <c r="N1000" s="1" t="s">
        <v>21</v>
      </c>
    </row>
    <row r="1001" spans="1:14" x14ac:dyDescent="0.25">
      <c r="A1001" s="1" t="s">
        <v>86</v>
      </c>
      <c r="B1001" s="1" t="s">
        <v>5791</v>
      </c>
      <c r="C1001" s="1" t="s">
        <v>2798</v>
      </c>
      <c r="D1001" s="8" t="s">
        <v>2797</v>
      </c>
      <c r="E1001" s="1" t="s">
        <v>459</v>
      </c>
      <c r="F1001" s="1" t="s">
        <v>6448</v>
      </c>
      <c r="G1001" s="1" t="s">
        <v>4716</v>
      </c>
      <c r="H1001" s="1" t="s">
        <v>4719</v>
      </c>
      <c r="I1001" s="1" t="s">
        <v>4721</v>
      </c>
      <c r="J1001" s="1" t="s">
        <v>12</v>
      </c>
      <c r="K1001" s="1" t="s">
        <v>4802</v>
      </c>
      <c r="L1001" s="1" t="s">
        <v>458</v>
      </c>
      <c r="M1001" s="1" t="s">
        <v>89</v>
      </c>
      <c r="N1001" s="1" t="s">
        <v>37</v>
      </c>
    </row>
    <row r="1002" spans="1:14" x14ac:dyDescent="0.25">
      <c r="A1002" s="1" t="s">
        <v>86</v>
      </c>
      <c r="B1002" s="1" t="s">
        <v>5792</v>
      </c>
      <c r="C1002" s="1" t="s">
        <v>4349</v>
      </c>
      <c r="D1002" s="8" t="s">
        <v>4348</v>
      </c>
      <c r="E1002" s="1" t="s">
        <v>363</v>
      </c>
      <c r="F1002" s="1" t="s">
        <v>6441</v>
      </c>
      <c r="G1002" s="1" t="s">
        <v>4717</v>
      </c>
      <c r="H1002" s="1" t="s">
        <v>4719</v>
      </c>
      <c r="I1002" s="1" t="s">
        <v>4721</v>
      </c>
      <c r="J1002" s="1" t="s">
        <v>12</v>
      </c>
      <c r="K1002" s="1" t="s">
        <v>4849</v>
      </c>
      <c r="L1002" s="1" t="s">
        <v>210</v>
      </c>
      <c r="M1002" s="1" t="s">
        <v>58</v>
      </c>
      <c r="N1002" s="1" t="s">
        <v>61</v>
      </c>
    </row>
    <row r="1003" spans="1:14" x14ac:dyDescent="0.25">
      <c r="A1003" s="1" t="s">
        <v>86</v>
      </c>
      <c r="B1003" s="1" t="s">
        <v>5363</v>
      </c>
      <c r="C1003" s="1" t="s">
        <v>1823</v>
      </c>
      <c r="D1003" s="8" t="s">
        <v>1822</v>
      </c>
      <c r="E1003" s="1" t="s">
        <v>594</v>
      </c>
      <c r="F1003" s="1" t="s">
        <v>6437</v>
      </c>
      <c r="G1003" s="1" t="s">
        <v>4715</v>
      </c>
      <c r="H1003" s="1" t="s">
        <v>4719</v>
      </c>
      <c r="I1003" s="1" t="s">
        <v>4721</v>
      </c>
      <c r="J1003" s="1" t="s">
        <v>12</v>
      </c>
      <c r="K1003" s="1" t="s">
        <v>4765</v>
      </c>
      <c r="L1003" s="1" t="s">
        <v>122</v>
      </c>
      <c r="M1003" s="1" t="s">
        <v>99</v>
      </c>
      <c r="N1003" s="1" t="s">
        <v>25</v>
      </c>
    </row>
    <row r="1004" spans="1:14" x14ac:dyDescent="0.25">
      <c r="A1004" s="1" t="s">
        <v>86</v>
      </c>
      <c r="B1004" s="1" t="s">
        <v>5364</v>
      </c>
      <c r="C1004" s="1" t="s">
        <v>444</v>
      </c>
      <c r="D1004" s="8" t="s">
        <v>443</v>
      </c>
      <c r="E1004" s="1" t="s">
        <v>445</v>
      </c>
      <c r="F1004" s="1" t="s">
        <v>6434</v>
      </c>
      <c r="G1004" s="1" t="s">
        <v>4715</v>
      </c>
      <c r="H1004" s="1" t="s">
        <v>4719</v>
      </c>
      <c r="I1004" s="1" t="s">
        <v>6407</v>
      </c>
      <c r="J1004" s="1" t="s">
        <v>39</v>
      </c>
      <c r="K1004" s="1" t="s">
        <v>4771</v>
      </c>
      <c r="L1004" s="1" t="s">
        <v>122</v>
      </c>
      <c r="M1004" s="1" t="s">
        <v>446</v>
      </c>
      <c r="N1004" s="1" t="s">
        <v>72</v>
      </c>
    </row>
    <row r="1005" spans="1:14" x14ac:dyDescent="0.25">
      <c r="A1005" s="1" t="s">
        <v>86</v>
      </c>
      <c r="B1005" s="1" t="s">
        <v>5367</v>
      </c>
      <c r="C1005" s="1" t="s">
        <v>4306</v>
      </c>
      <c r="D1005" s="8" t="s">
        <v>4305</v>
      </c>
      <c r="E1005" s="1" t="s">
        <v>2894</v>
      </c>
      <c r="F1005" s="1" t="s">
        <v>4708</v>
      </c>
      <c r="G1005" s="1" t="s">
        <v>4716</v>
      </c>
      <c r="H1005" s="1" t="s">
        <v>4719</v>
      </c>
      <c r="I1005" s="1" t="s">
        <v>4721</v>
      </c>
      <c r="J1005" s="1" t="s">
        <v>12</v>
      </c>
      <c r="K1005" s="1" t="s">
        <v>4785</v>
      </c>
      <c r="L1005" s="1" t="s">
        <v>164</v>
      </c>
      <c r="M1005" s="1" t="s">
        <v>245</v>
      </c>
      <c r="N1005" s="1" t="s">
        <v>21</v>
      </c>
    </row>
    <row r="1006" spans="1:14" x14ac:dyDescent="0.25">
      <c r="A1006" s="1" t="s">
        <v>86</v>
      </c>
      <c r="B1006" s="1" t="s">
        <v>5368</v>
      </c>
      <c r="C1006" s="1" t="s">
        <v>1129</v>
      </c>
      <c r="D1006" s="8" t="s">
        <v>1128</v>
      </c>
      <c r="E1006" s="1" t="s">
        <v>325</v>
      </c>
      <c r="F1006" s="1" t="s">
        <v>4714</v>
      </c>
      <c r="G1006" s="1" t="s">
        <v>4715</v>
      </c>
      <c r="H1006" s="1" t="s">
        <v>4719</v>
      </c>
      <c r="I1006" s="1" t="s">
        <v>4721</v>
      </c>
      <c r="J1006" s="1" t="s">
        <v>12</v>
      </c>
      <c r="K1006" s="1" t="s">
        <v>4777</v>
      </c>
      <c r="L1006" s="1" t="s">
        <v>283</v>
      </c>
      <c r="M1006" s="1" t="s">
        <v>870</v>
      </c>
      <c r="N1006" s="1" t="s">
        <v>76</v>
      </c>
    </row>
    <row r="1007" spans="1:14" x14ac:dyDescent="0.25">
      <c r="A1007" s="1" t="s">
        <v>86</v>
      </c>
      <c r="B1007" s="1" t="s">
        <v>5370</v>
      </c>
      <c r="C1007" s="1" t="s">
        <v>2004</v>
      </c>
      <c r="D1007" s="8" t="s">
        <v>2003</v>
      </c>
      <c r="E1007" s="1" t="s">
        <v>205</v>
      </c>
      <c r="F1007" s="1" t="s">
        <v>6439</v>
      </c>
      <c r="G1007" s="1" t="s">
        <v>4715</v>
      </c>
      <c r="H1007" s="1" t="s">
        <v>4719</v>
      </c>
      <c r="I1007" s="1" t="s">
        <v>4721</v>
      </c>
      <c r="J1007" s="1" t="s">
        <v>12</v>
      </c>
      <c r="K1007" s="1" t="s">
        <v>4784</v>
      </c>
      <c r="L1007" s="1" t="s">
        <v>122</v>
      </c>
      <c r="M1007" s="1" t="s">
        <v>245</v>
      </c>
      <c r="N1007" s="1" t="s">
        <v>21</v>
      </c>
    </row>
    <row r="1008" spans="1:14" x14ac:dyDescent="0.25">
      <c r="A1008" s="1" t="s">
        <v>86</v>
      </c>
      <c r="B1008" s="1" t="s">
        <v>5800</v>
      </c>
      <c r="C1008" s="1" t="s">
        <v>4026</v>
      </c>
      <c r="D1008" s="8" t="s">
        <v>4025</v>
      </c>
      <c r="E1008" s="1" t="s">
        <v>1320</v>
      </c>
      <c r="F1008" s="1" t="s">
        <v>4709</v>
      </c>
      <c r="G1008" s="1" t="s">
        <v>4716</v>
      </c>
      <c r="H1008" s="1" t="s">
        <v>4719</v>
      </c>
      <c r="I1008" s="1" t="s">
        <v>4721</v>
      </c>
      <c r="J1008" s="1" t="s">
        <v>12</v>
      </c>
      <c r="K1008" s="1" t="s">
        <v>4898</v>
      </c>
      <c r="L1008" s="1" t="s">
        <v>1321</v>
      </c>
      <c r="M1008" s="1" t="s">
        <v>637</v>
      </c>
      <c r="N1008" s="1" t="s">
        <v>19</v>
      </c>
    </row>
    <row r="1009" spans="1:14" x14ac:dyDescent="0.25">
      <c r="A1009" s="1" t="s">
        <v>86</v>
      </c>
      <c r="B1009" s="1" t="s">
        <v>5801</v>
      </c>
      <c r="C1009" s="1" t="s">
        <v>3106</v>
      </c>
      <c r="D1009" s="8" t="s">
        <v>3105</v>
      </c>
      <c r="E1009" s="1" t="s">
        <v>298</v>
      </c>
      <c r="F1009" s="1" t="s">
        <v>6435</v>
      </c>
      <c r="G1009" s="1" t="s">
        <v>4716</v>
      </c>
      <c r="H1009" s="1" t="s">
        <v>4719</v>
      </c>
      <c r="I1009" s="1" t="s">
        <v>4721</v>
      </c>
      <c r="J1009" s="1" t="s">
        <v>12</v>
      </c>
      <c r="K1009" s="1" t="s">
        <v>4794</v>
      </c>
      <c r="L1009" s="1" t="s">
        <v>210</v>
      </c>
      <c r="M1009" s="1" t="s">
        <v>245</v>
      </c>
      <c r="N1009" s="1" t="s">
        <v>21</v>
      </c>
    </row>
    <row r="1010" spans="1:14" x14ac:dyDescent="0.25">
      <c r="A1010" s="1" t="s">
        <v>86</v>
      </c>
      <c r="B1010" s="1" t="s">
        <v>5802</v>
      </c>
      <c r="C1010" s="1" t="s">
        <v>2295</v>
      </c>
      <c r="D1010" s="8" t="s">
        <v>2294</v>
      </c>
      <c r="E1010" s="1" t="s">
        <v>1320</v>
      </c>
      <c r="F1010" s="1" t="s">
        <v>4709</v>
      </c>
      <c r="G1010" s="1" t="s">
        <v>4716</v>
      </c>
      <c r="H1010" s="1" t="s">
        <v>4719</v>
      </c>
      <c r="I1010" s="1" t="s">
        <v>4721</v>
      </c>
      <c r="J1010" s="1" t="s">
        <v>12</v>
      </c>
      <c r="K1010" s="1" t="s">
        <v>4899</v>
      </c>
      <c r="L1010" s="1" t="s">
        <v>1321</v>
      </c>
      <c r="M1010" s="1" t="s">
        <v>89</v>
      </c>
      <c r="N1010" s="1" t="s">
        <v>37</v>
      </c>
    </row>
    <row r="1011" spans="1:14" x14ac:dyDescent="0.25">
      <c r="A1011" s="1" t="s">
        <v>86</v>
      </c>
      <c r="B1011" s="1" t="s">
        <v>5373</v>
      </c>
      <c r="C1011" s="1" t="s">
        <v>190</v>
      </c>
      <c r="D1011" s="8" t="s">
        <v>189</v>
      </c>
      <c r="E1011" s="1" t="s">
        <v>123</v>
      </c>
      <c r="F1011" s="1" t="s">
        <v>6446</v>
      </c>
      <c r="G1011" s="1" t="s">
        <v>4717</v>
      </c>
      <c r="H1011" s="1" t="s">
        <v>4719</v>
      </c>
      <c r="I1011" s="1" t="s">
        <v>4721</v>
      </c>
      <c r="J1011" s="1" t="s">
        <v>12</v>
      </c>
      <c r="K1011" s="1" t="s">
        <v>4797</v>
      </c>
      <c r="L1011" s="1" t="s">
        <v>122</v>
      </c>
      <c r="M1011" s="1" t="s">
        <v>58</v>
      </c>
      <c r="N1011" s="1" t="s">
        <v>61</v>
      </c>
    </row>
    <row r="1012" spans="1:14" x14ac:dyDescent="0.25">
      <c r="A1012" s="1" t="s">
        <v>86</v>
      </c>
      <c r="B1012" s="1" t="s">
        <v>5375</v>
      </c>
      <c r="C1012" s="1" t="s">
        <v>1648</v>
      </c>
      <c r="D1012" s="8" t="s">
        <v>1647</v>
      </c>
      <c r="E1012" s="1" t="s">
        <v>590</v>
      </c>
      <c r="F1012" s="1" t="s">
        <v>6434</v>
      </c>
      <c r="G1012" s="1" t="s">
        <v>4715</v>
      </c>
      <c r="H1012" s="1" t="s">
        <v>4719</v>
      </c>
      <c r="I1012" s="1" t="s">
        <v>4721</v>
      </c>
      <c r="J1012" s="1" t="s">
        <v>12</v>
      </c>
      <c r="K1012" s="1" t="s">
        <v>4771</v>
      </c>
      <c r="L1012" s="1" t="s">
        <v>122</v>
      </c>
      <c r="M1012" s="1" t="s">
        <v>870</v>
      </c>
      <c r="N1012" s="1" t="s">
        <v>76</v>
      </c>
    </row>
    <row r="1013" spans="1:14" x14ac:dyDescent="0.25">
      <c r="A1013" s="1" t="s">
        <v>86</v>
      </c>
      <c r="B1013" s="1" t="s">
        <v>5803</v>
      </c>
      <c r="C1013" s="1" t="s">
        <v>1856</v>
      </c>
      <c r="D1013" s="8" t="s">
        <v>1855</v>
      </c>
      <c r="E1013" s="1" t="s">
        <v>298</v>
      </c>
      <c r="F1013" s="1" t="s">
        <v>6435</v>
      </c>
      <c r="G1013" s="1" t="s">
        <v>4716</v>
      </c>
      <c r="H1013" s="1" t="s">
        <v>4719</v>
      </c>
      <c r="I1013" s="1" t="s">
        <v>4721</v>
      </c>
      <c r="J1013" s="1" t="s">
        <v>12</v>
      </c>
      <c r="K1013" s="1" t="s">
        <v>4794</v>
      </c>
      <c r="L1013" s="1" t="s">
        <v>210</v>
      </c>
      <c r="M1013" s="1" t="s">
        <v>58</v>
      </c>
      <c r="N1013" s="1" t="s">
        <v>61</v>
      </c>
    </row>
    <row r="1014" spans="1:14" x14ac:dyDescent="0.25">
      <c r="A1014" s="1" t="s">
        <v>86</v>
      </c>
      <c r="B1014" s="1" t="s">
        <v>5804</v>
      </c>
      <c r="C1014" s="1" t="s">
        <v>1187</v>
      </c>
      <c r="D1014" s="8" t="s">
        <v>1185</v>
      </c>
      <c r="E1014" s="1" t="s">
        <v>123</v>
      </c>
      <c r="F1014" s="1" t="s">
        <v>6456</v>
      </c>
      <c r="G1014" s="1" t="s">
        <v>6451</v>
      </c>
      <c r="H1014" s="1" t="s">
        <v>4718</v>
      </c>
      <c r="I1014" s="1" t="s">
        <v>4721</v>
      </c>
      <c r="J1014" s="1" t="s">
        <v>12</v>
      </c>
      <c r="K1014" s="1" t="s">
        <v>4848</v>
      </c>
      <c r="L1014" s="1" t="s">
        <v>122</v>
      </c>
      <c r="M1014" s="1" t="s">
        <v>58</v>
      </c>
      <c r="N1014" s="1" t="s">
        <v>61</v>
      </c>
    </row>
    <row r="1015" spans="1:14" x14ac:dyDescent="0.25">
      <c r="A1015" s="1" t="s">
        <v>86</v>
      </c>
      <c r="B1015" s="1" t="s">
        <v>5377</v>
      </c>
      <c r="C1015" s="1" t="s">
        <v>1693</v>
      </c>
      <c r="D1015" s="8" t="s">
        <v>1692</v>
      </c>
      <c r="E1015" s="1" t="s">
        <v>205</v>
      </c>
      <c r="F1015" s="1" t="s">
        <v>4710</v>
      </c>
      <c r="G1015" s="1" t="s">
        <v>4716</v>
      </c>
      <c r="H1015" s="1" t="s">
        <v>4719</v>
      </c>
      <c r="I1015" s="1" t="s">
        <v>4721</v>
      </c>
      <c r="J1015" s="1" t="s">
        <v>12</v>
      </c>
      <c r="K1015" s="1" t="s">
        <v>4784</v>
      </c>
      <c r="L1015" s="1" t="s">
        <v>122</v>
      </c>
      <c r="M1015" s="1" t="s">
        <v>245</v>
      </c>
      <c r="N1015" s="1" t="s">
        <v>21</v>
      </c>
    </row>
    <row r="1016" spans="1:14" x14ac:dyDescent="0.25">
      <c r="A1016" s="1" t="s">
        <v>86</v>
      </c>
      <c r="B1016" s="1" t="s">
        <v>5379</v>
      </c>
      <c r="C1016" s="1" t="s">
        <v>1630</v>
      </c>
      <c r="D1016" s="8" t="s">
        <v>1629</v>
      </c>
      <c r="E1016" s="1" t="s">
        <v>1029</v>
      </c>
      <c r="F1016" s="1" t="s">
        <v>6434</v>
      </c>
      <c r="G1016" s="1" t="s">
        <v>4715</v>
      </c>
      <c r="H1016" s="1" t="s">
        <v>4719</v>
      </c>
      <c r="I1016" s="1" t="s">
        <v>4721</v>
      </c>
      <c r="J1016" s="1" t="s">
        <v>12</v>
      </c>
      <c r="K1016" s="1" t="s">
        <v>4784</v>
      </c>
      <c r="L1016" s="1" t="s">
        <v>122</v>
      </c>
      <c r="M1016" s="1" t="s">
        <v>89</v>
      </c>
      <c r="N1016" s="1" t="s">
        <v>37</v>
      </c>
    </row>
    <row r="1017" spans="1:14" x14ac:dyDescent="0.25">
      <c r="A1017" s="1" t="s">
        <v>86</v>
      </c>
      <c r="B1017" s="1" t="s">
        <v>5381</v>
      </c>
      <c r="C1017" s="1" t="s">
        <v>3710</v>
      </c>
      <c r="D1017" s="8" t="s">
        <v>3709</v>
      </c>
      <c r="E1017" s="1" t="s">
        <v>165</v>
      </c>
      <c r="F1017" s="1" t="s">
        <v>6433</v>
      </c>
      <c r="G1017" s="1" t="s">
        <v>4716</v>
      </c>
      <c r="H1017" s="1" t="s">
        <v>4719</v>
      </c>
      <c r="I1017" s="1" t="s">
        <v>4721</v>
      </c>
      <c r="J1017" s="1" t="s">
        <v>12</v>
      </c>
      <c r="K1017" s="1" t="s">
        <v>4785</v>
      </c>
      <c r="L1017" s="1" t="s">
        <v>164</v>
      </c>
      <c r="M1017" s="1" t="s">
        <v>245</v>
      </c>
      <c r="N1017" s="1" t="s">
        <v>21</v>
      </c>
    </row>
    <row r="1018" spans="1:14" x14ac:dyDescent="0.25">
      <c r="A1018" s="1" t="s">
        <v>86</v>
      </c>
      <c r="B1018" s="1" t="s">
        <v>5382</v>
      </c>
      <c r="C1018" s="1" t="s">
        <v>2025</v>
      </c>
      <c r="D1018" s="8" t="s">
        <v>2024</v>
      </c>
      <c r="E1018" s="1" t="s">
        <v>205</v>
      </c>
      <c r="F1018" s="1" t="s">
        <v>6440</v>
      </c>
      <c r="G1018" s="1" t="s">
        <v>4716</v>
      </c>
      <c r="H1018" s="1" t="s">
        <v>4719</v>
      </c>
      <c r="I1018" s="1" t="s">
        <v>4721</v>
      </c>
      <c r="J1018" s="1" t="s">
        <v>12</v>
      </c>
      <c r="K1018" s="1" t="s">
        <v>4887</v>
      </c>
      <c r="L1018" s="1" t="s">
        <v>122</v>
      </c>
      <c r="M1018" s="1" t="s">
        <v>172</v>
      </c>
      <c r="N1018" s="1" t="s">
        <v>17</v>
      </c>
    </row>
    <row r="1019" spans="1:14" x14ac:dyDescent="0.25">
      <c r="A1019" s="1" t="s">
        <v>86</v>
      </c>
      <c r="B1019" s="1" t="s">
        <v>5805</v>
      </c>
      <c r="C1019" s="1" t="s">
        <v>1874</v>
      </c>
      <c r="D1019" s="8" t="s">
        <v>1873</v>
      </c>
      <c r="E1019" s="1" t="s">
        <v>284</v>
      </c>
      <c r="F1019" s="1" t="s">
        <v>4714</v>
      </c>
      <c r="G1019" s="1" t="s">
        <v>4715</v>
      </c>
      <c r="H1019" s="1" t="s">
        <v>4719</v>
      </c>
      <c r="I1019" s="1" t="s">
        <v>4721</v>
      </c>
      <c r="J1019" s="1" t="s">
        <v>12</v>
      </c>
      <c r="K1019" s="1" t="s">
        <v>4777</v>
      </c>
      <c r="L1019" s="1" t="s">
        <v>283</v>
      </c>
      <c r="M1019" s="1" t="s">
        <v>245</v>
      </c>
      <c r="N1019" s="1" t="s">
        <v>21</v>
      </c>
    </row>
    <row r="1020" spans="1:14" x14ac:dyDescent="0.25">
      <c r="A1020" s="1" t="s">
        <v>86</v>
      </c>
      <c r="B1020" s="1" t="s">
        <v>5806</v>
      </c>
      <c r="C1020" s="1" t="s">
        <v>3846</v>
      </c>
      <c r="D1020" s="8" t="s">
        <v>3845</v>
      </c>
      <c r="E1020" s="1" t="s">
        <v>205</v>
      </c>
      <c r="F1020" s="1" t="s">
        <v>6440</v>
      </c>
      <c r="G1020" s="1" t="s">
        <v>4716</v>
      </c>
      <c r="H1020" s="1" t="s">
        <v>4719</v>
      </c>
      <c r="I1020" s="1" t="s">
        <v>4721</v>
      </c>
      <c r="J1020" s="1" t="s">
        <v>39</v>
      </c>
      <c r="K1020" s="1" t="s">
        <v>4771</v>
      </c>
      <c r="L1020" s="1" t="s">
        <v>122</v>
      </c>
      <c r="M1020" s="1" t="s">
        <v>149</v>
      </c>
      <c r="N1020" s="1" t="s">
        <v>61</v>
      </c>
    </row>
    <row r="1021" spans="1:14" x14ac:dyDescent="0.25">
      <c r="A1021" s="1" t="s">
        <v>86</v>
      </c>
      <c r="B1021" s="1" t="s">
        <v>5807</v>
      </c>
      <c r="C1021" s="1" t="s">
        <v>1582</v>
      </c>
      <c r="D1021" s="8" t="s">
        <v>1581</v>
      </c>
      <c r="E1021" s="1" t="s">
        <v>211</v>
      </c>
      <c r="F1021" s="1" t="s">
        <v>6435</v>
      </c>
      <c r="G1021" s="1" t="s">
        <v>4716</v>
      </c>
      <c r="H1021" s="1" t="s">
        <v>4719</v>
      </c>
      <c r="I1021" s="1" t="s">
        <v>4722</v>
      </c>
      <c r="J1021" s="1" t="s">
        <v>39</v>
      </c>
      <c r="K1021" s="1" t="s">
        <v>4820</v>
      </c>
      <c r="L1021" s="1" t="s">
        <v>210</v>
      </c>
      <c r="M1021" s="1" t="s">
        <v>245</v>
      </c>
      <c r="N1021" s="1" t="s">
        <v>21</v>
      </c>
    </row>
    <row r="1022" spans="1:14" x14ac:dyDescent="0.25">
      <c r="A1022" s="1" t="s">
        <v>86</v>
      </c>
      <c r="B1022" s="1" t="s">
        <v>5808</v>
      </c>
      <c r="C1022" s="1" t="s">
        <v>3097</v>
      </c>
      <c r="D1022" s="8" t="s">
        <v>3096</v>
      </c>
      <c r="E1022" s="1" t="s">
        <v>594</v>
      </c>
      <c r="F1022" s="1" t="s">
        <v>6437</v>
      </c>
      <c r="G1022" s="1" t="s">
        <v>4715</v>
      </c>
      <c r="H1022" s="1" t="s">
        <v>4719</v>
      </c>
      <c r="I1022" s="1" t="s">
        <v>4721</v>
      </c>
      <c r="J1022" s="1" t="s">
        <v>12</v>
      </c>
      <c r="K1022" s="1" t="s">
        <v>4765</v>
      </c>
      <c r="L1022" s="1" t="s">
        <v>122</v>
      </c>
      <c r="M1022" s="1" t="s">
        <v>99</v>
      </c>
      <c r="N1022" s="1" t="s">
        <v>25</v>
      </c>
    </row>
    <row r="1023" spans="1:14" x14ac:dyDescent="0.25">
      <c r="A1023" s="1" t="s">
        <v>86</v>
      </c>
      <c r="B1023" s="1" t="s">
        <v>5810</v>
      </c>
      <c r="C1023" s="1" t="s">
        <v>1016</v>
      </c>
      <c r="D1023" s="8" t="s">
        <v>1015</v>
      </c>
      <c r="E1023" s="1" t="s">
        <v>590</v>
      </c>
      <c r="F1023" s="1" t="s">
        <v>6434</v>
      </c>
      <c r="G1023" s="1" t="s">
        <v>4715</v>
      </c>
      <c r="H1023" s="1" t="s">
        <v>4719</v>
      </c>
      <c r="I1023" s="1" t="s">
        <v>4722</v>
      </c>
      <c r="J1023" s="1" t="s">
        <v>39</v>
      </c>
      <c r="K1023" s="1" t="s">
        <v>4771</v>
      </c>
      <c r="L1023" s="1" t="s">
        <v>122</v>
      </c>
      <c r="M1023" s="1" t="s">
        <v>245</v>
      </c>
      <c r="N1023" s="1" t="s">
        <v>21</v>
      </c>
    </row>
    <row r="1024" spans="1:14" x14ac:dyDescent="0.25">
      <c r="A1024" s="1" t="s">
        <v>86</v>
      </c>
      <c r="B1024" s="1" t="s">
        <v>5384</v>
      </c>
      <c r="C1024" s="1" t="s">
        <v>2307</v>
      </c>
      <c r="D1024" s="8" t="s">
        <v>2306</v>
      </c>
      <c r="E1024" s="1" t="s">
        <v>88</v>
      </c>
      <c r="F1024" s="1" t="s">
        <v>4709</v>
      </c>
      <c r="G1024" s="1" t="s">
        <v>4716</v>
      </c>
      <c r="H1024" s="1" t="s">
        <v>4719</v>
      </c>
      <c r="I1024" s="1" t="s">
        <v>4721</v>
      </c>
      <c r="J1024" s="1" t="s">
        <v>12</v>
      </c>
      <c r="K1024" s="1" t="s">
        <v>4796</v>
      </c>
      <c r="L1024" s="1" t="s">
        <v>87</v>
      </c>
      <c r="M1024" s="1" t="s">
        <v>99</v>
      </c>
      <c r="N1024" s="1" t="s">
        <v>25</v>
      </c>
    </row>
    <row r="1025" spans="1:14" x14ac:dyDescent="0.25">
      <c r="A1025" s="1" t="s">
        <v>86</v>
      </c>
      <c r="B1025" s="1" t="s">
        <v>5385</v>
      </c>
      <c r="C1025" s="1" t="s">
        <v>1340</v>
      </c>
      <c r="D1025" s="8" t="s">
        <v>1339</v>
      </c>
      <c r="E1025" s="1" t="s">
        <v>274</v>
      </c>
      <c r="F1025" s="1" t="s">
        <v>6454</v>
      </c>
      <c r="G1025" s="1" t="s">
        <v>6451</v>
      </c>
      <c r="H1025" s="1" t="s">
        <v>4718</v>
      </c>
      <c r="I1025" s="1" t="s">
        <v>4721</v>
      </c>
      <c r="J1025" s="1" t="s">
        <v>12</v>
      </c>
      <c r="K1025" s="1" t="s">
        <v>4799</v>
      </c>
      <c r="L1025" s="1" t="s">
        <v>210</v>
      </c>
      <c r="M1025" s="1" t="s">
        <v>58</v>
      </c>
      <c r="N1025" s="1" t="s">
        <v>61</v>
      </c>
    </row>
    <row r="1026" spans="1:14" x14ac:dyDescent="0.25">
      <c r="A1026" s="1" t="s">
        <v>86</v>
      </c>
      <c r="B1026" s="1" t="s">
        <v>5811</v>
      </c>
      <c r="C1026" s="1" t="s">
        <v>2584</v>
      </c>
      <c r="D1026" s="8" t="s">
        <v>2583</v>
      </c>
      <c r="E1026" s="1" t="s">
        <v>218</v>
      </c>
      <c r="F1026" s="1" t="s">
        <v>4713</v>
      </c>
      <c r="G1026" s="1" t="s">
        <v>4716</v>
      </c>
      <c r="H1026" s="1" t="s">
        <v>4719</v>
      </c>
      <c r="I1026" s="1" t="s">
        <v>4721</v>
      </c>
      <c r="J1026" s="1" t="s">
        <v>12</v>
      </c>
      <c r="K1026" s="1" t="s">
        <v>4802</v>
      </c>
      <c r="L1026" s="1" t="s">
        <v>217</v>
      </c>
      <c r="M1026" s="1" t="s">
        <v>41</v>
      </c>
      <c r="N1026" s="1" t="s">
        <v>42</v>
      </c>
    </row>
    <row r="1027" spans="1:14" x14ac:dyDescent="0.25">
      <c r="A1027" s="1" t="s">
        <v>86</v>
      </c>
      <c r="B1027" s="1" t="s">
        <v>5386</v>
      </c>
      <c r="C1027" s="1" t="s">
        <v>2786</v>
      </c>
      <c r="D1027" s="8" t="s">
        <v>2785</v>
      </c>
      <c r="E1027" s="1" t="s">
        <v>459</v>
      </c>
      <c r="F1027" s="1" t="s">
        <v>6448</v>
      </c>
      <c r="G1027" s="1" t="s">
        <v>4716</v>
      </c>
      <c r="H1027" s="1" t="s">
        <v>4719</v>
      </c>
      <c r="I1027" s="1" t="s">
        <v>4721</v>
      </c>
      <c r="J1027" s="1" t="s">
        <v>12</v>
      </c>
      <c r="K1027" s="1" t="s">
        <v>4796</v>
      </c>
      <c r="L1027" s="1" t="s">
        <v>458</v>
      </c>
      <c r="M1027" s="1" t="s">
        <v>41</v>
      </c>
      <c r="N1027" s="1" t="s">
        <v>42</v>
      </c>
    </row>
    <row r="1028" spans="1:14" x14ac:dyDescent="0.25">
      <c r="A1028" s="1" t="s">
        <v>86</v>
      </c>
      <c r="B1028" s="1" t="s">
        <v>5388</v>
      </c>
      <c r="C1028" s="1" t="s">
        <v>3222</v>
      </c>
      <c r="D1028" s="8" t="s">
        <v>3221</v>
      </c>
      <c r="E1028" s="1" t="s">
        <v>559</v>
      </c>
      <c r="F1028" s="1" t="s">
        <v>4713</v>
      </c>
      <c r="G1028" s="1" t="s">
        <v>4716</v>
      </c>
      <c r="H1028" s="1" t="s">
        <v>4719</v>
      </c>
      <c r="I1028" s="1" t="s">
        <v>4722</v>
      </c>
      <c r="J1028" s="1" t="s">
        <v>39</v>
      </c>
      <c r="K1028" s="1" t="s">
        <v>4802</v>
      </c>
      <c r="L1028" s="1" t="s">
        <v>558</v>
      </c>
      <c r="M1028" s="1" t="s">
        <v>245</v>
      </c>
      <c r="N1028" s="1" t="s">
        <v>21</v>
      </c>
    </row>
    <row r="1029" spans="1:14" x14ac:dyDescent="0.25">
      <c r="A1029" s="1" t="s">
        <v>86</v>
      </c>
      <c r="B1029" s="1" t="s">
        <v>5389</v>
      </c>
      <c r="C1029" s="1" t="s">
        <v>1726</v>
      </c>
      <c r="D1029" s="8" t="s">
        <v>1725</v>
      </c>
      <c r="E1029" s="1" t="s">
        <v>540</v>
      </c>
      <c r="F1029" s="1" t="s">
        <v>6437</v>
      </c>
      <c r="G1029" s="1" t="s">
        <v>4715</v>
      </c>
      <c r="H1029" s="1" t="s">
        <v>4719</v>
      </c>
      <c r="I1029" s="1" t="s">
        <v>4721</v>
      </c>
      <c r="J1029" s="1" t="s">
        <v>12</v>
      </c>
      <c r="K1029" s="1" t="s">
        <v>4765</v>
      </c>
      <c r="L1029" s="1" t="s">
        <v>283</v>
      </c>
      <c r="M1029" s="1" t="s">
        <v>99</v>
      </c>
      <c r="N1029" s="1" t="s">
        <v>25</v>
      </c>
    </row>
    <row r="1030" spans="1:14" x14ac:dyDescent="0.25">
      <c r="A1030" s="1" t="s">
        <v>86</v>
      </c>
      <c r="B1030" s="1" t="s">
        <v>5390</v>
      </c>
      <c r="C1030" s="1" t="s">
        <v>3019</v>
      </c>
      <c r="D1030" s="8" t="s">
        <v>3018</v>
      </c>
      <c r="E1030" s="1" t="s">
        <v>123</v>
      </c>
      <c r="F1030" s="1" t="s">
        <v>6438</v>
      </c>
      <c r="G1030" s="1" t="s">
        <v>4716</v>
      </c>
      <c r="H1030" s="1" t="s">
        <v>4719</v>
      </c>
      <c r="I1030" s="1" t="s">
        <v>4721</v>
      </c>
      <c r="J1030" s="1" t="s">
        <v>12</v>
      </c>
      <c r="K1030" s="1" t="s">
        <v>4783</v>
      </c>
      <c r="L1030" s="1" t="s">
        <v>122</v>
      </c>
      <c r="M1030" s="1" t="s">
        <v>136</v>
      </c>
      <c r="N1030" s="1" t="s">
        <v>72</v>
      </c>
    </row>
    <row r="1031" spans="1:14" x14ac:dyDescent="0.25">
      <c r="A1031" s="1" t="s">
        <v>86</v>
      </c>
      <c r="B1031" s="1" t="s">
        <v>5575</v>
      </c>
      <c r="C1031" s="1" t="s">
        <v>273</v>
      </c>
      <c r="D1031" s="8" t="s">
        <v>272</v>
      </c>
      <c r="E1031" s="1" t="s">
        <v>177</v>
      </c>
      <c r="F1031" s="1" t="s">
        <v>6435</v>
      </c>
      <c r="G1031" s="1" t="s">
        <v>4716</v>
      </c>
      <c r="H1031" s="1" t="s">
        <v>4719</v>
      </c>
      <c r="I1031" s="1" t="s">
        <v>4721</v>
      </c>
      <c r="J1031" s="1" t="s">
        <v>12</v>
      </c>
      <c r="K1031" s="1" t="s">
        <v>4820</v>
      </c>
      <c r="L1031" s="1" t="s">
        <v>164</v>
      </c>
      <c r="M1031" s="1" t="s">
        <v>58</v>
      </c>
      <c r="N1031" s="1" t="s">
        <v>61</v>
      </c>
    </row>
    <row r="1032" spans="1:14" x14ac:dyDescent="0.25">
      <c r="A1032" s="1" t="s">
        <v>86</v>
      </c>
      <c r="B1032" s="1" t="s">
        <v>6173</v>
      </c>
      <c r="C1032" s="1" t="s">
        <v>3103</v>
      </c>
      <c r="D1032" s="8" t="s">
        <v>3102</v>
      </c>
      <c r="E1032" s="1" t="s">
        <v>540</v>
      </c>
      <c r="F1032" s="1" t="s">
        <v>6437</v>
      </c>
      <c r="G1032" s="1" t="s">
        <v>4715</v>
      </c>
      <c r="H1032" s="1" t="s">
        <v>4719</v>
      </c>
      <c r="I1032" s="1" t="s">
        <v>4721</v>
      </c>
      <c r="J1032" s="1" t="s">
        <v>12</v>
      </c>
      <c r="K1032" s="1" t="s">
        <v>4765</v>
      </c>
      <c r="L1032" s="1" t="s">
        <v>283</v>
      </c>
      <c r="M1032" s="1" t="s">
        <v>99</v>
      </c>
      <c r="N1032" s="1" t="s">
        <v>25</v>
      </c>
    </row>
    <row r="1033" spans="1:14" x14ac:dyDescent="0.25">
      <c r="A1033" s="1" t="s">
        <v>86</v>
      </c>
      <c r="B1033" s="1" t="s">
        <v>5576</v>
      </c>
      <c r="C1033" s="1" t="s">
        <v>1642</v>
      </c>
      <c r="D1033" s="8" t="s">
        <v>1641</v>
      </c>
      <c r="E1033" s="1" t="s">
        <v>325</v>
      </c>
      <c r="F1033" s="1" t="s">
        <v>6434</v>
      </c>
      <c r="G1033" s="1" t="s">
        <v>4715</v>
      </c>
      <c r="H1033" s="1" t="s">
        <v>4719</v>
      </c>
      <c r="I1033" s="1" t="s">
        <v>4721</v>
      </c>
      <c r="J1033" s="1" t="s">
        <v>12</v>
      </c>
      <c r="K1033" s="1" t="s">
        <v>4784</v>
      </c>
      <c r="L1033" s="1" t="s">
        <v>283</v>
      </c>
      <c r="M1033" s="1" t="s">
        <v>58</v>
      </c>
      <c r="N1033" s="1" t="s">
        <v>61</v>
      </c>
    </row>
    <row r="1034" spans="1:14" x14ac:dyDescent="0.25">
      <c r="A1034" s="1" t="s">
        <v>86</v>
      </c>
      <c r="B1034" s="1" t="s">
        <v>5577</v>
      </c>
      <c r="C1034" s="1" t="s">
        <v>297</v>
      </c>
      <c r="D1034" s="8" t="s">
        <v>296</v>
      </c>
      <c r="E1034" s="1" t="s">
        <v>298</v>
      </c>
      <c r="F1034" s="1" t="s">
        <v>6435</v>
      </c>
      <c r="G1034" s="1" t="s">
        <v>4716</v>
      </c>
      <c r="H1034" s="1" t="s">
        <v>4719</v>
      </c>
      <c r="I1034" s="1" t="s">
        <v>4721</v>
      </c>
      <c r="J1034" s="1" t="s">
        <v>12</v>
      </c>
      <c r="K1034" s="1" t="s">
        <v>4794</v>
      </c>
      <c r="L1034" s="1" t="s">
        <v>210</v>
      </c>
      <c r="M1034" s="1" t="s">
        <v>245</v>
      </c>
      <c r="N1034" s="1" t="s">
        <v>21</v>
      </c>
    </row>
    <row r="1035" spans="1:14" x14ac:dyDescent="0.25">
      <c r="A1035" s="1" t="s">
        <v>86</v>
      </c>
      <c r="B1035" s="1" t="s">
        <v>5578</v>
      </c>
      <c r="C1035" s="1" t="s">
        <v>1298</v>
      </c>
      <c r="D1035" s="8" t="s">
        <v>1297</v>
      </c>
      <c r="E1035" s="1" t="s">
        <v>88</v>
      </c>
      <c r="F1035" s="1" t="s">
        <v>6443</v>
      </c>
      <c r="G1035" s="1" t="s">
        <v>4717</v>
      </c>
      <c r="H1035" s="1" t="s">
        <v>4719</v>
      </c>
      <c r="I1035" s="1" t="s">
        <v>4721</v>
      </c>
      <c r="J1035" s="1" t="s">
        <v>12</v>
      </c>
      <c r="K1035" s="1" t="s">
        <v>4795</v>
      </c>
      <c r="L1035" s="1" t="s">
        <v>87</v>
      </c>
      <c r="M1035" s="1" t="s">
        <v>58</v>
      </c>
      <c r="N1035" s="1" t="s">
        <v>61</v>
      </c>
    </row>
    <row r="1036" spans="1:14" x14ac:dyDescent="0.25">
      <c r="A1036" s="1" t="s">
        <v>86</v>
      </c>
      <c r="B1036" s="1" t="s">
        <v>5579</v>
      </c>
      <c r="C1036" s="1" t="s">
        <v>539</v>
      </c>
      <c r="D1036" s="8" t="s">
        <v>538</v>
      </c>
      <c r="E1036" s="1" t="s">
        <v>594</v>
      </c>
      <c r="F1036" s="1" t="s">
        <v>6437</v>
      </c>
      <c r="G1036" s="1" t="s">
        <v>4715</v>
      </c>
      <c r="H1036" s="1" t="s">
        <v>4719</v>
      </c>
      <c r="I1036" s="1" t="s">
        <v>4721</v>
      </c>
      <c r="J1036" s="1" t="s">
        <v>12</v>
      </c>
      <c r="K1036" s="1" t="s">
        <v>4765</v>
      </c>
      <c r="L1036" s="1" t="s">
        <v>122</v>
      </c>
      <c r="M1036" s="1" t="s">
        <v>99</v>
      </c>
      <c r="N1036" s="1" t="s">
        <v>25</v>
      </c>
    </row>
    <row r="1037" spans="1:14" x14ac:dyDescent="0.25">
      <c r="A1037" s="1" t="s">
        <v>86</v>
      </c>
      <c r="B1037" s="1" t="s">
        <v>6174</v>
      </c>
      <c r="C1037" s="1" t="s">
        <v>1645</v>
      </c>
      <c r="D1037" s="8" t="s">
        <v>1644</v>
      </c>
      <c r="E1037" s="1" t="s">
        <v>445</v>
      </c>
      <c r="F1037" s="1" t="s">
        <v>6434</v>
      </c>
      <c r="G1037" s="1" t="s">
        <v>4715</v>
      </c>
      <c r="H1037" s="1" t="s">
        <v>4719</v>
      </c>
      <c r="I1037" s="1" t="s">
        <v>4721</v>
      </c>
      <c r="J1037" s="1" t="s">
        <v>12</v>
      </c>
      <c r="K1037" s="1" t="s">
        <v>4771</v>
      </c>
      <c r="L1037" s="1" t="s">
        <v>122</v>
      </c>
      <c r="M1037" s="1" t="s">
        <v>245</v>
      </c>
      <c r="N1037" s="1" t="s">
        <v>21</v>
      </c>
    </row>
    <row r="1038" spans="1:14" x14ac:dyDescent="0.25">
      <c r="A1038" s="1" t="s">
        <v>86</v>
      </c>
      <c r="B1038" s="1" t="s">
        <v>5580</v>
      </c>
      <c r="C1038" s="1" t="s">
        <v>1307</v>
      </c>
      <c r="D1038" s="8" t="s">
        <v>1306</v>
      </c>
      <c r="E1038" s="1" t="s">
        <v>88</v>
      </c>
      <c r="F1038" s="1" t="s">
        <v>6443</v>
      </c>
      <c r="G1038" s="1" t="s">
        <v>4717</v>
      </c>
      <c r="H1038" s="1" t="s">
        <v>4719</v>
      </c>
      <c r="I1038" s="1" t="s">
        <v>4721</v>
      </c>
      <c r="J1038" s="1" t="s">
        <v>39</v>
      </c>
      <c r="K1038" s="1" t="s">
        <v>4795</v>
      </c>
      <c r="L1038" s="1" t="s">
        <v>87</v>
      </c>
      <c r="M1038" s="1" t="s">
        <v>58</v>
      </c>
      <c r="N1038" s="1" t="s">
        <v>61</v>
      </c>
    </row>
    <row r="1039" spans="1:14" x14ac:dyDescent="0.25">
      <c r="A1039" s="1" t="s">
        <v>86</v>
      </c>
      <c r="B1039" s="1" t="s">
        <v>5581</v>
      </c>
      <c r="C1039" s="1" t="s">
        <v>3115</v>
      </c>
      <c r="D1039" s="8" t="s">
        <v>3114</v>
      </c>
      <c r="E1039" s="1" t="s">
        <v>363</v>
      </c>
      <c r="F1039" s="1" t="s">
        <v>6435</v>
      </c>
      <c r="G1039" s="1" t="s">
        <v>4716</v>
      </c>
      <c r="H1039" s="1" t="s">
        <v>4719</v>
      </c>
      <c r="I1039" s="1" t="s">
        <v>4721</v>
      </c>
      <c r="J1039" s="1" t="s">
        <v>12</v>
      </c>
      <c r="K1039" s="1" t="s">
        <v>4794</v>
      </c>
      <c r="L1039" s="1" t="s">
        <v>210</v>
      </c>
      <c r="M1039" s="1" t="s">
        <v>89</v>
      </c>
      <c r="N1039" s="1" t="s">
        <v>37</v>
      </c>
    </row>
    <row r="1040" spans="1:14" x14ac:dyDescent="0.25">
      <c r="A1040" s="1" t="s">
        <v>86</v>
      </c>
      <c r="B1040" s="1" t="s">
        <v>5583</v>
      </c>
      <c r="C1040" s="1" t="s">
        <v>1954</v>
      </c>
      <c r="D1040" s="8" t="s">
        <v>1953</v>
      </c>
      <c r="E1040" s="1" t="s">
        <v>205</v>
      </c>
      <c r="F1040" s="1" t="s">
        <v>6439</v>
      </c>
      <c r="G1040" s="1" t="s">
        <v>4715</v>
      </c>
      <c r="H1040" s="1" t="s">
        <v>4719</v>
      </c>
      <c r="I1040" s="1" t="s">
        <v>4721</v>
      </c>
      <c r="J1040" s="1" t="s">
        <v>12</v>
      </c>
      <c r="K1040" s="1" t="s">
        <v>4771</v>
      </c>
      <c r="L1040" s="1" t="s">
        <v>122</v>
      </c>
      <c r="M1040" s="1" t="s">
        <v>245</v>
      </c>
      <c r="N1040" s="1" t="s">
        <v>21</v>
      </c>
    </row>
    <row r="1041" spans="1:14" x14ac:dyDescent="0.25">
      <c r="A1041" s="1" t="s">
        <v>86</v>
      </c>
      <c r="B1041" s="1" t="s">
        <v>5584</v>
      </c>
      <c r="C1041" s="1" t="s">
        <v>354</v>
      </c>
      <c r="D1041" s="8" t="s">
        <v>353</v>
      </c>
      <c r="E1041" s="1" t="s">
        <v>205</v>
      </c>
      <c r="F1041" s="1" t="s">
        <v>6439</v>
      </c>
      <c r="G1041" s="1" t="s">
        <v>4715</v>
      </c>
      <c r="H1041" s="1" t="s">
        <v>4719</v>
      </c>
      <c r="I1041" s="1" t="s">
        <v>4721</v>
      </c>
      <c r="J1041" s="1" t="s">
        <v>12</v>
      </c>
      <c r="K1041" s="1" t="s">
        <v>4784</v>
      </c>
      <c r="L1041" s="1" t="s">
        <v>122</v>
      </c>
      <c r="M1041" s="1" t="s">
        <v>89</v>
      </c>
      <c r="N1041" s="1" t="s">
        <v>37</v>
      </c>
    </row>
    <row r="1042" spans="1:14" x14ac:dyDescent="0.25">
      <c r="A1042" s="1" t="s">
        <v>86</v>
      </c>
      <c r="B1042" s="1" t="s">
        <v>6178</v>
      </c>
      <c r="C1042" s="1" t="s">
        <v>2052</v>
      </c>
      <c r="D1042" s="8" t="s">
        <v>2051</v>
      </c>
      <c r="E1042" s="1" t="s">
        <v>284</v>
      </c>
      <c r="F1042" s="1" t="s">
        <v>4714</v>
      </c>
      <c r="G1042" s="1" t="s">
        <v>4715</v>
      </c>
      <c r="H1042" s="1" t="s">
        <v>4719</v>
      </c>
      <c r="I1042" s="1" t="s">
        <v>4721</v>
      </c>
      <c r="J1042" s="1" t="s">
        <v>12</v>
      </c>
      <c r="K1042" s="1" t="s">
        <v>4777</v>
      </c>
      <c r="L1042" s="1" t="s">
        <v>283</v>
      </c>
      <c r="M1042" s="1" t="s">
        <v>245</v>
      </c>
      <c r="N1042" s="1" t="s">
        <v>21</v>
      </c>
    </row>
    <row r="1043" spans="1:14" x14ac:dyDescent="0.25">
      <c r="A1043" s="1" t="s">
        <v>86</v>
      </c>
      <c r="B1043" s="1" t="s">
        <v>5585</v>
      </c>
      <c r="C1043" s="1" t="s">
        <v>2013</v>
      </c>
      <c r="D1043" s="8" t="s">
        <v>2012</v>
      </c>
      <c r="E1043" s="1" t="s">
        <v>205</v>
      </c>
      <c r="F1043" s="1" t="s">
        <v>6439</v>
      </c>
      <c r="G1043" s="1" t="s">
        <v>4715</v>
      </c>
      <c r="H1043" s="1" t="s">
        <v>4719</v>
      </c>
      <c r="I1043" s="1" t="s">
        <v>4722</v>
      </c>
      <c r="J1043" s="1" t="s">
        <v>39</v>
      </c>
      <c r="K1043" s="1" t="s">
        <v>4784</v>
      </c>
      <c r="L1043" s="1" t="s">
        <v>122</v>
      </c>
      <c r="M1043" s="1" t="s">
        <v>245</v>
      </c>
      <c r="N1043" s="1" t="s">
        <v>21</v>
      </c>
    </row>
    <row r="1044" spans="1:14" x14ac:dyDescent="0.25">
      <c r="A1044" s="1" t="s">
        <v>86</v>
      </c>
      <c r="B1044" s="1" t="s">
        <v>5586</v>
      </c>
      <c r="C1044" s="1" t="s">
        <v>457</v>
      </c>
      <c r="D1044" s="8" t="s">
        <v>456</v>
      </c>
      <c r="E1044" s="1" t="s">
        <v>459</v>
      </c>
      <c r="F1044" s="1" t="s">
        <v>6448</v>
      </c>
      <c r="G1044" s="1" t="s">
        <v>4716</v>
      </c>
      <c r="H1044" s="1" t="s">
        <v>4719</v>
      </c>
      <c r="I1044" s="1" t="s">
        <v>4721</v>
      </c>
      <c r="J1044" s="1" t="s">
        <v>12</v>
      </c>
      <c r="K1044" s="1" t="s">
        <v>4796</v>
      </c>
      <c r="L1044" s="1" t="s">
        <v>458</v>
      </c>
      <c r="M1044" s="1" t="s">
        <v>89</v>
      </c>
      <c r="N1044" s="1" t="s">
        <v>37</v>
      </c>
    </row>
    <row r="1045" spans="1:14" x14ac:dyDescent="0.25">
      <c r="A1045" s="1" t="s">
        <v>86</v>
      </c>
      <c r="B1045" s="1" t="s">
        <v>5850</v>
      </c>
      <c r="C1045" s="1" t="s">
        <v>934</v>
      </c>
      <c r="D1045" s="8" t="s">
        <v>933</v>
      </c>
      <c r="E1045" s="1" t="s">
        <v>211</v>
      </c>
      <c r="F1045" s="1" t="s">
        <v>6435</v>
      </c>
      <c r="G1045" s="1" t="s">
        <v>4716</v>
      </c>
      <c r="H1045" s="1" t="s">
        <v>4719</v>
      </c>
      <c r="I1045" s="1" t="s">
        <v>4721</v>
      </c>
      <c r="J1045" s="1" t="s">
        <v>12</v>
      </c>
      <c r="K1045" s="1" t="s">
        <v>4820</v>
      </c>
      <c r="L1045" s="1" t="s">
        <v>210</v>
      </c>
      <c r="M1045" s="1" t="s">
        <v>89</v>
      </c>
      <c r="N1045" s="1" t="s">
        <v>37</v>
      </c>
    </row>
    <row r="1046" spans="1:14" x14ac:dyDescent="0.25">
      <c r="A1046" s="1" t="s">
        <v>86</v>
      </c>
      <c r="B1046" s="1" t="s">
        <v>6179</v>
      </c>
      <c r="C1046" s="1" t="s">
        <v>589</v>
      </c>
      <c r="D1046" s="8" t="s">
        <v>588</v>
      </c>
      <c r="E1046" s="1" t="s">
        <v>590</v>
      </c>
      <c r="F1046" s="1" t="s">
        <v>6438</v>
      </c>
      <c r="G1046" s="1" t="s">
        <v>4716</v>
      </c>
      <c r="H1046" s="1" t="s">
        <v>4719</v>
      </c>
      <c r="I1046" s="1" t="s">
        <v>4721</v>
      </c>
      <c r="J1046" s="1" t="s">
        <v>12</v>
      </c>
      <c r="K1046" s="1" t="s">
        <v>4783</v>
      </c>
      <c r="L1046" s="1" t="s">
        <v>122</v>
      </c>
      <c r="M1046" s="1" t="s">
        <v>136</v>
      </c>
      <c r="N1046" s="1" t="s">
        <v>72</v>
      </c>
    </row>
    <row r="1047" spans="1:14" x14ac:dyDescent="0.25">
      <c r="A1047" s="1" t="s">
        <v>86</v>
      </c>
      <c r="B1047" s="1" t="s">
        <v>6180</v>
      </c>
      <c r="C1047" s="1" t="s">
        <v>2479</v>
      </c>
      <c r="D1047" s="8" t="s">
        <v>2478</v>
      </c>
      <c r="E1047" s="1" t="s">
        <v>497</v>
      </c>
      <c r="F1047" s="1" t="s">
        <v>4710</v>
      </c>
      <c r="G1047" s="1" t="s">
        <v>4716</v>
      </c>
      <c r="H1047" s="1" t="s">
        <v>4719</v>
      </c>
      <c r="I1047" s="1" t="s">
        <v>4721</v>
      </c>
      <c r="J1047" s="1" t="s">
        <v>12</v>
      </c>
      <c r="K1047" s="1" t="s">
        <v>4766</v>
      </c>
      <c r="L1047" s="1" t="s">
        <v>164</v>
      </c>
      <c r="M1047" s="1" t="s">
        <v>245</v>
      </c>
      <c r="N1047" s="1" t="s">
        <v>21</v>
      </c>
    </row>
    <row r="1048" spans="1:14" x14ac:dyDescent="0.25">
      <c r="A1048" s="1" t="s">
        <v>86</v>
      </c>
      <c r="B1048" s="1" t="s">
        <v>5851</v>
      </c>
      <c r="C1048" s="1" t="s">
        <v>3999</v>
      </c>
      <c r="D1048" s="8" t="s">
        <v>3998</v>
      </c>
      <c r="E1048" s="1" t="s">
        <v>88</v>
      </c>
      <c r="F1048" s="1" t="s">
        <v>4709</v>
      </c>
      <c r="G1048" s="1" t="s">
        <v>4716</v>
      </c>
      <c r="H1048" s="1" t="s">
        <v>4719</v>
      </c>
      <c r="I1048" s="1" t="s">
        <v>4721</v>
      </c>
      <c r="J1048" s="1" t="s">
        <v>12</v>
      </c>
      <c r="K1048" s="1" t="s">
        <v>4796</v>
      </c>
      <c r="L1048" s="1" t="s">
        <v>87</v>
      </c>
      <c r="M1048" s="1" t="s">
        <v>58</v>
      </c>
      <c r="N1048" s="1" t="s">
        <v>61</v>
      </c>
    </row>
    <row r="1049" spans="1:14" x14ac:dyDescent="0.25">
      <c r="A1049" s="1" t="s">
        <v>86</v>
      </c>
      <c r="B1049" s="1" t="s">
        <v>6182</v>
      </c>
      <c r="C1049" s="1" t="s">
        <v>1463</v>
      </c>
      <c r="D1049" s="8" t="s">
        <v>1462</v>
      </c>
      <c r="E1049" s="1" t="s">
        <v>284</v>
      </c>
      <c r="F1049" s="1" t="s">
        <v>6446</v>
      </c>
      <c r="G1049" s="1" t="s">
        <v>4717</v>
      </c>
      <c r="H1049" s="1" t="s">
        <v>4719</v>
      </c>
      <c r="I1049" s="1" t="s">
        <v>4721</v>
      </c>
      <c r="J1049" s="1" t="s">
        <v>12</v>
      </c>
      <c r="K1049" s="1" t="s">
        <v>4800</v>
      </c>
      <c r="L1049" s="1" t="s">
        <v>283</v>
      </c>
      <c r="M1049" s="1" t="s">
        <v>58</v>
      </c>
      <c r="N1049" s="1" t="s">
        <v>61</v>
      </c>
    </row>
    <row r="1050" spans="1:14" x14ac:dyDescent="0.25">
      <c r="A1050" s="1" t="s">
        <v>86</v>
      </c>
      <c r="B1050" s="1" t="s">
        <v>6183</v>
      </c>
      <c r="C1050" s="1" t="s">
        <v>2593</v>
      </c>
      <c r="D1050" s="8" t="s">
        <v>2592</v>
      </c>
      <c r="E1050" s="1" t="s">
        <v>218</v>
      </c>
      <c r="F1050" s="1" t="s">
        <v>4713</v>
      </c>
      <c r="G1050" s="1" t="s">
        <v>4716</v>
      </c>
      <c r="H1050" s="1" t="s">
        <v>4719</v>
      </c>
      <c r="I1050" s="1" t="s">
        <v>4721</v>
      </c>
      <c r="J1050" s="1" t="s">
        <v>12</v>
      </c>
      <c r="K1050" s="1" t="s">
        <v>4802</v>
      </c>
      <c r="L1050" s="1" t="s">
        <v>217</v>
      </c>
      <c r="M1050" s="1" t="s">
        <v>245</v>
      </c>
      <c r="N1050" s="1" t="s">
        <v>21</v>
      </c>
    </row>
    <row r="1051" spans="1:14" x14ac:dyDescent="0.25">
      <c r="A1051" s="1" t="s">
        <v>86</v>
      </c>
      <c r="B1051" s="1" t="s">
        <v>6184</v>
      </c>
      <c r="C1051" s="1" t="s">
        <v>3993</v>
      </c>
      <c r="D1051" s="8" t="s">
        <v>3992</v>
      </c>
      <c r="E1051" s="1" t="s">
        <v>1320</v>
      </c>
      <c r="F1051" s="1" t="s">
        <v>4709</v>
      </c>
      <c r="G1051" s="1" t="s">
        <v>4716</v>
      </c>
      <c r="H1051" s="1" t="s">
        <v>4719</v>
      </c>
      <c r="I1051" s="1" t="s">
        <v>4721</v>
      </c>
      <c r="J1051" s="1" t="s">
        <v>12</v>
      </c>
      <c r="K1051" s="1" t="s">
        <v>4796</v>
      </c>
      <c r="L1051" s="1" t="s">
        <v>1321</v>
      </c>
      <c r="M1051" s="1" t="s">
        <v>89</v>
      </c>
      <c r="N1051" s="1" t="s">
        <v>37</v>
      </c>
    </row>
    <row r="1052" spans="1:14" x14ac:dyDescent="0.25">
      <c r="A1052" s="1" t="s">
        <v>86</v>
      </c>
      <c r="B1052" s="1" t="s">
        <v>5852</v>
      </c>
      <c r="C1052" s="1" t="s">
        <v>2572</v>
      </c>
      <c r="D1052" s="8" t="s">
        <v>2571</v>
      </c>
      <c r="E1052" s="1" t="s">
        <v>218</v>
      </c>
      <c r="F1052" s="1" t="s">
        <v>4713</v>
      </c>
      <c r="G1052" s="1" t="s">
        <v>4716</v>
      </c>
      <c r="H1052" s="1" t="s">
        <v>4719</v>
      </c>
      <c r="I1052" s="1" t="s">
        <v>4721</v>
      </c>
      <c r="J1052" s="1" t="s">
        <v>12</v>
      </c>
      <c r="K1052" s="1" t="s">
        <v>4802</v>
      </c>
      <c r="L1052" s="1" t="s">
        <v>217</v>
      </c>
      <c r="M1052" s="1" t="s">
        <v>172</v>
      </c>
      <c r="N1052" s="1" t="s">
        <v>17</v>
      </c>
    </row>
    <row r="1053" spans="1:14" x14ac:dyDescent="0.25">
      <c r="A1053" s="1" t="s">
        <v>86</v>
      </c>
      <c r="B1053" s="1" t="s">
        <v>5853</v>
      </c>
      <c r="C1053" s="1" t="s">
        <v>4399</v>
      </c>
      <c r="D1053" s="8" t="s">
        <v>4398</v>
      </c>
      <c r="E1053" s="1" t="s">
        <v>325</v>
      </c>
      <c r="F1053" s="1" t="s">
        <v>6453</v>
      </c>
      <c r="G1053" s="1" t="s">
        <v>6451</v>
      </c>
      <c r="H1053" s="1" t="s">
        <v>4718</v>
      </c>
      <c r="I1053" s="1" t="s">
        <v>4721</v>
      </c>
      <c r="J1053" s="1" t="s">
        <v>39</v>
      </c>
      <c r="K1053" s="1" t="s">
        <v>4912</v>
      </c>
      <c r="L1053" s="1" t="s">
        <v>283</v>
      </c>
      <c r="M1053" s="1" t="s">
        <v>89</v>
      </c>
      <c r="N1053" s="1" t="s">
        <v>37</v>
      </c>
    </row>
    <row r="1054" spans="1:14" x14ac:dyDescent="0.25">
      <c r="A1054" s="1" t="s">
        <v>86</v>
      </c>
      <c r="B1054" s="1" t="s">
        <v>5854</v>
      </c>
      <c r="C1054" s="1" t="s">
        <v>2482</v>
      </c>
      <c r="D1054" s="8" t="s">
        <v>2481</v>
      </c>
      <c r="E1054" s="1" t="s">
        <v>205</v>
      </c>
      <c r="F1054" s="1" t="s">
        <v>4710</v>
      </c>
      <c r="G1054" s="1" t="s">
        <v>4716</v>
      </c>
      <c r="H1054" s="1" t="s">
        <v>4719</v>
      </c>
      <c r="I1054" s="1" t="s">
        <v>4721</v>
      </c>
      <c r="J1054" s="1" t="s">
        <v>12</v>
      </c>
      <c r="K1054" s="1" t="s">
        <v>4784</v>
      </c>
      <c r="L1054" s="1" t="s">
        <v>122</v>
      </c>
      <c r="M1054" s="1" t="s">
        <v>245</v>
      </c>
      <c r="N1054" s="1" t="s">
        <v>21</v>
      </c>
    </row>
    <row r="1055" spans="1:14" x14ac:dyDescent="0.25">
      <c r="A1055" s="1" t="s">
        <v>86</v>
      </c>
      <c r="B1055" s="1" t="s">
        <v>6185</v>
      </c>
      <c r="C1055" s="1" t="s">
        <v>176</v>
      </c>
      <c r="D1055" s="8" t="s">
        <v>175</v>
      </c>
      <c r="E1055" s="1" t="s">
        <v>177</v>
      </c>
      <c r="F1055" s="1" t="s">
        <v>6436</v>
      </c>
      <c r="G1055" s="1" t="s">
        <v>4716</v>
      </c>
      <c r="H1055" s="1" t="s">
        <v>4719</v>
      </c>
      <c r="I1055" s="1" t="s">
        <v>4721</v>
      </c>
      <c r="J1055" s="1" t="s">
        <v>12</v>
      </c>
      <c r="K1055" s="1" t="s">
        <v>4798</v>
      </c>
      <c r="L1055" s="1" t="s">
        <v>164</v>
      </c>
      <c r="M1055" s="1" t="s">
        <v>245</v>
      </c>
      <c r="N1055" s="1" t="s">
        <v>21</v>
      </c>
    </row>
    <row r="1056" spans="1:14" x14ac:dyDescent="0.25">
      <c r="A1056" s="1" t="s">
        <v>86</v>
      </c>
      <c r="B1056" s="1" t="s">
        <v>6186</v>
      </c>
      <c r="C1056" s="1" t="s">
        <v>204</v>
      </c>
      <c r="D1056" s="8" t="s">
        <v>203</v>
      </c>
      <c r="E1056" s="1" t="s">
        <v>205</v>
      </c>
      <c r="F1056" s="1" t="s">
        <v>6439</v>
      </c>
      <c r="G1056" s="1" t="s">
        <v>4715</v>
      </c>
      <c r="H1056" s="1" t="s">
        <v>4719</v>
      </c>
      <c r="I1056" s="1" t="s">
        <v>4721</v>
      </c>
      <c r="J1056" s="1" t="s">
        <v>12</v>
      </c>
      <c r="K1056" s="1" t="s">
        <v>4770</v>
      </c>
      <c r="L1056" s="1" t="s">
        <v>122</v>
      </c>
      <c r="M1056" s="1" t="s">
        <v>245</v>
      </c>
      <c r="N1056" s="1" t="s">
        <v>21</v>
      </c>
    </row>
    <row r="1057" spans="1:14" x14ac:dyDescent="0.25">
      <c r="A1057" s="1" t="s">
        <v>86</v>
      </c>
      <c r="B1057" s="1" t="s">
        <v>5855</v>
      </c>
      <c r="C1057" s="1" t="s">
        <v>4038</v>
      </c>
      <c r="D1057" s="8" t="s">
        <v>4037</v>
      </c>
      <c r="E1057" s="1" t="s">
        <v>88</v>
      </c>
      <c r="F1057" s="1" t="s">
        <v>4709</v>
      </c>
      <c r="G1057" s="1" t="s">
        <v>4716</v>
      </c>
      <c r="H1057" s="1" t="s">
        <v>4719</v>
      </c>
      <c r="I1057" s="1" t="s">
        <v>4721</v>
      </c>
      <c r="J1057" s="1" t="s">
        <v>12</v>
      </c>
      <c r="K1057" s="1" t="s">
        <v>4796</v>
      </c>
      <c r="L1057" s="1" t="s">
        <v>87</v>
      </c>
      <c r="M1057" s="1" t="s">
        <v>58</v>
      </c>
      <c r="N1057" s="1" t="s">
        <v>61</v>
      </c>
    </row>
    <row r="1058" spans="1:14" x14ac:dyDescent="0.25">
      <c r="A1058" s="1" t="s">
        <v>86</v>
      </c>
      <c r="B1058" s="1" t="s">
        <v>6188</v>
      </c>
      <c r="C1058" s="1" t="s">
        <v>1301</v>
      </c>
      <c r="D1058" s="8" t="s">
        <v>1300</v>
      </c>
      <c r="E1058" s="1" t="s">
        <v>88</v>
      </c>
      <c r="F1058" s="1" t="s">
        <v>6443</v>
      </c>
      <c r="G1058" s="1" t="s">
        <v>4717</v>
      </c>
      <c r="H1058" s="1" t="s">
        <v>4719</v>
      </c>
      <c r="I1058" s="1" t="s">
        <v>4721</v>
      </c>
      <c r="J1058" s="1" t="s">
        <v>12</v>
      </c>
      <c r="K1058" s="1" t="s">
        <v>4796</v>
      </c>
      <c r="L1058" s="1" t="s">
        <v>87</v>
      </c>
      <c r="M1058" s="1" t="s">
        <v>58</v>
      </c>
      <c r="N1058" s="1" t="s">
        <v>61</v>
      </c>
    </row>
    <row r="1059" spans="1:14" x14ac:dyDescent="0.25">
      <c r="A1059" s="1" t="s">
        <v>86</v>
      </c>
      <c r="B1059" s="1" t="s">
        <v>6190</v>
      </c>
      <c r="C1059" s="1" t="s">
        <v>1907</v>
      </c>
      <c r="D1059" s="8" t="s">
        <v>1906</v>
      </c>
      <c r="E1059" s="1" t="s">
        <v>497</v>
      </c>
      <c r="F1059" s="1" t="s">
        <v>4710</v>
      </c>
      <c r="G1059" s="1" t="s">
        <v>4716</v>
      </c>
      <c r="H1059" s="1" t="s">
        <v>4719</v>
      </c>
      <c r="I1059" s="1" t="s">
        <v>4721</v>
      </c>
      <c r="J1059" s="1" t="s">
        <v>12</v>
      </c>
      <c r="K1059" s="1" t="s">
        <v>4766</v>
      </c>
      <c r="L1059" s="1" t="s">
        <v>164</v>
      </c>
      <c r="M1059" s="1" t="s">
        <v>870</v>
      </c>
      <c r="N1059" s="1" t="s">
        <v>76</v>
      </c>
    </row>
    <row r="1060" spans="1:14" x14ac:dyDescent="0.25">
      <c r="A1060" s="1" t="s">
        <v>86</v>
      </c>
      <c r="B1060" s="1" t="s">
        <v>6191</v>
      </c>
      <c r="C1060" s="1" t="s">
        <v>820</v>
      </c>
      <c r="D1060" s="8" t="s">
        <v>819</v>
      </c>
      <c r="E1060" s="1" t="s">
        <v>88</v>
      </c>
      <c r="F1060" s="1" t="s">
        <v>6443</v>
      </c>
      <c r="G1060" s="1" t="s">
        <v>4717</v>
      </c>
      <c r="H1060" s="1" t="s">
        <v>4719</v>
      </c>
      <c r="I1060" s="1" t="s">
        <v>4721</v>
      </c>
      <c r="J1060" s="1" t="s">
        <v>12</v>
      </c>
      <c r="K1060" s="1" t="s">
        <v>4796</v>
      </c>
      <c r="L1060" s="1" t="s">
        <v>87</v>
      </c>
      <c r="M1060" s="1" t="s">
        <v>58</v>
      </c>
      <c r="N1060" s="1" t="s">
        <v>61</v>
      </c>
    </row>
    <row r="1061" spans="1:14" x14ac:dyDescent="0.25">
      <c r="A1061" s="1" t="s">
        <v>86</v>
      </c>
      <c r="B1061" s="1" t="s">
        <v>6192</v>
      </c>
      <c r="C1061" s="1" t="s">
        <v>3091</v>
      </c>
      <c r="D1061" s="8" t="s">
        <v>3090</v>
      </c>
      <c r="E1061" s="1" t="s">
        <v>594</v>
      </c>
      <c r="F1061" s="1" t="s">
        <v>6437</v>
      </c>
      <c r="G1061" s="1" t="s">
        <v>4715</v>
      </c>
      <c r="H1061" s="1" t="s">
        <v>4719</v>
      </c>
      <c r="I1061" s="1" t="s">
        <v>4721</v>
      </c>
      <c r="J1061" s="1" t="s">
        <v>12</v>
      </c>
      <c r="K1061" s="1" t="s">
        <v>4766</v>
      </c>
      <c r="L1061" s="1" t="s">
        <v>122</v>
      </c>
      <c r="M1061" s="1" t="s">
        <v>99</v>
      </c>
      <c r="N1061" s="1" t="s">
        <v>25</v>
      </c>
    </row>
    <row r="1062" spans="1:14" x14ac:dyDescent="0.25">
      <c r="A1062" s="1" t="s">
        <v>86</v>
      </c>
      <c r="B1062" s="1" t="s">
        <v>6193</v>
      </c>
      <c r="C1062" s="1" t="s">
        <v>3169</v>
      </c>
      <c r="D1062" s="8" t="s">
        <v>3168</v>
      </c>
      <c r="E1062" s="1" t="s">
        <v>559</v>
      </c>
      <c r="F1062" s="1" t="s">
        <v>4713</v>
      </c>
      <c r="G1062" s="1" t="s">
        <v>4716</v>
      </c>
      <c r="H1062" s="1" t="s">
        <v>4719</v>
      </c>
      <c r="I1062" s="1" t="s">
        <v>4721</v>
      </c>
      <c r="J1062" s="1" t="s">
        <v>12</v>
      </c>
      <c r="K1062" s="1" t="s">
        <v>4802</v>
      </c>
      <c r="L1062" s="1" t="s">
        <v>558</v>
      </c>
      <c r="M1062" s="1" t="s">
        <v>149</v>
      </c>
      <c r="N1062" s="1" t="s">
        <v>61</v>
      </c>
    </row>
    <row r="1063" spans="1:14" x14ac:dyDescent="0.25">
      <c r="A1063" s="1" t="s">
        <v>86</v>
      </c>
      <c r="B1063" s="1" t="s">
        <v>5861</v>
      </c>
      <c r="C1063" s="1" t="s">
        <v>2659</v>
      </c>
      <c r="D1063" s="8" t="s">
        <v>2658</v>
      </c>
      <c r="E1063" s="1" t="s">
        <v>88</v>
      </c>
      <c r="F1063" s="1" t="s">
        <v>4709</v>
      </c>
      <c r="G1063" s="1" t="s">
        <v>4716</v>
      </c>
      <c r="H1063" s="1" t="s">
        <v>4719</v>
      </c>
      <c r="I1063" s="1" t="s">
        <v>4721</v>
      </c>
      <c r="J1063" s="1" t="s">
        <v>12</v>
      </c>
      <c r="K1063" s="1" t="s">
        <v>4796</v>
      </c>
      <c r="L1063" s="1" t="s">
        <v>87</v>
      </c>
      <c r="M1063" s="1" t="s">
        <v>630</v>
      </c>
      <c r="N1063" s="1" t="s">
        <v>21</v>
      </c>
    </row>
    <row r="1064" spans="1:14" x14ac:dyDescent="0.25">
      <c r="A1064" s="1" t="s">
        <v>86</v>
      </c>
      <c r="B1064" s="1" t="s">
        <v>6194</v>
      </c>
      <c r="C1064" s="1" t="s">
        <v>372</v>
      </c>
      <c r="D1064" s="8" t="s">
        <v>371</v>
      </c>
      <c r="E1064" s="1" t="s">
        <v>298</v>
      </c>
      <c r="F1064" s="1" t="s">
        <v>6439</v>
      </c>
      <c r="G1064" s="1" t="s">
        <v>4715</v>
      </c>
      <c r="H1064" s="1" t="s">
        <v>4719</v>
      </c>
      <c r="I1064" s="1" t="s">
        <v>4721</v>
      </c>
      <c r="J1064" s="1" t="s">
        <v>39</v>
      </c>
      <c r="K1064" s="1" t="s">
        <v>4820</v>
      </c>
      <c r="L1064" s="1" t="s">
        <v>210</v>
      </c>
      <c r="M1064" s="1" t="s">
        <v>58</v>
      </c>
      <c r="N1064" s="1" t="s">
        <v>61</v>
      </c>
    </row>
    <row r="1065" spans="1:14" x14ac:dyDescent="0.25">
      <c r="A1065" s="1" t="s">
        <v>86</v>
      </c>
      <c r="B1065" s="1" t="s">
        <v>6195</v>
      </c>
      <c r="C1065" s="1" t="s">
        <v>4358</v>
      </c>
      <c r="D1065" s="8" t="s">
        <v>4357</v>
      </c>
      <c r="E1065" s="1" t="s">
        <v>199</v>
      </c>
      <c r="F1065" s="1" t="s">
        <v>6445</v>
      </c>
      <c r="G1065" s="1" t="s">
        <v>4717</v>
      </c>
      <c r="H1065" s="1" t="s">
        <v>4719</v>
      </c>
      <c r="I1065" s="1" t="s">
        <v>4721</v>
      </c>
      <c r="J1065" s="1" t="s">
        <v>12</v>
      </c>
      <c r="K1065" s="1" t="s">
        <v>4795</v>
      </c>
      <c r="L1065" s="1" t="s">
        <v>198</v>
      </c>
      <c r="M1065" s="1" t="s">
        <v>58</v>
      </c>
      <c r="N1065" s="1" t="s">
        <v>61</v>
      </c>
    </row>
    <row r="1066" spans="1:14" x14ac:dyDescent="0.25">
      <c r="A1066" s="1" t="s">
        <v>86</v>
      </c>
      <c r="B1066" s="1" t="s">
        <v>6197</v>
      </c>
      <c r="C1066" s="1" t="s">
        <v>2070</v>
      </c>
      <c r="D1066" s="8" t="s">
        <v>2069</v>
      </c>
      <c r="E1066" s="1" t="s">
        <v>1099</v>
      </c>
      <c r="F1066" s="1" t="s">
        <v>4714</v>
      </c>
      <c r="G1066" s="1" t="s">
        <v>4715</v>
      </c>
      <c r="H1066" s="1" t="s">
        <v>4719</v>
      </c>
      <c r="I1066" s="1" t="s">
        <v>4721</v>
      </c>
      <c r="J1066" s="1" t="s">
        <v>12</v>
      </c>
      <c r="K1066" s="1" t="s">
        <v>4777</v>
      </c>
      <c r="L1066" s="1" t="s">
        <v>283</v>
      </c>
      <c r="M1066" s="1" t="s">
        <v>149</v>
      </c>
      <c r="N1066" s="1" t="s">
        <v>61</v>
      </c>
    </row>
    <row r="1067" spans="1:14" x14ac:dyDescent="0.25">
      <c r="A1067" s="1" t="s">
        <v>86</v>
      </c>
      <c r="B1067" s="1" t="s">
        <v>6321</v>
      </c>
      <c r="C1067" s="1" t="s">
        <v>2557</v>
      </c>
      <c r="D1067" s="8" t="s">
        <v>2556</v>
      </c>
      <c r="E1067" s="1" t="s">
        <v>497</v>
      </c>
      <c r="F1067" s="1" t="s">
        <v>4710</v>
      </c>
      <c r="G1067" s="1" t="s">
        <v>4716</v>
      </c>
      <c r="H1067" s="1" t="s">
        <v>4719</v>
      </c>
      <c r="I1067" s="1" t="s">
        <v>4721</v>
      </c>
      <c r="J1067" s="1" t="s">
        <v>12</v>
      </c>
      <c r="K1067" s="1" t="s">
        <v>4766</v>
      </c>
      <c r="L1067" s="1" t="s">
        <v>164</v>
      </c>
      <c r="M1067" s="1" t="s">
        <v>149</v>
      </c>
      <c r="N1067" s="1" t="s">
        <v>61</v>
      </c>
    </row>
    <row r="1068" spans="1:14" x14ac:dyDescent="0.25">
      <c r="A1068" s="1" t="s">
        <v>86</v>
      </c>
      <c r="B1068" s="1" t="s">
        <v>5875</v>
      </c>
      <c r="C1068" s="1" t="s">
        <v>1895</v>
      </c>
      <c r="D1068" s="8" t="s">
        <v>1894</v>
      </c>
      <c r="E1068" s="1" t="s">
        <v>325</v>
      </c>
      <c r="F1068" s="1" t="s">
        <v>4714</v>
      </c>
      <c r="G1068" s="1" t="s">
        <v>4715</v>
      </c>
      <c r="H1068" s="1" t="s">
        <v>4719</v>
      </c>
      <c r="I1068" s="1" t="s">
        <v>4721</v>
      </c>
      <c r="J1068" s="1" t="s">
        <v>12</v>
      </c>
      <c r="K1068" s="1" t="s">
        <v>4777</v>
      </c>
      <c r="L1068" s="1" t="s">
        <v>283</v>
      </c>
      <c r="M1068" s="1" t="s">
        <v>245</v>
      </c>
      <c r="N1068" s="1" t="s">
        <v>21</v>
      </c>
    </row>
    <row r="1069" spans="1:14" x14ac:dyDescent="0.25">
      <c r="A1069" s="1" t="s">
        <v>86</v>
      </c>
      <c r="B1069" s="1" t="s">
        <v>5876</v>
      </c>
      <c r="C1069" s="1" t="s">
        <v>1316</v>
      </c>
      <c r="D1069" s="8" t="s">
        <v>1315</v>
      </c>
      <c r="E1069" s="1" t="s">
        <v>218</v>
      </c>
      <c r="F1069" s="1" t="s">
        <v>6443</v>
      </c>
      <c r="G1069" s="1" t="s">
        <v>4717</v>
      </c>
      <c r="H1069" s="1" t="s">
        <v>4719</v>
      </c>
      <c r="I1069" s="1" t="s">
        <v>4722</v>
      </c>
      <c r="J1069" s="1" t="s">
        <v>39</v>
      </c>
      <c r="K1069" s="1" t="s">
        <v>4795</v>
      </c>
      <c r="L1069" s="1" t="s">
        <v>217</v>
      </c>
      <c r="M1069" s="1" t="s">
        <v>58</v>
      </c>
      <c r="N1069" s="1" t="s">
        <v>61</v>
      </c>
    </row>
    <row r="1070" spans="1:14" x14ac:dyDescent="0.25">
      <c r="A1070" s="1" t="s">
        <v>86</v>
      </c>
      <c r="B1070" s="1" t="s">
        <v>6327</v>
      </c>
      <c r="C1070" s="1" t="s">
        <v>1973</v>
      </c>
      <c r="D1070" s="8" t="s">
        <v>1972</v>
      </c>
      <c r="E1070" s="1" t="s">
        <v>1974</v>
      </c>
      <c r="F1070" s="1" t="s">
        <v>4714</v>
      </c>
      <c r="G1070" s="1" t="s">
        <v>4715</v>
      </c>
      <c r="H1070" s="1" t="s">
        <v>4719</v>
      </c>
      <c r="I1070" s="1" t="s">
        <v>4721</v>
      </c>
      <c r="J1070" s="1" t="s">
        <v>12</v>
      </c>
      <c r="K1070" s="1" t="s">
        <v>4777</v>
      </c>
      <c r="L1070" s="1" t="s">
        <v>283</v>
      </c>
      <c r="M1070" s="1" t="s">
        <v>245</v>
      </c>
      <c r="N1070" s="1" t="s">
        <v>21</v>
      </c>
    </row>
    <row r="1071" spans="1:14" x14ac:dyDescent="0.25">
      <c r="A1071" s="1" t="s">
        <v>86</v>
      </c>
      <c r="B1071" s="1" t="s">
        <v>5891</v>
      </c>
      <c r="C1071" s="1" t="s">
        <v>1573</v>
      </c>
      <c r="D1071" s="8" t="s">
        <v>1572</v>
      </c>
      <c r="E1071" s="1" t="s">
        <v>274</v>
      </c>
      <c r="F1071" s="1" t="s">
        <v>6435</v>
      </c>
      <c r="G1071" s="1" t="s">
        <v>4716</v>
      </c>
      <c r="H1071" s="1" t="s">
        <v>4719</v>
      </c>
      <c r="I1071" s="1" t="s">
        <v>4721</v>
      </c>
      <c r="J1071" s="1" t="s">
        <v>12</v>
      </c>
      <c r="K1071" s="1" t="s">
        <v>4846</v>
      </c>
      <c r="L1071" s="1" t="s">
        <v>210</v>
      </c>
      <c r="M1071" s="1" t="s">
        <v>245</v>
      </c>
      <c r="N1071" s="1" t="s">
        <v>21</v>
      </c>
    </row>
    <row r="1072" spans="1:14" x14ac:dyDescent="0.25">
      <c r="A1072" s="1" t="s">
        <v>86</v>
      </c>
      <c r="B1072" s="1" t="s">
        <v>5893</v>
      </c>
      <c r="C1072" s="1" t="s">
        <v>2028</v>
      </c>
      <c r="D1072" s="8" t="s">
        <v>2027</v>
      </c>
      <c r="E1072" s="1" t="s">
        <v>205</v>
      </c>
      <c r="F1072" s="1" t="s">
        <v>6440</v>
      </c>
      <c r="G1072" s="1" t="s">
        <v>4716</v>
      </c>
      <c r="H1072" s="1" t="s">
        <v>4719</v>
      </c>
      <c r="I1072" s="1" t="s">
        <v>4721</v>
      </c>
      <c r="J1072" s="1" t="s">
        <v>12</v>
      </c>
      <c r="K1072" s="1" t="s">
        <v>4887</v>
      </c>
      <c r="L1072" s="1" t="s">
        <v>122</v>
      </c>
      <c r="M1072" s="1" t="s">
        <v>172</v>
      </c>
      <c r="N1072" s="1" t="s">
        <v>17</v>
      </c>
    </row>
    <row r="1073" spans="1:14" x14ac:dyDescent="0.25">
      <c r="A1073" s="1" t="s">
        <v>86</v>
      </c>
      <c r="B1073" s="1" t="s">
        <v>6336</v>
      </c>
      <c r="C1073" s="1" t="s">
        <v>813</v>
      </c>
      <c r="D1073" s="8" t="s">
        <v>812</v>
      </c>
      <c r="E1073" s="1" t="s">
        <v>199</v>
      </c>
      <c r="F1073" s="1" t="s">
        <v>6443</v>
      </c>
      <c r="G1073" s="1" t="s">
        <v>4717</v>
      </c>
      <c r="H1073" s="1" t="s">
        <v>4719</v>
      </c>
      <c r="I1073" s="1" t="s">
        <v>4721</v>
      </c>
      <c r="J1073" s="1" t="s">
        <v>12</v>
      </c>
      <c r="K1073" s="1" t="s">
        <v>4795</v>
      </c>
      <c r="L1073" s="1" t="s">
        <v>198</v>
      </c>
      <c r="M1073" s="1" t="s">
        <v>89</v>
      </c>
      <c r="N1073" s="1" t="s">
        <v>37</v>
      </c>
    </row>
    <row r="1074" spans="1:14" x14ac:dyDescent="0.25">
      <c r="A1074" s="1" t="s">
        <v>86</v>
      </c>
      <c r="B1074" s="1" t="s">
        <v>6338</v>
      </c>
      <c r="C1074" s="1" t="s">
        <v>4023</v>
      </c>
      <c r="D1074" s="8" t="s">
        <v>4022</v>
      </c>
      <c r="E1074" s="1" t="s">
        <v>1320</v>
      </c>
      <c r="F1074" s="1" t="s">
        <v>4709</v>
      </c>
      <c r="G1074" s="1" t="s">
        <v>4716</v>
      </c>
      <c r="H1074" s="1" t="s">
        <v>4719</v>
      </c>
      <c r="I1074" s="1" t="s">
        <v>4721</v>
      </c>
      <c r="J1074" s="1" t="s">
        <v>12</v>
      </c>
      <c r="K1074" s="1" t="s">
        <v>4898</v>
      </c>
      <c r="L1074" s="1" t="s">
        <v>1321</v>
      </c>
      <c r="M1074" s="1" t="s">
        <v>630</v>
      </c>
      <c r="N1074" s="1" t="s">
        <v>21</v>
      </c>
    </row>
    <row r="1075" spans="1:14" x14ac:dyDescent="0.25">
      <c r="A1075" s="1" t="s">
        <v>86</v>
      </c>
      <c r="B1075" s="1" t="s">
        <v>5896</v>
      </c>
      <c r="C1075" s="1" t="s">
        <v>823</v>
      </c>
      <c r="D1075" s="8" t="s">
        <v>822</v>
      </c>
      <c r="E1075" s="1" t="s">
        <v>199</v>
      </c>
      <c r="F1075" s="1" t="s">
        <v>6443</v>
      </c>
      <c r="G1075" s="1" t="s">
        <v>4717</v>
      </c>
      <c r="H1075" s="1" t="s">
        <v>4719</v>
      </c>
      <c r="I1075" s="1" t="s">
        <v>4721</v>
      </c>
      <c r="J1075" s="1" t="s">
        <v>12</v>
      </c>
      <c r="K1075" s="1" t="s">
        <v>4795</v>
      </c>
      <c r="L1075" s="1" t="s">
        <v>198</v>
      </c>
      <c r="M1075" s="1" t="s">
        <v>58</v>
      </c>
      <c r="N1075" s="1" t="s">
        <v>61</v>
      </c>
    </row>
    <row r="1076" spans="1:14" x14ac:dyDescent="0.25">
      <c r="A1076" s="1" t="s">
        <v>86</v>
      </c>
      <c r="B1076" s="1" t="s">
        <v>5897</v>
      </c>
      <c r="C1076" s="1" t="s">
        <v>2277</v>
      </c>
      <c r="D1076" s="8" t="s">
        <v>2276</v>
      </c>
      <c r="E1076" s="1" t="s">
        <v>88</v>
      </c>
      <c r="F1076" s="1" t="s">
        <v>4709</v>
      </c>
      <c r="G1076" s="1" t="s">
        <v>4716</v>
      </c>
      <c r="H1076" s="1" t="s">
        <v>4719</v>
      </c>
      <c r="I1076" s="1" t="s">
        <v>4721</v>
      </c>
      <c r="J1076" s="1" t="s">
        <v>12</v>
      </c>
      <c r="K1076" s="1" t="s">
        <v>4796</v>
      </c>
      <c r="L1076" s="1" t="s">
        <v>87</v>
      </c>
      <c r="M1076" s="1" t="s">
        <v>58</v>
      </c>
      <c r="N1076" s="1" t="s">
        <v>61</v>
      </c>
    </row>
    <row r="1077" spans="1:14" x14ac:dyDescent="0.25">
      <c r="A1077" s="1" t="s">
        <v>86</v>
      </c>
      <c r="B1077" s="1" t="s">
        <v>6341</v>
      </c>
      <c r="C1077" s="1" t="s">
        <v>2933</v>
      </c>
      <c r="D1077" s="8" t="s">
        <v>2932</v>
      </c>
      <c r="E1077" s="1" t="s">
        <v>505</v>
      </c>
      <c r="F1077" s="1" t="s">
        <v>4708</v>
      </c>
      <c r="G1077" s="1" t="s">
        <v>4716</v>
      </c>
      <c r="H1077" s="1" t="s">
        <v>4719</v>
      </c>
      <c r="I1077" s="1" t="s">
        <v>4721</v>
      </c>
      <c r="J1077" s="1" t="s">
        <v>12</v>
      </c>
      <c r="K1077" s="1" t="s">
        <v>4785</v>
      </c>
      <c r="L1077" s="1" t="s">
        <v>164</v>
      </c>
      <c r="M1077" s="1" t="s">
        <v>245</v>
      </c>
      <c r="N1077" s="1" t="s">
        <v>21</v>
      </c>
    </row>
    <row r="1078" spans="1:14" x14ac:dyDescent="0.25">
      <c r="A1078" s="1" t="s">
        <v>86</v>
      </c>
      <c r="B1078" s="1" t="s">
        <v>6342</v>
      </c>
      <c r="C1078" s="1" t="s">
        <v>1904</v>
      </c>
      <c r="D1078" s="8" t="s">
        <v>1903</v>
      </c>
      <c r="E1078" s="1" t="s">
        <v>298</v>
      </c>
      <c r="F1078" s="1" t="s">
        <v>6435</v>
      </c>
      <c r="G1078" s="1" t="s">
        <v>4716</v>
      </c>
      <c r="H1078" s="1" t="s">
        <v>4719</v>
      </c>
      <c r="I1078" s="1" t="s">
        <v>4721</v>
      </c>
      <c r="J1078" s="1" t="s">
        <v>12</v>
      </c>
      <c r="K1078" s="1" t="s">
        <v>4794</v>
      </c>
      <c r="L1078" s="1" t="s">
        <v>210</v>
      </c>
      <c r="M1078" s="1" t="s">
        <v>245</v>
      </c>
      <c r="N1078" s="1" t="s">
        <v>21</v>
      </c>
    </row>
    <row r="1079" spans="1:14" x14ac:dyDescent="0.25">
      <c r="A1079" s="1" t="s">
        <v>86</v>
      </c>
      <c r="B1079" s="1" t="s">
        <v>6343</v>
      </c>
      <c r="C1079" s="1" t="s">
        <v>1795</v>
      </c>
      <c r="D1079" s="8" t="s">
        <v>1794</v>
      </c>
      <c r="E1079" s="1" t="s">
        <v>459</v>
      </c>
      <c r="F1079" s="1" t="s">
        <v>6449</v>
      </c>
      <c r="G1079" s="1" t="s">
        <v>4717</v>
      </c>
      <c r="H1079" s="1" t="s">
        <v>4719</v>
      </c>
      <c r="I1079" s="1" t="s">
        <v>4721</v>
      </c>
      <c r="J1079" s="1" t="s">
        <v>12</v>
      </c>
      <c r="K1079" s="1" t="s">
        <v>4904</v>
      </c>
      <c r="L1079" s="1" t="s">
        <v>458</v>
      </c>
      <c r="M1079" s="1" t="s">
        <v>58</v>
      </c>
      <c r="N1079" s="1" t="s">
        <v>61</v>
      </c>
    </row>
    <row r="1080" spans="1:14" x14ac:dyDescent="0.25">
      <c r="A1080" s="1" t="s">
        <v>86</v>
      </c>
      <c r="B1080" s="1" t="s">
        <v>5899</v>
      </c>
      <c r="C1080" s="1" t="s">
        <v>1913</v>
      </c>
      <c r="D1080" s="8" t="s">
        <v>1912</v>
      </c>
      <c r="E1080" s="1" t="s">
        <v>298</v>
      </c>
      <c r="F1080" s="1" t="s">
        <v>6435</v>
      </c>
      <c r="G1080" s="1" t="s">
        <v>4716</v>
      </c>
      <c r="H1080" s="1" t="s">
        <v>4719</v>
      </c>
      <c r="I1080" s="1" t="s">
        <v>4721</v>
      </c>
      <c r="J1080" s="1" t="s">
        <v>12</v>
      </c>
      <c r="K1080" s="1" t="s">
        <v>4794</v>
      </c>
      <c r="L1080" s="1" t="s">
        <v>210</v>
      </c>
      <c r="M1080" s="1" t="s">
        <v>58</v>
      </c>
      <c r="N1080" s="1" t="s">
        <v>61</v>
      </c>
    </row>
    <row r="1081" spans="1:14" x14ac:dyDescent="0.25">
      <c r="A1081" s="1" t="s">
        <v>86</v>
      </c>
      <c r="B1081" s="1" t="s">
        <v>5900</v>
      </c>
      <c r="C1081" s="1" t="s">
        <v>4288</v>
      </c>
      <c r="D1081" s="8" t="s">
        <v>4287</v>
      </c>
      <c r="E1081" s="1" t="s">
        <v>123</v>
      </c>
      <c r="F1081" s="1" t="s">
        <v>6455</v>
      </c>
      <c r="G1081" s="1" t="s">
        <v>4717</v>
      </c>
      <c r="H1081" s="1" t="s">
        <v>4719</v>
      </c>
      <c r="I1081" s="1" t="s">
        <v>4722</v>
      </c>
      <c r="J1081" s="1" t="s">
        <v>39</v>
      </c>
      <c r="K1081" s="1" t="s">
        <v>4782</v>
      </c>
      <c r="L1081" s="1" t="s">
        <v>122</v>
      </c>
      <c r="M1081" s="1" t="s">
        <v>58</v>
      </c>
      <c r="N1081" s="1" t="s">
        <v>61</v>
      </c>
    </row>
    <row r="1082" spans="1:14" x14ac:dyDescent="0.25">
      <c r="A1082" s="1" t="s">
        <v>86</v>
      </c>
      <c r="B1082" s="1" t="s">
        <v>5902</v>
      </c>
      <c r="C1082" s="1" t="s">
        <v>1168</v>
      </c>
      <c r="D1082" s="8" t="s">
        <v>1167</v>
      </c>
      <c r="E1082" s="1" t="s">
        <v>1099</v>
      </c>
      <c r="F1082" s="1" t="s">
        <v>4714</v>
      </c>
      <c r="G1082" s="1" t="s">
        <v>4715</v>
      </c>
      <c r="H1082" s="1" t="s">
        <v>4719</v>
      </c>
      <c r="I1082" s="1" t="s">
        <v>4722</v>
      </c>
      <c r="J1082" s="1" t="s">
        <v>39</v>
      </c>
      <c r="K1082" s="1" t="s">
        <v>4777</v>
      </c>
      <c r="L1082" s="1" t="s">
        <v>283</v>
      </c>
      <c r="M1082" s="1" t="s">
        <v>245</v>
      </c>
      <c r="N1082" s="1" t="s">
        <v>21</v>
      </c>
    </row>
    <row r="1083" spans="1:14" x14ac:dyDescent="0.25">
      <c r="A1083" s="1" t="s">
        <v>86</v>
      </c>
      <c r="B1083" s="1" t="s">
        <v>5903</v>
      </c>
      <c r="C1083" s="1" t="s">
        <v>4423</v>
      </c>
      <c r="D1083" s="8" t="s">
        <v>4422</v>
      </c>
      <c r="E1083" s="1" t="s">
        <v>497</v>
      </c>
      <c r="F1083" s="1" t="s">
        <v>6436</v>
      </c>
      <c r="G1083" s="1" t="s">
        <v>4716</v>
      </c>
      <c r="H1083" s="1" t="s">
        <v>4719</v>
      </c>
      <c r="I1083" s="1" t="s">
        <v>4721</v>
      </c>
      <c r="J1083" s="1" t="s">
        <v>12</v>
      </c>
      <c r="K1083" s="1" t="s">
        <v>4798</v>
      </c>
      <c r="L1083" s="1" t="s">
        <v>164</v>
      </c>
      <c r="M1083" s="1" t="s">
        <v>245</v>
      </c>
      <c r="N1083" s="1" t="s">
        <v>21</v>
      </c>
    </row>
    <row r="1084" spans="1:14" x14ac:dyDescent="0.25">
      <c r="A1084" s="1" t="s">
        <v>86</v>
      </c>
      <c r="B1084" s="1" t="s">
        <v>5904</v>
      </c>
      <c r="C1084" s="1" t="s">
        <v>1554</v>
      </c>
      <c r="D1084" s="8" t="s">
        <v>1553</v>
      </c>
      <c r="E1084" s="1" t="s">
        <v>559</v>
      </c>
      <c r="F1084" s="1" t="s">
        <v>4713</v>
      </c>
      <c r="G1084" s="1" t="s">
        <v>4716</v>
      </c>
      <c r="H1084" s="1" t="s">
        <v>4719</v>
      </c>
      <c r="I1084" s="1" t="s">
        <v>4721</v>
      </c>
      <c r="J1084" s="1" t="s">
        <v>12</v>
      </c>
      <c r="K1084" s="1" t="s">
        <v>4802</v>
      </c>
      <c r="L1084" s="1" t="s">
        <v>558</v>
      </c>
      <c r="M1084" s="1" t="s">
        <v>172</v>
      </c>
      <c r="N1084" s="1" t="s">
        <v>17</v>
      </c>
    </row>
    <row r="1085" spans="1:14" x14ac:dyDescent="0.25">
      <c r="A1085" s="1" t="s">
        <v>86</v>
      </c>
      <c r="B1085" s="1" t="s">
        <v>6344</v>
      </c>
      <c r="C1085" s="1" t="s">
        <v>2301</v>
      </c>
      <c r="D1085" s="8" t="s">
        <v>2300</v>
      </c>
      <c r="E1085" s="1" t="s">
        <v>88</v>
      </c>
      <c r="F1085" s="1" t="s">
        <v>4709</v>
      </c>
      <c r="G1085" s="1" t="s">
        <v>4716</v>
      </c>
      <c r="H1085" s="1" t="s">
        <v>4719</v>
      </c>
      <c r="I1085" s="1" t="s">
        <v>4721</v>
      </c>
      <c r="J1085" s="1" t="s">
        <v>12</v>
      </c>
      <c r="K1085" s="1" t="s">
        <v>4796</v>
      </c>
      <c r="L1085" s="1" t="s">
        <v>87</v>
      </c>
      <c r="M1085" s="1" t="s">
        <v>172</v>
      </c>
      <c r="N1085" s="1" t="s">
        <v>17</v>
      </c>
    </row>
    <row r="1086" spans="1:14" x14ac:dyDescent="0.25">
      <c r="A1086" s="1" t="s">
        <v>86</v>
      </c>
      <c r="B1086" s="1" t="s">
        <v>5908</v>
      </c>
      <c r="C1086" s="1" t="s">
        <v>2207</v>
      </c>
      <c r="D1086" s="8" t="s">
        <v>2206</v>
      </c>
      <c r="E1086" s="1" t="s">
        <v>274</v>
      </c>
      <c r="F1086" s="1" t="s">
        <v>6435</v>
      </c>
      <c r="G1086" s="1" t="s">
        <v>4716</v>
      </c>
      <c r="H1086" s="1" t="s">
        <v>4719</v>
      </c>
      <c r="I1086" s="1" t="s">
        <v>4721</v>
      </c>
      <c r="J1086" s="1" t="s">
        <v>12</v>
      </c>
      <c r="K1086" s="1" t="s">
        <v>4820</v>
      </c>
      <c r="L1086" s="1" t="s">
        <v>210</v>
      </c>
      <c r="M1086" s="1" t="s">
        <v>245</v>
      </c>
      <c r="N1086" s="1" t="s">
        <v>21</v>
      </c>
    </row>
    <row r="1087" spans="1:14" x14ac:dyDescent="0.25">
      <c r="A1087" s="1" t="s">
        <v>86</v>
      </c>
      <c r="B1087" s="1" t="s">
        <v>6347</v>
      </c>
      <c r="C1087" s="1" t="s">
        <v>609</v>
      </c>
      <c r="D1087" s="8" t="s">
        <v>608</v>
      </c>
      <c r="E1087" s="1" t="s">
        <v>540</v>
      </c>
      <c r="F1087" s="1" t="s">
        <v>4715</v>
      </c>
      <c r="G1087" s="1" t="s">
        <v>4715</v>
      </c>
      <c r="H1087" s="1" t="s">
        <v>4719</v>
      </c>
      <c r="I1087" s="1" t="s">
        <v>4721</v>
      </c>
      <c r="J1087" s="1" t="s">
        <v>12</v>
      </c>
      <c r="K1087" s="1" t="s">
        <v>4765</v>
      </c>
      <c r="L1087" s="1" t="s">
        <v>283</v>
      </c>
      <c r="M1087" s="1" t="s">
        <v>99</v>
      </c>
      <c r="N1087" s="1" t="s">
        <v>25</v>
      </c>
    </row>
    <row r="1088" spans="1:14" x14ac:dyDescent="0.25">
      <c r="A1088" s="1" t="s">
        <v>86</v>
      </c>
      <c r="B1088" s="1" t="s">
        <v>6349</v>
      </c>
      <c r="C1088" s="1" t="s">
        <v>1883</v>
      </c>
      <c r="D1088" s="8" t="s">
        <v>1882</v>
      </c>
      <c r="E1088" s="1" t="s">
        <v>325</v>
      </c>
      <c r="F1088" s="1" t="s">
        <v>4714</v>
      </c>
      <c r="G1088" s="1" t="s">
        <v>4715</v>
      </c>
      <c r="H1088" s="1" t="s">
        <v>4719</v>
      </c>
      <c r="I1088" s="1" t="s">
        <v>4721</v>
      </c>
      <c r="J1088" s="1" t="s">
        <v>12</v>
      </c>
      <c r="K1088" s="1" t="s">
        <v>4777</v>
      </c>
      <c r="L1088" s="1" t="s">
        <v>283</v>
      </c>
      <c r="M1088" s="1" t="s">
        <v>89</v>
      </c>
      <c r="N1088" s="1" t="s">
        <v>37</v>
      </c>
    </row>
    <row r="1089" spans="1:14" x14ac:dyDescent="0.25">
      <c r="A1089" s="1" t="s">
        <v>86</v>
      </c>
      <c r="B1089" s="1" t="s">
        <v>6352</v>
      </c>
      <c r="C1089" s="1" t="s">
        <v>3849</v>
      </c>
      <c r="D1089" s="8" t="s">
        <v>3848</v>
      </c>
      <c r="E1089" s="1" t="s">
        <v>211</v>
      </c>
      <c r="F1089" s="1" t="s">
        <v>6440</v>
      </c>
      <c r="G1089" s="1" t="s">
        <v>4716</v>
      </c>
      <c r="H1089" s="1" t="s">
        <v>4719</v>
      </c>
      <c r="I1089" s="1" t="s">
        <v>4721</v>
      </c>
      <c r="J1089" s="1" t="s">
        <v>12</v>
      </c>
      <c r="K1089" s="1" t="s">
        <v>4887</v>
      </c>
      <c r="L1089" s="1" t="s">
        <v>210</v>
      </c>
      <c r="M1089" s="1" t="s">
        <v>172</v>
      </c>
      <c r="N1089" s="1" t="s">
        <v>17</v>
      </c>
    </row>
    <row r="1090" spans="1:14" x14ac:dyDescent="0.25">
      <c r="A1090" s="1" t="s">
        <v>86</v>
      </c>
      <c r="B1090" s="1" t="s">
        <v>5912</v>
      </c>
      <c r="C1090" s="1" t="s">
        <v>2900</v>
      </c>
      <c r="D1090" s="8" t="s">
        <v>2899</v>
      </c>
      <c r="E1090" s="1" t="s">
        <v>284</v>
      </c>
      <c r="F1090" s="1" t="s">
        <v>6438</v>
      </c>
      <c r="G1090" s="1" t="s">
        <v>4716</v>
      </c>
      <c r="H1090" s="1" t="s">
        <v>4719</v>
      </c>
      <c r="I1090" s="1" t="s">
        <v>4721</v>
      </c>
      <c r="J1090" s="1" t="s">
        <v>12</v>
      </c>
      <c r="K1090" s="1" t="s">
        <v>4783</v>
      </c>
      <c r="L1090" s="1" t="s">
        <v>283</v>
      </c>
      <c r="M1090" s="1" t="s">
        <v>136</v>
      </c>
      <c r="N1090" s="1" t="s">
        <v>72</v>
      </c>
    </row>
    <row r="1091" spans="1:14" x14ac:dyDescent="0.25">
      <c r="A1091" s="1" t="s">
        <v>86</v>
      </c>
      <c r="B1091" s="1" t="s">
        <v>5913</v>
      </c>
      <c r="C1091" s="1" t="s">
        <v>1171</v>
      </c>
      <c r="D1091" s="8" t="s">
        <v>1170</v>
      </c>
      <c r="E1091" s="1" t="s">
        <v>325</v>
      </c>
      <c r="F1091" s="1" t="s">
        <v>4714</v>
      </c>
      <c r="G1091" s="1" t="s">
        <v>4715</v>
      </c>
      <c r="H1091" s="1" t="s">
        <v>4719</v>
      </c>
      <c r="I1091" s="1" t="s">
        <v>4722</v>
      </c>
      <c r="J1091" s="1" t="s">
        <v>39</v>
      </c>
      <c r="K1091" s="1" t="s">
        <v>4777</v>
      </c>
      <c r="L1091" s="1" t="s">
        <v>283</v>
      </c>
      <c r="M1091" s="1" t="s">
        <v>245</v>
      </c>
      <c r="N1091" s="1" t="s">
        <v>21</v>
      </c>
    </row>
    <row r="1092" spans="1:14" x14ac:dyDescent="0.25">
      <c r="A1092" s="1" t="s">
        <v>86</v>
      </c>
      <c r="B1092" s="1" t="s">
        <v>5915</v>
      </c>
      <c r="C1092" s="1" t="s">
        <v>3225</v>
      </c>
      <c r="D1092" s="8" t="s">
        <v>3224</v>
      </c>
      <c r="E1092" s="1" t="s">
        <v>817</v>
      </c>
      <c r="F1092" s="1" t="s">
        <v>4713</v>
      </c>
      <c r="G1092" s="1" t="s">
        <v>4716</v>
      </c>
      <c r="H1092" s="1" t="s">
        <v>4719</v>
      </c>
      <c r="I1092" s="1" t="s">
        <v>4721</v>
      </c>
      <c r="J1092" s="1" t="s">
        <v>12</v>
      </c>
      <c r="K1092" s="1" t="s">
        <v>4802</v>
      </c>
      <c r="L1092" s="1" t="s">
        <v>217</v>
      </c>
      <c r="M1092" s="1" t="s">
        <v>245</v>
      </c>
      <c r="N1092" s="1" t="s">
        <v>21</v>
      </c>
    </row>
    <row r="1093" spans="1:14" x14ac:dyDescent="0.25">
      <c r="A1093" s="1" t="s">
        <v>86</v>
      </c>
      <c r="B1093" s="1" t="s">
        <v>6355</v>
      </c>
      <c r="C1093" s="1" t="s">
        <v>3819</v>
      </c>
      <c r="D1093" s="8" t="s">
        <v>3818</v>
      </c>
      <c r="E1093" s="1" t="s">
        <v>205</v>
      </c>
      <c r="F1093" s="1" t="s">
        <v>6439</v>
      </c>
      <c r="G1093" s="1" t="s">
        <v>4715</v>
      </c>
      <c r="H1093" s="1" t="s">
        <v>4719</v>
      </c>
      <c r="I1093" s="1" t="s">
        <v>4721</v>
      </c>
      <c r="J1093" s="1" t="s">
        <v>12</v>
      </c>
      <c r="K1093" s="1" t="s">
        <v>4784</v>
      </c>
      <c r="L1093" s="1" t="s">
        <v>122</v>
      </c>
      <c r="M1093" s="1" t="s">
        <v>245</v>
      </c>
      <c r="N1093" s="1" t="s">
        <v>21</v>
      </c>
    </row>
    <row r="1094" spans="1:14" x14ac:dyDescent="0.25">
      <c r="A1094" s="1" t="s">
        <v>86</v>
      </c>
      <c r="B1094" s="1" t="s">
        <v>6356</v>
      </c>
      <c r="C1094" s="1" t="s">
        <v>830</v>
      </c>
      <c r="D1094" s="8" t="s">
        <v>828</v>
      </c>
      <c r="E1094" s="1" t="s">
        <v>459</v>
      </c>
      <c r="F1094" s="1" t="s">
        <v>6449</v>
      </c>
      <c r="G1094" s="1" t="s">
        <v>4717</v>
      </c>
      <c r="H1094" s="1" t="s">
        <v>4719</v>
      </c>
      <c r="I1094" s="1" t="s">
        <v>4721</v>
      </c>
      <c r="J1094" s="1" t="s">
        <v>12</v>
      </c>
      <c r="K1094" s="1" t="s">
        <v>4795</v>
      </c>
      <c r="L1094" s="1" t="s">
        <v>458</v>
      </c>
      <c r="M1094" s="1" t="s">
        <v>58</v>
      </c>
      <c r="N1094" s="1" t="s">
        <v>61</v>
      </c>
    </row>
    <row r="1095" spans="1:14" x14ac:dyDescent="0.25">
      <c r="A1095" s="1" t="s">
        <v>86</v>
      </c>
      <c r="B1095" s="1" t="s">
        <v>5917</v>
      </c>
      <c r="C1095" s="1" t="s">
        <v>2966</v>
      </c>
      <c r="D1095" s="8" t="s">
        <v>2965</v>
      </c>
      <c r="E1095" s="1" t="s">
        <v>505</v>
      </c>
      <c r="F1095" s="1" t="s">
        <v>4708</v>
      </c>
      <c r="G1095" s="1" t="s">
        <v>4716</v>
      </c>
      <c r="H1095" s="1" t="s">
        <v>4719</v>
      </c>
      <c r="I1095" s="1" t="s">
        <v>4721</v>
      </c>
      <c r="J1095" s="1" t="s">
        <v>12</v>
      </c>
      <c r="K1095" s="1" t="s">
        <v>4785</v>
      </c>
      <c r="L1095" s="1" t="s">
        <v>164</v>
      </c>
      <c r="M1095" s="1" t="s">
        <v>245</v>
      </c>
      <c r="N1095" s="1" t="s">
        <v>21</v>
      </c>
    </row>
    <row r="1096" spans="1:14" x14ac:dyDescent="0.25">
      <c r="A1096" s="1" t="s">
        <v>86</v>
      </c>
      <c r="B1096" s="1" t="s">
        <v>5918</v>
      </c>
      <c r="C1096" s="1" t="s">
        <v>4336</v>
      </c>
      <c r="D1096" s="8" t="s">
        <v>4335</v>
      </c>
      <c r="E1096" s="1" t="s">
        <v>274</v>
      </c>
      <c r="F1096" s="1" t="s">
        <v>6438</v>
      </c>
      <c r="G1096" s="1" t="s">
        <v>4716</v>
      </c>
      <c r="H1096" s="1" t="s">
        <v>4719</v>
      </c>
      <c r="I1096" s="1" t="s">
        <v>4721</v>
      </c>
      <c r="J1096" s="1" t="s">
        <v>12</v>
      </c>
      <c r="K1096" s="1" t="s">
        <v>4783</v>
      </c>
      <c r="L1096" s="1" t="s">
        <v>210</v>
      </c>
      <c r="M1096" s="1" t="s">
        <v>136</v>
      </c>
      <c r="N1096" s="1" t="s">
        <v>72</v>
      </c>
    </row>
    <row r="1097" spans="1:14" x14ac:dyDescent="0.25">
      <c r="A1097" s="1" t="s">
        <v>86</v>
      </c>
      <c r="B1097" s="1" t="s">
        <v>5816</v>
      </c>
      <c r="C1097" s="1" t="s">
        <v>2575</v>
      </c>
      <c r="D1097" s="8" t="s">
        <v>2574</v>
      </c>
      <c r="E1097" s="1" t="s">
        <v>817</v>
      </c>
      <c r="F1097" s="1" t="s">
        <v>4713</v>
      </c>
      <c r="G1097" s="1" t="s">
        <v>4716</v>
      </c>
      <c r="H1097" s="1" t="s">
        <v>4719</v>
      </c>
      <c r="I1097" s="1" t="s">
        <v>4722</v>
      </c>
      <c r="J1097" s="1" t="s">
        <v>39</v>
      </c>
      <c r="K1097" s="1" t="s">
        <v>4802</v>
      </c>
      <c r="L1097" s="1" t="s">
        <v>217</v>
      </c>
      <c r="M1097" s="1" t="s">
        <v>172</v>
      </c>
      <c r="N1097" s="1" t="s">
        <v>17</v>
      </c>
    </row>
    <row r="1098" spans="1:14" x14ac:dyDescent="0.25">
      <c r="A1098" s="1" t="s">
        <v>86</v>
      </c>
      <c r="B1098" s="1" t="s">
        <v>5817</v>
      </c>
      <c r="C1098" s="1" t="s">
        <v>1304</v>
      </c>
      <c r="D1098" s="8" t="s">
        <v>1303</v>
      </c>
      <c r="E1098" s="1" t="s">
        <v>199</v>
      </c>
      <c r="F1098" s="1" t="s">
        <v>6443</v>
      </c>
      <c r="G1098" s="1" t="s">
        <v>4717</v>
      </c>
      <c r="H1098" s="1" t="s">
        <v>4719</v>
      </c>
      <c r="I1098" s="1" t="s">
        <v>4721</v>
      </c>
      <c r="J1098" s="1" t="s">
        <v>12</v>
      </c>
      <c r="K1098" s="1" t="s">
        <v>4795</v>
      </c>
      <c r="L1098" s="1" t="s">
        <v>198</v>
      </c>
      <c r="M1098" s="1" t="s">
        <v>58</v>
      </c>
      <c r="N1098" s="1" t="s">
        <v>61</v>
      </c>
    </row>
    <row r="1099" spans="1:14" x14ac:dyDescent="0.25">
      <c r="A1099" s="1" t="s">
        <v>86</v>
      </c>
      <c r="B1099" s="1" t="s">
        <v>5397</v>
      </c>
      <c r="C1099" s="1" t="s">
        <v>3252</v>
      </c>
      <c r="D1099" s="8" t="s">
        <v>3251</v>
      </c>
      <c r="E1099" s="1" t="s">
        <v>205</v>
      </c>
      <c r="F1099" s="1" t="s">
        <v>6445</v>
      </c>
      <c r="G1099" s="1" t="s">
        <v>4717</v>
      </c>
      <c r="H1099" s="1" t="s">
        <v>4719</v>
      </c>
      <c r="I1099" s="1" t="s">
        <v>4721</v>
      </c>
      <c r="J1099" s="1" t="s">
        <v>12</v>
      </c>
      <c r="K1099" s="1" t="s">
        <v>4782</v>
      </c>
      <c r="L1099" s="1" t="s">
        <v>122</v>
      </c>
      <c r="M1099" s="1" t="s">
        <v>58</v>
      </c>
      <c r="N1099" s="1" t="s">
        <v>61</v>
      </c>
    </row>
    <row r="1100" spans="1:14" x14ac:dyDescent="0.25">
      <c r="A1100" s="1" t="s">
        <v>86</v>
      </c>
      <c r="B1100" s="1" t="s">
        <v>5819</v>
      </c>
      <c r="C1100" s="1" t="s">
        <v>1539</v>
      </c>
      <c r="D1100" s="8" t="s">
        <v>1538</v>
      </c>
      <c r="E1100" s="1" t="s">
        <v>211</v>
      </c>
      <c r="F1100" s="1" t="s">
        <v>6435</v>
      </c>
      <c r="G1100" s="1" t="s">
        <v>4716</v>
      </c>
      <c r="H1100" s="1" t="s">
        <v>4719</v>
      </c>
      <c r="I1100" s="1" t="s">
        <v>4721</v>
      </c>
      <c r="J1100" s="1" t="s">
        <v>12</v>
      </c>
      <c r="K1100" s="1" t="s">
        <v>4820</v>
      </c>
      <c r="L1100" s="1" t="s">
        <v>210</v>
      </c>
      <c r="M1100" s="1" t="s">
        <v>89</v>
      </c>
      <c r="N1100" s="1" t="s">
        <v>37</v>
      </c>
    </row>
    <row r="1101" spans="1:14" x14ac:dyDescent="0.25">
      <c r="A1101" s="1" t="s">
        <v>86</v>
      </c>
      <c r="B1101" s="1" t="s">
        <v>5820</v>
      </c>
      <c r="C1101" s="1" t="s">
        <v>3184</v>
      </c>
      <c r="D1101" s="8" t="s">
        <v>3183</v>
      </c>
      <c r="E1101" s="1" t="s">
        <v>274</v>
      </c>
      <c r="F1101" s="1" t="s">
        <v>6438</v>
      </c>
      <c r="G1101" s="1" t="s">
        <v>4716</v>
      </c>
      <c r="H1101" s="1" t="s">
        <v>4719</v>
      </c>
      <c r="I1101" s="1" t="s">
        <v>4721</v>
      </c>
      <c r="J1101" s="1" t="s">
        <v>12</v>
      </c>
      <c r="K1101" s="1" t="s">
        <v>4783</v>
      </c>
      <c r="L1101" s="1" t="s">
        <v>210</v>
      </c>
      <c r="M1101" s="1" t="s">
        <v>149</v>
      </c>
      <c r="N1101" s="1" t="s">
        <v>61</v>
      </c>
    </row>
    <row r="1102" spans="1:14" x14ac:dyDescent="0.25">
      <c r="A1102" s="1" t="s">
        <v>86</v>
      </c>
      <c r="B1102" s="1" t="s">
        <v>5823</v>
      </c>
      <c r="C1102" s="1" t="s">
        <v>1862</v>
      </c>
      <c r="D1102" s="8" t="s">
        <v>1861</v>
      </c>
      <c r="E1102" s="1" t="s">
        <v>298</v>
      </c>
      <c r="F1102" s="1" t="s">
        <v>6435</v>
      </c>
      <c r="G1102" s="1" t="s">
        <v>4716</v>
      </c>
      <c r="H1102" s="1" t="s">
        <v>4719</v>
      </c>
      <c r="I1102" s="1" t="s">
        <v>4721</v>
      </c>
      <c r="J1102" s="1" t="s">
        <v>12</v>
      </c>
      <c r="K1102" s="1" t="s">
        <v>4794</v>
      </c>
      <c r="L1102" s="1" t="s">
        <v>210</v>
      </c>
      <c r="M1102" s="1" t="s">
        <v>58</v>
      </c>
      <c r="N1102" s="1" t="s">
        <v>61</v>
      </c>
    </row>
    <row r="1103" spans="1:14" x14ac:dyDescent="0.25">
      <c r="A1103" s="1" t="s">
        <v>86</v>
      </c>
      <c r="B1103" s="1" t="s">
        <v>5825</v>
      </c>
      <c r="C1103" s="1" t="s">
        <v>1557</v>
      </c>
      <c r="D1103" s="8" t="s">
        <v>1556</v>
      </c>
      <c r="E1103" s="1" t="s">
        <v>559</v>
      </c>
      <c r="F1103" s="1" t="s">
        <v>4713</v>
      </c>
      <c r="G1103" s="1" t="s">
        <v>4716</v>
      </c>
      <c r="H1103" s="1" t="s">
        <v>4719</v>
      </c>
      <c r="I1103" s="1" t="s">
        <v>4722</v>
      </c>
      <c r="J1103" s="1" t="s">
        <v>39</v>
      </c>
      <c r="K1103" s="1" t="s">
        <v>4802</v>
      </c>
      <c r="L1103" s="1" t="s">
        <v>558</v>
      </c>
      <c r="M1103" s="1" t="s">
        <v>172</v>
      </c>
      <c r="N1103" s="1" t="s">
        <v>17</v>
      </c>
    </row>
    <row r="1104" spans="1:14" x14ac:dyDescent="0.25">
      <c r="A1104" s="1" t="s">
        <v>86</v>
      </c>
      <c r="B1104" s="1" t="s">
        <v>5826</v>
      </c>
      <c r="C1104" s="1" t="s">
        <v>1467</v>
      </c>
      <c r="D1104" s="8" t="s">
        <v>1465</v>
      </c>
      <c r="E1104" s="1" t="s">
        <v>218</v>
      </c>
      <c r="F1104" s="1" t="s">
        <v>4713</v>
      </c>
      <c r="G1104" s="1" t="s">
        <v>4716</v>
      </c>
      <c r="H1104" s="1" t="s">
        <v>4719</v>
      </c>
      <c r="I1104" s="1" t="s">
        <v>4721</v>
      </c>
      <c r="J1104" s="1" t="s">
        <v>12</v>
      </c>
      <c r="K1104" s="1" t="s">
        <v>4802</v>
      </c>
      <c r="L1104" s="1" t="s">
        <v>217</v>
      </c>
      <c r="M1104" s="1" t="s">
        <v>630</v>
      </c>
      <c r="N1104" s="1" t="s">
        <v>21</v>
      </c>
    </row>
    <row r="1105" spans="1:14" x14ac:dyDescent="0.25">
      <c r="A1105" s="1" t="s">
        <v>86</v>
      </c>
      <c r="B1105" s="1" t="s">
        <v>5828</v>
      </c>
      <c r="C1105" s="1" t="s">
        <v>3191</v>
      </c>
      <c r="D1105" s="8" t="s">
        <v>3190</v>
      </c>
      <c r="E1105" s="1" t="s">
        <v>274</v>
      </c>
      <c r="F1105" s="1" t="s">
        <v>6441</v>
      </c>
      <c r="G1105" s="1" t="s">
        <v>4717</v>
      </c>
      <c r="H1105" s="1" t="s">
        <v>4719</v>
      </c>
      <c r="I1105" s="1" t="s">
        <v>4721</v>
      </c>
      <c r="J1105" s="1" t="s">
        <v>12</v>
      </c>
      <c r="K1105" s="1" t="s">
        <v>4849</v>
      </c>
      <c r="L1105" s="1" t="s">
        <v>210</v>
      </c>
      <c r="M1105" s="1" t="s">
        <v>58</v>
      </c>
      <c r="N1105" s="1" t="s">
        <v>61</v>
      </c>
    </row>
    <row r="1106" spans="1:14" x14ac:dyDescent="0.25">
      <c r="A1106" s="1" t="s">
        <v>86</v>
      </c>
      <c r="B1106" s="1" t="s">
        <v>5410</v>
      </c>
      <c r="C1106" s="1" t="s">
        <v>2455</v>
      </c>
      <c r="D1106" s="8" t="s">
        <v>2454</v>
      </c>
      <c r="E1106" s="1" t="s">
        <v>590</v>
      </c>
      <c r="F1106" s="1" t="s">
        <v>6434</v>
      </c>
      <c r="G1106" s="1" t="s">
        <v>4715</v>
      </c>
      <c r="H1106" s="1" t="s">
        <v>4719</v>
      </c>
      <c r="I1106" s="1" t="s">
        <v>4721</v>
      </c>
      <c r="J1106" s="1" t="s">
        <v>12</v>
      </c>
      <c r="K1106" s="1" t="s">
        <v>4799</v>
      </c>
      <c r="L1106" s="1" t="s">
        <v>122</v>
      </c>
      <c r="M1106" s="1" t="s">
        <v>58</v>
      </c>
      <c r="N1106" s="1" t="s">
        <v>61</v>
      </c>
    </row>
    <row r="1107" spans="1:14" x14ac:dyDescent="0.25">
      <c r="A1107" s="1" t="s">
        <v>86</v>
      </c>
      <c r="B1107" s="1" t="s">
        <v>5832</v>
      </c>
      <c r="C1107" s="1" t="s">
        <v>1865</v>
      </c>
      <c r="D1107" s="8" t="s">
        <v>1864</v>
      </c>
      <c r="E1107" s="1" t="s">
        <v>363</v>
      </c>
      <c r="F1107" s="1" t="s">
        <v>6435</v>
      </c>
      <c r="G1107" s="1" t="s">
        <v>4716</v>
      </c>
      <c r="H1107" s="1" t="s">
        <v>4719</v>
      </c>
      <c r="I1107" s="1" t="s">
        <v>4721</v>
      </c>
      <c r="J1107" s="1" t="s">
        <v>12</v>
      </c>
      <c r="K1107" s="1" t="s">
        <v>4794</v>
      </c>
      <c r="L1107" s="1" t="s">
        <v>210</v>
      </c>
      <c r="M1107" s="1" t="s">
        <v>58</v>
      </c>
      <c r="N1107" s="1" t="s">
        <v>61</v>
      </c>
    </row>
    <row r="1108" spans="1:14" x14ac:dyDescent="0.25">
      <c r="A1108" s="1" t="s">
        <v>86</v>
      </c>
      <c r="B1108" s="1" t="s">
        <v>5833</v>
      </c>
      <c r="C1108" s="1" t="s">
        <v>2268</v>
      </c>
      <c r="D1108" s="8" t="s">
        <v>2267</v>
      </c>
      <c r="E1108" s="1" t="s">
        <v>1320</v>
      </c>
      <c r="F1108" s="1" t="s">
        <v>4709</v>
      </c>
      <c r="G1108" s="1" t="s">
        <v>4716</v>
      </c>
      <c r="H1108" s="1" t="s">
        <v>4719</v>
      </c>
      <c r="I1108" s="1" t="s">
        <v>6407</v>
      </c>
      <c r="J1108" s="1" t="s">
        <v>39</v>
      </c>
      <c r="K1108" s="1" t="s">
        <v>4898</v>
      </c>
      <c r="L1108" s="1" t="s">
        <v>1321</v>
      </c>
      <c r="M1108" s="1" t="s">
        <v>630</v>
      </c>
      <c r="N1108" s="1" t="s">
        <v>21</v>
      </c>
    </row>
    <row r="1109" spans="1:14" x14ac:dyDescent="0.25">
      <c r="A1109" s="1" t="s">
        <v>86</v>
      </c>
      <c r="B1109" s="1" t="s">
        <v>5413</v>
      </c>
      <c r="C1109" s="1" t="s">
        <v>3175</v>
      </c>
      <c r="D1109" s="8" t="s">
        <v>3174</v>
      </c>
      <c r="E1109" s="1" t="s">
        <v>274</v>
      </c>
      <c r="F1109" s="1" t="s">
        <v>4712</v>
      </c>
      <c r="G1109" s="1" t="s">
        <v>4717</v>
      </c>
      <c r="H1109" s="1" t="s">
        <v>4719</v>
      </c>
      <c r="I1109" s="1" t="s">
        <v>4721</v>
      </c>
      <c r="J1109" s="1" t="s">
        <v>12</v>
      </c>
      <c r="K1109" s="1" t="s">
        <v>4794</v>
      </c>
      <c r="L1109" s="1" t="s">
        <v>210</v>
      </c>
      <c r="M1109" s="1" t="s">
        <v>58</v>
      </c>
      <c r="N1109" s="1" t="s">
        <v>61</v>
      </c>
    </row>
    <row r="1110" spans="1:14" x14ac:dyDescent="0.25">
      <c r="A1110" s="1" t="s">
        <v>86</v>
      </c>
      <c r="B1110" s="1" t="s">
        <v>5834</v>
      </c>
      <c r="C1110" s="1" t="s">
        <v>3130</v>
      </c>
      <c r="D1110" s="8" t="s">
        <v>3129</v>
      </c>
      <c r="E1110" s="1" t="s">
        <v>497</v>
      </c>
      <c r="F1110" s="1" t="s">
        <v>4710</v>
      </c>
      <c r="G1110" s="1" t="s">
        <v>4716</v>
      </c>
      <c r="H1110" s="1" t="s">
        <v>4719</v>
      </c>
      <c r="I1110" s="1" t="s">
        <v>4721</v>
      </c>
      <c r="J1110" s="1" t="s">
        <v>12</v>
      </c>
      <c r="K1110" s="1" t="s">
        <v>4766</v>
      </c>
      <c r="L1110" s="1" t="s">
        <v>164</v>
      </c>
      <c r="M1110" s="1" t="s">
        <v>711</v>
      </c>
      <c r="N1110" s="1" t="s">
        <v>126</v>
      </c>
    </row>
    <row r="1111" spans="1:14" x14ac:dyDescent="0.25">
      <c r="A1111" s="1" t="s">
        <v>86</v>
      </c>
      <c r="B1111" s="1" t="s">
        <v>5416</v>
      </c>
      <c r="C1111" s="1" t="s">
        <v>216</v>
      </c>
      <c r="D1111" s="8" t="s">
        <v>215</v>
      </c>
      <c r="E1111" s="1" t="s">
        <v>218</v>
      </c>
      <c r="F1111" s="1" t="s">
        <v>4713</v>
      </c>
      <c r="G1111" s="1" t="s">
        <v>4716</v>
      </c>
      <c r="H1111" s="1" t="s">
        <v>4719</v>
      </c>
      <c r="I1111" s="1" t="s">
        <v>4721</v>
      </c>
      <c r="J1111" s="1" t="s">
        <v>12</v>
      </c>
      <c r="K1111" s="1" t="s">
        <v>4802</v>
      </c>
      <c r="L1111" s="1" t="s">
        <v>217</v>
      </c>
      <c r="M1111" s="1" t="s">
        <v>172</v>
      </c>
      <c r="N1111" s="1" t="s">
        <v>17</v>
      </c>
    </row>
    <row r="1112" spans="1:14" x14ac:dyDescent="0.25">
      <c r="A1112" s="1" t="s">
        <v>86</v>
      </c>
      <c r="B1112" s="1" t="s">
        <v>5838</v>
      </c>
      <c r="C1112" s="1" t="s">
        <v>2545</v>
      </c>
      <c r="D1112" s="8" t="s">
        <v>2544</v>
      </c>
      <c r="E1112" s="1" t="s">
        <v>363</v>
      </c>
      <c r="F1112" s="1" t="s">
        <v>6446</v>
      </c>
      <c r="G1112" s="1" t="s">
        <v>4717</v>
      </c>
      <c r="H1112" s="1" t="s">
        <v>4719</v>
      </c>
      <c r="I1112" s="1" t="s">
        <v>4721</v>
      </c>
      <c r="J1112" s="1" t="s">
        <v>12</v>
      </c>
      <c r="K1112" s="1" t="s">
        <v>4800</v>
      </c>
      <c r="L1112" s="1" t="s">
        <v>210</v>
      </c>
      <c r="M1112" s="1" t="s">
        <v>58</v>
      </c>
      <c r="N1112" s="1" t="s">
        <v>61</v>
      </c>
    </row>
    <row r="1113" spans="1:14" x14ac:dyDescent="0.25">
      <c r="A1113" s="1" t="s">
        <v>86</v>
      </c>
      <c r="B1113" s="1" t="s">
        <v>5839</v>
      </c>
      <c r="C1113" s="1" t="s">
        <v>2019</v>
      </c>
      <c r="D1113" s="8" t="s">
        <v>2018</v>
      </c>
      <c r="E1113" s="1" t="s">
        <v>205</v>
      </c>
      <c r="F1113" s="1" t="s">
        <v>6440</v>
      </c>
      <c r="G1113" s="1" t="s">
        <v>4716</v>
      </c>
      <c r="H1113" s="1" t="s">
        <v>4719</v>
      </c>
      <c r="I1113" s="1" t="s">
        <v>4721</v>
      </c>
      <c r="J1113" s="1" t="s">
        <v>12</v>
      </c>
      <c r="K1113" s="1" t="s">
        <v>4887</v>
      </c>
      <c r="L1113" s="1" t="s">
        <v>122</v>
      </c>
      <c r="M1113" s="1" t="s">
        <v>172</v>
      </c>
      <c r="N1113" s="1" t="s">
        <v>17</v>
      </c>
    </row>
    <row r="1114" spans="1:14" x14ac:dyDescent="0.25">
      <c r="A1114" s="1" t="s">
        <v>86</v>
      </c>
      <c r="B1114" s="1" t="s">
        <v>5419</v>
      </c>
      <c r="C1114" s="1" t="s">
        <v>1457</v>
      </c>
      <c r="D1114" s="8" t="s">
        <v>1456</v>
      </c>
      <c r="E1114" s="1" t="s">
        <v>497</v>
      </c>
      <c r="F1114" s="1" t="s">
        <v>4710</v>
      </c>
      <c r="G1114" s="1" t="s">
        <v>4716</v>
      </c>
      <c r="H1114" s="1" t="s">
        <v>4719</v>
      </c>
      <c r="I1114" s="1" t="s">
        <v>4721</v>
      </c>
      <c r="J1114" s="1" t="s">
        <v>12</v>
      </c>
      <c r="K1114" s="1" t="s">
        <v>4766</v>
      </c>
      <c r="L1114" s="1" t="s">
        <v>164</v>
      </c>
      <c r="M1114" s="1" t="s">
        <v>41</v>
      </c>
      <c r="N1114" s="1" t="s">
        <v>42</v>
      </c>
    </row>
    <row r="1115" spans="1:14" x14ac:dyDescent="0.25">
      <c r="A1115" s="1" t="s">
        <v>86</v>
      </c>
      <c r="B1115" s="1" t="s">
        <v>5841</v>
      </c>
      <c r="C1115" s="1" t="s">
        <v>3620</v>
      </c>
      <c r="D1115" s="8" t="s">
        <v>3619</v>
      </c>
      <c r="E1115" s="1" t="s">
        <v>177</v>
      </c>
      <c r="F1115" s="1" t="s">
        <v>6436</v>
      </c>
      <c r="G1115" s="1" t="s">
        <v>4716</v>
      </c>
      <c r="H1115" s="1" t="s">
        <v>4719</v>
      </c>
      <c r="I1115" s="1" t="s">
        <v>4721</v>
      </c>
      <c r="J1115" s="1" t="s">
        <v>12</v>
      </c>
      <c r="K1115" s="1" t="s">
        <v>4794</v>
      </c>
      <c r="L1115" s="1" t="s">
        <v>164</v>
      </c>
      <c r="M1115" s="1" t="s">
        <v>245</v>
      </c>
      <c r="N1115" s="1" t="s">
        <v>21</v>
      </c>
    </row>
    <row r="1116" spans="1:14" x14ac:dyDescent="0.25">
      <c r="A1116" s="1" t="s">
        <v>86</v>
      </c>
      <c r="B1116" s="1" t="s">
        <v>5420</v>
      </c>
      <c r="C1116" s="1" t="s">
        <v>2067</v>
      </c>
      <c r="D1116" s="8" t="s">
        <v>2066</v>
      </c>
      <c r="E1116" s="1" t="s">
        <v>325</v>
      </c>
      <c r="F1116" s="1" t="s">
        <v>4714</v>
      </c>
      <c r="G1116" s="1" t="s">
        <v>4715</v>
      </c>
      <c r="H1116" s="1" t="s">
        <v>4719</v>
      </c>
      <c r="I1116" s="1" t="s">
        <v>4721</v>
      </c>
      <c r="J1116" s="1" t="s">
        <v>12</v>
      </c>
      <c r="K1116" s="1" t="s">
        <v>4777</v>
      </c>
      <c r="L1116" s="1" t="s">
        <v>283</v>
      </c>
      <c r="M1116" s="1" t="s">
        <v>711</v>
      </c>
      <c r="N1116" s="1" t="s">
        <v>126</v>
      </c>
    </row>
    <row r="1117" spans="1:14" x14ac:dyDescent="0.25">
      <c r="A1117" s="1" t="s">
        <v>86</v>
      </c>
      <c r="B1117" s="1" t="s">
        <v>5421</v>
      </c>
      <c r="C1117" s="1" t="s">
        <v>4285</v>
      </c>
      <c r="D1117" s="8" t="s">
        <v>4284</v>
      </c>
      <c r="E1117" s="1" t="s">
        <v>325</v>
      </c>
      <c r="F1117" s="1" t="s">
        <v>6438</v>
      </c>
      <c r="G1117" s="1" t="s">
        <v>4716</v>
      </c>
      <c r="H1117" s="1" t="s">
        <v>4719</v>
      </c>
      <c r="I1117" s="1" t="s">
        <v>4721</v>
      </c>
      <c r="J1117" s="1" t="s">
        <v>12</v>
      </c>
      <c r="K1117" s="1" t="s">
        <v>4783</v>
      </c>
      <c r="L1117" s="1" t="s">
        <v>283</v>
      </c>
      <c r="M1117" s="1" t="s">
        <v>136</v>
      </c>
      <c r="N1117" s="1" t="s">
        <v>72</v>
      </c>
    </row>
    <row r="1118" spans="1:14" x14ac:dyDescent="0.25">
      <c r="A1118" s="1" t="s">
        <v>86</v>
      </c>
      <c r="B1118" s="1" t="s">
        <v>5844</v>
      </c>
      <c r="C1118" s="1" t="s">
        <v>4017</v>
      </c>
      <c r="D1118" s="8" t="s">
        <v>4016</v>
      </c>
      <c r="E1118" s="1" t="s">
        <v>1320</v>
      </c>
      <c r="F1118" s="1" t="s">
        <v>4709</v>
      </c>
      <c r="G1118" s="1" t="s">
        <v>4716</v>
      </c>
      <c r="H1118" s="1" t="s">
        <v>4719</v>
      </c>
      <c r="I1118" s="1" t="s">
        <v>4722</v>
      </c>
      <c r="J1118" s="1" t="s">
        <v>39</v>
      </c>
      <c r="K1118" s="1" t="s">
        <v>4898</v>
      </c>
      <c r="L1118" s="1" t="s">
        <v>1321</v>
      </c>
      <c r="M1118" s="1" t="s">
        <v>870</v>
      </c>
      <c r="N1118" s="1" t="s">
        <v>76</v>
      </c>
    </row>
    <row r="1119" spans="1:14" x14ac:dyDescent="0.25">
      <c r="A1119" s="1" t="s">
        <v>86</v>
      </c>
      <c r="B1119" s="1" t="s">
        <v>5423</v>
      </c>
      <c r="C1119" s="1" t="s">
        <v>2322</v>
      </c>
      <c r="D1119" s="8" t="s">
        <v>2321</v>
      </c>
      <c r="E1119" s="1" t="s">
        <v>1320</v>
      </c>
      <c r="F1119" s="1" t="s">
        <v>4709</v>
      </c>
      <c r="G1119" s="1" t="s">
        <v>4716</v>
      </c>
      <c r="H1119" s="1" t="s">
        <v>4719</v>
      </c>
      <c r="I1119" s="1" t="s">
        <v>4721</v>
      </c>
      <c r="J1119" s="1" t="s">
        <v>12</v>
      </c>
      <c r="K1119" s="1" t="s">
        <v>4898</v>
      </c>
      <c r="L1119" s="1" t="s">
        <v>1321</v>
      </c>
      <c r="M1119" s="1" t="s">
        <v>172</v>
      </c>
      <c r="N1119" s="1" t="s">
        <v>17</v>
      </c>
    </row>
    <row r="1120" spans="1:14" x14ac:dyDescent="0.25">
      <c r="A1120" s="1" t="s">
        <v>86</v>
      </c>
      <c r="B1120" s="1" t="s">
        <v>5424</v>
      </c>
      <c r="C1120" s="1" t="s">
        <v>4339</v>
      </c>
      <c r="D1120" s="8" t="s">
        <v>4338</v>
      </c>
      <c r="E1120" s="1" t="s">
        <v>123</v>
      </c>
      <c r="F1120" s="1" t="s">
        <v>6438</v>
      </c>
      <c r="G1120" s="1" t="s">
        <v>4716</v>
      </c>
      <c r="H1120" s="1" t="s">
        <v>4719</v>
      </c>
      <c r="I1120" s="1" t="s">
        <v>4721</v>
      </c>
      <c r="J1120" s="1" t="s">
        <v>12</v>
      </c>
      <c r="K1120" s="1" t="s">
        <v>4783</v>
      </c>
      <c r="L1120" s="1" t="s">
        <v>122</v>
      </c>
      <c r="M1120" s="1" t="s">
        <v>136</v>
      </c>
      <c r="N1120" s="1" t="s">
        <v>72</v>
      </c>
    </row>
    <row r="1121" spans="1:14" x14ac:dyDescent="0.25">
      <c r="A1121" s="1" t="s">
        <v>86</v>
      </c>
      <c r="B1121" s="1" t="s">
        <v>5846</v>
      </c>
      <c r="C1121" s="1" t="s">
        <v>1138</v>
      </c>
      <c r="D1121" s="8" t="s">
        <v>1137</v>
      </c>
      <c r="E1121" s="1" t="s">
        <v>123</v>
      </c>
      <c r="F1121" s="1" t="s">
        <v>4714</v>
      </c>
      <c r="G1121" s="1" t="s">
        <v>4715</v>
      </c>
      <c r="H1121" s="1" t="s">
        <v>4719</v>
      </c>
      <c r="I1121" s="1" t="s">
        <v>4721</v>
      </c>
      <c r="J1121" s="1" t="s">
        <v>12</v>
      </c>
      <c r="K1121" s="1" t="s">
        <v>4777</v>
      </c>
      <c r="L1121" s="1" t="s">
        <v>122</v>
      </c>
      <c r="M1121" s="1" t="s">
        <v>58</v>
      </c>
      <c r="N1121" s="1" t="s">
        <v>61</v>
      </c>
    </row>
    <row r="1122" spans="1:14" x14ac:dyDescent="0.25">
      <c r="A1122" s="1" t="s">
        <v>86</v>
      </c>
      <c r="B1122" s="1" t="s">
        <v>5847</v>
      </c>
      <c r="C1122" s="1" t="s">
        <v>3816</v>
      </c>
      <c r="D1122" s="8" t="s">
        <v>3815</v>
      </c>
      <c r="E1122" s="1" t="s">
        <v>205</v>
      </c>
      <c r="F1122" s="1" t="s">
        <v>6439</v>
      </c>
      <c r="G1122" s="1" t="s">
        <v>4715</v>
      </c>
      <c r="H1122" s="1" t="s">
        <v>4719</v>
      </c>
      <c r="I1122" s="1" t="s">
        <v>4722</v>
      </c>
      <c r="J1122" s="1" t="s">
        <v>39</v>
      </c>
      <c r="K1122" s="1" t="s">
        <v>4784</v>
      </c>
      <c r="L1122" s="1" t="s">
        <v>122</v>
      </c>
      <c r="M1122" s="1" t="s">
        <v>711</v>
      </c>
      <c r="N1122" s="1" t="s">
        <v>126</v>
      </c>
    </row>
    <row r="1123" spans="1:14" x14ac:dyDescent="0.25">
      <c r="A1123" s="1" t="s">
        <v>86</v>
      </c>
      <c r="B1123" s="1" t="s">
        <v>5871</v>
      </c>
      <c r="C1123" s="1" t="s">
        <v>843</v>
      </c>
      <c r="D1123" s="8" t="s">
        <v>842</v>
      </c>
      <c r="E1123" s="1" t="s">
        <v>459</v>
      </c>
      <c r="F1123" s="1" t="s">
        <v>6449</v>
      </c>
      <c r="G1123" s="1" t="s">
        <v>4717</v>
      </c>
      <c r="H1123" s="1" t="s">
        <v>4719</v>
      </c>
      <c r="I1123" s="1" t="s">
        <v>4722</v>
      </c>
      <c r="J1123" s="1" t="s">
        <v>39</v>
      </c>
      <c r="K1123" s="1" t="s">
        <v>4904</v>
      </c>
      <c r="L1123" s="1" t="s">
        <v>458</v>
      </c>
      <c r="M1123" s="1" t="s">
        <v>58</v>
      </c>
      <c r="N1123" s="1" t="s">
        <v>61</v>
      </c>
    </row>
    <row r="1124" spans="1:14" x14ac:dyDescent="0.25">
      <c r="A1124" s="1" t="s">
        <v>86</v>
      </c>
      <c r="B1124" s="1" t="s">
        <v>5881</v>
      </c>
      <c r="C1124" s="1" t="s">
        <v>258</v>
      </c>
      <c r="D1124" s="8" t="s">
        <v>257</v>
      </c>
      <c r="E1124" s="1" t="s">
        <v>88</v>
      </c>
      <c r="F1124" s="1" t="s">
        <v>6443</v>
      </c>
      <c r="G1124" s="1" t="s">
        <v>4717</v>
      </c>
      <c r="H1124" s="1" t="s">
        <v>4719</v>
      </c>
      <c r="I1124" s="1" t="s">
        <v>4721</v>
      </c>
      <c r="J1124" s="1" t="s">
        <v>12</v>
      </c>
      <c r="K1124" s="1" t="s">
        <v>4795</v>
      </c>
      <c r="L1124" s="1" t="s">
        <v>87</v>
      </c>
      <c r="M1124" s="1" t="s">
        <v>58</v>
      </c>
      <c r="N1124" s="1" t="s">
        <v>61</v>
      </c>
    </row>
    <row r="1125" spans="1:14" x14ac:dyDescent="0.25">
      <c r="A1125" s="1" t="s">
        <v>86</v>
      </c>
      <c r="B1125" s="1" t="s">
        <v>5427</v>
      </c>
      <c r="C1125" s="1" t="s">
        <v>3470</v>
      </c>
      <c r="D1125" s="8" t="s">
        <v>3469</v>
      </c>
      <c r="E1125" s="1" t="s">
        <v>165</v>
      </c>
      <c r="F1125" s="1" t="s">
        <v>6433</v>
      </c>
      <c r="G1125" s="1" t="s">
        <v>4716</v>
      </c>
      <c r="H1125" s="1" t="s">
        <v>4719</v>
      </c>
      <c r="I1125" s="1" t="s">
        <v>4721</v>
      </c>
      <c r="J1125" s="1" t="s">
        <v>12</v>
      </c>
      <c r="K1125" s="1" t="s">
        <v>4785</v>
      </c>
      <c r="L1125" s="1" t="s">
        <v>164</v>
      </c>
      <c r="M1125" s="1" t="s">
        <v>245</v>
      </c>
      <c r="N1125" s="1" t="s">
        <v>21</v>
      </c>
    </row>
    <row r="1126" spans="1:14" x14ac:dyDescent="0.25">
      <c r="A1126" s="1" t="s">
        <v>86</v>
      </c>
      <c r="B1126" s="1" t="s">
        <v>5428</v>
      </c>
      <c r="C1126" s="1" t="s">
        <v>3457</v>
      </c>
      <c r="D1126" s="8" t="s">
        <v>3456</v>
      </c>
      <c r="E1126" s="1" t="s">
        <v>211</v>
      </c>
      <c r="F1126" s="1" t="s">
        <v>6440</v>
      </c>
      <c r="G1126" s="1" t="s">
        <v>4716</v>
      </c>
      <c r="H1126" s="1" t="s">
        <v>4719</v>
      </c>
      <c r="I1126" s="1" t="s">
        <v>4721</v>
      </c>
      <c r="J1126" s="1" t="s">
        <v>12</v>
      </c>
      <c r="K1126" s="1" t="s">
        <v>4887</v>
      </c>
      <c r="L1126" s="1" t="s">
        <v>210</v>
      </c>
      <c r="M1126" s="1" t="s">
        <v>172</v>
      </c>
      <c r="N1126" s="1" t="s">
        <v>17</v>
      </c>
    </row>
    <row r="1127" spans="1:14" x14ac:dyDescent="0.25">
      <c r="A1127" s="1" t="s">
        <v>86</v>
      </c>
      <c r="B1127" s="1" t="s">
        <v>5882</v>
      </c>
      <c r="C1127" s="1" t="s">
        <v>1325</v>
      </c>
      <c r="D1127" s="8" t="s">
        <v>1324</v>
      </c>
      <c r="E1127" s="1" t="s">
        <v>459</v>
      </c>
      <c r="F1127" s="1" t="s">
        <v>6449</v>
      </c>
      <c r="G1127" s="1" t="s">
        <v>4717</v>
      </c>
      <c r="H1127" s="1" t="s">
        <v>4719</v>
      </c>
      <c r="I1127" s="1" t="s">
        <v>4722</v>
      </c>
      <c r="J1127" s="1" t="s">
        <v>39</v>
      </c>
      <c r="K1127" s="1" t="s">
        <v>4904</v>
      </c>
      <c r="L1127" s="1" t="s">
        <v>458</v>
      </c>
      <c r="M1127" s="1" t="s">
        <v>58</v>
      </c>
      <c r="N1127" s="1" t="s">
        <v>61</v>
      </c>
    </row>
    <row r="1128" spans="1:14" x14ac:dyDescent="0.25">
      <c r="A1128" s="1" t="s">
        <v>86</v>
      </c>
      <c r="B1128" s="1" t="s">
        <v>5883</v>
      </c>
      <c r="C1128" s="1" t="s">
        <v>2551</v>
      </c>
      <c r="D1128" s="8" t="s">
        <v>2550</v>
      </c>
      <c r="E1128" s="1" t="s">
        <v>211</v>
      </c>
      <c r="F1128" s="1" t="s">
        <v>6446</v>
      </c>
      <c r="G1128" s="1" t="s">
        <v>4717</v>
      </c>
      <c r="H1128" s="1" t="s">
        <v>4719</v>
      </c>
      <c r="I1128" s="1" t="s">
        <v>4721</v>
      </c>
      <c r="J1128" s="1" t="s">
        <v>12</v>
      </c>
      <c r="K1128" s="1" t="s">
        <v>4800</v>
      </c>
      <c r="L1128" s="1" t="s">
        <v>210</v>
      </c>
      <c r="M1128" s="1" t="s">
        <v>58</v>
      </c>
      <c r="N1128" s="1" t="s">
        <v>61</v>
      </c>
    </row>
    <row r="1129" spans="1:14" x14ac:dyDescent="0.25">
      <c r="A1129" s="1" t="s">
        <v>86</v>
      </c>
      <c r="B1129" s="1" t="s">
        <v>5884</v>
      </c>
      <c r="C1129" s="1" t="s">
        <v>1533</v>
      </c>
      <c r="D1129" s="8" t="s">
        <v>1532</v>
      </c>
      <c r="E1129" s="1" t="s">
        <v>274</v>
      </c>
      <c r="F1129" s="1" t="s">
        <v>6435</v>
      </c>
      <c r="G1129" s="1" t="s">
        <v>4716</v>
      </c>
      <c r="H1129" s="1" t="s">
        <v>4719</v>
      </c>
      <c r="I1129" s="1" t="s">
        <v>4722</v>
      </c>
      <c r="J1129" s="1" t="s">
        <v>39</v>
      </c>
      <c r="K1129" s="1" t="s">
        <v>4846</v>
      </c>
      <c r="L1129" s="1" t="s">
        <v>210</v>
      </c>
      <c r="M1129" s="1" t="s">
        <v>245</v>
      </c>
      <c r="N1129" s="1" t="s">
        <v>21</v>
      </c>
    </row>
    <row r="1130" spans="1:14" x14ac:dyDescent="0.25">
      <c r="A1130" s="1" t="s">
        <v>86</v>
      </c>
      <c r="B1130" s="1" t="s">
        <v>5886</v>
      </c>
      <c r="C1130" s="1" t="s">
        <v>1007</v>
      </c>
      <c r="D1130" s="8" t="s">
        <v>1006</v>
      </c>
      <c r="E1130" s="1" t="s">
        <v>445</v>
      </c>
      <c r="F1130" s="1" t="s">
        <v>6434</v>
      </c>
      <c r="G1130" s="1" t="s">
        <v>4715</v>
      </c>
      <c r="H1130" s="1" t="s">
        <v>4719</v>
      </c>
      <c r="I1130" s="1" t="s">
        <v>4721</v>
      </c>
      <c r="J1130" s="1" t="s">
        <v>12</v>
      </c>
      <c r="K1130" s="1" t="s">
        <v>4897</v>
      </c>
      <c r="L1130" s="1" t="s">
        <v>122</v>
      </c>
      <c r="M1130" s="1" t="s">
        <v>41</v>
      </c>
      <c r="N1130" s="1" t="s">
        <v>42</v>
      </c>
    </row>
    <row r="1131" spans="1:14" x14ac:dyDescent="0.25">
      <c r="A1131" s="1" t="s">
        <v>86</v>
      </c>
      <c r="B1131" s="1" t="s">
        <v>5887</v>
      </c>
      <c r="C1131" s="1" t="s">
        <v>2795</v>
      </c>
      <c r="D1131" s="8" t="s">
        <v>2794</v>
      </c>
      <c r="E1131" s="1" t="s">
        <v>459</v>
      </c>
      <c r="F1131" s="1" t="s">
        <v>6448</v>
      </c>
      <c r="G1131" s="1" t="s">
        <v>4716</v>
      </c>
      <c r="H1131" s="1" t="s">
        <v>4719</v>
      </c>
      <c r="I1131" s="1" t="s">
        <v>4721</v>
      </c>
      <c r="J1131" s="1" t="s">
        <v>12</v>
      </c>
      <c r="K1131" s="1" t="s">
        <v>4796</v>
      </c>
      <c r="L1131" s="1" t="s">
        <v>458</v>
      </c>
      <c r="M1131" s="1" t="s">
        <v>630</v>
      </c>
      <c r="N1131" s="1" t="s">
        <v>21</v>
      </c>
    </row>
    <row r="1132" spans="1:14" x14ac:dyDescent="0.25">
      <c r="A1132" s="1" t="s">
        <v>86</v>
      </c>
      <c r="B1132" s="1" t="s">
        <v>5429</v>
      </c>
      <c r="C1132" s="1" t="s">
        <v>836</v>
      </c>
      <c r="D1132" s="8" t="s">
        <v>835</v>
      </c>
      <c r="E1132" s="1" t="s">
        <v>211</v>
      </c>
      <c r="F1132" s="1" t="s">
        <v>6449</v>
      </c>
      <c r="G1132" s="1" t="s">
        <v>4717</v>
      </c>
      <c r="H1132" s="1" t="s">
        <v>4719</v>
      </c>
      <c r="I1132" s="1" t="s">
        <v>4721</v>
      </c>
      <c r="J1132" s="1" t="s">
        <v>12</v>
      </c>
      <c r="K1132" s="1" t="s">
        <v>4904</v>
      </c>
      <c r="L1132" s="1" t="s">
        <v>210</v>
      </c>
      <c r="M1132" s="1" t="s">
        <v>58</v>
      </c>
      <c r="N1132" s="1" t="s">
        <v>61</v>
      </c>
    </row>
    <row r="1133" spans="1:14" x14ac:dyDescent="0.25">
      <c r="A1133" s="1" t="s">
        <v>86</v>
      </c>
      <c r="B1133" s="1" t="s">
        <v>5925</v>
      </c>
      <c r="C1133" s="1" t="s">
        <v>3124</v>
      </c>
      <c r="D1133" s="8" t="s">
        <v>3123</v>
      </c>
      <c r="E1133" s="1" t="s">
        <v>298</v>
      </c>
      <c r="F1133" s="1" t="s">
        <v>6435</v>
      </c>
      <c r="G1133" s="1" t="s">
        <v>4716</v>
      </c>
      <c r="H1133" s="1" t="s">
        <v>4719</v>
      </c>
      <c r="I1133" s="1" t="s">
        <v>4721</v>
      </c>
      <c r="J1133" s="1" t="s">
        <v>12</v>
      </c>
      <c r="K1133" s="1" t="s">
        <v>4794</v>
      </c>
      <c r="L1133" s="1" t="s">
        <v>210</v>
      </c>
      <c r="M1133" s="1" t="s">
        <v>245</v>
      </c>
      <c r="N1133" s="1" t="s">
        <v>21</v>
      </c>
    </row>
    <row r="1134" spans="1:14" x14ac:dyDescent="0.25">
      <c r="A1134" s="1" t="s">
        <v>86</v>
      </c>
      <c r="B1134" s="1" t="s">
        <v>5430</v>
      </c>
      <c r="C1134" s="1" t="s">
        <v>2696</v>
      </c>
      <c r="D1134" s="8" t="s">
        <v>2695</v>
      </c>
      <c r="E1134" s="1" t="s">
        <v>123</v>
      </c>
      <c r="F1134" s="1" t="s">
        <v>4711</v>
      </c>
      <c r="G1134" s="1" t="s">
        <v>4715</v>
      </c>
      <c r="H1134" s="1" t="s">
        <v>4719</v>
      </c>
      <c r="I1134" s="1" t="s">
        <v>4722</v>
      </c>
      <c r="J1134" s="1" t="s">
        <v>39</v>
      </c>
      <c r="K1134" s="1" t="s">
        <v>4771</v>
      </c>
      <c r="L1134" s="1" t="s">
        <v>122</v>
      </c>
      <c r="M1134" s="1" t="s">
        <v>245</v>
      </c>
      <c r="N1134" s="1" t="s">
        <v>21</v>
      </c>
    </row>
    <row r="1135" spans="1:14" x14ac:dyDescent="0.25">
      <c r="A1135" s="1" t="s">
        <v>86</v>
      </c>
      <c r="B1135" s="1" t="s">
        <v>5431</v>
      </c>
      <c r="C1135" s="1" t="s">
        <v>4057</v>
      </c>
      <c r="D1135" s="8" t="s">
        <v>4056</v>
      </c>
      <c r="E1135" s="1" t="s">
        <v>88</v>
      </c>
      <c r="F1135" s="1" t="s">
        <v>4709</v>
      </c>
      <c r="G1135" s="1" t="s">
        <v>4716</v>
      </c>
      <c r="H1135" s="1" t="s">
        <v>4719</v>
      </c>
      <c r="I1135" s="1" t="s">
        <v>4721</v>
      </c>
      <c r="J1135" s="1" t="s">
        <v>12</v>
      </c>
      <c r="K1135" s="1" t="s">
        <v>4796</v>
      </c>
      <c r="L1135" s="1" t="s">
        <v>87</v>
      </c>
      <c r="M1135" s="1" t="s">
        <v>172</v>
      </c>
      <c r="N1135" s="1" t="s">
        <v>17</v>
      </c>
    </row>
    <row r="1136" spans="1:14" x14ac:dyDescent="0.25">
      <c r="A1136" s="1" t="s">
        <v>86</v>
      </c>
      <c r="B1136" s="1" t="s">
        <v>5439</v>
      </c>
      <c r="C1136" s="1" t="s">
        <v>4342</v>
      </c>
      <c r="D1136" s="8" t="s">
        <v>4341</v>
      </c>
      <c r="E1136" s="1" t="s">
        <v>497</v>
      </c>
      <c r="F1136" s="1" t="s">
        <v>6438</v>
      </c>
      <c r="G1136" s="1" t="s">
        <v>4716</v>
      </c>
      <c r="H1136" s="1" t="s">
        <v>4719</v>
      </c>
      <c r="I1136" s="1" t="s">
        <v>4721</v>
      </c>
      <c r="J1136" s="1" t="s">
        <v>12</v>
      </c>
      <c r="K1136" s="1" t="s">
        <v>4783</v>
      </c>
      <c r="L1136" s="1" t="s">
        <v>164</v>
      </c>
      <c r="M1136" s="1" t="s">
        <v>136</v>
      </c>
      <c r="N1136" s="1" t="s">
        <v>72</v>
      </c>
    </row>
    <row r="1137" spans="1:14" x14ac:dyDescent="0.25">
      <c r="A1137" s="1" t="s">
        <v>86</v>
      </c>
      <c r="B1137" s="1" t="s">
        <v>5445</v>
      </c>
      <c r="C1137" s="1" t="s">
        <v>1579</v>
      </c>
      <c r="D1137" s="8" t="s">
        <v>1578</v>
      </c>
      <c r="E1137" s="1" t="s">
        <v>274</v>
      </c>
      <c r="F1137" s="1" t="s">
        <v>6435</v>
      </c>
      <c r="G1137" s="1" t="s">
        <v>4716</v>
      </c>
      <c r="H1137" s="1" t="s">
        <v>4719</v>
      </c>
      <c r="I1137" s="1" t="s">
        <v>4722</v>
      </c>
      <c r="J1137" s="1" t="s">
        <v>39</v>
      </c>
      <c r="K1137" s="1" t="s">
        <v>4846</v>
      </c>
      <c r="L1137" s="1" t="s">
        <v>210</v>
      </c>
      <c r="M1137" s="1" t="s">
        <v>245</v>
      </c>
      <c r="N1137" s="1" t="s">
        <v>21</v>
      </c>
    </row>
    <row r="1138" spans="1:14" x14ac:dyDescent="0.25">
      <c r="A1138" s="1" t="s">
        <v>86</v>
      </c>
      <c r="B1138" s="1" t="s">
        <v>5449</v>
      </c>
      <c r="C1138" s="1" t="s">
        <v>1032</v>
      </c>
      <c r="D1138" s="8" t="s">
        <v>1031</v>
      </c>
      <c r="E1138" s="1" t="s">
        <v>1029</v>
      </c>
      <c r="F1138" s="1" t="s">
        <v>6434</v>
      </c>
      <c r="G1138" s="1" t="s">
        <v>4715</v>
      </c>
      <c r="H1138" s="1" t="s">
        <v>4719</v>
      </c>
      <c r="I1138" s="1" t="s">
        <v>4722</v>
      </c>
      <c r="J1138" s="1" t="s">
        <v>39</v>
      </c>
      <c r="K1138" s="1" t="s">
        <v>4771</v>
      </c>
      <c r="L1138" s="1" t="s">
        <v>122</v>
      </c>
      <c r="M1138" s="1" t="s">
        <v>870</v>
      </c>
      <c r="N1138" s="1" t="s">
        <v>76</v>
      </c>
    </row>
    <row r="1139" spans="1:14" x14ac:dyDescent="0.25">
      <c r="A1139" s="1" t="s">
        <v>86</v>
      </c>
      <c r="B1139" s="1" t="s">
        <v>6203</v>
      </c>
      <c r="C1139" s="1" t="s">
        <v>2653</v>
      </c>
      <c r="D1139" s="8" t="s">
        <v>2652</v>
      </c>
      <c r="E1139" s="1" t="s">
        <v>1320</v>
      </c>
      <c r="F1139" s="1" t="s">
        <v>4709</v>
      </c>
      <c r="G1139" s="1" t="s">
        <v>4716</v>
      </c>
      <c r="H1139" s="1" t="s">
        <v>4719</v>
      </c>
      <c r="I1139" s="1" t="s">
        <v>4721</v>
      </c>
      <c r="J1139" s="1" t="s">
        <v>12</v>
      </c>
      <c r="K1139" s="1" t="s">
        <v>4898</v>
      </c>
      <c r="L1139" s="1" t="s">
        <v>1321</v>
      </c>
      <c r="M1139" s="1" t="s">
        <v>630</v>
      </c>
      <c r="N1139" s="1" t="s">
        <v>21</v>
      </c>
    </row>
    <row r="1140" spans="1:14" x14ac:dyDescent="0.25">
      <c r="A1140" s="1" t="s">
        <v>86</v>
      </c>
      <c r="B1140" s="1" t="s">
        <v>5459</v>
      </c>
      <c r="C1140" s="1" t="s">
        <v>4291</v>
      </c>
      <c r="D1140" s="8" t="s">
        <v>4290</v>
      </c>
      <c r="E1140" s="1" t="s">
        <v>123</v>
      </c>
      <c r="F1140" s="1" t="s">
        <v>6455</v>
      </c>
      <c r="G1140" s="1" t="s">
        <v>4717</v>
      </c>
      <c r="H1140" s="1" t="s">
        <v>4719</v>
      </c>
      <c r="I1140" s="1" t="s">
        <v>4721</v>
      </c>
      <c r="J1140" s="1" t="s">
        <v>12</v>
      </c>
      <c r="K1140" s="1" t="s">
        <v>4847</v>
      </c>
      <c r="L1140" s="1" t="s">
        <v>122</v>
      </c>
      <c r="M1140" s="1" t="s">
        <v>58</v>
      </c>
      <c r="N1140" s="1" t="s">
        <v>61</v>
      </c>
    </row>
    <row r="1141" spans="1:14" x14ac:dyDescent="0.25">
      <c r="A1141" s="1" t="s">
        <v>86</v>
      </c>
      <c r="B1141" s="1" t="s">
        <v>6213</v>
      </c>
      <c r="C1141" s="1" t="s">
        <v>2801</v>
      </c>
      <c r="D1141" s="8" t="s">
        <v>2800</v>
      </c>
      <c r="E1141" s="1" t="s">
        <v>840</v>
      </c>
      <c r="F1141" s="1" t="s">
        <v>6448</v>
      </c>
      <c r="G1141" s="1" t="s">
        <v>4716</v>
      </c>
      <c r="H1141" s="1" t="s">
        <v>4719</v>
      </c>
      <c r="I1141" s="1" t="s">
        <v>4722</v>
      </c>
      <c r="J1141" s="1" t="s">
        <v>39</v>
      </c>
      <c r="K1141" s="1" t="s">
        <v>4796</v>
      </c>
      <c r="L1141" s="1" t="s">
        <v>198</v>
      </c>
      <c r="M1141" s="1" t="s">
        <v>89</v>
      </c>
      <c r="N1141" s="1" t="s">
        <v>37</v>
      </c>
    </row>
    <row r="1142" spans="1:14" x14ac:dyDescent="0.25">
      <c r="A1142" s="1" t="s">
        <v>86</v>
      </c>
      <c r="B1142" s="1" t="s">
        <v>5460</v>
      </c>
      <c r="C1142" s="1" t="s">
        <v>1174</v>
      </c>
      <c r="D1142" s="8" t="s">
        <v>1173</v>
      </c>
      <c r="E1142" s="1" t="s">
        <v>1099</v>
      </c>
      <c r="F1142" s="1" t="s">
        <v>4714</v>
      </c>
      <c r="G1142" s="1" t="s">
        <v>4715</v>
      </c>
      <c r="H1142" s="1" t="s">
        <v>4719</v>
      </c>
      <c r="I1142" s="1" t="s">
        <v>4722</v>
      </c>
      <c r="J1142" s="1" t="s">
        <v>39</v>
      </c>
      <c r="K1142" s="1" t="s">
        <v>4777</v>
      </c>
      <c r="L1142" s="1" t="s">
        <v>283</v>
      </c>
      <c r="M1142" s="1" t="s">
        <v>245</v>
      </c>
      <c r="N1142" s="1" t="s">
        <v>21</v>
      </c>
    </row>
    <row r="1143" spans="1:14" x14ac:dyDescent="0.25">
      <c r="A1143" s="1" t="s">
        <v>86</v>
      </c>
      <c r="B1143" s="1" t="s">
        <v>5461</v>
      </c>
      <c r="C1143" s="1" t="s">
        <v>1313</v>
      </c>
      <c r="D1143" s="8" t="s">
        <v>1312</v>
      </c>
      <c r="E1143" s="1" t="s">
        <v>123</v>
      </c>
      <c r="F1143" s="1" t="s">
        <v>6443</v>
      </c>
      <c r="G1143" s="1" t="s">
        <v>4717</v>
      </c>
      <c r="H1143" s="1" t="s">
        <v>4719</v>
      </c>
      <c r="I1143" s="1" t="s">
        <v>4721</v>
      </c>
      <c r="J1143" s="1" t="s">
        <v>12</v>
      </c>
      <c r="K1143" s="1" t="s">
        <v>4795</v>
      </c>
      <c r="L1143" s="1" t="s">
        <v>122</v>
      </c>
      <c r="M1143" s="1" t="s">
        <v>58</v>
      </c>
      <c r="N1143" s="1" t="s">
        <v>61</v>
      </c>
    </row>
    <row r="1144" spans="1:14" x14ac:dyDescent="0.25">
      <c r="A1144" s="1" t="s">
        <v>86</v>
      </c>
      <c r="B1144" s="1" t="s">
        <v>6214</v>
      </c>
      <c r="C1144" s="1" t="s">
        <v>1998</v>
      </c>
      <c r="D1144" s="8" t="s">
        <v>1997</v>
      </c>
      <c r="E1144" s="1" t="s">
        <v>505</v>
      </c>
      <c r="F1144" s="1" t="s">
        <v>6444</v>
      </c>
      <c r="G1144" s="1" t="s">
        <v>4717</v>
      </c>
      <c r="H1144" s="1" t="s">
        <v>4719</v>
      </c>
      <c r="I1144" s="1" t="s">
        <v>4721</v>
      </c>
      <c r="J1144" s="1" t="s">
        <v>12</v>
      </c>
      <c r="K1144" s="1" t="s">
        <v>4797</v>
      </c>
      <c r="L1144" s="1" t="s">
        <v>164</v>
      </c>
      <c r="M1144" s="1" t="s">
        <v>58</v>
      </c>
      <c r="N1144" s="1" t="s">
        <v>61</v>
      </c>
    </row>
    <row r="1145" spans="1:14" x14ac:dyDescent="0.25">
      <c r="A1145" s="1" t="s">
        <v>86</v>
      </c>
      <c r="B1145" s="1" t="s">
        <v>5946</v>
      </c>
      <c r="C1145" s="1" t="s">
        <v>1337</v>
      </c>
      <c r="D1145" s="8" t="s">
        <v>1336</v>
      </c>
      <c r="E1145" s="1" t="s">
        <v>497</v>
      </c>
      <c r="F1145" s="1" t="s">
        <v>4710</v>
      </c>
      <c r="G1145" s="1" t="s">
        <v>4716</v>
      </c>
      <c r="H1145" s="1" t="s">
        <v>4719</v>
      </c>
      <c r="I1145" s="1" t="s">
        <v>4721</v>
      </c>
      <c r="J1145" s="1" t="s">
        <v>12</v>
      </c>
      <c r="K1145" s="1" t="s">
        <v>4799</v>
      </c>
      <c r="L1145" s="1" t="s">
        <v>164</v>
      </c>
      <c r="M1145" s="1" t="s">
        <v>58</v>
      </c>
      <c r="N1145" s="1" t="s">
        <v>61</v>
      </c>
    </row>
    <row r="1146" spans="1:14" x14ac:dyDescent="0.25">
      <c r="A1146" s="1" t="s">
        <v>86</v>
      </c>
      <c r="B1146" s="1" t="s">
        <v>5947</v>
      </c>
      <c r="C1146" s="1" t="s">
        <v>4032</v>
      </c>
      <c r="D1146" s="8" t="s">
        <v>4031</v>
      </c>
      <c r="E1146" s="1" t="s">
        <v>199</v>
      </c>
      <c r="F1146" s="1" t="s">
        <v>4709</v>
      </c>
      <c r="G1146" s="1" t="s">
        <v>4716</v>
      </c>
      <c r="H1146" s="1" t="s">
        <v>4719</v>
      </c>
      <c r="I1146" s="1" t="s">
        <v>4721</v>
      </c>
      <c r="J1146" s="1" t="s">
        <v>12</v>
      </c>
      <c r="K1146" s="1" t="s">
        <v>4796</v>
      </c>
      <c r="L1146" s="1" t="s">
        <v>198</v>
      </c>
      <c r="M1146" s="1" t="s">
        <v>172</v>
      </c>
      <c r="N1146" s="1" t="s">
        <v>17</v>
      </c>
    </row>
    <row r="1147" spans="1:14" x14ac:dyDescent="0.25">
      <c r="A1147" s="1" t="s">
        <v>86</v>
      </c>
      <c r="B1147" s="1" t="s">
        <v>6217</v>
      </c>
      <c r="C1147" s="1" t="s">
        <v>3022</v>
      </c>
      <c r="D1147" s="8" t="s">
        <v>3021</v>
      </c>
      <c r="E1147" s="1" t="s">
        <v>505</v>
      </c>
      <c r="F1147" s="1" t="s">
        <v>6438</v>
      </c>
      <c r="G1147" s="1" t="s">
        <v>4716</v>
      </c>
      <c r="H1147" s="1" t="s">
        <v>4719</v>
      </c>
      <c r="I1147" s="1" t="s">
        <v>4721</v>
      </c>
      <c r="J1147" s="1" t="s">
        <v>12</v>
      </c>
      <c r="K1147" s="1" t="s">
        <v>4783</v>
      </c>
      <c r="L1147" s="1" t="s">
        <v>164</v>
      </c>
      <c r="M1147" s="1" t="s">
        <v>136</v>
      </c>
      <c r="N1147" s="1" t="s">
        <v>72</v>
      </c>
    </row>
    <row r="1148" spans="1:14" x14ac:dyDescent="0.25">
      <c r="A1148" s="1" t="s">
        <v>86</v>
      </c>
      <c r="B1148" s="1" t="s">
        <v>5948</v>
      </c>
      <c r="C1148" s="1" t="s">
        <v>1910</v>
      </c>
      <c r="D1148" s="8" t="s">
        <v>1909</v>
      </c>
      <c r="E1148" s="1" t="s">
        <v>497</v>
      </c>
      <c r="F1148" s="1" t="s">
        <v>4710</v>
      </c>
      <c r="G1148" s="1" t="s">
        <v>4716</v>
      </c>
      <c r="H1148" s="1" t="s">
        <v>4719</v>
      </c>
      <c r="I1148" s="1" t="s">
        <v>4721</v>
      </c>
      <c r="J1148" s="1" t="s">
        <v>12</v>
      </c>
      <c r="K1148" s="1" t="s">
        <v>4766</v>
      </c>
      <c r="L1148" s="1" t="s">
        <v>164</v>
      </c>
      <c r="M1148" s="1" t="s">
        <v>58</v>
      </c>
      <c r="N1148" s="1" t="s">
        <v>61</v>
      </c>
    </row>
    <row r="1149" spans="1:14" x14ac:dyDescent="0.25">
      <c r="A1149" s="1" t="s">
        <v>86</v>
      </c>
      <c r="B1149" s="1" t="s">
        <v>6218</v>
      </c>
      <c r="C1149" s="1" t="s">
        <v>2671</v>
      </c>
      <c r="D1149" s="8" t="s">
        <v>2670</v>
      </c>
      <c r="E1149" s="1" t="s">
        <v>88</v>
      </c>
      <c r="F1149" s="1" t="s">
        <v>4709</v>
      </c>
      <c r="G1149" s="1" t="s">
        <v>4716</v>
      </c>
      <c r="H1149" s="1" t="s">
        <v>4719</v>
      </c>
      <c r="I1149" s="1" t="s">
        <v>4721</v>
      </c>
      <c r="J1149" s="1" t="s">
        <v>12</v>
      </c>
      <c r="K1149" s="1" t="s">
        <v>4796</v>
      </c>
      <c r="L1149" s="1" t="s">
        <v>87</v>
      </c>
      <c r="M1149" s="1" t="s">
        <v>637</v>
      </c>
      <c r="N1149" s="1" t="s">
        <v>19</v>
      </c>
    </row>
    <row r="1150" spans="1:14" x14ac:dyDescent="0.25">
      <c r="A1150" s="1" t="s">
        <v>86</v>
      </c>
      <c r="B1150" s="1" t="s">
        <v>6219</v>
      </c>
      <c r="C1150" s="1" t="s">
        <v>121</v>
      </c>
      <c r="D1150" s="8" t="s">
        <v>120</v>
      </c>
      <c r="E1150" s="1" t="s">
        <v>123</v>
      </c>
      <c r="F1150" s="1" t="s">
        <v>4711</v>
      </c>
      <c r="G1150" s="1" t="s">
        <v>4715</v>
      </c>
      <c r="H1150" s="1" t="s">
        <v>4719</v>
      </c>
      <c r="I1150" s="1" t="s">
        <v>4721</v>
      </c>
      <c r="J1150" s="1" t="s">
        <v>39</v>
      </c>
      <c r="K1150" s="1" t="s">
        <v>4784</v>
      </c>
      <c r="L1150" s="1" t="s">
        <v>122</v>
      </c>
      <c r="M1150" s="1" t="s">
        <v>711</v>
      </c>
      <c r="N1150" s="1" t="s">
        <v>126</v>
      </c>
    </row>
    <row r="1151" spans="1:14" x14ac:dyDescent="0.25">
      <c r="A1151" s="1" t="s">
        <v>86</v>
      </c>
      <c r="B1151" s="1" t="s">
        <v>6222</v>
      </c>
      <c r="C1151" s="1" t="s">
        <v>1958</v>
      </c>
      <c r="D1151" s="8" t="s">
        <v>1956</v>
      </c>
      <c r="E1151" s="1" t="s">
        <v>123</v>
      </c>
      <c r="F1151" s="1" t="s">
        <v>6444</v>
      </c>
      <c r="G1151" s="1" t="s">
        <v>4717</v>
      </c>
      <c r="H1151" s="1" t="s">
        <v>4719</v>
      </c>
      <c r="I1151" s="1" t="s">
        <v>4721</v>
      </c>
      <c r="J1151" s="1" t="s">
        <v>12</v>
      </c>
      <c r="K1151" s="1" t="s">
        <v>4797</v>
      </c>
      <c r="L1151" s="1" t="s">
        <v>122</v>
      </c>
      <c r="M1151" s="1" t="s">
        <v>58</v>
      </c>
      <c r="N1151" s="1" t="s">
        <v>61</v>
      </c>
    </row>
    <row r="1152" spans="1:14" x14ac:dyDescent="0.25">
      <c r="A1152" s="1" t="s">
        <v>86</v>
      </c>
      <c r="B1152" s="1" t="s">
        <v>5951</v>
      </c>
      <c r="C1152" s="1" t="s">
        <v>1019</v>
      </c>
      <c r="D1152" s="8" t="s">
        <v>1018</v>
      </c>
      <c r="E1152" s="1" t="s">
        <v>205</v>
      </c>
      <c r="F1152" s="1" t="s">
        <v>6434</v>
      </c>
      <c r="G1152" s="1" t="s">
        <v>4715</v>
      </c>
      <c r="H1152" s="1" t="s">
        <v>4719</v>
      </c>
      <c r="I1152" s="1" t="s">
        <v>4721</v>
      </c>
      <c r="J1152" s="1" t="s">
        <v>12</v>
      </c>
      <c r="K1152" s="1" t="s">
        <v>4784</v>
      </c>
      <c r="L1152" s="1" t="s">
        <v>122</v>
      </c>
      <c r="M1152" s="1" t="s">
        <v>58</v>
      </c>
      <c r="N1152" s="1" t="s">
        <v>61</v>
      </c>
    </row>
    <row r="1153" spans="1:14" x14ac:dyDescent="0.25">
      <c r="A1153" s="1" t="s">
        <v>86</v>
      </c>
      <c r="B1153" s="1" t="s">
        <v>5952</v>
      </c>
      <c r="C1153" s="1" t="s">
        <v>3213</v>
      </c>
      <c r="D1153" s="8" t="s">
        <v>3211</v>
      </c>
      <c r="E1153" s="1" t="s">
        <v>205</v>
      </c>
      <c r="F1153" s="1" t="s">
        <v>6445</v>
      </c>
      <c r="G1153" s="1" t="s">
        <v>4717</v>
      </c>
      <c r="H1153" s="1" t="s">
        <v>4719</v>
      </c>
      <c r="I1153" s="1" t="s">
        <v>4721</v>
      </c>
      <c r="J1153" s="1" t="s">
        <v>39</v>
      </c>
      <c r="K1153" s="1" t="s">
        <v>4782</v>
      </c>
      <c r="L1153" s="1" t="s">
        <v>122</v>
      </c>
      <c r="M1153" s="1" t="s">
        <v>89</v>
      </c>
      <c r="N1153" s="1" t="s">
        <v>37</v>
      </c>
    </row>
    <row r="1154" spans="1:14" x14ac:dyDescent="0.25">
      <c r="A1154" s="1" t="s">
        <v>86</v>
      </c>
      <c r="B1154" s="1" t="s">
        <v>5955</v>
      </c>
      <c r="C1154" s="1" t="s">
        <v>4072</v>
      </c>
      <c r="D1154" s="8" t="s">
        <v>4071</v>
      </c>
      <c r="E1154" s="1" t="s">
        <v>123</v>
      </c>
      <c r="F1154" s="1" t="s">
        <v>4711</v>
      </c>
      <c r="G1154" s="1" t="s">
        <v>4715</v>
      </c>
      <c r="H1154" s="1" t="s">
        <v>4719</v>
      </c>
      <c r="I1154" s="1" t="s">
        <v>4721</v>
      </c>
      <c r="J1154" s="1" t="s">
        <v>12</v>
      </c>
      <c r="K1154" s="1" t="s">
        <v>4771</v>
      </c>
      <c r="L1154" s="1" t="s">
        <v>122</v>
      </c>
      <c r="M1154" s="1" t="s">
        <v>245</v>
      </c>
      <c r="N1154" s="1" t="s">
        <v>21</v>
      </c>
    </row>
    <row r="1155" spans="1:14" x14ac:dyDescent="0.25">
      <c r="A1155" s="1" t="s">
        <v>86</v>
      </c>
      <c r="B1155" s="1" t="s">
        <v>6226</v>
      </c>
      <c r="C1155" s="1" t="s">
        <v>2897</v>
      </c>
      <c r="D1155" s="8" t="s">
        <v>2896</v>
      </c>
      <c r="E1155" s="1" t="s">
        <v>505</v>
      </c>
      <c r="F1155" s="1" t="s">
        <v>4708</v>
      </c>
      <c r="G1155" s="1" t="s">
        <v>4716</v>
      </c>
      <c r="H1155" s="1" t="s">
        <v>4719</v>
      </c>
      <c r="I1155" s="1" t="s">
        <v>4721</v>
      </c>
      <c r="J1155" s="1" t="s">
        <v>12</v>
      </c>
      <c r="K1155" s="1" t="s">
        <v>4785</v>
      </c>
      <c r="L1155" s="1" t="s">
        <v>164</v>
      </c>
      <c r="M1155" s="1" t="s">
        <v>89</v>
      </c>
      <c r="N1155" s="1" t="s">
        <v>37</v>
      </c>
    </row>
    <row r="1156" spans="1:14" x14ac:dyDescent="0.25">
      <c r="A1156" s="1" t="s">
        <v>86</v>
      </c>
      <c r="B1156" s="1" t="s">
        <v>6228</v>
      </c>
      <c r="C1156" s="1" t="s">
        <v>1936</v>
      </c>
      <c r="D1156" s="8" t="s">
        <v>1935</v>
      </c>
      <c r="E1156" s="1" t="s">
        <v>205</v>
      </c>
      <c r="F1156" s="1" t="s">
        <v>6439</v>
      </c>
      <c r="G1156" s="1" t="s">
        <v>4715</v>
      </c>
      <c r="H1156" s="1" t="s">
        <v>4719</v>
      </c>
      <c r="I1156" s="1" t="s">
        <v>4721</v>
      </c>
      <c r="J1156" s="1" t="s">
        <v>12</v>
      </c>
      <c r="K1156" s="1" t="s">
        <v>4770</v>
      </c>
      <c r="L1156" s="1" t="s">
        <v>122</v>
      </c>
      <c r="M1156" s="1" t="s">
        <v>149</v>
      </c>
      <c r="N1156" s="1" t="s">
        <v>61</v>
      </c>
    </row>
    <row r="1157" spans="1:14" x14ac:dyDescent="0.25">
      <c r="A1157" s="1" t="s">
        <v>86</v>
      </c>
      <c r="B1157" s="1" t="s">
        <v>5956</v>
      </c>
      <c r="C1157" s="1" t="s">
        <v>85</v>
      </c>
      <c r="D1157" s="8" t="s">
        <v>84</v>
      </c>
      <c r="E1157" s="1" t="s">
        <v>88</v>
      </c>
      <c r="F1157" s="1" t="s">
        <v>4709</v>
      </c>
      <c r="G1157" s="1" t="s">
        <v>4716</v>
      </c>
      <c r="H1157" s="1" t="s">
        <v>4719</v>
      </c>
      <c r="I1157" s="1" t="s">
        <v>4721</v>
      </c>
      <c r="J1157" s="1" t="s">
        <v>12</v>
      </c>
      <c r="K1157" s="1" t="s">
        <v>4796</v>
      </c>
      <c r="L1157" s="1" t="s">
        <v>87</v>
      </c>
      <c r="M1157" s="1" t="s">
        <v>58</v>
      </c>
      <c r="N1157" s="1" t="s">
        <v>61</v>
      </c>
    </row>
    <row r="1158" spans="1:14" x14ac:dyDescent="0.25">
      <c r="A1158" s="1" t="s">
        <v>86</v>
      </c>
      <c r="B1158" s="1" t="s">
        <v>6229</v>
      </c>
      <c r="C1158" s="1" t="s">
        <v>593</v>
      </c>
      <c r="D1158" s="8" t="s">
        <v>592</v>
      </c>
      <c r="E1158" s="1" t="s">
        <v>594</v>
      </c>
      <c r="F1158" s="1" t="s">
        <v>6437</v>
      </c>
      <c r="G1158" s="1" t="s">
        <v>4715</v>
      </c>
      <c r="H1158" s="1" t="s">
        <v>4719</v>
      </c>
      <c r="I1158" s="1" t="s">
        <v>4721</v>
      </c>
      <c r="J1158" s="1" t="s">
        <v>12</v>
      </c>
      <c r="K1158" s="1" t="s">
        <v>4765</v>
      </c>
      <c r="L1158" s="1" t="s">
        <v>122</v>
      </c>
      <c r="M1158" s="1" t="s">
        <v>99</v>
      </c>
      <c r="N1158" s="1" t="s">
        <v>25</v>
      </c>
    </row>
    <row r="1159" spans="1:14" x14ac:dyDescent="0.25">
      <c r="A1159" s="1" t="s">
        <v>86</v>
      </c>
      <c r="B1159" s="1" t="s">
        <v>5959</v>
      </c>
      <c r="C1159" s="1" t="s">
        <v>1871</v>
      </c>
      <c r="D1159" s="8" t="s">
        <v>1870</v>
      </c>
      <c r="E1159" s="1" t="s">
        <v>1099</v>
      </c>
      <c r="F1159" s="1" t="s">
        <v>4714</v>
      </c>
      <c r="G1159" s="1" t="s">
        <v>4715</v>
      </c>
      <c r="H1159" s="1" t="s">
        <v>4719</v>
      </c>
      <c r="I1159" s="1" t="s">
        <v>4721</v>
      </c>
      <c r="J1159" s="1" t="s">
        <v>12</v>
      </c>
      <c r="K1159" s="1" t="s">
        <v>4777</v>
      </c>
      <c r="L1159" s="1" t="s">
        <v>283</v>
      </c>
      <c r="M1159" s="1" t="s">
        <v>89</v>
      </c>
      <c r="N1159" s="1" t="s">
        <v>37</v>
      </c>
    </row>
    <row r="1160" spans="1:14" x14ac:dyDescent="0.25">
      <c r="A1160" s="1" t="s">
        <v>86</v>
      </c>
      <c r="B1160" s="1" t="s">
        <v>5960</v>
      </c>
      <c r="C1160" s="1" t="s">
        <v>3828</v>
      </c>
      <c r="D1160" s="8" t="s">
        <v>3827</v>
      </c>
      <c r="E1160" s="1" t="s">
        <v>205</v>
      </c>
      <c r="F1160" s="1" t="s">
        <v>6439</v>
      </c>
      <c r="G1160" s="1" t="s">
        <v>4715</v>
      </c>
      <c r="H1160" s="1" t="s">
        <v>4719</v>
      </c>
      <c r="I1160" s="1" t="s">
        <v>4721</v>
      </c>
      <c r="J1160" s="1" t="s">
        <v>12</v>
      </c>
      <c r="K1160" s="1" t="s">
        <v>4771</v>
      </c>
      <c r="L1160" s="1" t="s">
        <v>122</v>
      </c>
      <c r="M1160" s="1" t="s">
        <v>245</v>
      </c>
      <c r="N1160" s="1" t="s">
        <v>21</v>
      </c>
    </row>
    <row r="1161" spans="1:14" x14ac:dyDescent="0.25">
      <c r="A1161" s="1" t="s">
        <v>86</v>
      </c>
      <c r="B1161" s="1" t="s">
        <v>5961</v>
      </c>
      <c r="C1161" s="1" t="s">
        <v>3070</v>
      </c>
      <c r="D1161" s="8" t="s">
        <v>3069</v>
      </c>
      <c r="E1161" s="1" t="s">
        <v>540</v>
      </c>
      <c r="F1161" s="1" t="s">
        <v>6437</v>
      </c>
      <c r="G1161" s="1" t="s">
        <v>4715</v>
      </c>
      <c r="H1161" s="1" t="s">
        <v>4719</v>
      </c>
      <c r="I1161" s="1" t="s">
        <v>4721</v>
      </c>
      <c r="J1161" s="1" t="s">
        <v>12</v>
      </c>
      <c r="K1161" s="1" t="s">
        <v>4765</v>
      </c>
      <c r="L1161" s="1" t="s">
        <v>283</v>
      </c>
      <c r="M1161" s="1" t="s">
        <v>99</v>
      </c>
      <c r="N1161" s="1" t="s">
        <v>25</v>
      </c>
    </row>
    <row r="1162" spans="1:14" x14ac:dyDescent="0.25">
      <c r="A1162" s="1" t="s">
        <v>86</v>
      </c>
      <c r="B1162" s="1" t="s">
        <v>6230</v>
      </c>
      <c r="C1162" s="1" t="s">
        <v>3665</v>
      </c>
      <c r="D1162" s="8" t="s">
        <v>3664</v>
      </c>
      <c r="E1162" s="1" t="s">
        <v>284</v>
      </c>
      <c r="F1162" s="1" t="s">
        <v>6440</v>
      </c>
      <c r="G1162" s="1" t="s">
        <v>4716</v>
      </c>
      <c r="H1162" s="1" t="s">
        <v>4719</v>
      </c>
      <c r="I1162" s="1" t="s">
        <v>4721</v>
      </c>
      <c r="J1162" s="1" t="s">
        <v>12</v>
      </c>
      <c r="K1162" s="1" t="s">
        <v>4887</v>
      </c>
      <c r="L1162" s="1" t="s">
        <v>283</v>
      </c>
      <c r="M1162" s="1" t="s">
        <v>172</v>
      </c>
      <c r="N1162" s="1" t="s">
        <v>17</v>
      </c>
    </row>
    <row r="1163" spans="1:14" x14ac:dyDescent="0.25">
      <c r="A1163" s="1" t="s">
        <v>86</v>
      </c>
      <c r="B1163" s="1" t="s">
        <v>6232</v>
      </c>
      <c r="C1163" s="1" t="s">
        <v>3809</v>
      </c>
      <c r="D1163" s="8" t="s">
        <v>3808</v>
      </c>
      <c r="E1163" s="1" t="s">
        <v>165</v>
      </c>
      <c r="F1163" s="1" t="s">
        <v>6444</v>
      </c>
      <c r="G1163" s="1" t="s">
        <v>4717</v>
      </c>
      <c r="H1163" s="1" t="s">
        <v>4719</v>
      </c>
      <c r="I1163" s="1" t="s">
        <v>4721</v>
      </c>
      <c r="J1163" s="1" t="s">
        <v>12</v>
      </c>
      <c r="K1163" s="1" t="s">
        <v>4797</v>
      </c>
      <c r="L1163" s="1" t="s">
        <v>164</v>
      </c>
      <c r="M1163" s="1" t="s">
        <v>58</v>
      </c>
      <c r="N1163" s="1" t="s">
        <v>61</v>
      </c>
    </row>
    <row r="1164" spans="1:14" x14ac:dyDescent="0.25">
      <c r="A1164" s="1" t="s">
        <v>86</v>
      </c>
      <c r="B1164" s="1" t="s">
        <v>6235</v>
      </c>
      <c r="C1164" s="1" t="s">
        <v>2265</v>
      </c>
      <c r="D1164" s="8" t="s">
        <v>2264</v>
      </c>
      <c r="E1164" s="1" t="s">
        <v>88</v>
      </c>
      <c r="F1164" s="1" t="s">
        <v>4709</v>
      </c>
      <c r="G1164" s="1" t="s">
        <v>4716</v>
      </c>
      <c r="H1164" s="1" t="s">
        <v>4719</v>
      </c>
      <c r="I1164" s="1" t="s">
        <v>4721</v>
      </c>
      <c r="J1164" s="1" t="s">
        <v>12</v>
      </c>
      <c r="K1164" s="1" t="s">
        <v>4796</v>
      </c>
      <c r="L1164" s="1" t="s">
        <v>87</v>
      </c>
      <c r="M1164" s="1" t="s">
        <v>1350</v>
      </c>
      <c r="N1164" s="1" t="s">
        <v>126</v>
      </c>
    </row>
    <row r="1165" spans="1:14" x14ac:dyDescent="0.25">
      <c r="A1165" s="1" t="s">
        <v>86</v>
      </c>
      <c r="B1165" s="1" t="s">
        <v>6239</v>
      </c>
      <c r="C1165" s="1" t="s">
        <v>1451</v>
      </c>
      <c r="D1165" s="8" t="s">
        <v>1450</v>
      </c>
      <c r="E1165" s="1" t="s">
        <v>590</v>
      </c>
      <c r="F1165" s="1" t="s">
        <v>4712</v>
      </c>
      <c r="G1165" s="1" t="s">
        <v>4717</v>
      </c>
      <c r="H1165" s="1" t="s">
        <v>4719</v>
      </c>
      <c r="I1165" s="1" t="s">
        <v>4721</v>
      </c>
      <c r="J1165" s="1" t="s">
        <v>12</v>
      </c>
      <c r="K1165" s="1" t="s">
        <v>4849</v>
      </c>
      <c r="L1165" s="1" t="s">
        <v>122</v>
      </c>
      <c r="M1165" s="1" t="s">
        <v>58</v>
      </c>
      <c r="N1165" s="1" t="s">
        <v>61</v>
      </c>
    </row>
    <row r="1166" spans="1:14" x14ac:dyDescent="0.25">
      <c r="A1166" s="1" t="s">
        <v>86</v>
      </c>
      <c r="B1166" s="1" t="s">
        <v>5969</v>
      </c>
      <c r="C1166" s="1" t="s">
        <v>2903</v>
      </c>
      <c r="D1166" s="8" t="s">
        <v>2902</v>
      </c>
      <c r="E1166" s="1" t="s">
        <v>497</v>
      </c>
      <c r="F1166" s="1" t="s">
        <v>6438</v>
      </c>
      <c r="G1166" s="1" t="s">
        <v>4716</v>
      </c>
      <c r="H1166" s="1" t="s">
        <v>4719</v>
      </c>
      <c r="I1166" s="1" t="s">
        <v>4721</v>
      </c>
      <c r="J1166" s="1" t="s">
        <v>12</v>
      </c>
      <c r="K1166" s="1" t="s">
        <v>4783</v>
      </c>
      <c r="L1166" s="1" t="s">
        <v>164</v>
      </c>
      <c r="M1166" s="1" t="s">
        <v>136</v>
      </c>
      <c r="N1166" s="1" t="s">
        <v>72</v>
      </c>
    </row>
    <row r="1167" spans="1:14" x14ac:dyDescent="0.25">
      <c r="A1167" s="1" t="s">
        <v>86</v>
      </c>
      <c r="B1167" s="1" t="s">
        <v>5975</v>
      </c>
      <c r="C1167" s="1" t="s">
        <v>1488</v>
      </c>
      <c r="D1167" s="8" t="s">
        <v>1487</v>
      </c>
      <c r="E1167" s="1" t="s">
        <v>817</v>
      </c>
      <c r="F1167" s="1" t="s">
        <v>4713</v>
      </c>
      <c r="G1167" s="1" t="s">
        <v>4716</v>
      </c>
      <c r="H1167" s="1" t="s">
        <v>4719</v>
      </c>
      <c r="I1167" s="1" t="s">
        <v>4721</v>
      </c>
      <c r="J1167" s="1" t="s">
        <v>12</v>
      </c>
      <c r="K1167" s="1" t="s">
        <v>4802</v>
      </c>
      <c r="L1167" s="1" t="s">
        <v>217</v>
      </c>
      <c r="M1167" s="1" t="s">
        <v>89</v>
      </c>
      <c r="N1167" s="1" t="s">
        <v>37</v>
      </c>
    </row>
    <row r="1168" spans="1:14" x14ac:dyDescent="0.25">
      <c r="A1168" s="1" t="s">
        <v>86</v>
      </c>
      <c r="B1168" s="1" t="s">
        <v>6248</v>
      </c>
      <c r="C1168" s="1" t="s">
        <v>2699</v>
      </c>
      <c r="D1168" s="8" t="s">
        <v>2698</v>
      </c>
      <c r="E1168" s="1" t="s">
        <v>123</v>
      </c>
      <c r="F1168" s="1" t="s">
        <v>4711</v>
      </c>
      <c r="G1168" s="1" t="s">
        <v>4715</v>
      </c>
      <c r="H1168" s="1" t="s">
        <v>4719</v>
      </c>
      <c r="I1168" s="1" t="s">
        <v>4721</v>
      </c>
      <c r="J1168" s="1" t="s">
        <v>12</v>
      </c>
      <c r="K1168" s="1" t="s">
        <v>4771</v>
      </c>
      <c r="L1168" s="1" t="s">
        <v>122</v>
      </c>
      <c r="M1168" s="1" t="s">
        <v>245</v>
      </c>
      <c r="N1168" s="1" t="s">
        <v>21</v>
      </c>
    </row>
    <row r="1169" spans="1:14" x14ac:dyDescent="0.25">
      <c r="A1169" s="1" t="s">
        <v>86</v>
      </c>
      <c r="B1169" s="1" t="s">
        <v>6249</v>
      </c>
      <c r="C1169" s="1" t="s">
        <v>3445</v>
      </c>
      <c r="D1169" s="8" t="s">
        <v>3444</v>
      </c>
      <c r="E1169" s="1" t="s">
        <v>165</v>
      </c>
      <c r="F1169" s="1" t="s">
        <v>6440</v>
      </c>
      <c r="G1169" s="1" t="s">
        <v>4716</v>
      </c>
      <c r="H1169" s="1" t="s">
        <v>4719</v>
      </c>
      <c r="I1169" s="1" t="s">
        <v>4721</v>
      </c>
      <c r="J1169" s="1" t="s">
        <v>12</v>
      </c>
      <c r="K1169" s="1" t="s">
        <v>4887</v>
      </c>
      <c r="L1169" s="1" t="s">
        <v>164</v>
      </c>
      <c r="M1169" s="1" t="s">
        <v>172</v>
      </c>
      <c r="N1169" s="1" t="s">
        <v>17</v>
      </c>
    </row>
    <row r="1170" spans="1:14" x14ac:dyDescent="0.25">
      <c r="A1170" s="1" t="s">
        <v>86</v>
      </c>
      <c r="B1170" s="1" t="s">
        <v>5978</v>
      </c>
      <c r="C1170" s="1" t="s">
        <v>2735</v>
      </c>
      <c r="D1170" s="8" t="s">
        <v>2734</v>
      </c>
      <c r="E1170" s="1" t="s">
        <v>123</v>
      </c>
      <c r="F1170" s="1" t="s">
        <v>4711</v>
      </c>
      <c r="G1170" s="1" t="s">
        <v>4715</v>
      </c>
      <c r="H1170" s="1" t="s">
        <v>4719</v>
      </c>
      <c r="I1170" s="1" t="s">
        <v>4721</v>
      </c>
      <c r="J1170" s="1" t="s">
        <v>12</v>
      </c>
      <c r="K1170" s="1" t="s">
        <v>4771</v>
      </c>
      <c r="L1170" s="1" t="s">
        <v>122</v>
      </c>
      <c r="M1170" s="1" t="s">
        <v>245</v>
      </c>
      <c r="N1170" s="1" t="s">
        <v>21</v>
      </c>
    </row>
    <row r="1171" spans="1:14" x14ac:dyDescent="0.25">
      <c r="A1171" s="1" t="s">
        <v>86</v>
      </c>
      <c r="B1171" s="1" t="s">
        <v>6250</v>
      </c>
      <c r="C1171" s="1" t="s">
        <v>413</v>
      </c>
      <c r="D1171" s="8" t="s">
        <v>412</v>
      </c>
      <c r="E1171" s="1" t="s">
        <v>211</v>
      </c>
      <c r="F1171" s="1" t="s">
        <v>6435</v>
      </c>
      <c r="G1171" s="1" t="s">
        <v>4716</v>
      </c>
      <c r="H1171" s="1" t="s">
        <v>4719</v>
      </c>
      <c r="I1171" s="1" t="s">
        <v>4721</v>
      </c>
      <c r="J1171" s="1" t="s">
        <v>12</v>
      </c>
      <c r="K1171" s="1" t="s">
        <v>4820</v>
      </c>
      <c r="L1171" s="1" t="s">
        <v>210</v>
      </c>
      <c r="M1171" s="1" t="s">
        <v>89</v>
      </c>
      <c r="N1171" s="1" t="s">
        <v>37</v>
      </c>
    </row>
    <row r="1172" spans="1:14" x14ac:dyDescent="0.25">
      <c r="A1172" s="1" t="s">
        <v>86</v>
      </c>
      <c r="B1172" s="1" t="s">
        <v>6251</v>
      </c>
      <c r="C1172" s="1" t="s">
        <v>1868</v>
      </c>
      <c r="D1172" s="8" t="s">
        <v>1867</v>
      </c>
      <c r="E1172" s="1" t="s">
        <v>298</v>
      </c>
      <c r="F1172" s="1" t="s">
        <v>6435</v>
      </c>
      <c r="G1172" s="1" t="s">
        <v>4716</v>
      </c>
      <c r="H1172" s="1" t="s">
        <v>4719</v>
      </c>
      <c r="I1172" s="1" t="s">
        <v>4721</v>
      </c>
      <c r="J1172" s="1" t="s">
        <v>12</v>
      </c>
      <c r="K1172" s="1" t="s">
        <v>4794</v>
      </c>
      <c r="L1172" s="1" t="s">
        <v>210</v>
      </c>
      <c r="M1172" s="1" t="s">
        <v>245</v>
      </c>
      <c r="N1172" s="1" t="s">
        <v>21</v>
      </c>
    </row>
    <row r="1173" spans="1:14" x14ac:dyDescent="0.25">
      <c r="A1173" s="1" t="s">
        <v>86</v>
      </c>
      <c r="B1173" s="1" t="s">
        <v>6253</v>
      </c>
      <c r="C1173" s="1" t="s">
        <v>717</v>
      </c>
      <c r="D1173" s="8" t="s">
        <v>716</v>
      </c>
      <c r="E1173" s="1" t="s">
        <v>123</v>
      </c>
      <c r="F1173" s="1" t="s">
        <v>6443</v>
      </c>
      <c r="G1173" s="1" t="s">
        <v>4717</v>
      </c>
      <c r="H1173" s="1" t="s">
        <v>4719</v>
      </c>
      <c r="I1173" s="1" t="s">
        <v>4721</v>
      </c>
      <c r="J1173" s="1" t="s">
        <v>12</v>
      </c>
      <c r="K1173" s="1" t="s">
        <v>4795</v>
      </c>
      <c r="L1173" s="1" t="s">
        <v>122</v>
      </c>
      <c r="M1173" s="1" t="s">
        <v>58</v>
      </c>
      <c r="N1173" s="1" t="s">
        <v>61</v>
      </c>
    </row>
    <row r="1174" spans="1:14" x14ac:dyDescent="0.25">
      <c r="A1174" s="1" t="s">
        <v>86</v>
      </c>
      <c r="B1174" s="1" t="s">
        <v>6255</v>
      </c>
      <c r="C1174" s="1" t="s">
        <v>2316</v>
      </c>
      <c r="D1174" s="8" t="s">
        <v>2315</v>
      </c>
      <c r="E1174" s="1" t="s">
        <v>88</v>
      </c>
      <c r="F1174" s="1" t="s">
        <v>4709</v>
      </c>
      <c r="G1174" s="1" t="s">
        <v>4716</v>
      </c>
      <c r="H1174" s="1" t="s">
        <v>4719</v>
      </c>
      <c r="I1174" s="1" t="s">
        <v>4721</v>
      </c>
      <c r="J1174" s="1" t="s">
        <v>12</v>
      </c>
      <c r="K1174" s="1" t="s">
        <v>4796</v>
      </c>
      <c r="L1174" s="1" t="s">
        <v>87</v>
      </c>
      <c r="M1174" s="1" t="s">
        <v>99</v>
      </c>
      <c r="N1174" s="1" t="s">
        <v>25</v>
      </c>
    </row>
    <row r="1175" spans="1:14" x14ac:dyDescent="0.25">
      <c r="A1175" s="1" t="s">
        <v>86</v>
      </c>
      <c r="B1175" s="1" t="s">
        <v>6257</v>
      </c>
      <c r="C1175" s="1" t="s">
        <v>1121</v>
      </c>
      <c r="D1175" s="8" t="s">
        <v>1120</v>
      </c>
      <c r="E1175" s="1" t="s">
        <v>325</v>
      </c>
      <c r="F1175" s="1" t="s">
        <v>4714</v>
      </c>
      <c r="G1175" s="1" t="s">
        <v>4715</v>
      </c>
      <c r="H1175" s="1" t="s">
        <v>4719</v>
      </c>
      <c r="I1175" s="1" t="s">
        <v>4722</v>
      </c>
      <c r="J1175" s="1" t="s">
        <v>39</v>
      </c>
      <c r="K1175" s="1" t="s">
        <v>4777</v>
      </c>
      <c r="L1175" s="1" t="s">
        <v>283</v>
      </c>
      <c r="M1175" s="1" t="s">
        <v>245</v>
      </c>
      <c r="N1175" s="1" t="s">
        <v>21</v>
      </c>
    </row>
    <row r="1176" spans="1:14" x14ac:dyDescent="0.25">
      <c r="A1176" s="1" t="s">
        <v>86</v>
      </c>
      <c r="B1176" s="1" t="s">
        <v>5984</v>
      </c>
      <c r="C1176" s="1" t="s">
        <v>3209</v>
      </c>
      <c r="D1176" s="8" t="s">
        <v>3208</v>
      </c>
      <c r="E1176" s="1" t="s">
        <v>165</v>
      </c>
      <c r="F1176" s="1" t="s">
        <v>6441</v>
      </c>
      <c r="G1176" s="1" t="s">
        <v>4717</v>
      </c>
      <c r="H1176" s="1" t="s">
        <v>4719</v>
      </c>
      <c r="I1176" s="1" t="s">
        <v>4721</v>
      </c>
      <c r="J1176" s="1" t="s">
        <v>12</v>
      </c>
      <c r="K1176" s="1" t="s">
        <v>4849</v>
      </c>
      <c r="L1176" s="1" t="s">
        <v>164</v>
      </c>
      <c r="M1176" s="1" t="s">
        <v>58</v>
      </c>
      <c r="N1176" s="1" t="s">
        <v>61</v>
      </c>
    </row>
    <row r="1177" spans="1:14" x14ac:dyDescent="0.25">
      <c r="A1177" s="1" t="s">
        <v>86</v>
      </c>
      <c r="B1177" s="1" t="s">
        <v>6258</v>
      </c>
      <c r="C1177" s="1" t="s">
        <v>3255</v>
      </c>
      <c r="D1177" s="8" t="s">
        <v>3254</v>
      </c>
      <c r="E1177" s="1" t="s">
        <v>123</v>
      </c>
      <c r="F1177" s="1" t="s">
        <v>6445</v>
      </c>
      <c r="G1177" s="1" t="s">
        <v>4717</v>
      </c>
      <c r="H1177" s="1" t="s">
        <v>4719</v>
      </c>
      <c r="I1177" s="1" t="s">
        <v>4721</v>
      </c>
      <c r="J1177" s="1" t="s">
        <v>12</v>
      </c>
      <c r="K1177" s="1" t="s">
        <v>4782</v>
      </c>
      <c r="L1177" s="1" t="s">
        <v>122</v>
      </c>
      <c r="M1177" s="1" t="s">
        <v>58</v>
      </c>
      <c r="N1177" s="1" t="s">
        <v>61</v>
      </c>
    </row>
    <row r="1178" spans="1:14" x14ac:dyDescent="0.25">
      <c r="A1178" s="1" t="s">
        <v>86</v>
      </c>
      <c r="B1178" s="1" t="s">
        <v>6262</v>
      </c>
      <c r="C1178" s="1" t="s">
        <v>1118</v>
      </c>
      <c r="D1178" s="8" t="s">
        <v>1117</v>
      </c>
      <c r="E1178" s="1" t="s">
        <v>325</v>
      </c>
      <c r="F1178" s="1" t="s">
        <v>4714</v>
      </c>
      <c r="G1178" s="1" t="s">
        <v>4715</v>
      </c>
      <c r="H1178" s="1" t="s">
        <v>4719</v>
      </c>
      <c r="I1178" s="1" t="s">
        <v>4721</v>
      </c>
      <c r="J1178" s="1" t="s">
        <v>12</v>
      </c>
      <c r="K1178" s="1" t="s">
        <v>4777</v>
      </c>
      <c r="L1178" s="1" t="s">
        <v>283</v>
      </c>
      <c r="M1178" s="1" t="s">
        <v>245</v>
      </c>
      <c r="N1178" s="1" t="s">
        <v>21</v>
      </c>
    </row>
    <row r="1179" spans="1:14" x14ac:dyDescent="0.25">
      <c r="A1179" s="1" t="s">
        <v>86</v>
      </c>
      <c r="B1179" s="1" t="s">
        <v>5987</v>
      </c>
      <c r="C1179" s="1" t="s">
        <v>320</v>
      </c>
      <c r="D1179" s="8" t="s">
        <v>319</v>
      </c>
      <c r="E1179" s="1" t="s">
        <v>298</v>
      </c>
      <c r="F1179" s="1" t="s">
        <v>6438</v>
      </c>
      <c r="G1179" s="1" t="s">
        <v>4716</v>
      </c>
      <c r="H1179" s="1" t="s">
        <v>4719</v>
      </c>
      <c r="I1179" s="1" t="s">
        <v>4721</v>
      </c>
      <c r="J1179" s="1" t="s">
        <v>12</v>
      </c>
      <c r="K1179" s="1" t="s">
        <v>4783</v>
      </c>
      <c r="L1179" s="1" t="s">
        <v>210</v>
      </c>
      <c r="M1179" s="1" t="s">
        <v>136</v>
      </c>
      <c r="N1179" s="1" t="s">
        <v>72</v>
      </c>
    </row>
    <row r="1180" spans="1:14" x14ac:dyDescent="0.25">
      <c r="A1180" s="1" t="s">
        <v>86</v>
      </c>
      <c r="B1180" s="1" t="s">
        <v>5988</v>
      </c>
      <c r="C1180" s="1" t="s">
        <v>1804</v>
      </c>
      <c r="D1180" s="8" t="s">
        <v>1803</v>
      </c>
      <c r="E1180" s="1" t="s">
        <v>1099</v>
      </c>
      <c r="F1180" s="1" t="s">
        <v>4714</v>
      </c>
      <c r="G1180" s="1" t="s">
        <v>4715</v>
      </c>
      <c r="H1180" s="1" t="s">
        <v>4719</v>
      </c>
      <c r="I1180" s="1" t="s">
        <v>4721</v>
      </c>
      <c r="J1180" s="1" t="s">
        <v>12</v>
      </c>
      <c r="K1180" s="1" t="s">
        <v>4777</v>
      </c>
      <c r="L1180" s="1" t="s">
        <v>283</v>
      </c>
      <c r="M1180" s="1" t="s">
        <v>89</v>
      </c>
      <c r="N1180" s="1" t="s">
        <v>37</v>
      </c>
    </row>
    <row r="1181" spans="1:14" x14ac:dyDescent="0.25">
      <c r="A1181" s="1" t="s">
        <v>86</v>
      </c>
      <c r="B1181" s="1" t="s">
        <v>5989</v>
      </c>
      <c r="C1181" s="1" t="s">
        <v>3837</v>
      </c>
      <c r="D1181" s="8" t="s">
        <v>3836</v>
      </c>
      <c r="E1181" s="1" t="s">
        <v>205</v>
      </c>
      <c r="F1181" s="1" t="s">
        <v>6439</v>
      </c>
      <c r="G1181" s="1" t="s">
        <v>4715</v>
      </c>
      <c r="H1181" s="1" t="s">
        <v>4719</v>
      </c>
      <c r="I1181" s="1" t="s">
        <v>4721</v>
      </c>
      <c r="J1181" s="1" t="s">
        <v>12</v>
      </c>
      <c r="K1181" s="1" t="s">
        <v>4770</v>
      </c>
      <c r="L1181" s="1" t="s">
        <v>122</v>
      </c>
      <c r="M1181" s="1" t="s">
        <v>149</v>
      </c>
      <c r="N1181" s="1" t="s">
        <v>61</v>
      </c>
    </row>
    <row r="1182" spans="1:14" x14ac:dyDescent="0.25">
      <c r="A1182" s="1" t="s">
        <v>86</v>
      </c>
      <c r="B1182" s="1" t="s">
        <v>6264</v>
      </c>
      <c r="C1182" s="1" t="s">
        <v>816</v>
      </c>
      <c r="D1182" s="8" t="s">
        <v>815</v>
      </c>
      <c r="E1182" s="1" t="s">
        <v>817</v>
      </c>
      <c r="F1182" s="1" t="s">
        <v>6443</v>
      </c>
      <c r="G1182" s="1" t="s">
        <v>4717</v>
      </c>
      <c r="H1182" s="1" t="s">
        <v>4719</v>
      </c>
      <c r="I1182" s="1" t="s">
        <v>4721</v>
      </c>
      <c r="J1182" s="1" t="s">
        <v>12</v>
      </c>
      <c r="K1182" s="1" t="s">
        <v>4795</v>
      </c>
      <c r="L1182" s="1" t="s">
        <v>217</v>
      </c>
      <c r="M1182" s="1" t="s">
        <v>58</v>
      </c>
      <c r="N1182" s="1" t="s">
        <v>61</v>
      </c>
    </row>
    <row r="1183" spans="1:14" x14ac:dyDescent="0.25">
      <c r="A1183" s="1" t="s">
        <v>86</v>
      </c>
      <c r="B1183" s="1" t="s">
        <v>5991</v>
      </c>
      <c r="C1183" s="1" t="s">
        <v>2262</v>
      </c>
      <c r="D1183" s="8" t="s">
        <v>2261</v>
      </c>
      <c r="E1183" s="1" t="s">
        <v>88</v>
      </c>
      <c r="F1183" s="1" t="s">
        <v>4709</v>
      </c>
      <c r="G1183" s="1" t="s">
        <v>4716</v>
      </c>
      <c r="H1183" s="1" t="s">
        <v>4719</v>
      </c>
      <c r="I1183" s="1" t="s">
        <v>4721</v>
      </c>
      <c r="J1183" s="1" t="s">
        <v>12</v>
      </c>
      <c r="K1183" s="1" t="s">
        <v>4796</v>
      </c>
      <c r="L1183" s="1" t="s">
        <v>87</v>
      </c>
      <c r="M1183" s="1" t="s">
        <v>172</v>
      </c>
      <c r="N1183" s="1" t="s">
        <v>17</v>
      </c>
    </row>
    <row r="1184" spans="1:14" x14ac:dyDescent="0.25">
      <c r="A1184" s="1" t="s">
        <v>86</v>
      </c>
      <c r="B1184" s="1" t="s">
        <v>6273</v>
      </c>
      <c r="C1184" s="1" t="s">
        <v>2810</v>
      </c>
      <c r="D1184" s="8" t="s">
        <v>2809</v>
      </c>
      <c r="E1184" s="1" t="s">
        <v>840</v>
      </c>
      <c r="F1184" s="1" t="s">
        <v>6448</v>
      </c>
      <c r="G1184" s="1" t="s">
        <v>4716</v>
      </c>
      <c r="H1184" s="1" t="s">
        <v>4719</v>
      </c>
      <c r="I1184" s="1" t="s">
        <v>4721</v>
      </c>
      <c r="J1184" s="1" t="s">
        <v>12</v>
      </c>
      <c r="K1184" s="1" t="s">
        <v>4796</v>
      </c>
      <c r="L1184" s="1" t="s">
        <v>198</v>
      </c>
      <c r="M1184" s="1" t="s">
        <v>637</v>
      </c>
      <c r="N1184" s="1" t="s">
        <v>19</v>
      </c>
    </row>
    <row r="1185" spans="1:14" x14ac:dyDescent="0.25">
      <c r="A1185" s="1" t="s">
        <v>86</v>
      </c>
      <c r="B1185" s="1" t="s">
        <v>5995</v>
      </c>
      <c r="C1185" s="1" t="s">
        <v>4146</v>
      </c>
      <c r="D1185" s="8" t="s">
        <v>4145</v>
      </c>
      <c r="E1185" s="1" t="s">
        <v>459</v>
      </c>
      <c r="F1185" s="1" t="s">
        <v>6448</v>
      </c>
      <c r="G1185" s="1" t="s">
        <v>4716</v>
      </c>
      <c r="H1185" s="1" t="s">
        <v>4719</v>
      </c>
      <c r="I1185" s="1" t="s">
        <v>4721</v>
      </c>
      <c r="J1185" s="1" t="s">
        <v>12</v>
      </c>
      <c r="K1185" s="1" t="s">
        <v>4796</v>
      </c>
      <c r="L1185" s="1" t="s">
        <v>458</v>
      </c>
      <c r="M1185" s="1" t="s">
        <v>630</v>
      </c>
      <c r="N1185" s="1" t="s">
        <v>21</v>
      </c>
    </row>
    <row r="1186" spans="1:14" x14ac:dyDescent="0.25">
      <c r="A1186" s="1" t="s">
        <v>86</v>
      </c>
      <c r="B1186" s="1" t="s">
        <v>5997</v>
      </c>
      <c r="C1186" s="1" t="s">
        <v>1922</v>
      </c>
      <c r="D1186" s="8" t="s">
        <v>1921</v>
      </c>
      <c r="E1186" s="1" t="s">
        <v>817</v>
      </c>
      <c r="F1186" s="1" t="s">
        <v>4713</v>
      </c>
      <c r="G1186" s="1" t="s">
        <v>4716</v>
      </c>
      <c r="H1186" s="1" t="s">
        <v>4719</v>
      </c>
      <c r="I1186" s="1" t="s">
        <v>4721</v>
      </c>
      <c r="J1186" s="1" t="s">
        <v>12</v>
      </c>
      <c r="K1186" s="1" t="s">
        <v>4802</v>
      </c>
      <c r="L1186" s="1" t="s">
        <v>217</v>
      </c>
      <c r="M1186" s="1" t="s">
        <v>637</v>
      </c>
      <c r="N1186" s="1" t="s">
        <v>19</v>
      </c>
    </row>
    <row r="1187" spans="1:14" x14ac:dyDescent="0.25">
      <c r="A1187" s="1" t="s">
        <v>86</v>
      </c>
      <c r="B1187" s="1" t="s">
        <v>5998</v>
      </c>
      <c r="C1187" s="1" t="s">
        <v>1853</v>
      </c>
      <c r="D1187" s="8" t="s">
        <v>1852</v>
      </c>
      <c r="E1187" s="1" t="s">
        <v>298</v>
      </c>
      <c r="F1187" s="1" t="s">
        <v>6435</v>
      </c>
      <c r="G1187" s="1" t="s">
        <v>4716</v>
      </c>
      <c r="H1187" s="1" t="s">
        <v>4719</v>
      </c>
      <c r="I1187" s="1" t="s">
        <v>4721</v>
      </c>
      <c r="J1187" s="1" t="s">
        <v>12</v>
      </c>
      <c r="K1187" s="1" t="s">
        <v>4794</v>
      </c>
      <c r="L1187" s="1" t="s">
        <v>210</v>
      </c>
      <c r="M1187" s="1" t="s">
        <v>245</v>
      </c>
      <c r="N1187" s="1" t="s">
        <v>21</v>
      </c>
    </row>
    <row r="1188" spans="1:14" x14ac:dyDescent="0.25">
      <c r="A1188" s="1" t="s">
        <v>86</v>
      </c>
      <c r="B1188" s="1" t="s">
        <v>5999</v>
      </c>
      <c r="C1188" s="1" t="s">
        <v>333</v>
      </c>
      <c r="D1188" s="8" t="s">
        <v>332</v>
      </c>
      <c r="E1188" s="1" t="s">
        <v>325</v>
      </c>
      <c r="F1188" s="1" t="s">
        <v>4714</v>
      </c>
      <c r="G1188" s="1" t="s">
        <v>4715</v>
      </c>
      <c r="H1188" s="1" t="s">
        <v>4719</v>
      </c>
      <c r="I1188" s="1" t="s">
        <v>6407</v>
      </c>
      <c r="J1188" s="1" t="s">
        <v>39</v>
      </c>
      <c r="K1188" s="1" t="s">
        <v>4777</v>
      </c>
      <c r="L1188" s="1" t="s">
        <v>283</v>
      </c>
      <c r="M1188" s="1" t="s">
        <v>245</v>
      </c>
      <c r="N1188" s="1" t="s">
        <v>21</v>
      </c>
    </row>
    <row r="1189" spans="1:14" x14ac:dyDescent="0.25">
      <c r="A1189" s="1" t="s">
        <v>86</v>
      </c>
      <c r="B1189" s="1" t="s">
        <v>6000</v>
      </c>
      <c r="C1189" s="1" t="s">
        <v>4312</v>
      </c>
      <c r="D1189" s="8" t="s">
        <v>4311</v>
      </c>
      <c r="E1189" s="1" t="s">
        <v>505</v>
      </c>
      <c r="F1189" s="1" t="s">
        <v>4708</v>
      </c>
      <c r="G1189" s="1" t="s">
        <v>4716</v>
      </c>
      <c r="H1189" s="1" t="s">
        <v>4719</v>
      </c>
      <c r="I1189" s="1" t="s">
        <v>4722</v>
      </c>
      <c r="J1189" s="1" t="s">
        <v>39</v>
      </c>
      <c r="K1189" s="1" t="s">
        <v>4785</v>
      </c>
      <c r="L1189" s="1" t="s">
        <v>164</v>
      </c>
      <c r="M1189" s="1" t="s">
        <v>245</v>
      </c>
      <c r="N1189" s="1" t="s">
        <v>21</v>
      </c>
    </row>
    <row r="1190" spans="1:14" x14ac:dyDescent="0.25">
      <c r="A1190" s="1" t="s">
        <v>86</v>
      </c>
      <c r="B1190" s="1" t="s">
        <v>6277</v>
      </c>
      <c r="C1190" s="1" t="s">
        <v>1807</v>
      </c>
      <c r="D1190" s="8" t="s">
        <v>1806</v>
      </c>
      <c r="E1190" s="1" t="s">
        <v>284</v>
      </c>
      <c r="F1190" s="1" t="s">
        <v>4714</v>
      </c>
      <c r="G1190" s="1" t="s">
        <v>4715</v>
      </c>
      <c r="H1190" s="1" t="s">
        <v>4719</v>
      </c>
      <c r="I1190" s="1" t="s">
        <v>4721</v>
      </c>
      <c r="J1190" s="1" t="s">
        <v>12</v>
      </c>
      <c r="K1190" s="1" t="s">
        <v>4777</v>
      </c>
      <c r="L1190" s="1" t="s">
        <v>283</v>
      </c>
      <c r="M1190" s="1" t="s">
        <v>58</v>
      </c>
      <c r="N1190" s="1" t="s">
        <v>61</v>
      </c>
    </row>
    <row r="1191" spans="1:14" x14ac:dyDescent="0.25">
      <c r="A1191" s="1" t="s">
        <v>86</v>
      </c>
      <c r="B1191" s="1" t="s">
        <v>6278</v>
      </c>
      <c r="C1191" s="1" t="s">
        <v>1747</v>
      </c>
      <c r="D1191" s="8" t="s">
        <v>1746</v>
      </c>
      <c r="E1191" s="1" t="s">
        <v>1029</v>
      </c>
      <c r="F1191" s="1" t="s">
        <v>6434</v>
      </c>
      <c r="G1191" s="1" t="s">
        <v>4715</v>
      </c>
      <c r="H1191" s="1" t="s">
        <v>4719</v>
      </c>
      <c r="I1191" s="1" t="s">
        <v>4721</v>
      </c>
      <c r="J1191" s="1" t="s">
        <v>12</v>
      </c>
      <c r="K1191" s="1" t="s">
        <v>4771</v>
      </c>
      <c r="L1191" s="1" t="s">
        <v>122</v>
      </c>
      <c r="M1191" s="1" t="s">
        <v>245</v>
      </c>
      <c r="N1191" s="1" t="s">
        <v>21</v>
      </c>
    </row>
    <row r="1192" spans="1:14" x14ac:dyDescent="0.25">
      <c r="A1192" s="1" t="s">
        <v>86</v>
      </c>
      <c r="B1192" s="1" t="s">
        <v>6279</v>
      </c>
      <c r="C1192" s="1" t="s">
        <v>1690</v>
      </c>
      <c r="D1192" s="8" t="s">
        <v>1689</v>
      </c>
      <c r="E1192" s="1" t="s">
        <v>497</v>
      </c>
      <c r="F1192" s="1" t="s">
        <v>4710</v>
      </c>
      <c r="G1192" s="1" t="s">
        <v>4716</v>
      </c>
      <c r="H1192" s="1" t="s">
        <v>4719</v>
      </c>
      <c r="I1192" s="1" t="s">
        <v>4721</v>
      </c>
      <c r="J1192" s="1" t="s">
        <v>12</v>
      </c>
      <c r="K1192" s="1" t="s">
        <v>4766</v>
      </c>
      <c r="L1192" s="1" t="s">
        <v>164</v>
      </c>
      <c r="M1192" s="1" t="s">
        <v>245</v>
      </c>
      <c r="N1192" s="1" t="s">
        <v>21</v>
      </c>
    </row>
    <row r="1193" spans="1:14" x14ac:dyDescent="0.25">
      <c r="A1193" s="1" t="s">
        <v>86</v>
      </c>
      <c r="B1193" s="1" t="s">
        <v>6005</v>
      </c>
      <c r="C1193" s="1" t="s">
        <v>3234</v>
      </c>
      <c r="D1193" s="8" t="s">
        <v>3233</v>
      </c>
      <c r="E1193" s="1" t="s">
        <v>559</v>
      </c>
      <c r="F1193" s="1" t="s">
        <v>4713</v>
      </c>
      <c r="G1193" s="1" t="s">
        <v>4716</v>
      </c>
      <c r="H1193" s="1" t="s">
        <v>4719</v>
      </c>
      <c r="I1193" s="1" t="s">
        <v>4721</v>
      </c>
      <c r="J1193" s="1" t="s">
        <v>12</v>
      </c>
      <c r="K1193" s="1" t="s">
        <v>4802</v>
      </c>
      <c r="L1193" s="1" t="s">
        <v>558</v>
      </c>
      <c r="M1193" s="1" t="s">
        <v>58</v>
      </c>
      <c r="N1193" s="1" t="s">
        <v>61</v>
      </c>
    </row>
    <row r="1194" spans="1:14" x14ac:dyDescent="0.25">
      <c r="A1194" s="1" t="s">
        <v>86</v>
      </c>
      <c r="B1194" s="1" t="s">
        <v>6287</v>
      </c>
      <c r="C1194" s="1" t="s">
        <v>2587</v>
      </c>
      <c r="D1194" s="8" t="s">
        <v>2586</v>
      </c>
      <c r="E1194" s="1" t="s">
        <v>559</v>
      </c>
      <c r="F1194" s="1" t="s">
        <v>4713</v>
      </c>
      <c r="G1194" s="1" t="s">
        <v>4716</v>
      </c>
      <c r="H1194" s="1" t="s">
        <v>4719</v>
      </c>
      <c r="I1194" s="1" t="s">
        <v>4722</v>
      </c>
      <c r="J1194" s="1" t="s">
        <v>39</v>
      </c>
      <c r="K1194" s="1" t="s">
        <v>4802</v>
      </c>
      <c r="L1194" s="1" t="s">
        <v>558</v>
      </c>
      <c r="M1194" s="1" t="s">
        <v>172</v>
      </c>
      <c r="N1194" s="1" t="s">
        <v>17</v>
      </c>
    </row>
    <row r="1195" spans="1:14" x14ac:dyDescent="0.25">
      <c r="A1195" s="1" t="s">
        <v>86</v>
      </c>
      <c r="B1195" s="1" t="s">
        <v>6288</v>
      </c>
      <c r="C1195" s="1" t="s">
        <v>3007</v>
      </c>
      <c r="D1195" s="8" t="s">
        <v>3006</v>
      </c>
      <c r="E1195" s="1" t="s">
        <v>205</v>
      </c>
      <c r="F1195" s="1" t="s">
        <v>6438</v>
      </c>
      <c r="G1195" s="1" t="s">
        <v>4716</v>
      </c>
      <c r="H1195" s="1" t="s">
        <v>4719</v>
      </c>
      <c r="I1195" s="1" t="s">
        <v>4721</v>
      </c>
      <c r="J1195" s="1" t="s">
        <v>12</v>
      </c>
      <c r="K1195" s="1" t="s">
        <v>4783</v>
      </c>
      <c r="L1195" s="1" t="s">
        <v>122</v>
      </c>
      <c r="M1195" s="1" t="s">
        <v>136</v>
      </c>
      <c r="N1195" s="1" t="s">
        <v>72</v>
      </c>
    </row>
    <row r="1196" spans="1:14" x14ac:dyDescent="0.25">
      <c r="A1196" s="1" t="s">
        <v>86</v>
      </c>
      <c r="B1196" s="1" t="s">
        <v>6294</v>
      </c>
      <c r="C1196" s="1" t="s">
        <v>4011</v>
      </c>
      <c r="D1196" s="8" t="s">
        <v>4010</v>
      </c>
      <c r="E1196" s="1" t="s">
        <v>199</v>
      </c>
      <c r="F1196" s="1" t="s">
        <v>4709</v>
      </c>
      <c r="G1196" s="1" t="s">
        <v>4716</v>
      </c>
      <c r="H1196" s="1" t="s">
        <v>4719</v>
      </c>
      <c r="I1196" s="1" t="s">
        <v>4721</v>
      </c>
      <c r="J1196" s="1" t="s">
        <v>12</v>
      </c>
      <c r="K1196" s="1" t="s">
        <v>4796</v>
      </c>
      <c r="L1196" s="1" t="s">
        <v>198</v>
      </c>
      <c r="M1196" s="1" t="s">
        <v>630</v>
      </c>
      <c r="N1196" s="1" t="s">
        <v>21</v>
      </c>
    </row>
    <row r="1197" spans="1:14" x14ac:dyDescent="0.25">
      <c r="A1197" s="1" t="s">
        <v>86</v>
      </c>
      <c r="B1197" s="1" t="s">
        <v>6295</v>
      </c>
      <c r="C1197" s="1" t="s">
        <v>3677</v>
      </c>
      <c r="D1197" s="8" t="s">
        <v>3676</v>
      </c>
      <c r="E1197" s="1" t="s">
        <v>165</v>
      </c>
      <c r="F1197" s="1" t="s">
        <v>6433</v>
      </c>
      <c r="G1197" s="1" t="s">
        <v>4716</v>
      </c>
      <c r="H1197" s="1" t="s">
        <v>4719</v>
      </c>
      <c r="I1197" s="1" t="s">
        <v>4721</v>
      </c>
      <c r="J1197" s="1" t="s">
        <v>12</v>
      </c>
      <c r="K1197" s="1" t="s">
        <v>4766</v>
      </c>
      <c r="L1197" s="1" t="s">
        <v>164</v>
      </c>
      <c r="M1197" s="1" t="s">
        <v>41</v>
      </c>
      <c r="N1197" s="1" t="s">
        <v>42</v>
      </c>
    </row>
    <row r="1198" spans="1:14" x14ac:dyDescent="0.25">
      <c r="A1198" s="1" t="s">
        <v>86</v>
      </c>
      <c r="B1198" s="1" t="s">
        <v>6296</v>
      </c>
      <c r="C1198" s="1" t="s">
        <v>1132</v>
      </c>
      <c r="D1198" s="8" t="s">
        <v>1131</v>
      </c>
      <c r="E1198" s="1" t="s">
        <v>325</v>
      </c>
      <c r="F1198" s="1" t="s">
        <v>4714</v>
      </c>
      <c r="G1198" s="1" t="s">
        <v>4715</v>
      </c>
      <c r="H1198" s="1" t="s">
        <v>4719</v>
      </c>
      <c r="I1198" s="1" t="s">
        <v>4721</v>
      </c>
      <c r="J1198" s="1" t="s">
        <v>12</v>
      </c>
      <c r="K1198" s="1" t="s">
        <v>4777</v>
      </c>
      <c r="L1198" s="1" t="s">
        <v>283</v>
      </c>
      <c r="M1198" s="1" t="s">
        <v>41</v>
      </c>
      <c r="N1198" s="1" t="s">
        <v>42</v>
      </c>
    </row>
    <row r="1199" spans="1:14" x14ac:dyDescent="0.25">
      <c r="A1199" s="1" t="s">
        <v>86</v>
      </c>
      <c r="B1199" s="1" t="s">
        <v>6297</v>
      </c>
      <c r="C1199" s="1" t="s">
        <v>2055</v>
      </c>
      <c r="D1199" s="8" t="s">
        <v>2054</v>
      </c>
      <c r="E1199" s="1" t="s">
        <v>1099</v>
      </c>
      <c r="F1199" s="1" t="s">
        <v>4714</v>
      </c>
      <c r="G1199" s="1" t="s">
        <v>4715</v>
      </c>
      <c r="H1199" s="1" t="s">
        <v>4719</v>
      </c>
      <c r="I1199" s="1" t="s">
        <v>4721</v>
      </c>
      <c r="J1199" s="1" t="s">
        <v>12</v>
      </c>
      <c r="K1199" s="1" t="s">
        <v>4777</v>
      </c>
      <c r="L1199" s="1" t="s">
        <v>283</v>
      </c>
      <c r="M1199" s="1" t="s">
        <v>711</v>
      </c>
      <c r="N1199" s="1" t="s">
        <v>126</v>
      </c>
    </row>
    <row r="1200" spans="1:14" x14ac:dyDescent="0.25">
      <c r="A1200" s="1" t="s">
        <v>86</v>
      </c>
      <c r="B1200" s="1" t="s">
        <v>6011</v>
      </c>
      <c r="C1200" s="1" t="s">
        <v>3025</v>
      </c>
      <c r="D1200" s="8" t="s">
        <v>3024</v>
      </c>
      <c r="E1200" s="1" t="s">
        <v>211</v>
      </c>
      <c r="F1200" s="1" t="s">
        <v>6438</v>
      </c>
      <c r="G1200" s="1" t="s">
        <v>4716</v>
      </c>
      <c r="H1200" s="1" t="s">
        <v>4719</v>
      </c>
      <c r="I1200" s="1" t="s">
        <v>4721</v>
      </c>
      <c r="J1200" s="1" t="s">
        <v>12</v>
      </c>
      <c r="K1200" s="1" t="s">
        <v>4783</v>
      </c>
      <c r="L1200" s="1" t="s">
        <v>210</v>
      </c>
      <c r="M1200" s="1" t="s">
        <v>136</v>
      </c>
      <c r="N1200" s="1" t="s">
        <v>72</v>
      </c>
    </row>
    <row r="1201" spans="1:14" x14ac:dyDescent="0.25">
      <c r="A1201" s="1" t="s">
        <v>86</v>
      </c>
      <c r="B1201" s="1" t="s">
        <v>6013</v>
      </c>
      <c r="C1201" s="1" t="s">
        <v>3121</v>
      </c>
      <c r="D1201" s="8" t="s">
        <v>3120</v>
      </c>
      <c r="E1201" s="1" t="s">
        <v>363</v>
      </c>
      <c r="F1201" s="1" t="s">
        <v>6435</v>
      </c>
      <c r="G1201" s="1" t="s">
        <v>4716</v>
      </c>
      <c r="H1201" s="1" t="s">
        <v>4719</v>
      </c>
      <c r="I1201" s="1" t="s">
        <v>4721</v>
      </c>
      <c r="J1201" s="1" t="s">
        <v>12</v>
      </c>
      <c r="K1201" s="1" t="s">
        <v>4794</v>
      </c>
      <c r="L1201" s="1" t="s">
        <v>210</v>
      </c>
      <c r="M1201" s="1" t="s">
        <v>870</v>
      </c>
      <c r="N1201" s="1" t="s">
        <v>76</v>
      </c>
    </row>
    <row r="1202" spans="1:14" x14ac:dyDescent="0.25">
      <c r="A1202" s="1" t="s">
        <v>86</v>
      </c>
      <c r="B1202" s="1" t="s">
        <v>6014</v>
      </c>
      <c r="C1202" s="1" t="s">
        <v>1102</v>
      </c>
      <c r="D1202" s="8" t="s">
        <v>1101</v>
      </c>
      <c r="E1202" s="1" t="s">
        <v>284</v>
      </c>
      <c r="F1202" s="1" t="s">
        <v>4714</v>
      </c>
      <c r="G1202" s="1" t="s">
        <v>4715</v>
      </c>
      <c r="H1202" s="1" t="s">
        <v>4719</v>
      </c>
      <c r="I1202" s="1" t="s">
        <v>4721</v>
      </c>
      <c r="J1202" s="1" t="s">
        <v>12</v>
      </c>
      <c r="K1202" s="1" t="s">
        <v>4777</v>
      </c>
      <c r="L1202" s="1" t="s">
        <v>283</v>
      </c>
      <c r="M1202" s="1" t="s">
        <v>245</v>
      </c>
      <c r="N1202" s="1" t="s">
        <v>21</v>
      </c>
    </row>
    <row r="1203" spans="1:14" x14ac:dyDescent="0.25">
      <c r="A1203" s="1" t="s">
        <v>86</v>
      </c>
      <c r="B1203" s="1" t="s">
        <v>6019</v>
      </c>
      <c r="C1203" s="1" t="s">
        <v>1286</v>
      </c>
      <c r="D1203" s="8" t="s">
        <v>1285</v>
      </c>
      <c r="E1203" s="1" t="s">
        <v>497</v>
      </c>
      <c r="F1203" s="1" t="s">
        <v>6454</v>
      </c>
      <c r="G1203" s="1" t="s">
        <v>6451</v>
      </c>
      <c r="H1203" s="1" t="s">
        <v>4718</v>
      </c>
      <c r="I1203" s="1" t="s">
        <v>4721</v>
      </c>
      <c r="J1203" s="1" t="s">
        <v>12</v>
      </c>
      <c r="K1203" s="1" t="s">
        <v>4799</v>
      </c>
      <c r="L1203" s="1" t="s">
        <v>164</v>
      </c>
      <c r="M1203" s="1" t="s">
        <v>58</v>
      </c>
      <c r="N1203" s="1" t="s">
        <v>61</v>
      </c>
    </row>
    <row r="1204" spans="1:14" x14ac:dyDescent="0.25">
      <c r="A1204" s="1" t="s">
        <v>86</v>
      </c>
      <c r="B1204" s="1" t="s">
        <v>6305</v>
      </c>
      <c r="C1204" s="1" t="s">
        <v>3473</v>
      </c>
      <c r="D1204" s="8" t="s">
        <v>3472</v>
      </c>
      <c r="E1204" s="1" t="s">
        <v>177</v>
      </c>
      <c r="F1204" s="1" t="s">
        <v>6433</v>
      </c>
      <c r="G1204" s="1" t="s">
        <v>4716</v>
      </c>
      <c r="H1204" s="1" t="s">
        <v>4719</v>
      </c>
      <c r="I1204" s="1" t="s">
        <v>4722</v>
      </c>
      <c r="J1204" s="1" t="s">
        <v>39</v>
      </c>
      <c r="K1204" s="1" t="s">
        <v>4785</v>
      </c>
      <c r="L1204" s="1" t="s">
        <v>164</v>
      </c>
      <c r="M1204" s="1" t="s">
        <v>245</v>
      </c>
      <c r="N1204" s="1" t="s">
        <v>21</v>
      </c>
    </row>
    <row r="1205" spans="1:14" x14ac:dyDescent="0.25">
      <c r="A1205" s="1" t="s">
        <v>86</v>
      </c>
      <c r="B1205" s="1" t="s">
        <v>6306</v>
      </c>
      <c r="C1205" s="1" t="s">
        <v>1654</v>
      </c>
      <c r="D1205" s="8" t="s">
        <v>1653</v>
      </c>
      <c r="E1205" s="1" t="s">
        <v>590</v>
      </c>
      <c r="F1205" s="1" t="s">
        <v>6434</v>
      </c>
      <c r="G1205" s="1" t="s">
        <v>4715</v>
      </c>
      <c r="H1205" s="1" t="s">
        <v>4719</v>
      </c>
      <c r="I1205" s="1" t="s">
        <v>4721</v>
      </c>
      <c r="J1205" s="1" t="s">
        <v>12</v>
      </c>
      <c r="K1205" s="1" t="s">
        <v>4784</v>
      </c>
      <c r="L1205" s="1" t="s">
        <v>122</v>
      </c>
      <c r="M1205" s="1" t="s">
        <v>245</v>
      </c>
      <c r="N1205" s="1" t="s">
        <v>21</v>
      </c>
    </row>
    <row r="1206" spans="1:14" x14ac:dyDescent="0.25">
      <c r="A1206" s="1" t="s">
        <v>86</v>
      </c>
      <c r="B1206" s="1" t="s">
        <v>6021</v>
      </c>
      <c r="C1206" s="1" t="s">
        <v>2714</v>
      </c>
      <c r="D1206" s="8" t="s">
        <v>2713</v>
      </c>
      <c r="E1206" s="1" t="s">
        <v>497</v>
      </c>
      <c r="F1206" s="1" t="s">
        <v>4710</v>
      </c>
      <c r="G1206" s="1" t="s">
        <v>4716</v>
      </c>
      <c r="H1206" s="1" t="s">
        <v>4719</v>
      </c>
      <c r="I1206" s="1" t="s">
        <v>4721</v>
      </c>
      <c r="J1206" s="1" t="s">
        <v>12</v>
      </c>
      <c r="K1206" s="1" t="s">
        <v>4766</v>
      </c>
      <c r="L1206" s="1" t="s">
        <v>164</v>
      </c>
      <c r="M1206" s="1" t="s">
        <v>245</v>
      </c>
      <c r="N1206" s="1" t="s">
        <v>21</v>
      </c>
    </row>
    <row r="1207" spans="1:14" x14ac:dyDescent="0.25">
      <c r="A1207" s="1" t="s">
        <v>86</v>
      </c>
      <c r="B1207" s="1" t="s">
        <v>6025</v>
      </c>
      <c r="C1207" s="1" t="s">
        <v>2325</v>
      </c>
      <c r="D1207" s="8" t="s">
        <v>2324</v>
      </c>
      <c r="E1207" s="1" t="s">
        <v>1320</v>
      </c>
      <c r="F1207" s="1" t="s">
        <v>4709</v>
      </c>
      <c r="G1207" s="1" t="s">
        <v>4716</v>
      </c>
      <c r="H1207" s="1" t="s">
        <v>4719</v>
      </c>
      <c r="I1207" s="1" t="s">
        <v>4721</v>
      </c>
      <c r="J1207" s="1" t="s">
        <v>12</v>
      </c>
      <c r="K1207" s="1" t="s">
        <v>4898</v>
      </c>
      <c r="L1207" s="1" t="s">
        <v>1321</v>
      </c>
      <c r="M1207" s="1" t="s">
        <v>89</v>
      </c>
      <c r="N1207" s="1" t="s">
        <v>37</v>
      </c>
    </row>
    <row r="1208" spans="1:14" x14ac:dyDescent="0.25">
      <c r="A1208" s="1" t="s">
        <v>86</v>
      </c>
      <c r="B1208" s="1" t="s">
        <v>6026</v>
      </c>
      <c r="C1208" s="1" t="s">
        <v>1292</v>
      </c>
      <c r="D1208" s="8" t="s">
        <v>1291</v>
      </c>
      <c r="E1208" s="1" t="s">
        <v>445</v>
      </c>
      <c r="F1208" s="1" t="s">
        <v>6434</v>
      </c>
      <c r="G1208" s="1" t="s">
        <v>4715</v>
      </c>
      <c r="H1208" s="1" t="s">
        <v>4719</v>
      </c>
      <c r="I1208" s="1" t="s">
        <v>4721</v>
      </c>
      <c r="J1208" s="1" t="s">
        <v>12</v>
      </c>
      <c r="K1208" s="1" t="s">
        <v>4799</v>
      </c>
      <c r="L1208" s="1" t="s">
        <v>122</v>
      </c>
      <c r="M1208" s="1" t="s">
        <v>58</v>
      </c>
      <c r="N1208" s="1" t="s">
        <v>61</v>
      </c>
    </row>
    <row r="1209" spans="1:14" x14ac:dyDescent="0.25">
      <c r="A1209" s="1" t="s">
        <v>86</v>
      </c>
      <c r="B1209" s="1" t="s">
        <v>6027</v>
      </c>
      <c r="C1209" s="1" t="s">
        <v>3216</v>
      </c>
      <c r="D1209" s="8" t="s">
        <v>3215</v>
      </c>
      <c r="E1209" s="1" t="s">
        <v>123</v>
      </c>
      <c r="F1209" s="1" t="s">
        <v>6445</v>
      </c>
      <c r="G1209" s="1" t="s">
        <v>4717</v>
      </c>
      <c r="H1209" s="1" t="s">
        <v>4719</v>
      </c>
      <c r="I1209" s="1" t="s">
        <v>4721</v>
      </c>
      <c r="J1209" s="1" t="s">
        <v>12</v>
      </c>
      <c r="K1209" s="1" t="s">
        <v>4782</v>
      </c>
      <c r="L1209" s="1" t="s">
        <v>122</v>
      </c>
      <c r="M1209" s="1" t="s">
        <v>58</v>
      </c>
      <c r="N1209" s="1" t="s">
        <v>61</v>
      </c>
    </row>
    <row r="1210" spans="1:14" x14ac:dyDescent="0.25">
      <c r="A1210" s="1" t="s">
        <v>86</v>
      </c>
      <c r="B1210" s="1" t="s">
        <v>6308</v>
      </c>
      <c r="C1210" s="1" t="s">
        <v>2963</v>
      </c>
      <c r="D1210" s="8" t="s">
        <v>2962</v>
      </c>
      <c r="E1210" s="1" t="s">
        <v>165</v>
      </c>
      <c r="F1210" s="1" t="s">
        <v>4708</v>
      </c>
      <c r="G1210" s="1" t="s">
        <v>4716</v>
      </c>
      <c r="H1210" s="1" t="s">
        <v>4719</v>
      </c>
      <c r="I1210" s="1" t="s">
        <v>4721</v>
      </c>
      <c r="J1210" s="1" t="s">
        <v>12</v>
      </c>
      <c r="K1210" s="1" t="s">
        <v>4785</v>
      </c>
      <c r="L1210" s="1" t="s">
        <v>164</v>
      </c>
      <c r="M1210" s="1" t="s">
        <v>711</v>
      </c>
      <c r="N1210" s="1" t="s">
        <v>126</v>
      </c>
    </row>
    <row r="1211" spans="1:14" x14ac:dyDescent="0.25">
      <c r="A1211" s="1" t="s">
        <v>86</v>
      </c>
      <c r="B1211" s="1" t="s">
        <v>6309</v>
      </c>
      <c r="C1211" s="1" t="s">
        <v>324</v>
      </c>
      <c r="D1211" s="8" t="s">
        <v>323</v>
      </c>
      <c r="E1211" s="1" t="s">
        <v>325</v>
      </c>
      <c r="F1211" s="1" t="s">
        <v>4714</v>
      </c>
      <c r="G1211" s="1" t="s">
        <v>4715</v>
      </c>
      <c r="H1211" s="1" t="s">
        <v>4719</v>
      </c>
      <c r="I1211" s="1" t="s">
        <v>4721</v>
      </c>
      <c r="J1211" s="1" t="s">
        <v>12</v>
      </c>
      <c r="K1211" s="1" t="s">
        <v>4777</v>
      </c>
      <c r="L1211" s="1" t="s">
        <v>283</v>
      </c>
      <c r="M1211" s="1" t="s">
        <v>89</v>
      </c>
      <c r="N1211" s="1" t="s">
        <v>37</v>
      </c>
    </row>
    <row r="1212" spans="1:14" x14ac:dyDescent="0.25">
      <c r="A1212" s="1" t="s">
        <v>86</v>
      </c>
      <c r="B1212" s="1" t="s">
        <v>6310</v>
      </c>
      <c r="C1212" s="1" t="s">
        <v>2590</v>
      </c>
      <c r="D1212" s="8" t="s">
        <v>2589</v>
      </c>
      <c r="E1212" s="1" t="s">
        <v>218</v>
      </c>
      <c r="F1212" s="1" t="s">
        <v>4713</v>
      </c>
      <c r="G1212" s="1" t="s">
        <v>4716</v>
      </c>
      <c r="H1212" s="1" t="s">
        <v>4719</v>
      </c>
      <c r="I1212" s="1" t="s">
        <v>4721</v>
      </c>
      <c r="J1212" s="1" t="s">
        <v>12</v>
      </c>
      <c r="K1212" s="1" t="s">
        <v>4802</v>
      </c>
      <c r="L1212" s="1" t="s">
        <v>217</v>
      </c>
      <c r="M1212" s="1" t="s">
        <v>245</v>
      </c>
      <c r="N1212" s="1" t="s">
        <v>21</v>
      </c>
    </row>
    <row r="1213" spans="1:14" x14ac:dyDescent="0.25">
      <c r="A1213" s="1" t="s">
        <v>86</v>
      </c>
      <c r="B1213" s="1" t="s">
        <v>6032</v>
      </c>
      <c r="C1213" s="1" t="s">
        <v>3197</v>
      </c>
      <c r="D1213" s="8" t="s">
        <v>3196</v>
      </c>
      <c r="E1213" s="1" t="s">
        <v>123</v>
      </c>
      <c r="F1213" s="1" t="s">
        <v>6441</v>
      </c>
      <c r="G1213" s="1" t="s">
        <v>4717</v>
      </c>
      <c r="H1213" s="1" t="s">
        <v>4719</v>
      </c>
      <c r="I1213" s="1" t="s">
        <v>4721</v>
      </c>
      <c r="J1213" s="1" t="s">
        <v>12</v>
      </c>
      <c r="K1213" s="1" t="s">
        <v>4849</v>
      </c>
      <c r="L1213" s="1" t="s">
        <v>122</v>
      </c>
      <c r="M1213" s="1" t="s">
        <v>58</v>
      </c>
      <c r="N1213" s="1" t="s">
        <v>61</v>
      </c>
    </row>
    <row r="1214" spans="1:14" x14ac:dyDescent="0.25">
      <c r="A1214" s="1" t="s">
        <v>86</v>
      </c>
      <c r="B1214" s="1" t="s">
        <v>6033</v>
      </c>
      <c r="C1214" s="1" t="s">
        <v>3589</v>
      </c>
      <c r="D1214" s="8" t="s">
        <v>3587</v>
      </c>
      <c r="E1214" s="1" t="s">
        <v>177</v>
      </c>
      <c r="F1214" s="1" t="s">
        <v>6436</v>
      </c>
      <c r="G1214" s="1" t="s">
        <v>4716</v>
      </c>
      <c r="H1214" s="1" t="s">
        <v>4719</v>
      </c>
      <c r="I1214" s="1" t="s">
        <v>4721</v>
      </c>
      <c r="J1214" s="1" t="s">
        <v>12</v>
      </c>
      <c r="K1214" s="1" t="s">
        <v>4798</v>
      </c>
      <c r="L1214" s="1" t="s">
        <v>164</v>
      </c>
      <c r="M1214" s="1" t="s">
        <v>245</v>
      </c>
      <c r="N1214" s="1" t="s">
        <v>21</v>
      </c>
    </row>
    <row r="1215" spans="1:14" x14ac:dyDescent="0.25">
      <c r="A1215" s="1" t="s">
        <v>86</v>
      </c>
      <c r="B1215" s="1" t="s">
        <v>6314</v>
      </c>
      <c r="C1215" s="1" t="s">
        <v>4126</v>
      </c>
      <c r="D1215" s="8" t="s">
        <v>4125</v>
      </c>
      <c r="E1215" s="1" t="s">
        <v>540</v>
      </c>
      <c r="F1215" s="1" t="s">
        <v>6419</v>
      </c>
      <c r="G1215" s="1" t="s">
        <v>6419</v>
      </c>
      <c r="H1215" s="1" t="s">
        <v>6419</v>
      </c>
      <c r="I1215" s="1" t="s">
        <v>4721</v>
      </c>
      <c r="J1215" s="1" t="s">
        <v>39</v>
      </c>
      <c r="K1215" s="1" t="s">
        <v>4765</v>
      </c>
      <c r="L1215" s="1" t="s">
        <v>283</v>
      </c>
      <c r="M1215" s="1" t="s">
        <v>99</v>
      </c>
      <c r="N1215" s="1" t="s">
        <v>25</v>
      </c>
    </row>
    <row r="1216" spans="1:14" x14ac:dyDescent="0.25">
      <c r="A1216" s="1" t="s">
        <v>86</v>
      </c>
      <c r="B1216" s="1" t="s">
        <v>6317</v>
      </c>
      <c r="C1216" s="1" t="s">
        <v>3617</v>
      </c>
      <c r="D1216" s="8" t="s">
        <v>3616</v>
      </c>
      <c r="E1216" s="1" t="s">
        <v>177</v>
      </c>
      <c r="F1216" s="1" t="s">
        <v>6436</v>
      </c>
      <c r="G1216" s="1" t="s">
        <v>4716</v>
      </c>
      <c r="H1216" s="1" t="s">
        <v>4719</v>
      </c>
      <c r="I1216" s="1" t="s">
        <v>4721</v>
      </c>
      <c r="J1216" s="1" t="s">
        <v>12</v>
      </c>
      <c r="K1216" s="1" t="s">
        <v>4798</v>
      </c>
      <c r="L1216" s="1" t="s">
        <v>164</v>
      </c>
      <c r="M1216" s="1" t="s">
        <v>149</v>
      </c>
      <c r="N1216" s="1" t="s">
        <v>61</v>
      </c>
    </row>
    <row r="1217" spans="1:14" x14ac:dyDescent="0.25">
      <c r="A1217" s="1" t="s">
        <v>86</v>
      </c>
      <c r="B1217" s="1" t="s">
        <v>6078</v>
      </c>
      <c r="C1217" s="1" t="s">
        <v>4309</v>
      </c>
      <c r="D1217" s="8" t="s">
        <v>4308</v>
      </c>
      <c r="E1217" s="1" t="s">
        <v>2894</v>
      </c>
      <c r="F1217" s="1" t="s">
        <v>4708</v>
      </c>
      <c r="G1217" s="1" t="s">
        <v>4716</v>
      </c>
      <c r="H1217" s="1" t="s">
        <v>4719</v>
      </c>
      <c r="I1217" s="1" t="s">
        <v>4721</v>
      </c>
      <c r="J1217" s="1" t="s">
        <v>12</v>
      </c>
      <c r="K1217" s="1" t="s">
        <v>4785</v>
      </c>
      <c r="L1217" s="1" t="s">
        <v>164</v>
      </c>
      <c r="M1217" s="1" t="s">
        <v>245</v>
      </c>
      <c r="N1217" s="1" t="s">
        <v>21</v>
      </c>
    </row>
    <row r="1218" spans="1:14" x14ac:dyDescent="0.25">
      <c r="A1218" s="1" t="s">
        <v>86</v>
      </c>
      <c r="B1218" s="1" t="s">
        <v>6318</v>
      </c>
      <c r="C1218" s="1" t="s">
        <v>282</v>
      </c>
      <c r="D1218" s="8" t="s">
        <v>281</v>
      </c>
      <c r="E1218" s="1" t="s">
        <v>284</v>
      </c>
      <c r="F1218" s="1" t="s">
        <v>4714</v>
      </c>
      <c r="G1218" s="1" t="s">
        <v>4715</v>
      </c>
      <c r="H1218" s="1" t="s">
        <v>4719</v>
      </c>
      <c r="I1218" s="1" t="s">
        <v>4721</v>
      </c>
      <c r="J1218" s="1" t="s">
        <v>12</v>
      </c>
      <c r="K1218" s="1" t="s">
        <v>4777</v>
      </c>
      <c r="L1218" s="1" t="s">
        <v>283</v>
      </c>
      <c r="M1218" s="1" t="s">
        <v>711</v>
      </c>
      <c r="N1218" s="1" t="s">
        <v>126</v>
      </c>
    </row>
    <row r="1219" spans="1:14" x14ac:dyDescent="0.25">
      <c r="A1219" s="1" t="s">
        <v>86</v>
      </c>
      <c r="B1219" s="1" t="s">
        <v>6083</v>
      </c>
      <c r="C1219" s="1" t="s">
        <v>3249</v>
      </c>
      <c r="D1219" s="8" t="s">
        <v>3248</v>
      </c>
      <c r="E1219" s="1" t="s">
        <v>325</v>
      </c>
      <c r="F1219" s="1" t="s">
        <v>6445</v>
      </c>
      <c r="G1219" s="1" t="s">
        <v>4717</v>
      </c>
      <c r="H1219" s="1" t="s">
        <v>4719</v>
      </c>
      <c r="I1219" s="1" t="s">
        <v>4721</v>
      </c>
      <c r="J1219" s="1" t="s">
        <v>12</v>
      </c>
      <c r="K1219" s="1" t="s">
        <v>4782</v>
      </c>
      <c r="L1219" s="1" t="s">
        <v>283</v>
      </c>
      <c r="M1219" s="1" t="s">
        <v>58</v>
      </c>
      <c r="N1219" s="1" t="s">
        <v>61</v>
      </c>
    </row>
    <row r="1220" spans="1:14" x14ac:dyDescent="0.25">
      <c r="A1220" s="1" t="s">
        <v>86</v>
      </c>
      <c r="B1220" s="1" t="s">
        <v>6086</v>
      </c>
      <c r="C1220" s="1" t="s">
        <v>2286</v>
      </c>
      <c r="D1220" s="8" t="s">
        <v>2285</v>
      </c>
      <c r="E1220" s="1" t="s">
        <v>1320</v>
      </c>
      <c r="F1220" s="1" t="s">
        <v>4709</v>
      </c>
      <c r="G1220" s="1" t="s">
        <v>4716</v>
      </c>
      <c r="H1220" s="1" t="s">
        <v>4719</v>
      </c>
      <c r="I1220" s="1" t="s">
        <v>4721</v>
      </c>
      <c r="J1220" s="1" t="s">
        <v>12</v>
      </c>
      <c r="K1220" s="1" t="s">
        <v>4898</v>
      </c>
      <c r="L1220" s="1" t="s">
        <v>1321</v>
      </c>
      <c r="M1220" s="1" t="s">
        <v>172</v>
      </c>
      <c r="N1220" s="1" t="s">
        <v>17</v>
      </c>
    </row>
    <row r="1221" spans="1:14" x14ac:dyDescent="0.25">
      <c r="A1221" s="1" t="s">
        <v>86</v>
      </c>
      <c r="B1221" s="1" t="s">
        <v>6087</v>
      </c>
      <c r="C1221" s="1" t="s">
        <v>4279</v>
      </c>
      <c r="D1221" s="8" t="s">
        <v>4278</v>
      </c>
      <c r="E1221" s="1" t="s">
        <v>505</v>
      </c>
      <c r="F1221" s="1" t="s">
        <v>4708</v>
      </c>
      <c r="G1221" s="1" t="s">
        <v>4716</v>
      </c>
      <c r="H1221" s="1" t="s">
        <v>4719</v>
      </c>
      <c r="I1221" s="1" t="s">
        <v>4721</v>
      </c>
      <c r="J1221" s="1" t="s">
        <v>12</v>
      </c>
      <c r="K1221" s="1" t="s">
        <v>4794</v>
      </c>
      <c r="L1221" s="1" t="s">
        <v>164</v>
      </c>
      <c r="M1221" s="1" t="s">
        <v>245</v>
      </c>
      <c r="N1221" s="1" t="s">
        <v>21</v>
      </c>
    </row>
    <row r="1222" spans="1:14" x14ac:dyDescent="0.25">
      <c r="A1222" s="1" t="s">
        <v>86</v>
      </c>
      <c r="B1222" s="1" t="s">
        <v>6319</v>
      </c>
      <c r="C1222" s="1" t="s">
        <v>3109</v>
      </c>
      <c r="D1222" s="8" t="s">
        <v>3108</v>
      </c>
      <c r="E1222" s="1" t="s">
        <v>274</v>
      </c>
      <c r="F1222" s="1" t="s">
        <v>6435</v>
      </c>
      <c r="G1222" s="1" t="s">
        <v>4716</v>
      </c>
      <c r="H1222" s="1" t="s">
        <v>4719</v>
      </c>
      <c r="I1222" s="1" t="s">
        <v>4721</v>
      </c>
      <c r="J1222" s="1" t="s">
        <v>12</v>
      </c>
      <c r="K1222" s="1" t="s">
        <v>4794</v>
      </c>
      <c r="L1222" s="1" t="s">
        <v>210</v>
      </c>
      <c r="M1222" s="1" t="s">
        <v>245</v>
      </c>
      <c r="N1222" s="1" t="s">
        <v>21</v>
      </c>
    </row>
    <row r="1223" spans="1:14" x14ac:dyDescent="0.25">
      <c r="A1223" s="1" t="s">
        <v>86</v>
      </c>
      <c r="B1223" s="1" t="s">
        <v>6092</v>
      </c>
      <c r="C1223" s="1" t="s">
        <v>4060</v>
      </c>
      <c r="D1223" s="8" t="s">
        <v>4059</v>
      </c>
      <c r="E1223" s="1" t="s">
        <v>1320</v>
      </c>
      <c r="F1223" s="1" t="s">
        <v>4709</v>
      </c>
      <c r="G1223" s="1" t="s">
        <v>4716</v>
      </c>
      <c r="H1223" s="1" t="s">
        <v>4719</v>
      </c>
      <c r="I1223" s="1" t="s">
        <v>4722</v>
      </c>
      <c r="J1223" s="1" t="s">
        <v>39</v>
      </c>
      <c r="K1223" s="1" t="s">
        <v>4898</v>
      </c>
      <c r="L1223" s="1" t="s">
        <v>1321</v>
      </c>
      <c r="M1223" s="1" t="s">
        <v>172</v>
      </c>
      <c r="N1223" s="1" t="s">
        <v>17</v>
      </c>
    </row>
    <row r="1224" spans="1:14" x14ac:dyDescent="0.25">
      <c r="A1224" s="1" t="s">
        <v>86</v>
      </c>
      <c r="B1224" s="1" t="s">
        <v>6094</v>
      </c>
      <c r="C1224" s="1" t="s">
        <v>2702</v>
      </c>
      <c r="D1224" s="8" t="s">
        <v>2701</v>
      </c>
      <c r="E1224" s="1" t="s">
        <v>123</v>
      </c>
      <c r="F1224" s="1" t="s">
        <v>4711</v>
      </c>
      <c r="G1224" s="1" t="s">
        <v>4715</v>
      </c>
      <c r="H1224" s="1" t="s">
        <v>4719</v>
      </c>
      <c r="I1224" s="1" t="s">
        <v>4721</v>
      </c>
      <c r="J1224" s="1" t="s">
        <v>12</v>
      </c>
      <c r="K1224" s="1" t="s">
        <v>4771</v>
      </c>
      <c r="L1224" s="1" t="s">
        <v>122</v>
      </c>
      <c r="M1224" s="1" t="s">
        <v>245</v>
      </c>
      <c r="N1224" s="1" t="s">
        <v>21</v>
      </c>
    </row>
    <row r="1225" spans="1:14" x14ac:dyDescent="0.25">
      <c r="A1225" s="1" t="s">
        <v>86</v>
      </c>
      <c r="B1225" s="1" t="s">
        <v>6388</v>
      </c>
      <c r="C1225" s="1" t="s">
        <v>1542</v>
      </c>
      <c r="D1225" s="8" t="s">
        <v>1541</v>
      </c>
      <c r="E1225" s="1" t="s">
        <v>211</v>
      </c>
      <c r="F1225" s="1" t="s">
        <v>6435</v>
      </c>
      <c r="G1225" s="1" t="s">
        <v>4716</v>
      </c>
      <c r="H1225" s="1" t="s">
        <v>4719</v>
      </c>
      <c r="I1225" s="1" t="s">
        <v>4721</v>
      </c>
      <c r="J1225" s="1" t="s">
        <v>12</v>
      </c>
      <c r="K1225" s="1" t="s">
        <v>4820</v>
      </c>
      <c r="L1225" s="1" t="s">
        <v>210</v>
      </c>
      <c r="M1225" s="1" t="s">
        <v>58</v>
      </c>
      <c r="N1225" s="1" t="s">
        <v>61</v>
      </c>
    </row>
    <row r="1226" spans="1:14" x14ac:dyDescent="0.25">
      <c r="A1226" s="1" t="s">
        <v>86</v>
      </c>
      <c r="B1226" s="1" t="s">
        <v>6359</v>
      </c>
      <c r="C1226" s="1" t="s">
        <v>1792</v>
      </c>
      <c r="D1226" s="8" t="s">
        <v>1791</v>
      </c>
      <c r="E1226" s="1" t="s">
        <v>1320</v>
      </c>
      <c r="F1226" s="1" t="s">
        <v>6449</v>
      </c>
      <c r="G1226" s="1" t="s">
        <v>4717</v>
      </c>
      <c r="H1226" s="1" t="s">
        <v>4719</v>
      </c>
      <c r="I1226" s="1" t="s">
        <v>4722</v>
      </c>
      <c r="J1226" s="1" t="s">
        <v>39</v>
      </c>
      <c r="K1226" s="1" t="s">
        <v>4904</v>
      </c>
      <c r="L1226" s="1" t="s">
        <v>1321</v>
      </c>
      <c r="M1226" s="1" t="s">
        <v>58</v>
      </c>
      <c r="N1226" s="1" t="s">
        <v>61</v>
      </c>
    </row>
    <row r="1227" spans="1:14" x14ac:dyDescent="0.25">
      <c r="A1227" s="1" t="s">
        <v>86</v>
      </c>
      <c r="B1227" s="1" t="s">
        <v>6360</v>
      </c>
      <c r="C1227" s="1" t="s">
        <v>4041</v>
      </c>
      <c r="D1227" s="8" t="s">
        <v>4040</v>
      </c>
      <c r="E1227" s="1" t="s">
        <v>1320</v>
      </c>
      <c r="F1227" s="1" t="s">
        <v>4709</v>
      </c>
      <c r="G1227" s="1" t="s">
        <v>4716</v>
      </c>
      <c r="H1227" s="1" t="s">
        <v>4719</v>
      </c>
      <c r="I1227" s="1" t="s">
        <v>4721</v>
      </c>
      <c r="J1227" s="1" t="s">
        <v>12</v>
      </c>
      <c r="K1227" s="1" t="s">
        <v>4898</v>
      </c>
      <c r="L1227" s="1" t="s">
        <v>1321</v>
      </c>
      <c r="M1227" s="1" t="s">
        <v>630</v>
      </c>
      <c r="N1227" s="1" t="s">
        <v>21</v>
      </c>
    </row>
    <row r="1228" spans="1:14" x14ac:dyDescent="0.25">
      <c r="A1228" s="1" t="s">
        <v>86</v>
      </c>
      <c r="B1228" s="1" t="s">
        <v>5921</v>
      </c>
      <c r="C1228" s="1" t="s">
        <v>3172</v>
      </c>
      <c r="D1228" s="8" t="s">
        <v>3171</v>
      </c>
      <c r="E1228" s="1" t="s">
        <v>817</v>
      </c>
      <c r="F1228" s="1" t="s">
        <v>4713</v>
      </c>
      <c r="G1228" s="1" t="s">
        <v>4716</v>
      </c>
      <c r="H1228" s="1" t="s">
        <v>4719</v>
      </c>
      <c r="I1228" s="1" t="s">
        <v>4721</v>
      </c>
      <c r="J1228" s="1" t="s">
        <v>12</v>
      </c>
      <c r="K1228" s="1" t="s">
        <v>4802</v>
      </c>
      <c r="L1228" s="1" t="s">
        <v>217</v>
      </c>
      <c r="M1228" s="1" t="s">
        <v>637</v>
      </c>
      <c r="N1228" s="1" t="s">
        <v>19</v>
      </c>
    </row>
    <row r="1229" spans="1:14" x14ac:dyDescent="0.25">
      <c r="A1229" s="1" t="s">
        <v>86</v>
      </c>
      <c r="B1229" s="1" t="s">
        <v>6420</v>
      </c>
      <c r="C1229" s="1" t="s">
        <v>4330</v>
      </c>
      <c r="D1229" s="8" t="s">
        <v>4329</v>
      </c>
      <c r="E1229" s="1" t="s">
        <v>211</v>
      </c>
      <c r="F1229" s="1" t="s">
        <v>6438</v>
      </c>
      <c r="G1229" s="1" t="s">
        <v>4716</v>
      </c>
      <c r="H1229" s="1" t="s">
        <v>4719</v>
      </c>
      <c r="I1229" s="1" t="s">
        <v>6421</v>
      </c>
      <c r="J1229" s="1" t="s">
        <v>39</v>
      </c>
      <c r="K1229" s="1" t="s">
        <v>4783</v>
      </c>
      <c r="L1229" s="1" t="s">
        <v>210</v>
      </c>
      <c r="M1229" s="1" t="s">
        <v>136</v>
      </c>
      <c r="N1229" s="1" t="s">
        <v>72</v>
      </c>
    </row>
    <row r="1230" spans="1:14" x14ac:dyDescent="0.25">
      <c r="A1230" s="1" t="s">
        <v>86</v>
      </c>
      <c r="B1230" s="1" t="s">
        <v>6420</v>
      </c>
      <c r="C1230" s="1" t="s">
        <v>3454</v>
      </c>
      <c r="D1230" s="8" t="s">
        <v>3453</v>
      </c>
      <c r="E1230" s="1" t="s">
        <v>284</v>
      </c>
      <c r="F1230" s="1" t="s">
        <v>6440</v>
      </c>
      <c r="G1230" s="1" t="s">
        <v>4716</v>
      </c>
      <c r="H1230" s="1" t="s">
        <v>4719</v>
      </c>
      <c r="I1230" s="1" t="s">
        <v>6421</v>
      </c>
      <c r="J1230" s="1" t="s">
        <v>39</v>
      </c>
      <c r="K1230" s="1" t="s">
        <v>4887</v>
      </c>
      <c r="L1230" s="1" t="s">
        <v>283</v>
      </c>
      <c r="M1230" s="1" t="s">
        <v>172</v>
      </c>
      <c r="N1230" s="1" t="s">
        <v>17</v>
      </c>
    </row>
    <row r="1231" spans="1:14" x14ac:dyDescent="0.25">
      <c r="A1231" s="1" t="s">
        <v>86</v>
      </c>
      <c r="B1231" s="1" t="s">
        <v>6420</v>
      </c>
      <c r="C1231" s="1" t="s">
        <v>3139</v>
      </c>
      <c r="D1231" s="8" t="s">
        <v>3138</v>
      </c>
      <c r="E1231" s="1" t="s">
        <v>211</v>
      </c>
      <c r="F1231" s="1" t="s">
        <v>6457</v>
      </c>
      <c r="G1231" s="1" t="s">
        <v>4716</v>
      </c>
      <c r="H1231" s="1" t="s">
        <v>4719</v>
      </c>
      <c r="I1231" s="1" t="s">
        <v>6421</v>
      </c>
      <c r="J1231" s="1" t="s">
        <v>39</v>
      </c>
      <c r="K1231" s="1" t="s">
        <v>4820</v>
      </c>
      <c r="L1231" s="1" t="s">
        <v>210</v>
      </c>
      <c r="M1231" s="1" t="s">
        <v>245</v>
      </c>
      <c r="N1231" s="1" t="s">
        <v>21</v>
      </c>
    </row>
    <row r="1232" spans="1:14" x14ac:dyDescent="0.25">
      <c r="A1232" s="1" t="s">
        <v>86</v>
      </c>
      <c r="B1232" s="1" t="s">
        <v>6420</v>
      </c>
      <c r="C1232" s="1" t="s">
        <v>3448</v>
      </c>
      <c r="D1232" s="8" t="s">
        <v>3447</v>
      </c>
      <c r="E1232" s="1" t="s">
        <v>445</v>
      </c>
      <c r="F1232" s="1" t="s">
        <v>6440</v>
      </c>
      <c r="G1232" s="1" t="s">
        <v>4716</v>
      </c>
      <c r="H1232" s="1" t="s">
        <v>4719</v>
      </c>
      <c r="I1232" s="1" t="s">
        <v>6421</v>
      </c>
      <c r="J1232" s="1" t="s">
        <v>39</v>
      </c>
      <c r="K1232" s="1" t="s">
        <v>4887</v>
      </c>
      <c r="L1232" s="1" t="s">
        <v>122</v>
      </c>
      <c r="M1232" s="1" t="s">
        <v>172</v>
      </c>
      <c r="N1232" s="1" t="s">
        <v>17</v>
      </c>
    </row>
    <row r="1233" spans="1:14" x14ac:dyDescent="0.25">
      <c r="A1233" s="1" t="s">
        <v>86</v>
      </c>
      <c r="B1233" s="1" t="s">
        <v>6420</v>
      </c>
      <c r="C1233" s="1" t="s">
        <v>3834</v>
      </c>
      <c r="D1233" s="8" t="s">
        <v>3833</v>
      </c>
      <c r="E1233" s="1" t="s">
        <v>205</v>
      </c>
      <c r="F1233" s="1" t="s">
        <v>6439</v>
      </c>
      <c r="G1233" s="1" t="s">
        <v>4715</v>
      </c>
      <c r="H1233" s="1" t="s">
        <v>4719</v>
      </c>
      <c r="I1233" s="1" t="s">
        <v>6421</v>
      </c>
      <c r="J1233" s="1" t="s">
        <v>39</v>
      </c>
      <c r="K1233" s="1" t="s">
        <v>4771</v>
      </c>
      <c r="L1233" s="1" t="s">
        <v>122</v>
      </c>
      <c r="M1233" s="1" t="s">
        <v>245</v>
      </c>
      <c r="N1233" s="1" t="s">
        <v>21</v>
      </c>
    </row>
    <row r="1234" spans="1:14" x14ac:dyDescent="0.25">
      <c r="A1234" s="1" t="s">
        <v>86</v>
      </c>
      <c r="B1234" s="1" t="s">
        <v>6420</v>
      </c>
      <c r="C1234" s="1" t="s">
        <v>4477</v>
      </c>
      <c r="D1234" s="8" t="s">
        <v>4476</v>
      </c>
      <c r="E1234" s="1" t="s">
        <v>1099</v>
      </c>
      <c r="F1234" s="1" t="s">
        <v>6458</v>
      </c>
      <c r="G1234" s="1" t="s">
        <v>6458</v>
      </c>
      <c r="H1234" s="1" t="s">
        <v>6458</v>
      </c>
      <c r="I1234" s="1" t="s">
        <v>6459</v>
      </c>
      <c r="J1234" s="1" t="s">
        <v>39</v>
      </c>
      <c r="K1234" s="1" t="s">
        <v>4777</v>
      </c>
      <c r="L1234" s="1" t="s">
        <v>283</v>
      </c>
      <c r="M1234" s="1" t="s">
        <v>4478</v>
      </c>
      <c r="N1234" s="1" t="s">
        <v>21</v>
      </c>
    </row>
    <row r="1235" spans="1:14" x14ac:dyDescent="0.25">
      <c r="A1235" s="1" t="s">
        <v>86</v>
      </c>
      <c r="B1235" s="1" t="s">
        <v>6420</v>
      </c>
      <c r="C1235" s="1" t="s">
        <v>2058</v>
      </c>
      <c r="D1235" s="8" t="s">
        <v>2057</v>
      </c>
      <c r="E1235" s="1" t="s">
        <v>284</v>
      </c>
      <c r="F1235" s="1" t="s">
        <v>4714</v>
      </c>
      <c r="G1235" s="1" t="s">
        <v>4715</v>
      </c>
      <c r="H1235" s="1" t="s">
        <v>4719</v>
      </c>
      <c r="I1235" s="1" t="s">
        <v>6421</v>
      </c>
      <c r="J1235" s="1" t="s">
        <v>39</v>
      </c>
      <c r="K1235" s="1" t="s">
        <v>4777</v>
      </c>
      <c r="L1235" s="1" t="s">
        <v>283</v>
      </c>
      <c r="M1235" s="1" t="s">
        <v>870</v>
      </c>
      <c r="N1235" s="1" t="s">
        <v>76</v>
      </c>
    </row>
    <row r="1236" spans="1:14" x14ac:dyDescent="0.25">
      <c r="A1236" s="1" t="s">
        <v>86</v>
      </c>
      <c r="B1236" s="1" t="s">
        <v>6420</v>
      </c>
      <c r="C1236" s="1" t="s">
        <v>4396</v>
      </c>
      <c r="D1236" s="8" t="s">
        <v>4395</v>
      </c>
      <c r="E1236" s="1" t="s">
        <v>1099</v>
      </c>
      <c r="F1236" s="1" t="s">
        <v>6442</v>
      </c>
      <c r="G1236" s="1" t="s">
        <v>4716</v>
      </c>
      <c r="H1236" s="1" t="s">
        <v>4719</v>
      </c>
      <c r="I1236" s="1" t="s">
        <v>6421</v>
      </c>
      <c r="J1236" s="1" t="s">
        <v>39</v>
      </c>
      <c r="K1236" s="1" t="s">
        <v>4777</v>
      </c>
      <c r="L1236" s="1" t="s">
        <v>283</v>
      </c>
      <c r="M1236" s="1" t="s">
        <v>317</v>
      </c>
      <c r="N1236" s="1" t="s">
        <v>42</v>
      </c>
    </row>
    <row r="1237" spans="1:14" x14ac:dyDescent="0.25">
      <c r="A1237" s="1" t="s">
        <v>86</v>
      </c>
      <c r="B1237" s="1" t="s">
        <v>6420</v>
      </c>
      <c r="C1237" s="1" t="s">
        <v>2292</v>
      </c>
      <c r="D1237" s="8" t="s">
        <v>2291</v>
      </c>
      <c r="E1237" s="1" t="s">
        <v>840</v>
      </c>
      <c r="F1237" s="1" t="s">
        <v>4709</v>
      </c>
      <c r="G1237" s="1" t="s">
        <v>4716</v>
      </c>
      <c r="H1237" s="1" t="s">
        <v>4719</v>
      </c>
      <c r="I1237" s="1" t="s">
        <v>6421</v>
      </c>
      <c r="J1237" s="1" t="s">
        <v>39</v>
      </c>
      <c r="K1237" s="1" t="s">
        <v>4796</v>
      </c>
      <c r="L1237" s="1" t="s">
        <v>198</v>
      </c>
      <c r="M1237" s="1" t="s">
        <v>172</v>
      </c>
      <c r="N1237" s="1" t="s">
        <v>17</v>
      </c>
    </row>
    <row r="1238" spans="1:14" x14ac:dyDescent="0.25">
      <c r="A1238" s="1" t="s">
        <v>86</v>
      </c>
      <c r="B1238" s="1" t="s">
        <v>6420</v>
      </c>
      <c r="C1238" s="1" t="s">
        <v>1003</v>
      </c>
      <c r="D1238" s="8" t="s">
        <v>1002</v>
      </c>
      <c r="E1238" s="1" t="s">
        <v>497</v>
      </c>
      <c r="F1238" s="1" t="s">
        <v>6458</v>
      </c>
      <c r="G1238" s="1" t="s">
        <v>6458</v>
      </c>
      <c r="H1238" s="1" t="s">
        <v>6458</v>
      </c>
      <c r="I1238" s="1" t="s">
        <v>6421</v>
      </c>
      <c r="J1238" s="1" t="s">
        <v>39</v>
      </c>
      <c r="K1238" s="1" t="s">
        <v>4766</v>
      </c>
      <c r="L1238" s="1" t="s">
        <v>164</v>
      </c>
      <c r="M1238" s="1" t="s">
        <v>1004</v>
      </c>
      <c r="N1238" s="1" t="s">
        <v>21</v>
      </c>
    </row>
    <row r="1239" spans="1:14" x14ac:dyDescent="0.25">
      <c r="A1239" s="1" t="s">
        <v>86</v>
      </c>
      <c r="B1239" s="1" t="s">
        <v>6420</v>
      </c>
      <c r="C1239" s="1" t="s">
        <v>3704</v>
      </c>
      <c r="D1239" s="8" t="s">
        <v>3703</v>
      </c>
      <c r="E1239" s="1" t="s">
        <v>459</v>
      </c>
      <c r="F1239" s="1" t="s">
        <v>6458</v>
      </c>
      <c r="G1239" s="1" t="s">
        <v>6458</v>
      </c>
      <c r="H1239" s="1" t="s">
        <v>6458</v>
      </c>
      <c r="I1239" s="1" t="s">
        <v>6459</v>
      </c>
      <c r="J1239" s="1" t="s">
        <v>39</v>
      </c>
      <c r="K1239" s="1" t="s">
        <v>4802</v>
      </c>
      <c r="L1239" s="1" t="s">
        <v>458</v>
      </c>
      <c r="M1239" s="1" t="s">
        <v>3705</v>
      </c>
      <c r="N1239" s="1" t="s">
        <v>126</v>
      </c>
    </row>
    <row r="1240" spans="1:14" x14ac:dyDescent="0.25">
      <c r="A1240" s="1" t="s">
        <v>86</v>
      </c>
      <c r="B1240" s="1" t="s">
        <v>6420</v>
      </c>
      <c r="C1240" s="1" t="s">
        <v>4383</v>
      </c>
      <c r="D1240" s="8" t="s">
        <v>4382</v>
      </c>
      <c r="E1240" s="1" t="s">
        <v>1099</v>
      </c>
      <c r="F1240" s="1" t="s">
        <v>6442</v>
      </c>
      <c r="G1240" s="1" t="s">
        <v>4716</v>
      </c>
      <c r="H1240" s="1" t="s">
        <v>4719</v>
      </c>
      <c r="I1240" s="1" t="s">
        <v>6421</v>
      </c>
      <c r="J1240" s="1" t="s">
        <v>39</v>
      </c>
      <c r="K1240" s="1" t="s">
        <v>4777</v>
      </c>
      <c r="L1240" s="1" t="s">
        <v>283</v>
      </c>
      <c r="M1240" s="1" t="s">
        <v>446</v>
      </c>
      <c r="N1240" s="1" t="s">
        <v>72</v>
      </c>
    </row>
    <row r="1241" spans="1:14" x14ac:dyDescent="0.25">
      <c r="A1241" s="1" t="s">
        <v>86</v>
      </c>
      <c r="B1241" s="1" t="s">
        <v>6420</v>
      </c>
      <c r="C1241" s="1" t="s">
        <v>2201</v>
      </c>
      <c r="D1241" s="8" t="s">
        <v>2200</v>
      </c>
      <c r="E1241" s="1" t="s">
        <v>211</v>
      </c>
      <c r="F1241" s="1" t="s">
        <v>6435</v>
      </c>
      <c r="G1241" s="1" t="s">
        <v>4716</v>
      </c>
      <c r="H1241" s="1" t="s">
        <v>4719</v>
      </c>
      <c r="I1241" s="1" t="s">
        <v>6421</v>
      </c>
      <c r="J1241" s="1" t="s">
        <v>39</v>
      </c>
      <c r="K1241" s="1" t="s">
        <v>4846</v>
      </c>
      <c r="L1241" s="1" t="s">
        <v>210</v>
      </c>
      <c r="M1241" s="1" t="s">
        <v>317</v>
      </c>
      <c r="N1241" s="1" t="s">
        <v>42</v>
      </c>
    </row>
    <row r="1242" spans="1:14" x14ac:dyDescent="0.25">
      <c r="A1242" s="1" t="s">
        <v>86</v>
      </c>
      <c r="B1242" s="1" t="s">
        <v>6420</v>
      </c>
      <c r="C1242" s="1" t="s">
        <v>4047</v>
      </c>
      <c r="D1242" s="8" t="s">
        <v>4046</v>
      </c>
      <c r="E1242" s="1" t="s">
        <v>199</v>
      </c>
      <c r="F1242" s="1" t="s">
        <v>4709</v>
      </c>
      <c r="G1242" s="1" t="s">
        <v>4716</v>
      </c>
      <c r="H1242" s="1" t="s">
        <v>4719</v>
      </c>
      <c r="I1242" s="1" t="s">
        <v>6421</v>
      </c>
      <c r="J1242" s="1" t="s">
        <v>39</v>
      </c>
      <c r="K1242" s="1" t="s">
        <v>4796</v>
      </c>
      <c r="L1242" s="1" t="s">
        <v>198</v>
      </c>
      <c r="M1242" s="1" t="s">
        <v>4048</v>
      </c>
      <c r="N1242" s="1" t="s">
        <v>21</v>
      </c>
    </row>
    <row r="1243" spans="1:14" x14ac:dyDescent="0.25">
      <c r="A1243" s="1" t="s">
        <v>86</v>
      </c>
      <c r="B1243" s="1" t="s">
        <v>6420</v>
      </c>
      <c r="C1243" s="1" t="s">
        <v>1000</v>
      </c>
      <c r="D1243" s="8" t="s">
        <v>999</v>
      </c>
      <c r="E1243" s="1" t="s">
        <v>205</v>
      </c>
      <c r="F1243" s="1" t="s">
        <v>6458</v>
      </c>
      <c r="G1243" s="1" t="s">
        <v>6458</v>
      </c>
      <c r="H1243" s="1" t="s">
        <v>6458</v>
      </c>
      <c r="I1243" s="1" t="s">
        <v>6421</v>
      </c>
      <c r="J1243" s="1" t="s">
        <v>39</v>
      </c>
      <c r="K1243" s="1" t="s">
        <v>4784</v>
      </c>
      <c r="L1243" s="1" t="s">
        <v>122</v>
      </c>
      <c r="M1243" s="1" t="s">
        <v>245</v>
      </c>
      <c r="N1243" s="1" t="s">
        <v>21</v>
      </c>
    </row>
    <row r="1244" spans="1:14" x14ac:dyDescent="0.25">
      <c r="A1244" s="1" t="s">
        <v>86</v>
      </c>
      <c r="B1244" s="1" t="s">
        <v>6420</v>
      </c>
      <c r="C1244" s="1" t="s">
        <v>336</v>
      </c>
      <c r="D1244" s="8" t="s">
        <v>335</v>
      </c>
      <c r="E1244" s="1" t="s">
        <v>211</v>
      </c>
      <c r="F1244" s="1" t="s">
        <v>6435</v>
      </c>
      <c r="G1244" s="1" t="s">
        <v>4716</v>
      </c>
      <c r="H1244" s="1" t="s">
        <v>4719</v>
      </c>
      <c r="I1244" s="1" t="s">
        <v>6421</v>
      </c>
      <c r="J1244" s="1" t="s">
        <v>39</v>
      </c>
      <c r="K1244" s="1" t="s">
        <v>4820</v>
      </c>
      <c r="L1244" s="1" t="s">
        <v>210</v>
      </c>
      <c r="M1244" s="1" t="s">
        <v>245</v>
      </c>
      <c r="N1244" s="1" t="s">
        <v>21</v>
      </c>
    </row>
    <row r="1245" spans="1:14" x14ac:dyDescent="0.25">
      <c r="A1245" s="1" t="s">
        <v>86</v>
      </c>
      <c r="B1245" s="1" t="s">
        <v>6420</v>
      </c>
      <c r="C1245" s="1" t="s">
        <v>2016</v>
      </c>
      <c r="D1245" s="8" t="s">
        <v>2015</v>
      </c>
      <c r="E1245" s="1" t="s">
        <v>445</v>
      </c>
      <c r="F1245" s="1" t="s">
        <v>6440</v>
      </c>
      <c r="G1245" s="1" t="s">
        <v>4716</v>
      </c>
      <c r="H1245" s="1" t="s">
        <v>4719</v>
      </c>
      <c r="I1245" s="1" t="s">
        <v>6421</v>
      </c>
      <c r="J1245" s="1" t="s">
        <v>39</v>
      </c>
      <c r="K1245" s="1" t="s">
        <v>4887</v>
      </c>
      <c r="L1245" s="1" t="s">
        <v>122</v>
      </c>
      <c r="M1245" s="1" t="s">
        <v>172</v>
      </c>
      <c r="N1245" s="1" t="s">
        <v>17</v>
      </c>
    </row>
    <row r="1246" spans="1:14" x14ac:dyDescent="0.25">
      <c r="A1246" s="1" t="s">
        <v>86</v>
      </c>
      <c r="B1246" s="1" t="s">
        <v>6420</v>
      </c>
      <c r="C1246" s="1" t="s">
        <v>1353</v>
      </c>
      <c r="D1246" s="8" t="s">
        <v>1352</v>
      </c>
      <c r="E1246" s="1" t="s">
        <v>165</v>
      </c>
      <c r="F1246" s="1" t="s">
        <v>4710</v>
      </c>
      <c r="G1246" s="1" t="s">
        <v>4716</v>
      </c>
      <c r="H1246" s="1" t="s">
        <v>4719</v>
      </c>
      <c r="I1246" s="1" t="s">
        <v>6421</v>
      </c>
      <c r="J1246" s="1" t="s">
        <v>39</v>
      </c>
      <c r="K1246" s="1" t="s">
        <v>4798</v>
      </c>
      <c r="L1246" s="1" t="s">
        <v>164</v>
      </c>
      <c r="M1246" s="1" t="s">
        <v>245</v>
      </c>
      <c r="N1246" s="1" t="s">
        <v>21</v>
      </c>
    </row>
    <row r="1247" spans="1:14" x14ac:dyDescent="0.25">
      <c r="A1247" s="1" t="s">
        <v>86</v>
      </c>
      <c r="B1247" s="1" t="s">
        <v>6420</v>
      </c>
      <c r="C1247" s="1" t="s">
        <v>3701</v>
      </c>
      <c r="D1247" s="8" t="s">
        <v>3700</v>
      </c>
      <c r="E1247" s="1" t="s">
        <v>88</v>
      </c>
      <c r="F1247" s="1" t="s">
        <v>6458</v>
      </c>
      <c r="G1247" s="1" t="s">
        <v>6458</v>
      </c>
      <c r="H1247" s="1" t="s">
        <v>6458</v>
      </c>
      <c r="I1247" s="1" t="s">
        <v>6459</v>
      </c>
      <c r="J1247" s="1" t="s">
        <v>39</v>
      </c>
      <c r="K1247" s="1" t="s">
        <v>4911</v>
      </c>
      <c r="L1247" s="1" t="s">
        <v>87</v>
      </c>
      <c r="M1247" s="1" t="s">
        <v>3702</v>
      </c>
      <c r="N1247" s="1" t="s">
        <v>356</v>
      </c>
    </row>
    <row r="1248" spans="1:14" x14ac:dyDescent="0.25">
      <c r="A1248" s="1" t="s">
        <v>86</v>
      </c>
      <c r="B1248" s="1" t="s">
        <v>6420</v>
      </c>
      <c r="C1248" s="1" t="s">
        <v>1126</v>
      </c>
      <c r="D1248" s="8" t="s">
        <v>1125</v>
      </c>
      <c r="E1248" s="1" t="s">
        <v>325</v>
      </c>
      <c r="F1248" s="1" t="s">
        <v>4714</v>
      </c>
      <c r="G1248" s="1" t="s">
        <v>4715</v>
      </c>
      <c r="H1248" s="1" t="s">
        <v>4719</v>
      </c>
      <c r="I1248" s="1" t="s">
        <v>6421</v>
      </c>
      <c r="J1248" s="1" t="s">
        <v>39</v>
      </c>
      <c r="K1248" s="1" t="s">
        <v>4777</v>
      </c>
      <c r="L1248" s="1" t="s">
        <v>283</v>
      </c>
      <c r="M1248" s="1" t="s">
        <v>870</v>
      </c>
      <c r="N1248" s="1" t="s">
        <v>76</v>
      </c>
    </row>
    <row r="1249" spans="1:14" x14ac:dyDescent="0.25">
      <c r="A1249" s="1" t="s">
        <v>86</v>
      </c>
      <c r="B1249" s="1" t="s">
        <v>6420</v>
      </c>
      <c r="C1249" s="1" t="s">
        <v>2271</v>
      </c>
      <c r="D1249" s="8" t="s">
        <v>2270</v>
      </c>
      <c r="E1249" s="1" t="s">
        <v>88</v>
      </c>
      <c r="F1249" s="1" t="s">
        <v>4709</v>
      </c>
      <c r="G1249" s="1" t="s">
        <v>4716</v>
      </c>
      <c r="H1249" s="1" t="s">
        <v>4719</v>
      </c>
      <c r="I1249" s="1" t="s">
        <v>6421</v>
      </c>
      <c r="J1249" s="1" t="s">
        <v>39</v>
      </c>
      <c r="K1249" s="1" t="s">
        <v>4796</v>
      </c>
      <c r="L1249" s="1" t="s">
        <v>87</v>
      </c>
      <c r="M1249" s="1" t="s">
        <v>41</v>
      </c>
      <c r="N1249" s="1" t="s">
        <v>42</v>
      </c>
    </row>
    <row r="1250" spans="1:14" x14ac:dyDescent="0.25">
      <c r="A1250" s="1" t="s">
        <v>86</v>
      </c>
      <c r="B1250" s="1" t="s">
        <v>6420</v>
      </c>
      <c r="C1250" s="1" t="s">
        <v>1135</v>
      </c>
      <c r="D1250" s="8" t="s">
        <v>1134</v>
      </c>
      <c r="E1250" s="1" t="s">
        <v>284</v>
      </c>
      <c r="F1250" s="1" t="s">
        <v>4714</v>
      </c>
      <c r="G1250" s="1" t="s">
        <v>4715</v>
      </c>
      <c r="H1250" s="1" t="s">
        <v>4719</v>
      </c>
      <c r="I1250" s="1" t="s">
        <v>6421</v>
      </c>
      <c r="J1250" s="1" t="s">
        <v>39</v>
      </c>
      <c r="K1250" s="1" t="s">
        <v>4777</v>
      </c>
      <c r="L1250" s="1" t="s">
        <v>283</v>
      </c>
      <c r="M1250" s="1" t="s">
        <v>89</v>
      </c>
      <c r="N1250" s="1" t="s">
        <v>37</v>
      </c>
    </row>
    <row r="1251" spans="1:14" x14ac:dyDescent="0.25">
      <c r="A1251" s="1" t="s">
        <v>86</v>
      </c>
      <c r="B1251" s="1" t="s">
        <v>6420</v>
      </c>
      <c r="C1251" s="1" t="s">
        <v>1165</v>
      </c>
      <c r="D1251" s="8" t="s">
        <v>1164</v>
      </c>
      <c r="E1251" s="1" t="s">
        <v>205</v>
      </c>
      <c r="F1251" s="1" t="s">
        <v>4714</v>
      </c>
      <c r="G1251" s="1" t="s">
        <v>4715</v>
      </c>
      <c r="H1251" s="1" t="s">
        <v>4719</v>
      </c>
      <c r="I1251" s="1" t="s">
        <v>6421</v>
      </c>
      <c r="J1251" s="1" t="s">
        <v>39</v>
      </c>
      <c r="K1251" s="1" t="s">
        <v>4777</v>
      </c>
      <c r="L1251" s="1" t="s">
        <v>122</v>
      </c>
      <c r="M1251" s="1" t="s">
        <v>245</v>
      </c>
      <c r="N1251" s="1" t="s">
        <v>21</v>
      </c>
    </row>
    <row r="1252" spans="1:14" x14ac:dyDescent="0.25">
      <c r="A1252" s="1" t="s">
        <v>86</v>
      </c>
      <c r="B1252" s="1" t="s">
        <v>6420</v>
      </c>
      <c r="C1252" s="1" t="s">
        <v>3813</v>
      </c>
      <c r="D1252" s="8" t="s">
        <v>3811</v>
      </c>
      <c r="E1252" s="1" t="s">
        <v>205</v>
      </c>
      <c r="F1252" s="1" t="s">
        <v>6439</v>
      </c>
      <c r="G1252" s="1" t="s">
        <v>4715</v>
      </c>
      <c r="H1252" s="1" t="s">
        <v>4719</v>
      </c>
      <c r="I1252" s="1" t="s">
        <v>6421</v>
      </c>
      <c r="J1252" s="1" t="s">
        <v>39</v>
      </c>
      <c r="K1252" s="1" t="s">
        <v>4770</v>
      </c>
      <c r="L1252" s="1" t="s">
        <v>122</v>
      </c>
      <c r="M1252" s="1" t="s">
        <v>58</v>
      </c>
      <c r="N1252" s="1" t="s">
        <v>61</v>
      </c>
    </row>
    <row r="1253" spans="1:14" x14ac:dyDescent="0.25">
      <c r="A1253" s="1" t="s">
        <v>86</v>
      </c>
      <c r="B1253" s="1" t="s">
        <v>6420</v>
      </c>
      <c r="C1253" s="1" t="s">
        <v>3442</v>
      </c>
      <c r="D1253" s="8" t="s">
        <v>3440</v>
      </c>
      <c r="E1253" s="1" t="s">
        <v>205</v>
      </c>
      <c r="F1253" s="1" t="s">
        <v>6460</v>
      </c>
      <c r="G1253" s="1" t="s">
        <v>4715</v>
      </c>
      <c r="H1253" s="1" t="s">
        <v>4719</v>
      </c>
      <c r="I1253" s="1" t="s">
        <v>6421</v>
      </c>
      <c r="J1253" s="1" t="s">
        <v>39</v>
      </c>
      <c r="K1253" s="1" t="s">
        <v>4784</v>
      </c>
      <c r="L1253" s="1" t="s">
        <v>122</v>
      </c>
      <c r="M1253" s="1" t="s">
        <v>317</v>
      </c>
      <c r="N1253" s="1" t="s">
        <v>42</v>
      </c>
    </row>
    <row r="1254" spans="1:14" x14ac:dyDescent="0.25">
      <c r="A1254" s="1" t="s">
        <v>86</v>
      </c>
      <c r="B1254" s="1" t="s">
        <v>6420</v>
      </c>
      <c r="C1254" s="1" t="s">
        <v>2007</v>
      </c>
      <c r="D1254" s="8" t="s">
        <v>2006</v>
      </c>
      <c r="E1254" s="1" t="s">
        <v>205</v>
      </c>
      <c r="F1254" s="1" t="s">
        <v>6439</v>
      </c>
      <c r="G1254" s="1" t="s">
        <v>4715</v>
      </c>
      <c r="H1254" s="1" t="s">
        <v>4719</v>
      </c>
      <c r="I1254" s="1" t="s">
        <v>6421</v>
      </c>
      <c r="J1254" s="1" t="s">
        <v>39</v>
      </c>
      <c r="K1254" s="1" t="s">
        <v>4770</v>
      </c>
      <c r="L1254" s="1" t="s">
        <v>122</v>
      </c>
      <c r="M1254" s="1" t="s">
        <v>245</v>
      </c>
      <c r="N1254" s="1" t="s">
        <v>21</v>
      </c>
    </row>
    <row r="1255" spans="1:14" x14ac:dyDescent="0.25">
      <c r="A1255" s="1" t="s">
        <v>86</v>
      </c>
      <c r="B1255" s="1" t="s">
        <v>6420</v>
      </c>
      <c r="C1255" s="1" t="s">
        <v>1482</v>
      </c>
      <c r="D1255" s="8" t="s">
        <v>1481</v>
      </c>
      <c r="E1255" s="1" t="s">
        <v>218</v>
      </c>
      <c r="F1255" s="1" t="s">
        <v>6461</v>
      </c>
      <c r="G1255" s="1" t="s">
        <v>4716</v>
      </c>
      <c r="H1255" s="1" t="s">
        <v>4719</v>
      </c>
      <c r="I1255" s="1" t="s">
        <v>6421</v>
      </c>
      <c r="J1255" s="1" t="s">
        <v>39</v>
      </c>
      <c r="K1255" s="1" t="s">
        <v>4802</v>
      </c>
      <c r="L1255" s="1" t="s">
        <v>217</v>
      </c>
      <c r="M1255" s="1" t="s">
        <v>172</v>
      </c>
      <c r="N1255" s="1" t="s">
        <v>17</v>
      </c>
    </row>
    <row r="1256" spans="1:14" x14ac:dyDescent="0.25">
      <c r="A1256" s="1" t="s">
        <v>86</v>
      </c>
      <c r="B1256" s="1" t="s">
        <v>6420</v>
      </c>
      <c r="C1256" s="1" t="s">
        <v>1460</v>
      </c>
      <c r="D1256" s="8" t="s">
        <v>1459</v>
      </c>
      <c r="E1256" s="1" t="s">
        <v>218</v>
      </c>
      <c r="F1256" s="1" t="s">
        <v>6461</v>
      </c>
      <c r="G1256" s="1" t="s">
        <v>4716</v>
      </c>
      <c r="H1256" s="1" t="s">
        <v>4719</v>
      </c>
      <c r="I1256" s="1" t="s">
        <v>6421</v>
      </c>
      <c r="J1256" s="1" t="s">
        <v>39</v>
      </c>
      <c r="K1256" s="1" t="s">
        <v>4802</v>
      </c>
      <c r="L1256" s="1" t="s">
        <v>217</v>
      </c>
      <c r="M1256" s="1" t="s">
        <v>630</v>
      </c>
      <c r="N1256" s="1" t="s">
        <v>21</v>
      </c>
    </row>
    <row r="1257" spans="1:14" x14ac:dyDescent="0.25">
      <c r="A1257" s="1" t="s">
        <v>86</v>
      </c>
      <c r="B1257" s="1" t="s">
        <v>6420</v>
      </c>
      <c r="C1257" s="1" t="s">
        <v>3831</v>
      </c>
      <c r="D1257" s="8" t="s">
        <v>3830</v>
      </c>
      <c r="E1257" s="1" t="s">
        <v>205</v>
      </c>
      <c r="F1257" s="1" t="s">
        <v>6439</v>
      </c>
      <c r="G1257" s="1" t="s">
        <v>4715</v>
      </c>
      <c r="H1257" s="1" t="s">
        <v>4719</v>
      </c>
      <c r="I1257" s="1" t="s">
        <v>6421</v>
      </c>
      <c r="J1257" s="1" t="s">
        <v>39</v>
      </c>
      <c r="K1257" s="1" t="s">
        <v>4784</v>
      </c>
      <c r="L1257" s="1" t="s">
        <v>122</v>
      </c>
      <c r="M1257" s="1" t="s">
        <v>245</v>
      </c>
      <c r="N1257" s="1" t="s">
        <v>21</v>
      </c>
    </row>
    <row r="1258" spans="1:14" x14ac:dyDescent="0.25">
      <c r="A1258" s="1" t="s">
        <v>86</v>
      </c>
      <c r="B1258" s="1" t="s">
        <v>6420</v>
      </c>
      <c r="C1258" s="1" t="s">
        <v>2079</v>
      </c>
      <c r="D1258" s="8" t="s">
        <v>2078</v>
      </c>
      <c r="E1258" s="1" t="s">
        <v>325</v>
      </c>
      <c r="F1258" s="1" t="s">
        <v>4714</v>
      </c>
      <c r="G1258" s="1" t="s">
        <v>4715</v>
      </c>
      <c r="H1258" s="1" t="s">
        <v>4719</v>
      </c>
      <c r="I1258" s="1" t="s">
        <v>6421</v>
      </c>
      <c r="J1258" s="1" t="s">
        <v>39</v>
      </c>
      <c r="K1258" s="1" t="s">
        <v>4771</v>
      </c>
      <c r="L1258" s="1" t="s">
        <v>283</v>
      </c>
      <c r="M1258" s="1" t="s">
        <v>245</v>
      </c>
      <c r="N1258" s="1" t="s">
        <v>21</v>
      </c>
    </row>
    <row r="1259" spans="1:14" x14ac:dyDescent="0.25">
      <c r="A1259" s="1" t="s">
        <v>86</v>
      </c>
      <c r="B1259" s="1" t="s">
        <v>6420</v>
      </c>
      <c r="C1259" s="1" t="s">
        <v>1939</v>
      </c>
      <c r="D1259" s="8" t="s">
        <v>1938</v>
      </c>
      <c r="E1259" s="1" t="s">
        <v>205</v>
      </c>
      <c r="F1259" s="1" t="s">
        <v>6439</v>
      </c>
      <c r="G1259" s="1" t="s">
        <v>4715</v>
      </c>
      <c r="H1259" s="1" t="s">
        <v>4719</v>
      </c>
      <c r="I1259" s="1" t="s">
        <v>6421</v>
      </c>
      <c r="J1259" s="1" t="s">
        <v>39</v>
      </c>
      <c r="K1259" s="1" t="s">
        <v>4784</v>
      </c>
      <c r="L1259" s="1" t="s">
        <v>122</v>
      </c>
      <c r="M1259" s="1" t="s">
        <v>31</v>
      </c>
      <c r="N1259" s="1" t="s">
        <v>21</v>
      </c>
    </row>
    <row r="1260" spans="1:14" x14ac:dyDescent="0.25">
      <c r="A1260" s="1" t="s">
        <v>86</v>
      </c>
      <c r="B1260" s="1" t="s">
        <v>6420</v>
      </c>
      <c r="C1260" s="1" t="s">
        <v>941</v>
      </c>
      <c r="D1260" s="8" t="s">
        <v>940</v>
      </c>
      <c r="E1260" s="1" t="s">
        <v>274</v>
      </c>
      <c r="F1260" s="1" t="s">
        <v>6435</v>
      </c>
      <c r="G1260" s="1" t="s">
        <v>4716</v>
      </c>
      <c r="H1260" s="1" t="s">
        <v>4719</v>
      </c>
      <c r="I1260" s="1" t="s">
        <v>6421</v>
      </c>
      <c r="J1260" s="1" t="s">
        <v>39</v>
      </c>
      <c r="K1260" s="1" t="s">
        <v>4820</v>
      </c>
      <c r="L1260" s="1" t="s">
        <v>210</v>
      </c>
      <c r="M1260" s="1" t="s">
        <v>245</v>
      </c>
      <c r="N1260" s="1" t="s">
        <v>21</v>
      </c>
    </row>
    <row r="1261" spans="1:14" x14ac:dyDescent="0.25">
      <c r="A1261" s="1" t="s">
        <v>86</v>
      </c>
      <c r="B1261" s="1" t="s">
        <v>6420</v>
      </c>
      <c r="C1261" s="1" t="s">
        <v>1028</v>
      </c>
      <c r="D1261" s="8" t="s">
        <v>1027</v>
      </c>
      <c r="E1261" s="1" t="s">
        <v>1029</v>
      </c>
      <c r="F1261" s="1" t="s">
        <v>6434</v>
      </c>
      <c r="G1261" s="1" t="s">
        <v>4715</v>
      </c>
      <c r="H1261" s="1" t="s">
        <v>4719</v>
      </c>
      <c r="I1261" s="1" t="s">
        <v>6421</v>
      </c>
      <c r="J1261" s="1" t="s">
        <v>39</v>
      </c>
      <c r="K1261" s="1" t="s">
        <v>4771</v>
      </c>
      <c r="L1261" s="1" t="s">
        <v>122</v>
      </c>
      <c r="M1261" s="1" t="s">
        <v>245</v>
      </c>
      <c r="N1261" s="1" t="s">
        <v>21</v>
      </c>
    </row>
    <row r="1262" spans="1:14" x14ac:dyDescent="0.25">
      <c r="A1262" s="1" t="s">
        <v>86</v>
      </c>
      <c r="B1262" s="1" t="s">
        <v>6420</v>
      </c>
      <c r="C1262" s="1" t="s">
        <v>1817</v>
      </c>
      <c r="D1262" s="8" t="s">
        <v>1815</v>
      </c>
      <c r="E1262" s="1" t="s">
        <v>594</v>
      </c>
      <c r="F1262" s="1" t="s">
        <v>6437</v>
      </c>
      <c r="G1262" s="1" t="s">
        <v>4715</v>
      </c>
      <c r="H1262" s="1" t="s">
        <v>4719</v>
      </c>
      <c r="I1262" s="1" t="s">
        <v>6421</v>
      </c>
      <c r="J1262" s="1" t="s">
        <v>39</v>
      </c>
      <c r="K1262" s="1" t="s">
        <v>4765</v>
      </c>
      <c r="L1262" s="1" t="s">
        <v>122</v>
      </c>
      <c r="M1262" s="1" t="s">
        <v>99</v>
      </c>
      <c r="N1262" s="1" t="s">
        <v>25</v>
      </c>
    </row>
    <row r="1263" spans="1:14" x14ac:dyDescent="0.25">
      <c r="A1263" s="1" t="s">
        <v>106</v>
      </c>
      <c r="B1263" s="1" t="s">
        <v>6362</v>
      </c>
      <c r="C1263" s="1" t="s">
        <v>2046</v>
      </c>
      <c r="D1263" s="8" t="s">
        <v>2045</v>
      </c>
      <c r="E1263" s="1" t="s">
        <v>329</v>
      </c>
      <c r="F1263" s="1" t="s">
        <v>6462</v>
      </c>
      <c r="G1263" s="1" t="s">
        <v>4744</v>
      </c>
      <c r="H1263" s="1" t="s">
        <v>4739</v>
      </c>
      <c r="I1263" s="1" t="s">
        <v>4721</v>
      </c>
      <c r="J1263" s="1" t="s">
        <v>12</v>
      </c>
      <c r="K1263" s="1" t="s">
        <v>4772</v>
      </c>
      <c r="L1263" s="1" t="s">
        <v>107</v>
      </c>
      <c r="M1263" s="1" t="s">
        <v>630</v>
      </c>
      <c r="N1263" s="1" t="s">
        <v>21</v>
      </c>
    </row>
    <row r="1264" spans="1:14" x14ac:dyDescent="0.25">
      <c r="A1264" s="1" t="s">
        <v>106</v>
      </c>
      <c r="B1264" s="1" t="s">
        <v>5012</v>
      </c>
      <c r="C1264" s="1" t="s">
        <v>759</v>
      </c>
      <c r="D1264" s="8" t="s">
        <v>758</v>
      </c>
      <c r="E1264" s="1" t="s">
        <v>428</v>
      </c>
      <c r="F1264" s="1" t="s">
        <v>6463</v>
      </c>
      <c r="G1264" s="1" t="s">
        <v>4744</v>
      </c>
      <c r="H1264" s="1" t="s">
        <v>4739</v>
      </c>
      <c r="I1264" s="1" t="s">
        <v>4721</v>
      </c>
      <c r="J1264" s="1" t="s">
        <v>12</v>
      </c>
      <c r="K1264" s="1" t="s">
        <v>4895</v>
      </c>
      <c r="L1264" s="1" t="s">
        <v>427</v>
      </c>
      <c r="M1264" s="1" t="s">
        <v>630</v>
      </c>
      <c r="N1264" s="1" t="s">
        <v>21</v>
      </c>
    </row>
    <row r="1265" spans="1:14" x14ac:dyDescent="0.25">
      <c r="A1265" s="1" t="s">
        <v>106</v>
      </c>
      <c r="B1265" s="1" t="s">
        <v>5014</v>
      </c>
      <c r="C1265" s="1" t="s">
        <v>2367</v>
      </c>
      <c r="D1265" s="8" t="s">
        <v>2366</v>
      </c>
      <c r="E1265" s="1" t="s">
        <v>863</v>
      </c>
      <c r="F1265" s="1" t="s">
        <v>6464</v>
      </c>
      <c r="G1265" s="1" t="s">
        <v>4744</v>
      </c>
      <c r="H1265" s="1" t="s">
        <v>4739</v>
      </c>
      <c r="I1265" s="1" t="s">
        <v>4721</v>
      </c>
      <c r="J1265" s="1" t="s">
        <v>12</v>
      </c>
      <c r="K1265" s="1" t="s">
        <v>4886</v>
      </c>
      <c r="L1265" s="1" t="s">
        <v>427</v>
      </c>
      <c r="M1265" s="1" t="s">
        <v>58</v>
      </c>
      <c r="N1265" s="1" t="s">
        <v>61</v>
      </c>
    </row>
    <row r="1266" spans="1:14" x14ac:dyDescent="0.25">
      <c r="A1266" s="1" t="s">
        <v>106</v>
      </c>
      <c r="B1266" s="1" t="s">
        <v>5015</v>
      </c>
      <c r="C1266" s="1" t="s">
        <v>2373</v>
      </c>
      <c r="D1266" s="8" t="s">
        <v>2372</v>
      </c>
      <c r="E1266" s="1" t="s">
        <v>329</v>
      </c>
      <c r="F1266" s="1" t="s">
        <v>6464</v>
      </c>
      <c r="G1266" s="1" t="s">
        <v>4744</v>
      </c>
      <c r="H1266" s="1" t="s">
        <v>4739</v>
      </c>
      <c r="I1266" s="1" t="s">
        <v>4721</v>
      </c>
      <c r="J1266" s="1" t="s">
        <v>12</v>
      </c>
      <c r="K1266" s="1" t="s">
        <v>4886</v>
      </c>
      <c r="L1266" s="1" t="s">
        <v>107</v>
      </c>
      <c r="M1266" s="1" t="s">
        <v>172</v>
      </c>
      <c r="N1266" s="1" t="s">
        <v>17</v>
      </c>
    </row>
    <row r="1267" spans="1:14" x14ac:dyDescent="0.25">
      <c r="A1267" s="1" t="s">
        <v>106</v>
      </c>
      <c r="B1267" s="1" t="s">
        <v>5179</v>
      </c>
      <c r="C1267" s="1" t="s">
        <v>3534</v>
      </c>
      <c r="D1267" s="8" t="s">
        <v>3533</v>
      </c>
      <c r="E1267" s="1" t="s">
        <v>108</v>
      </c>
      <c r="F1267" s="1" t="s">
        <v>4745</v>
      </c>
      <c r="G1267" s="1" t="s">
        <v>4744</v>
      </c>
      <c r="H1267" s="1" t="s">
        <v>4739</v>
      </c>
      <c r="I1267" s="1" t="s">
        <v>4721</v>
      </c>
      <c r="J1267" s="1" t="s">
        <v>12</v>
      </c>
      <c r="K1267" s="1" t="s">
        <v>4853</v>
      </c>
      <c r="L1267" s="1" t="s">
        <v>107</v>
      </c>
      <c r="M1267" s="1" t="s">
        <v>245</v>
      </c>
      <c r="N1267" s="1" t="s">
        <v>21</v>
      </c>
    </row>
    <row r="1268" spans="1:14" x14ac:dyDescent="0.25">
      <c r="A1268" s="1" t="s">
        <v>106</v>
      </c>
      <c r="B1268" s="1" t="s">
        <v>5184</v>
      </c>
      <c r="C1268" s="1" t="s">
        <v>5181</v>
      </c>
      <c r="D1268" s="8" t="s">
        <v>5180</v>
      </c>
      <c r="E1268" s="1" t="s">
        <v>863</v>
      </c>
      <c r="F1268" s="1" t="s">
        <v>6464</v>
      </c>
      <c r="G1268" s="1" t="s">
        <v>4744</v>
      </c>
      <c r="H1268" s="1" t="s">
        <v>4739</v>
      </c>
      <c r="I1268" s="1" t="s">
        <v>4721</v>
      </c>
      <c r="J1268" s="1" t="s">
        <v>12</v>
      </c>
      <c r="K1268" s="1" t="s">
        <v>5183</v>
      </c>
      <c r="L1268" s="1" t="s">
        <v>427</v>
      </c>
      <c r="M1268" s="1" t="s">
        <v>172</v>
      </c>
      <c r="N1268" s="1" t="s">
        <v>17</v>
      </c>
    </row>
    <row r="1269" spans="1:14" x14ac:dyDescent="0.25">
      <c r="A1269" s="1" t="s">
        <v>106</v>
      </c>
      <c r="B1269" s="1" t="s">
        <v>5185</v>
      </c>
      <c r="C1269" s="1" t="s">
        <v>3737</v>
      </c>
      <c r="D1269" s="8" t="s">
        <v>3736</v>
      </c>
      <c r="E1269" s="1" t="s">
        <v>116</v>
      </c>
      <c r="F1269" s="1" t="s">
        <v>6465</v>
      </c>
      <c r="G1269" s="1" t="s">
        <v>4744</v>
      </c>
      <c r="H1269" s="1" t="s">
        <v>4739</v>
      </c>
      <c r="I1269" s="1" t="s">
        <v>4721</v>
      </c>
      <c r="J1269" s="1" t="s">
        <v>12</v>
      </c>
      <c r="K1269" s="1" t="s">
        <v>4902</v>
      </c>
      <c r="L1269" s="1" t="s">
        <v>115</v>
      </c>
      <c r="M1269" s="1" t="s">
        <v>637</v>
      </c>
      <c r="N1269" s="1" t="s">
        <v>19</v>
      </c>
    </row>
    <row r="1270" spans="1:14" x14ac:dyDescent="0.25">
      <c r="A1270" s="1" t="s">
        <v>106</v>
      </c>
      <c r="B1270" s="1" t="s">
        <v>5187</v>
      </c>
      <c r="C1270" s="1" t="s">
        <v>3497</v>
      </c>
      <c r="D1270" s="8" t="s">
        <v>3496</v>
      </c>
      <c r="E1270" s="1" t="s">
        <v>116</v>
      </c>
      <c r="F1270" s="1" t="s">
        <v>6465</v>
      </c>
      <c r="G1270" s="1" t="s">
        <v>4744</v>
      </c>
      <c r="H1270" s="1" t="s">
        <v>4739</v>
      </c>
      <c r="I1270" s="1" t="s">
        <v>4721</v>
      </c>
      <c r="J1270" s="1" t="s">
        <v>12</v>
      </c>
      <c r="K1270" s="1" t="s">
        <v>4902</v>
      </c>
      <c r="L1270" s="1" t="s">
        <v>115</v>
      </c>
      <c r="M1270" s="1" t="s">
        <v>58</v>
      </c>
      <c r="N1270" s="1" t="s">
        <v>61</v>
      </c>
    </row>
    <row r="1271" spans="1:14" x14ac:dyDescent="0.25">
      <c r="A1271" s="1" t="s">
        <v>106</v>
      </c>
      <c r="B1271" s="1" t="s">
        <v>5019</v>
      </c>
      <c r="C1271" s="1" t="s">
        <v>114</v>
      </c>
      <c r="D1271" s="8" t="s">
        <v>113</v>
      </c>
      <c r="E1271" s="1" t="s">
        <v>116</v>
      </c>
      <c r="F1271" s="1" t="s">
        <v>6465</v>
      </c>
      <c r="G1271" s="1" t="s">
        <v>4744</v>
      </c>
      <c r="H1271" s="1" t="s">
        <v>4739</v>
      </c>
      <c r="I1271" s="1" t="s">
        <v>4721</v>
      </c>
      <c r="J1271" s="1" t="s">
        <v>12</v>
      </c>
      <c r="K1271" s="1" t="s">
        <v>4818</v>
      </c>
      <c r="L1271" s="1" t="s">
        <v>115</v>
      </c>
      <c r="M1271" s="1" t="s">
        <v>245</v>
      </c>
      <c r="N1271" s="1" t="s">
        <v>21</v>
      </c>
    </row>
    <row r="1272" spans="1:14" x14ac:dyDescent="0.25">
      <c r="A1272" s="1" t="s">
        <v>106</v>
      </c>
      <c r="B1272" s="1" t="s">
        <v>5189</v>
      </c>
      <c r="C1272" s="1" t="s">
        <v>747</v>
      </c>
      <c r="D1272" s="8" t="s">
        <v>746</v>
      </c>
      <c r="E1272" s="1" t="s">
        <v>428</v>
      </c>
      <c r="F1272" s="1" t="s">
        <v>6463</v>
      </c>
      <c r="G1272" s="1" t="s">
        <v>4744</v>
      </c>
      <c r="H1272" s="1" t="s">
        <v>4739</v>
      </c>
      <c r="I1272" s="1" t="s">
        <v>4721</v>
      </c>
      <c r="J1272" s="1" t="s">
        <v>12</v>
      </c>
      <c r="K1272" s="1" t="s">
        <v>4895</v>
      </c>
      <c r="L1272" s="1" t="s">
        <v>427</v>
      </c>
      <c r="M1272" s="1" t="s">
        <v>630</v>
      </c>
      <c r="N1272" s="1" t="s">
        <v>21</v>
      </c>
    </row>
    <row r="1273" spans="1:14" x14ac:dyDescent="0.25">
      <c r="A1273" s="1" t="s">
        <v>106</v>
      </c>
      <c r="B1273" s="1" t="s">
        <v>5020</v>
      </c>
      <c r="C1273" s="1" t="s">
        <v>3719</v>
      </c>
      <c r="D1273" s="8" t="s">
        <v>3718</v>
      </c>
      <c r="E1273" s="1" t="s">
        <v>116</v>
      </c>
      <c r="F1273" s="1" t="s">
        <v>6465</v>
      </c>
      <c r="G1273" s="1" t="s">
        <v>4744</v>
      </c>
      <c r="H1273" s="1" t="s">
        <v>4739</v>
      </c>
      <c r="I1273" s="1" t="s">
        <v>4721</v>
      </c>
      <c r="J1273" s="1" t="s">
        <v>12</v>
      </c>
      <c r="K1273" s="1" t="s">
        <v>4902</v>
      </c>
      <c r="L1273" s="1" t="s">
        <v>115</v>
      </c>
      <c r="M1273" s="1" t="s">
        <v>637</v>
      </c>
      <c r="N1273" s="1" t="s">
        <v>19</v>
      </c>
    </row>
    <row r="1274" spans="1:14" x14ac:dyDescent="0.25">
      <c r="A1274" s="1" t="s">
        <v>106</v>
      </c>
      <c r="B1274" s="1" t="s">
        <v>5021</v>
      </c>
      <c r="C1274" s="1" t="s">
        <v>3867</v>
      </c>
      <c r="D1274" s="8" t="s">
        <v>3866</v>
      </c>
      <c r="E1274" s="1" t="s">
        <v>509</v>
      </c>
      <c r="F1274" s="1" t="s">
        <v>6462</v>
      </c>
      <c r="G1274" s="1" t="s">
        <v>4744</v>
      </c>
      <c r="H1274" s="1" t="s">
        <v>4739</v>
      </c>
      <c r="I1274" s="1" t="s">
        <v>4721</v>
      </c>
      <c r="J1274" s="1" t="s">
        <v>39</v>
      </c>
      <c r="K1274" s="1" t="s">
        <v>4773</v>
      </c>
      <c r="L1274" s="1" t="s">
        <v>130</v>
      </c>
      <c r="M1274" s="1" t="s">
        <v>136</v>
      </c>
      <c r="N1274" s="1" t="s">
        <v>72</v>
      </c>
    </row>
    <row r="1275" spans="1:14" x14ac:dyDescent="0.25">
      <c r="A1275" s="1" t="s">
        <v>106</v>
      </c>
      <c r="B1275" s="1" t="s">
        <v>5190</v>
      </c>
      <c r="C1275" s="1" t="s">
        <v>2391</v>
      </c>
      <c r="D1275" s="8" t="s">
        <v>2390</v>
      </c>
      <c r="E1275" s="1" t="s">
        <v>428</v>
      </c>
      <c r="F1275" s="1" t="s">
        <v>6464</v>
      </c>
      <c r="G1275" s="1" t="s">
        <v>4744</v>
      </c>
      <c r="H1275" s="1" t="s">
        <v>4739</v>
      </c>
      <c r="I1275" s="1" t="s">
        <v>4721</v>
      </c>
      <c r="J1275" s="1" t="s">
        <v>12</v>
      </c>
      <c r="K1275" s="1" t="s">
        <v>4886</v>
      </c>
      <c r="L1275" s="1" t="s">
        <v>427</v>
      </c>
      <c r="M1275" s="1" t="s">
        <v>172</v>
      </c>
      <c r="N1275" s="1" t="s">
        <v>17</v>
      </c>
    </row>
    <row r="1276" spans="1:14" x14ac:dyDescent="0.25">
      <c r="A1276" s="1" t="s">
        <v>106</v>
      </c>
      <c r="B1276" s="1" t="s">
        <v>5022</v>
      </c>
      <c r="C1276" s="1" t="s">
        <v>3740</v>
      </c>
      <c r="D1276" s="8" t="s">
        <v>3739</v>
      </c>
      <c r="E1276" s="1" t="s">
        <v>116</v>
      </c>
      <c r="F1276" s="1" t="s">
        <v>6465</v>
      </c>
      <c r="G1276" s="1" t="s">
        <v>4744</v>
      </c>
      <c r="H1276" s="1" t="s">
        <v>4739</v>
      </c>
      <c r="I1276" s="1" t="s">
        <v>4722</v>
      </c>
      <c r="J1276" s="1" t="s">
        <v>39</v>
      </c>
      <c r="K1276" s="1" t="s">
        <v>4902</v>
      </c>
      <c r="L1276" s="1" t="s">
        <v>115</v>
      </c>
      <c r="M1276" s="1" t="s">
        <v>58</v>
      </c>
      <c r="N1276" s="1" t="s">
        <v>61</v>
      </c>
    </row>
    <row r="1277" spans="1:14" x14ac:dyDescent="0.25">
      <c r="A1277" s="1" t="s">
        <v>106</v>
      </c>
      <c r="B1277" s="1" t="s">
        <v>5023</v>
      </c>
      <c r="C1277" s="1" t="s">
        <v>3755</v>
      </c>
      <c r="D1277" s="8" t="s">
        <v>3754</v>
      </c>
      <c r="E1277" s="1" t="s">
        <v>186</v>
      </c>
      <c r="F1277" s="1" t="s">
        <v>4745</v>
      </c>
      <c r="G1277" s="1" t="s">
        <v>4744</v>
      </c>
      <c r="H1277" s="1" t="s">
        <v>4739</v>
      </c>
      <c r="I1277" s="1" t="s">
        <v>4721</v>
      </c>
      <c r="J1277" s="1" t="s">
        <v>12</v>
      </c>
      <c r="K1277" s="1" t="s">
        <v>4853</v>
      </c>
      <c r="L1277" s="1" t="s">
        <v>107</v>
      </c>
      <c r="M1277" s="1" t="s">
        <v>245</v>
      </c>
      <c r="N1277" s="1" t="s">
        <v>21</v>
      </c>
    </row>
    <row r="1278" spans="1:14" x14ac:dyDescent="0.25">
      <c r="A1278" s="1" t="s">
        <v>106</v>
      </c>
      <c r="B1278" s="1" t="s">
        <v>5192</v>
      </c>
      <c r="C1278" s="1" t="s">
        <v>1208</v>
      </c>
      <c r="D1278" s="8" t="s">
        <v>1207</v>
      </c>
      <c r="E1278" s="1" t="s">
        <v>405</v>
      </c>
      <c r="F1278" s="1" t="s">
        <v>6464</v>
      </c>
      <c r="G1278" s="1" t="s">
        <v>4744</v>
      </c>
      <c r="H1278" s="1" t="s">
        <v>4739</v>
      </c>
      <c r="I1278" s="1" t="s">
        <v>4721</v>
      </c>
      <c r="J1278" s="1" t="s">
        <v>12</v>
      </c>
      <c r="K1278" s="1" t="s">
        <v>4886</v>
      </c>
      <c r="L1278" s="1" t="s">
        <v>130</v>
      </c>
      <c r="M1278" s="1" t="s">
        <v>58</v>
      </c>
      <c r="N1278" s="1" t="s">
        <v>61</v>
      </c>
    </row>
    <row r="1279" spans="1:14" x14ac:dyDescent="0.25">
      <c r="A1279" s="1" t="s">
        <v>106</v>
      </c>
      <c r="B1279" s="1" t="s">
        <v>5193</v>
      </c>
      <c r="C1279" s="1" t="s">
        <v>1518</v>
      </c>
      <c r="D1279" s="8" t="s">
        <v>1517</v>
      </c>
      <c r="E1279" s="1" t="s">
        <v>863</v>
      </c>
      <c r="F1279" s="1" t="s">
        <v>6466</v>
      </c>
      <c r="G1279" s="1" t="s">
        <v>4744</v>
      </c>
      <c r="H1279" s="1" t="s">
        <v>4739</v>
      </c>
      <c r="I1279" s="1" t="s">
        <v>4722</v>
      </c>
      <c r="J1279" s="1" t="s">
        <v>39</v>
      </c>
      <c r="K1279" s="1" t="s">
        <v>4773</v>
      </c>
      <c r="L1279" s="1" t="s">
        <v>427</v>
      </c>
      <c r="M1279" s="1" t="s">
        <v>630</v>
      </c>
      <c r="N1279" s="1" t="s">
        <v>21</v>
      </c>
    </row>
    <row r="1280" spans="1:14" x14ac:dyDescent="0.25">
      <c r="A1280" s="1" t="s">
        <v>106</v>
      </c>
      <c r="B1280" s="1" t="s">
        <v>5195</v>
      </c>
      <c r="C1280" s="1" t="s">
        <v>3800</v>
      </c>
      <c r="D1280" s="8" t="s">
        <v>3799</v>
      </c>
      <c r="E1280" s="1" t="s">
        <v>186</v>
      </c>
      <c r="F1280" s="1" t="s">
        <v>4745</v>
      </c>
      <c r="G1280" s="1" t="s">
        <v>4744</v>
      </c>
      <c r="H1280" s="1" t="s">
        <v>4739</v>
      </c>
      <c r="I1280" s="1" t="s">
        <v>4722</v>
      </c>
      <c r="J1280" s="1" t="s">
        <v>39</v>
      </c>
      <c r="K1280" s="1" t="s">
        <v>4853</v>
      </c>
      <c r="L1280" s="1" t="s">
        <v>107</v>
      </c>
      <c r="M1280" s="1" t="s">
        <v>245</v>
      </c>
      <c r="N1280" s="1" t="s">
        <v>21</v>
      </c>
    </row>
    <row r="1281" spans="1:14" x14ac:dyDescent="0.25">
      <c r="A1281" s="1" t="s">
        <v>106</v>
      </c>
      <c r="B1281" s="1" t="s">
        <v>5029</v>
      </c>
      <c r="C1281" s="1" t="s">
        <v>629</v>
      </c>
      <c r="D1281" s="8" t="s">
        <v>628</v>
      </c>
      <c r="E1281" s="1" t="s">
        <v>428</v>
      </c>
      <c r="F1281" s="1" t="s">
        <v>6463</v>
      </c>
      <c r="G1281" s="1" t="s">
        <v>4744</v>
      </c>
      <c r="H1281" s="1" t="s">
        <v>4739</v>
      </c>
      <c r="I1281" s="1" t="s">
        <v>4722</v>
      </c>
      <c r="J1281" s="1" t="s">
        <v>39</v>
      </c>
      <c r="K1281" s="1" t="s">
        <v>4895</v>
      </c>
      <c r="L1281" s="1" t="s">
        <v>427</v>
      </c>
      <c r="M1281" s="1" t="s">
        <v>630</v>
      </c>
      <c r="N1281" s="1" t="s">
        <v>21</v>
      </c>
    </row>
    <row r="1282" spans="1:14" x14ac:dyDescent="0.25">
      <c r="A1282" s="1" t="s">
        <v>106</v>
      </c>
      <c r="B1282" s="1" t="s">
        <v>5199</v>
      </c>
      <c r="C1282" s="1" t="s">
        <v>2440</v>
      </c>
      <c r="D1282" s="8" t="s">
        <v>2439</v>
      </c>
      <c r="E1282" s="1" t="s">
        <v>405</v>
      </c>
      <c r="F1282" s="1" t="s">
        <v>4743</v>
      </c>
      <c r="G1282" s="1" t="s">
        <v>4744</v>
      </c>
      <c r="H1282" s="1" t="s">
        <v>4739</v>
      </c>
      <c r="I1282" s="1" t="s">
        <v>4722</v>
      </c>
      <c r="J1282" s="1" t="s">
        <v>39</v>
      </c>
      <c r="K1282" s="1" t="s">
        <v>4901</v>
      </c>
      <c r="L1282" s="1" t="s">
        <v>130</v>
      </c>
      <c r="M1282" s="1" t="s">
        <v>245</v>
      </c>
      <c r="N1282" s="1" t="s">
        <v>21</v>
      </c>
    </row>
    <row r="1283" spans="1:14" x14ac:dyDescent="0.25">
      <c r="A1283" s="1" t="s">
        <v>106</v>
      </c>
      <c r="B1283" s="1" t="s">
        <v>5202</v>
      </c>
      <c r="C1283" s="1" t="s">
        <v>646</v>
      </c>
      <c r="D1283" s="8" t="s">
        <v>645</v>
      </c>
      <c r="E1283" s="1" t="s">
        <v>428</v>
      </c>
      <c r="F1283" s="1" t="s">
        <v>6463</v>
      </c>
      <c r="G1283" s="1" t="s">
        <v>4744</v>
      </c>
      <c r="H1283" s="1" t="s">
        <v>4739</v>
      </c>
      <c r="I1283" s="1" t="s">
        <v>4721</v>
      </c>
      <c r="J1283" s="1" t="s">
        <v>12</v>
      </c>
      <c r="K1283" s="1" t="s">
        <v>4895</v>
      </c>
      <c r="L1283" s="1" t="s">
        <v>427</v>
      </c>
      <c r="M1283" s="1" t="s">
        <v>630</v>
      </c>
      <c r="N1283" s="1" t="s">
        <v>21</v>
      </c>
    </row>
    <row r="1284" spans="1:14" x14ac:dyDescent="0.25">
      <c r="A1284" s="1" t="s">
        <v>106</v>
      </c>
      <c r="B1284" s="1" t="s">
        <v>5204</v>
      </c>
      <c r="C1284" s="1" t="s">
        <v>2605</v>
      </c>
      <c r="D1284" s="8" t="s">
        <v>2604</v>
      </c>
      <c r="E1284" s="1" t="s">
        <v>509</v>
      </c>
      <c r="F1284" s="1" t="s">
        <v>6464</v>
      </c>
      <c r="G1284" s="1" t="s">
        <v>4744</v>
      </c>
      <c r="H1284" s="1" t="s">
        <v>4739</v>
      </c>
      <c r="I1284" s="1" t="s">
        <v>4721</v>
      </c>
      <c r="J1284" s="1" t="s">
        <v>12</v>
      </c>
      <c r="K1284" s="1" t="s">
        <v>4886</v>
      </c>
      <c r="L1284" s="1" t="s">
        <v>130</v>
      </c>
      <c r="M1284" s="1" t="s">
        <v>172</v>
      </c>
      <c r="N1284" s="1" t="s">
        <v>17</v>
      </c>
    </row>
    <row r="1285" spans="1:14" x14ac:dyDescent="0.25">
      <c r="A1285" s="1" t="s">
        <v>106</v>
      </c>
      <c r="B1285" s="1" t="s">
        <v>5208</v>
      </c>
      <c r="C1285" s="1" t="s">
        <v>3776</v>
      </c>
      <c r="D1285" s="8" t="s">
        <v>3775</v>
      </c>
      <c r="E1285" s="1" t="s">
        <v>186</v>
      </c>
      <c r="F1285" s="1" t="s">
        <v>4745</v>
      </c>
      <c r="G1285" s="1" t="s">
        <v>4744</v>
      </c>
      <c r="H1285" s="1" t="s">
        <v>4739</v>
      </c>
      <c r="I1285" s="1" t="s">
        <v>4721</v>
      </c>
      <c r="J1285" s="1" t="s">
        <v>12</v>
      </c>
      <c r="K1285" s="1" t="s">
        <v>4853</v>
      </c>
      <c r="L1285" s="1" t="s">
        <v>107</v>
      </c>
      <c r="M1285" s="1" t="s">
        <v>245</v>
      </c>
      <c r="N1285" s="1" t="s">
        <v>21</v>
      </c>
    </row>
    <row r="1286" spans="1:14" x14ac:dyDescent="0.25">
      <c r="A1286" s="1" t="s">
        <v>106</v>
      </c>
      <c r="B1286" s="1" t="s">
        <v>5590</v>
      </c>
      <c r="C1286" s="1" t="s">
        <v>1521</v>
      </c>
      <c r="D1286" s="8" t="s">
        <v>1520</v>
      </c>
      <c r="E1286" s="1" t="s">
        <v>863</v>
      </c>
      <c r="F1286" s="1" t="s">
        <v>6466</v>
      </c>
      <c r="G1286" s="1" t="s">
        <v>4744</v>
      </c>
      <c r="H1286" s="1" t="s">
        <v>4739</v>
      </c>
      <c r="I1286" s="1" t="s">
        <v>4721</v>
      </c>
      <c r="J1286" s="1" t="s">
        <v>12</v>
      </c>
      <c r="K1286" s="1" t="s">
        <v>4773</v>
      </c>
      <c r="L1286" s="1" t="s">
        <v>427</v>
      </c>
      <c r="M1286" s="1" t="s">
        <v>41</v>
      </c>
      <c r="N1286" s="1" t="s">
        <v>42</v>
      </c>
    </row>
    <row r="1287" spans="1:14" x14ac:dyDescent="0.25">
      <c r="A1287" s="1" t="s">
        <v>106</v>
      </c>
      <c r="B1287" s="1" t="s">
        <v>5602</v>
      </c>
      <c r="C1287" s="1" t="s">
        <v>1096</v>
      </c>
      <c r="D1287" s="8" t="s">
        <v>1095</v>
      </c>
      <c r="E1287" s="1" t="s">
        <v>405</v>
      </c>
      <c r="F1287" s="1" t="s">
        <v>4743</v>
      </c>
      <c r="G1287" s="1" t="s">
        <v>4744</v>
      </c>
      <c r="H1287" s="1" t="s">
        <v>4739</v>
      </c>
      <c r="I1287" s="1" t="s">
        <v>4721</v>
      </c>
      <c r="J1287" s="1" t="s">
        <v>12</v>
      </c>
      <c r="K1287" s="1" t="s">
        <v>4910</v>
      </c>
      <c r="L1287" s="1" t="s">
        <v>130</v>
      </c>
      <c r="M1287" s="1" t="s">
        <v>870</v>
      </c>
      <c r="N1287" s="1" t="s">
        <v>76</v>
      </c>
    </row>
    <row r="1288" spans="1:14" x14ac:dyDescent="0.25">
      <c r="A1288" s="1" t="s">
        <v>106</v>
      </c>
      <c r="B1288" s="1" t="s">
        <v>5047</v>
      </c>
      <c r="C1288" s="1" t="s">
        <v>3731</v>
      </c>
      <c r="D1288" s="8" t="s">
        <v>3730</v>
      </c>
      <c r="E1288" s="1" t="s">
        <v>116</v>
      </c>
      <c r="F1288" s="1" t="s">
        <v>6465</v>
      </c>
      <c r="G1288" s="1" t="s">
        <v>4744</v>
      </c>
      <c r="H1288" s="1" t="s">
        <v>4739</v>
      </c>
      <c r="I1288" s="1" t="s">
        <v>4721</v>
      </c>
      <c r="J1288" s="1" t="s">
        <v>12</v>
      </c>
      <c r="K1288" s="1" t="s">
        <v>4902</v>
      </c>
      <c r="L1288" s="1" t="s">
        <v>115</v>
      </c>
      <c r="M1288" s="1" t="s">
        <v>58</v>
      </c>
      <c r="N1288" s="1" t="s">
        <v>61</v>
      </c>
    </row>
    <row r="1289" spans="1:14" x14ac:dyDescent="0.25">
      <c r="A1289" s="1" t="s">
        <v>106</v>
      </c>
      <c r="B1289" s="1" t="s">
        <v>5607</v>
      </c>
      <c r="C1289" s="1" t="s">
        <v>1527</v>
      </c>
      <c r="D1289" s="8" t="s">
        <v>1526</v>
      </c>
      <c r="E1289" s="1" t="s">
        <v>863</v>
      </c>
      <c r="F1289" s="1" t="s">
        <v>6466</v>
      </c>
      <c r="G1289" s="1" t="s">
        <v>4744</v>
      </c>
      <c r="H1289" s="1" t="s">
        <v>4739</v>
      </c>
      <c r="I1289" s="1" t="s">
        <v>4721</v>
      </c>
      <c r="J1289" s="1" t="s">
        <v>12</v>
      </c>
      <c r="K1289" s="1" t="s">
        <v>4773</v>
      </c>
      <c r="L1289" s="1" t="s">
        <v>427</v>
      </c>
      <c r="M1289" s="1" t="s">
        <v>245</v>
      </c>
      <c r="N1289" s="1" t="s">
        <v>21</v>
      </c>
    </row>
    <row r="1290" spans="1:14" x14ac:dyDescent="0.25">
      <c r="A1290" s="1" t="s">
        <v>106</v>
      </c>
      <c r="B1290" s="1" t="s">
        <v>5052</v>
      </c>
      <c r="C1290" s="1" t="s">
        <v>2085</v>
      </c>
      <c r="D1290" s="8" t="s">
        <v>2084</v>
      </c>
      <c r="E1290" s="1" t="s">
        <v>329</v>
      </c>
      <c r="F1290" s="1" t="s">
        <v>6462</v>
      </c>
      <c r="G1290" s="1" t="s">
        <v>4744</v>
      </c>
      <c r="H1290" s="1" t="s">
        <v>4739</v>
      </c>
      <c r="I1290" s="1" t="s">
        <v>4721</v>
      </c>
      <c r="J1290" s="1" t="s">
        <v>12</v>
      </c>
      <c r="K1290" s="1" t="s">
        <v>4772</v>
      </c>
      <c r="L1290" s="1" t="s">
        <v>107</v>
      </c>
      <c r="M1290" s="1" t="s">
        <v>245</v>
      </c>
      <c r="N1290" s="1" t="s">
        <v>21</v>
      </c>
    </row>
    <row r="1291" spans="1:14" x14ac:dyDescent="0.25">
      <c r="A1291" s="1" t="s">
        <v>106</v>
      </c>
      <c r="B1291" s="1" t="s">
        <v>5056</v>
      </c>
      <c r="C1291" s="1" t="s">
        <v>997</v>
      </c>
      <c r="D1291" s="8" t="s">
        <v>996</v>
      </c>
      <c r="E1291" s="1" t="s">
        <v>428</v>
      </c>
      <c r="F1291" s="1" t="s">
        <v>6464</v>
      </c>
      <c r="G1291" s="1" t="s">
        <v>4744</v>
      </c>
      <c r="H1291" s="1" t="s">
        <v>4739</v>
      </c>
      <c r="I1291" s="1" t="s">
        <v>4721</v>
      </c>
      <c r="J1291" s="1" t="s">
        <v>12</v>
      </c>
      <c r="K1291" s="1" t="s">
        <v>4803</v>
      </c>
      <c r="L1291" s="1" t="s">
        <v>427</v>
      </c>
      <c r="M1291" s="1" t="s">
        <v>172</v>
      </c>
      <c r="N1291" s="1" t="s">
        <v>17</v>
      </c>
    </row>
    <row r="1292" spans="1:14" x14ac:dyDescent="0.25">
      <c r="A1292" s="1" t="s">
        <v>106</v>
      </c>
      <c r="B1292" s="1" t="s">
        <v>5063</v>
      </c>
      <c r="C1292" s="1" t="s">
        <v>3773</v>
      </c>
      <c r="D1292" s="8" t="s">
        <v>3772</v>
      </c>
      <c r="E1292" s="1" t="s">
        <v>186</v>
      </c>
      <c r="F1292" s="1" t="s">
        <v>4745</v>
      </c>
      <c r="G1292" s="1" t="s">
        <v>4744</v>
      </c>
      <c r="H1292" s="1" t="s">
        <v>4739</v>
      </c>
      <c r="I1292" s="1" t="s">
        <v>4722</v>
      </c>
      <c r="J1292" s="1" t="s">
        <v>39</v>
      </c>
      <c r="K1292" s="1" t="s">
        <v>4853</v>
      </c>
      <c r="L1292" s="1" t="s">
        <v>107</v>
      </c>
      <c r="M1292" s="1" t="s">
        <v>58</v>
      </c>
      <c r="N1292" s="1" t="s">
        <v>61</v>
      </c>
    </row>
    <row r="1293" spans="1:14" x14ac:dyDescent="0.25">
      <c r="A1293" s="1" t="s">
        <v>106</v>
      </c>
      <c r="B1293" s="1" t="s">
        <v>5070</v>
      </c>
      <c r="C1293" s="1" t="s">
        <v>869</v>
      </c>
      <c r="D1293" s="8" t="s">
        <v>868</v>
      </c>
      <c r="E1293" s="1" t="s">
        <v>863</v>
      </c>
      <c r="F1293" s="1" t="s">
        <v>6466</v>
      </c>
      <c r="G1293" s="1" t="s">
        <v>4744</v>
      </c>
      <c r="H1293" s="1" t="s">
        <v>4739</v>
      </c>
      <c r="I1293" s="1" t="s">
        <v>4721</v>
      </c>
      <c r="J1293" s="1" t="s">
        <v>12</v>
      </c>
      <c r="K1293" s="1" t="s">
        <v>4773</v>
      </c>
      <c r="L1293" s="1" t="s">
        <v>427</v>
      </c>
      <c r="M1293" s="1" t="s">
        <v>870</v>
      </c>
      <c r="N1293" s="1" t="s">
        <v>76</v>
      </c>
    </row>
    <row r="1294" spans="1:14" x14ac:dyDescent="0.25">
      <c r="A1294" s="1" t="s">
        <v>106</v>
      </c>
      <c r="B1294" s="1" t="s">
        <v>5071</v>
      </c>
      <c r="C1294" s="1" t="s">
        <v>2382</v>
      </c>
      <c r="D1294" s="8" t="s">
        <v>2381</v>
      </c>
      <c r="E1294" s="1" t="s">
        <v>863</v>
      </c>
      <c r="F1294" s="1" t="s">
        <v>6464</v>
      </c>
      <c r="G1294" s="1" t="s">
        <v>4744</v>
      </c>
      <c r="H1294" s="1" t="s">
        <v>4739</v>
      </c>
      <c r="I1294" s="1" t="s">
        <v>4721</v>
      </c>
      <c r="J1294" s="1" t="s">
        <v>12</v>
      </c>
      <c r="K1294" s="1" t="s">
        <v>4886</v>
      </c>
      <c r="L1294" s="1" t="s">
        <v>427</v>
      </c>
      <c r="M1294" s="1" t="s">
        <v>172</v>
      </c>
      <c r="N1294" s="1" t="s">
        <v>17</v>
      </c>
    </row>
    <row r="1295" spans="1:14" x14ac:dyDescent="0.25">
      <c r="A1295" s="1" t="s">
        <v>106</v>
      </c>
      <c r="B1295" s="1" t="s">
        <v>5628</v>
      </c>
      <c r="C1295" s="1" t="s">
        <v>3509</v>
      </c>
      <c r="D1295" s="8" t="s">
        <v>3508</v>
      </c>
      <c r="E1295" s="1" t="s">
        <v>116</v>
      </c>
      <c r="F1295" s="1" t="s">
        <v>6465</v>
      </c>
      <c r="G1295" s="1" t="s">
        <v>4744</v>
      </c>
      <c r="H1295" s="1" t="s">
        <v>4739</v>
      </c>
      <c r="I1295" s="1" t="s">
        <v>4721</v>
      </c>
      <c r="J1295" s="1" t="s">
        <v>12</v>
      </c>
      <c r="K1295" s="1" t="s">
        <v>4902</v>
      </c>
      <c r="L1295" s="1" t="s">
        <v>115</v>
      </c>
      <c r="M1295" s="1" t="s">
        <v>245</v>
      </c>
      <c r="N1295" s="1" t="s">
        <v>21</v>
      </c>
    </row>
    <row r="1296" spans="1:14" x14ac:dyDescent="0.25">
      <c r="A1296" s="1" t="s">
        <v>106</v>
      </c>
      <c r="B1296" s="1" t="s">
        <v>5091</v>
      </c>
      <c r="C1296" s="1" t="s">
        <v>3864</v>
      </c>
      <c r="D1296" s="8" t="s">
        <v>3863</v>
      </c>
      <c r="E1296" s="1" t="s">
        <v>509</v>
      </c>
      <c r="F1296" s="1" t="s">
        <v>6462</v>
      </c>
      <c r="G1296" s="1" t="s">
        <v>4744</v>
      </c>
      <c r="H1296" s="1" t="s">
        <v>4739</v>
      </c>
      <c r="I1296" s="1" t="s">
        <v>4721</v>
      </c>
      <c r="J1296" s="1" t="s">
        <v>12</v>
      </c>
      <c r="K1296" s="1" t="s">
        <v>4772</v>
      </c>
      <c r="L1296" s="1" t="s">
        <v>130</v>
      </c>
      <c r="M1296" s="1" t="s">
        <v>245</v>
      </c>
      <c r="N1296" s="1" t="s">
        <v>21</v>
      </c>
    </row>
    <row r="1297" spans="1:14" x14ac:dyDescent="0.25">
      <c r="A1297" s="1" t="s">
        <v>106</v>
      </c>
      <c r="B1297" s="1" t="s">
        <v>5648</v>
      </c>
      <c r="C1297" s="1" t="s">
        <v>1774</v>
      </c>
      <c r="D1297" s="8" t="s">
        <v>1773</v>
      </c>
      <c r="E1297" s="1" t="s">
        <v>428</v>
      </c>
      <c r="F1297" s="1" t="s">
        <v>6463</v>
      </c>
      <c r="G1297" s="1" t="s">
        <v>4744</v>
      </c>
      <c r="H1297" s="1" t="s">
        <v>4739</v>
      </c>
      <c r="I1297" s="1" t="s">
        <v>4721</v>
      </c>
      <c r="J1297" s="1" t="s">
        <v>12</v>
      </c>
      <c r="K1297" s="1" t="s">
        <v>4896</v>
      </c>
      <c r="L1297" s="1" t="s">
        <v>427</v>
      </c>
      <c r="M1297" s="1" t="s">
        <v>245</v>
      </c>
      <c r="N1297" s="1" t="s">
        <v>21</v>
      </c>
    </row>
    <row r="1298" spans="1:14" x14ac:dyDescent="0.25">
      <c r="A1298" s="1" t="s">
        <v>106</v>
      </c>
      <c r="B1298" s="1" t="s">
        <v>5216</v>
      </c>
      <c r="C1298" s="1" t="s">
        <v>1892</v>
      </c>
      <c r="D1298" s="8" t="s">
        <v>1891</v>
      </c>
      <c r="E1298" s="1" t="s">
        <v>863</v>
      </c>
      <c r="F1298" s="1" t="s">
        <v>6466</v>
      </c>
      <c r="G1298" s="1" t="s">
        <v>4744</v>
      </c>
      <c r="H1298" s="1" t="s">
        <v>4739</v>
      </c>
      <c r="I1298" s="1" t="s">
        <v>4721</v>
      </c>
      <c r="J1298" s="1" t="s">
        <v>12</v>
      </c>
      <c r="K1298" s="1" t="s">
        <v>4773</v>
      </c>
      <c r="L1298" s="1" t="s">
        <v>427</v>
      </c>
      <c r="M1298" s="1" t="s">
        <v>630</v>
      </c>
      <c r="N1298" s="1" t="s">
        <v>21</v>
      </c>
    </row>
    <row r="1299" spans="1:14" x14ac:dyDescent="0.25">
      <c r="A1299" s="1" t="s">
        <v>106</v>
      </c>
      <c r="B1299" s="1" t="s">
        <v>5660</v>
      </c>
      <c r="C1299" s="1" t="s">
        <v>3876</v>
      </c>
      <c r="D1299" s="8" t="s">
        <v>3875</v>
      </c>
      <c r="E1299" s="1" t="s">
        <v>509</v>
      </c>
      <c r="F1299" s="1" t="s">
        <v>6462</v>
      </c>
      <c r="G1299" s="1" t="s">
        <v>4744</v>
      </c>
      <c r="H1299" s="1" t="s">
        <v>4739</v>
      </c>
      <c r="I1299" s="1" t="s">
        <v>4721</v>
      </c>
      <c r="J1299" s="1" t="s">
        <v>12</v>
      </c>
      <c r="K1299" s="1" t="s">
        <v>4772</v>
      </c>
      <c r="L1299" s="1" t="s">
        <v>130</v>
      </c>
      <c r="M1299" s="1" t="s">
        <v>245</v>
      </c>
      <c r="N1299" s="1" t="s">
        <v>21</v>
      </c>
    </row>
    <row r="1300" spans="1:14" x14ac:dyDescent="0.25">
      <c r="A1300" s="1" t="s">
        <v>106</v>
      </c>
      <c r="B1300" s="1" t="s">
        <v>5663</v>
      </c>
      <c r="C1300" s="1" t="s">
        <v>3782</v>
      </c>
      <c r="D1300" s="8" t="s">
        <v>3781</v>
      </c>
      <c r="E1300" s="1" t="s">
        <v>108</v>
      </c>
      <c r="F1300" s="1" t="s">
        <v>4745</v>
      </c>
      <c r="G1300" s="1" t="s">
        <v>4744</v>
      </c>
      <c r="H1300" s="1" t="s">
        <v>4739</v>
      </c>
      <c r="I1300" s="1" t="s">
        <v>4722</v>
      </c>
      <c r="J1300" s="1" t="s">
        <v>39</v>
      </c>
      <c r="K1300" s="1" t="s">
        <v>4853</v>
      </c>
      <c r="L1300" s="1" t="s">
        <v>107</v>
      </c>
      <c r="M1300" s="1" t="s">
        <v>446</v>
      </c>
      <c r="N1300" s="1" t="s">
        <v>72</v>
      </c>
    </row>
    <row r="1301" spans="1:14" x14ac:dyDescent="0.25">
      <c r="A1301" s="1" t="s">
        <v>106</v>
      </c>
      <c r="B1301" s="1" t="s">
        <v>5227</v>
      </c>
      <c r="C1301" s="1" t="s">
        <v>3525</v>
      </c>
      <c r="D1301" s="8" t="s">
        <v>3524</v>
      </c>
      <c r="E1301" s="1" t="s">
        <v>186</v>
      </c>
      <c r="F1301" s="1" t="s">
        <v>4745</v>
      </c>
      <c r="G1301" s="1" t="s">
        <v>4744</v>
      </c>
      <c r="H1301" s="1" t="s">
        <v>4739</v>
      </c>
      <c r="I1301" s="1" t="s">
        <v>4722</v>
      </c>
      <c r="J1301" s="1" t="s">
        <v>39</v>
      </c>
      <c r="K1301" s="1" t="s">
        <v>4853</v>
      </c>
      <c r="L1301" s="1" t="s">
        <v>107</v>
      </c>
      <c r="M1301" s="1" t="s">
        <v>317</v>
      </c>
      <c r="N1301" s="1" t="s">
        <v>42</v>
      </c>
    </row>
    <row r="1302" spans="1:14" x14ac:dyDescent="0.25">
      <c r="A1302" s="1" t="s">
        <v>106</v>
      </c>
      <c r="B1302" s="1" t="s">
        <v>5677</v>
      </c>
      <c r="C1302" s="1" t="s">
        <v>508</v>
      </c>
      <c r="D1302" s="8" t="s">
        <v>507</v>
      </c>
      <c r="E1302" s="1" t="s">
        <v>509</v>
      </c>
      <c r="F1302" s="1" t="s">
        <v>6464</v>
      </c>
      <c r="G1302" s="1" t="s">
        <v>4744</v>
      </c>
      <c r="H1302" s="1" t="s">
        <v>4739</v>
      </c>
      <c r="I1302" s="1" t="s">
        <v>4721</v>
      </c>
      <c r="J1302" s="1" t="s">
        <v>12</v>
      </c>
      <c r="K1302" s="1" t="s">
        <v>4886</v>
      </c>
      <c r="L1302" s="1" t="s">
        <v>130</v>
      </c>
      <c r="M1302" s="1" t="s">
        <v>58</v>
      </c>
      <c r="N1302" s="1" t="s">
        <v>61</v>
      </c>
    </row>
    <row r="1303" spans="1:14" x14ac:dyDescent="0.25">
      <c r="A1303" s="1" t="s">
        <v>106</v>
      </c>
      <c r="B1303" s="1" t="s">
        <v>5678</v>
      </c>
      <c r="C1303" s="1" t="s">
        <v>1259</v>
      </c>
      <c r="D1303" s="8" t="s">
        <v>1258</v>
      </c>
      <c r="E1303" s="1" t="s">
        <v>131</v>
      </c>
      <c r="F1303" s="1" t="s">
        <v>4743</v>
      </c>
      <c r="G1303" s="1" t="s">
        <v>4744</v>
      </c>
      <c r="H1303" s="1" t="s">
        <v>4739</v>
      </c>
      <c r="I1303" s="1" t="s">
        <v>4721</v>
      </c>
      <c r="J1303" s="1" t="s">
        <v>12</v>
      </c>
      <c r="K1303" s="1" t="s">
        <v>4901</v>
      </c>
      <c r="L1303" s="1" t="s">
        <v>130</v>
      </c>
      <c r="M1303" s="1" t="s">
        <v>89</v>
      </c>
      <c r="N1303" s="1" t="s">
        <v>37</v>
      </c>
    </row>
    <row r="1304" spans="1:14" x14ac:dyDescent="0.25">
      <c r="A1304" s="1" t="s">
        <v>106</v>
      </c>
      <c r="B1304" s="1" t="s">
        <v>5681</v>
      </c>
      <c r="C1304" s="1" t="s">
        <v>737</v>
      </c>
      <c r="D1304" s="8" t="s">
        <v>735</v>
      </c>
      <c r="E1304" s="1" t="s">
        <v>428</v>
      </c>
      <c r="F1304" s="1" t="s">
        <v>4744</v>
      </c>
      <c r="G1304" s="1" t="s">
        <v>4744</v>
      </c>
      <c r="H1304" s="1" t="s">
        <v>4739</v>
      </c>
      <c r="I1304" s="1" t="s">
        <v>4721</v>
      </c>
      <c r="J1304" s="1" t="s">
        <v>39</v>
      </c>
      <c r="K1304" s="1" t="s">
        <v>4803</v>
      </c>
      <c r="L1304" s="1" t="s">
        <v>427</v>
      </c>
      <c r="M1304" s="1" t="s">
        <v>149</v>
      </c>
      <c r="N1304" s="1" t="s">
        <v>61</v>
      </c>
    </row>
    <row r="1305" spans="1:14" x14ac:dyDescent="0.25">
      <c r="A1305" s="1" t="s">
        <v>106</v>
      </c>
      <c r="B1305" s="1" t="s">
        <v>5233</v>
      </c>
      <c r="C1305" s="1" t="s">
        <v>3549</v>
      </c>
      <c r="D1305" s="8" t="s">
        <v>3548</v>
      </c>
      <c r="E1305" s="1" t="s">
        <v>108</v>
      </c>
      <c r="F1305" s="1" t="s">
        <v>4745</v>
      </c>
      <c r="G1305" s="1" t="s">
        <v>4744</v>
      </c>
      <c r="H1305" s="1" t="s">
        <v>4739</v>
      </c>
      <c r="I1305" s="1" t="s">
        <v>4721</v>
      </c>
      <c r="J1305" s="1" t="s">
        <v>12</v>
      </c>
      <c r="K1305" s="1" t="s">
        <v>4853</v>
      </c>
      <c r="L1305" s="1" t="s">
        <v>107</v>
      </c>
      <c r="M1305" s="1" t="s">
        <v>630</v>
      </c>
      <c r="N1305" s="1" t="s">
        <v>21</v>
      </c>
    </row>
    <row r="1306" spans="1:14" x14ac:dyDescent="0.25">
      <c r="A1306" s="1" t="s">
        <v>106</v>
      </c>
      <c r="B1306" s="1" t="s">
        <v>5237</v>
      </c>
      <c r="C1306" s="1" t="s">
        <v>976</v>
      </c>
      <c r="D1306" s="8" t="s">
        <v>975</v>
      </c>
      <c r="E1306" s="1" t="s">
        <v>863</v>
      </c>
      <c r="F1306" s="1" t="s">
        <v>6464</v>
      </c>
      <c r="G1306" s="1" t="s">
        <v>4744</v>
      </c>
      <c r="H1306" s="1" t="s">
        <v>4739</v>
      </c>
      <c r="I1306" s="1" t="s">
        <v>4721</v>
      </c>
      <c r="J1306" s="1" t="s">
        <v>12</v>
      </c>
      <c r="K1306" s="1" t="s">
        <v>4886</v>
      </c>
      <c r="L1306" s="1" t="s">
        <v>427</v>
      </c>
      <c r="M1306" s="1" t="s">
        <v>58</v>
      </c>
      <c r="N1306" s="1" t="s">
        <v>61</v>
      </c>
    </row>
    <row r="1307" spans="1:14" x14ac:dyDescent="0.25">
      <c r="A1307" s="1" t="s">
        <v>106</v>
      </c>
      <c r="B1307" s="1" t="s">
        <v>5238</v>
      </c>
      <c r="C1307" s="1" t="s">
        <v>744</v>
      </c>
      <c r="D1307" s="8" t="s">
        <v>743</v>
      </c>
      <c r="E1307" s="1" t="s">
        <v>428</v>
      </c>
      <c r="F1307" s="1" t="s">
        <v>6463</v>
      </c>
      <c r="G1307" s="1" t="s">
        <v>4744</v>
      </c>
      <c r="H1307" s="1" t="s">
        <v>4739</v>
      </c>
      <c r="I1307" s="1" t="s">
        <v>4721</v>
      </c>
      <c r="J1307" s="1" t="s">
        <v>12</v>
      </c>
      <c r="K1307" s="1" t="s">
        <v>4895</v>
      </c>
      <c r="L1307" s="1" t="s">
        <v>427</v>
      </c>
      <c r="M1307" s="1" t="s">
        <v>630</v>
      </c>
      <c r="N1307" s="1" t="s">
        <v>21</v>
      </c>
    </row>
    <row r="1308" spans="1:14" x14ac:dyDescent="0.25">
      <c r="A1308" s="1" t="s">
        <v>106</v>
      </c>
      <c r="B1308" s="1" t="s">
        <v>5239</v>
      </c>
      <c r="C1308" s="1" t="s">
        <v>3537</v>
      </c>
      <c r="D1308" s="8" t="s">
        <v>3536</v>
      </c>
      <c r="E1308" s="1" t="s">
        <v>428</v>
      </c>
      <c r="F1308" s="1" t="s">
        <v>4745</v>
      </c>
      <c r="G1308" s="1" t="s">
        <v>4744</v>
      </c>
      <c r="H1308" s="1" t="s">
        <v>4739</v>
      </c>
      <c r="I1308" s="1" t="s">
        <v>4721</v>
      </c>
      <c r="J1308" s="1" t="s">
        <v>12</v>
      </c>
      <c r="K1308" s="1" t="s">
        <v>4853</v>
      </c>
      <c r="L1308" s="1" t="s">
        <v>427</v>
      </c>
      <c r="M1308" s="1" t="s">
        <v>637</v>
      </c>
      <c r="N1308" s="1" t="s">
        <v>19</v>
      </c>
    </row>
    <row r="1309" spans="1:14" x14ac:dyDescent="0.25">
      <c r="A1309" s="1" t="s">
        <v>106</v>
      </c>
      <c r="B1309" s="1" t="s">
        <v>5685</v>
      </c>
      <c r="C1309" s="1" t="s">
        <v>2034</v>
      </c>
      <c r="D1309" s="8" t="s">
        <v>2033</v>
      </c>
      <c r="E1309" s="1" t="s">
        <v>509</v>
      </c>
      <c r="F1309" s="1" t="s">
        <v>6462</v>
      </c>
      <c r="G1309" s="1" t="s">
        <v>4744</v>
      </c>
      <c r="H1309" s="1" t="s">
        <v>4739</v>
      </c>
      <c r="I1309" s="1" t="s">
        <v>4721</v>
      </c>
      <c r="J1309" s="1" t="s">
        <v>12</v>
      </c>
      <c r="K1309" s="1" t="s">
        <v>4772</v>
      </c>
      <c r="L1309" s="1" t="s">
        <v>130</v>
      </c>
      <c r="M1309" s="1" t="s">
        <v>245</v>
      </c>
      <c r="N1309" s="1" t="s">
        <v>21</v>
      </c>
    </row>
    <row r="1310" spans="1:14" x14ac:dyDescent="0.25">
      <c r="A1310" s="1" t="s">
        <v>106</v>
      </c>
      <c r="B1310" s="1" t="s">
        <v>5691</v>
      </c>
      <c r="C1310" s="1" t="s">
        <v>2431</v>
      </c>
      <c r="D1310" s="8" t="s">
        <v>2430</v>
      </c>
      <c r="E1310" s="1" t="s">
        <v>116</v>
      </c>
      <c r="F1310" s="1" t="s">
        <v>6464</v>
      </c>
      <c r="G1310" s="1" t="s">
        <v>4744</v>
      </c>
      <c r="H1310" s="1" t="s">
        <v>4739</v>
      </c>
      <c r="I1310" s="1" t="s">
        <v>4721</v>
      </c>
      <c r="J1310" s="1" t="s">
        <v>12</v>
      </c>
      <c r="K1310" s="1" t="s">
        <v>4886</v>
      </c>
      <c r="L1310" s="1" t="s">
        <v>115</v>
      </c>
      <c r="M1310" s="1" t="s">
        <v>172</v>
      </c>
      <c r="N1310" s="1" t="s">
        <v>17</v>
      </c>
    </row>
    <row r="1311" spans="1:14" x14ac:dyDescent="0.25">
      <c r="A1311" s="1" t="s">
        <v>106</v>
      </c>
      <c r="B1311" s="1" t="s">
        <v>5246</v>
      </c>
      <c r="C1311" s="1" t="s">
        <v>1343</v>
      </c>
      <c r="D1311" s="8" t="s">
        <v>1342</v>
      </c>
      <c r="E1311" s="1" t="s">
        <v>131</v>
      </c>
      <c r="F1311" s="1" t="s">
        <v>4743</v>
      </c>
      <c r="G1311" s="1" t="s">
        <v>4744</v>
      </c>
      <c r="H1311" s="1" t="s">
        <v>4739</v>
      </c>
      <c r="I1311" s="1" t="s">
        <v>4721</v>
      </c>
      <c r="J1311" s="1" t="s">
        <v>12</v>
      </c>
      <c r="K1311" s="1" t="s">
        <v>4901</v>
      </c>
      <c r="L1311" s="1" t="s">
        <v>130</v>
      </c>
      <c r="M1311" s="1" t="s">
        <v>245</v>
      </c>
      <c r="N1311" s="1" t="s">
        <v>21</v>
      </c>
    </row>
    <row r="1312" spans="1:14" x14ac:dyDescent="0.25">
      <c r="A1312" s="1" t="s">
        <v>106</v>
      </c>
      <c r="B1312" s="1" t="s">
        <v>5698</v>
      </c>
      <c r="C1312" s="1" t="s">
        <v>2370</v>
      </c>
      <c r="D1312" s="8" t="s">
        <v>2369</v>
      </c>
      <c r="E1312" s="1" t="s">
        <v>108</v>
      </c>
      <c r="F1312" s="1" t="s">
        <v>6464</v>
      </c>
      <c r="G1312" s="1" t="s">
        <v>4744</v>
      </c>
      <c r="H1312" s="1" t="s">
        <v>4739</v>
      </c>
      <c r="I1312" s="1" t="s">
        <v>4721</v>
      </c>
      <c r="J1312" s="1" t="s">
        <v>12</v>
      </c>
      <c r="K1312" s="1" t="s">
        <v>4886</v>
      </c>
      <c r="L1312" s="1" t="s">
        <v>107</v>
      </c>
      <c r="M1312" s="1" t="s">
        <v>172</v>
      </c>
      <c r="N1312" s="1" t="s">
        <v>17</v>
      </c>
    </row>
    <row r="1313" spans="1:14" x14ac:dyDescent="0.25">
      <c r="A1313" s="1" t="s">
        <v>106</v>
      </c>
      <c r="B1313" s="1" t="s">
        <v>5467</v>
      </c>
      <c r="C1313" s="1" t="s">
        <v>426</v>
      </c>
      <c r="D1313" s="8" t="s">
        <v>425</v>
      </c>
      <c r="E1313" s="1" t="s">
        <v>428</v>
      </c>
      <c r="F1313" s="1" t="s">
        <v>6463</v>
      </c>
      <c r="G1313" s="1" t="s">
        <v>4744</v>
      </c>
      <c r="H1313" s="1" t="s">
        <v>4739</v>
      </c>
      <c r="I1313" s="1" t="s">
        <v>4721</v>
      </c>
      <c r="J1313" s="1" t="s">
        <v>12</v>
      </c>
      <c r="K1313" s="1" t="s">
        <v>4895</v>
      </c>
      <c r="L1313" s="1" t="s">
        <v>427</v>
      </c>
      <c r="M1313" s="1" t="s">
        <v>245</v>
      </c>
      <c r="N1313" s="1" t="s">
        <v>21</v>
      </c>
    </row>
    <row r="1314" spans="1:14" x14ac:dyDescent="0.25">
      <c r="A1314" s="1" t="s">
        <v>106</v>
      </c>
      <c r="B1314" s="1" t="s">
        <v>6064</v>
      </c>
      <c r="C1314" s="1" t="s">
        <v>3861</v>
      </c>
      <c r="D1314" s="8" t="s">
        <v>3860</v>
      </c>
      <c r="E1314" s="1" t="s">
        <v>329</v>
      </c>
      <c r="F1314" s="1" t="s">
        <v>6462</v>
      </c>
      <c r="G1314" s="1" t="s">
        <v>4744</v>
      </c>
      <c r="H1314" s="1" t="s">
        <v>4739</v>
      </c>
      <c r="I1314" s="1" t="s">
        <v>4721</v>
      </c>
      <c r="J1314" s="1" t="s">
        <v>12</v>
      </c>
      <c r="K1314" s="1" t="s">
        <v>4772</v>
      </c>
      <c r="L1314" s="1" t="s">
        <v>107</v>
      </c>
      <c r="M1314" s="1" t="s">
        <v>364</v>
      </c>
      <c r="N1314" s="1" t="s">
        <v>37</v>
      </c>
    </row>
    <row r="1315" spans="1:14" x14ac:dyDescent="0.25">
      <c r="A1315" s="1" t="s">
        <v>106</v>
      </c>
      <c r="B1315" s="1" t="s">
        <v>6065</v>
      </c>
      <c r="C1315" s="1" t="s">
        <v>879</v>
      </c>
      <c r="D1315" s="8" t="s">
        <v>878</v>
      </c>
      <c r="E1315" s="1" t="s">
        <v>863</v>
      </c>
      <c r="F1315" s="1" t="s">
        <v>6466</v>
      </c>
      <c r="G1315" s="1" t="s">
        <v>4744</v>
      </c>
      <c r="H1315" s="1" t="s">
        <v>4739</v>
      </c>
      <c r="I1315" s="1" t="s">
        <v>4721</v>
      </c>
      <c r="J1315" s="1" t="s">
        <v>12</v>
      </c>
      <c r="K1315" s="1" t="s">
        <v>4773</v>
      </c>
      <c r="L1315" s="1" t="s">
        <v>427</v>
      </c>
      <c r="M1315" s="1" t="s">
        <v>58</v>
      </c>
      <c r="N1315" s="1" t="s">
        <v>61</v>
      </c>
    </row>
    <row r="1316" spans="1:14" x14ac:dyDescent="0.25">
      <c r="A1316" s="1" t="s">
        <v>106</v>
      </c>
      <c r="B1316" s="1" t="s">
        <v>6074</v>
      </c>
      <c r="C1316" s="1" t="s">
        <v>901</v>
      </c>
      <c r="D1316" s="8" t="s">
        <v>900</v>
      </c>
      <c r="E1316" s="1" t="s">
        <v>863</v>
      </c>
      <c r="F1316" s="1" t="s">
        <v>6466</v>
      </c>
      <c r="G1316" s="1" t="s">
        <v>4744</v>
      </c>
      <c r="H1316" s="1" t="s">
        <v>4739</v>
      </c>
      <c r="I1316" s="1" t="s">
        <v>4721</v>
      </c>
      <c r="J1316" s="1" t="s">
        <v>12</v>
      </c>
      <c r="K1316" s="1" t="s">
        <v>4773</v>
      </c>
      <c r="L1316" s="1" t="s">
        <v>427</v>
      </c>
      <c r="M1316" s="1" t="s">
        <v>41</v>
      </c>
      <c r="N1316" s="1" t="s">
        <v>42</v>
      </c>
    </row>
    <row r="1317" spans="1:14" x14ac:dyDescent="0.25">
      <c r="A1317" s="1" t="s">
        <v>106</v>
      </c>
      <c r="B1317" s="1" t="s">
        <v>5474</v>
      </c>
      <c r="C1317" s="1" t="s">
        <v>1277</v>
      </c>
      <c r="D1317" s="8" t="s">
        <v>1276</v>
      </c>
      <c r="E1317" s="1" t="s">
        <v>405</v>
      </c>
      <c r="F1317" s="1" t="s">
        <v>4743</v>
      </c>
      <c r="G1317" s="1" t="s">
        <v>4744</v>
      </c>
      <c r="H1317" s="1" t="s">
        <v>4739</v>
      </c>
      <c r="I1317" s="1" t="s">
        <v>4721</v>
      </c>
      <c r="J1317" s="1" t="s">
        <v>12</v>
      </c>
      <c r="K1317" s="1" t="s">
        <v>4901</v>
      </c>
      <c r="L1317" s="1" t="s">
        <v>130</v>
      </c>
      <c r="M1317" s="1" t="s">
        <v>245</v>
      </c>
      <c r="N1317" s="1" t="s">
        <v>21</v>
      </c>
    </row>
    <row r="1318" spans="1:14" x14ac:dyDescent="0.25">
      <c r="A1318" s="1" t="s">
        <v>106</v>
      </c>
      <c r="B1318" s="1" t="s">
        <v>5480</v>
      </c>
      <c r="C1318" s="1" t="s">
        <v>520</v>
      </c>
      <c r="D1318" s="8" t="s">
        <v>519</v>
      </c>
      <c r="E1318" s="1" t="s">
        <v>405</v>
      </c>
      <c r="F1318" s="1" t="s">
        <v>4743</v>
      </c>
      <c r="G1318" s="1" t="s">
        <v>4744</v>
      </c>
      <c r="H1318" s="1" t="s">
        <v>4739</v>
      </c>
      <c r="I1318" s="1" t="s">
        <v>4721</v>
      </c>
      <c r="J1318" s="1" t="s">
        <v>12</v>
      </c>
      <c r="K1318" s="1" t="s">
        <v>4901</v>
      </c>
      <c r="L1318" s="1" t="s">
        <v>130</v>
      </c>
      <c r="M1318" s="1" t="s">
        <v>245</v>
      </c>
      <c r="N1318" s="1" t="s">
        <v>21</v>
      </c>
    </row>
    <row r="1319" spans="1:14" x14ac:dyDescent="0.25">
      <c r="A1319" s="1" t="s">
        <v>106</v>
      </c>
      <c r="B1319" s="1" t="s">
        <v>5481</v>
      </c>
      <c r="C1319" s="1" t="s">
        <v>2049</v>
      </c>
      <c r="D1319" s="8" t="s">
        <v>2048</v>
      </c>
      <c r="E1319" s="1" t="s">
        <v>509</v>
      </c>
      <c r="F1319" s="1" t="s">
        <v>6462</v>
      </c>
      <c r="G1319" s="1" t="s">
        <v>4744</v>
      </c>
      <c r="H1319" s="1" t="s">
        <v>4739</v>
      </c>
      <c r="I1319" s="1" t="s">
        <v>4721</v>
      </c>
      <c r="J1319" s="1" t="s">
        <v>12</v>
      </c>
      <c r="K1319" s="1" t="s">
        <v>4772</v>
      </c>
      <c r="L1319" s="1" t="s">
        <v>130</v>
      </c>
      <c r="M1319" s="1" t="s">
        <v>245</v>
      </c>
      <c r="N1319" s="1" t="s">
        <v>21</v>
      </c>
    </row>
    <row r="1320" spans="1:14" x14ac:dyDescent="0.25">
      <c r="A1320" s="1" t="s">
        <v>106</v>
      </c>
      <c r="B1320" s="1" t="s">
        <v>6103</v>
      </c>
      <c r="C1320" s="1" t="s">
        <v>1241</v>
      </c>
      <c r="D1320" s="8" t="s">
        <v>1240</v>
      </c>
      <c r="E1320" s="1" t="s">
        <v>428</v>
      </c>
      <c r="F1320" s="1" t="s">
        <v>6464</v>
      </c>
      <c r="G1320" s="1" t="s">
        <v>4744</v>
      </c>
      <c r="H1320" s="1" t="s">
        <v>4739</v>
      </c>
      <c r="I1320" s="1" t="s">
        <v>4721</v>
      </c>
      <c r="J1320" s="1" t="s">
        <v>12</v>
      </c>
      <c r="K1320" s="1" t="s">
        <v>4886</v>
      </c>
      <c r="L1320" s="1" t="s">
        <v>427</v>
      </c>
      <c r="M1320" s="1" t="s">
        <v>172</v>
      </c>
      <c r="N1320" s="1" t="s">
        <v>17</v>
      </c>
    </row>
    <row r="1321" spans="1:14" x14ac:dyDescent="0.25">
      <c r="A1321" s="1" t="s">
        <v>106</v>
      </c>
      <c r="B1321" s="1" t="s">
        <v>5505</v>
      </c>
      <c r="C1321" s="1" t="s">
        <v>3716</v>
      </c>
      <c r="D1321" s="8" t="s">
        <v>3715</v>
      </c>
      <c r="E1321" s="1" t="s">
        <v>116</v>
      </c>
      <c r="F1321" s="1" t="s">
        <v>6465</v>
      </c>
      <c r="G1321" s="1" t="s">
        <v>4744</v>
      </c>
      <c r="H1321" s="1" t="s">
        <v>4739</v>
      </c>
      <c r="I1321" s="1" t="s">
        <v>4722</v>
      </c>
      <c r="J1321" s="1" t="s">
        <v>39</v>
      </c>
      <c r="K1321" s="1" t="s">
        <v>4902</v>
      </c>
      <c r="L1321" s="1" t="s">
        <v>115</v>
      </c>
      <c r="M1321" s="1" t="s">
        <v>245</v>
      </c>
      <c r="N1321" s="1" t="s">
        <v>21</v>
      </c>
    </row>
    <row r="1322" spans="1:14" x14ac:dyDescent="0.25">
      <c r="A1322" s="1" t="s">
        <v>106</v>
      </c>
      <c r="B1322" s="1" t="s">
        <v>6139</v>
      </c>
      <c r="C1322" s="1" t="s">
        <v>1074</v>
      </c>
      <c r="D1322" s="8" t="s">
        <v>1073</v>
      </c>
      <c r="E1322" s="1" t="s">
        <v>428</v>
      </c>
      <c r="F1322" s="1" t="s">
        <v>6463</v>
      </c>
      <c r="G1322" s="1" t="s">
        <v>4744</v>
      </c>
      <c r="H1322" s="1" t="s">
        <v>4739</v>
      </c>
      <c r="I1322" s="1" t="s">
        <v>4721</v>
      </c>
      <c r="J1322" s="1" t="s">
        <v>12</v>
      </c>
      <c r="K1322" s="1" t="s">
        <v>4895</v>
      </c>
      <c r="L1322" s="1" t="s">
        <v>427</v>
      </c>
      <c r="M1322" s="1" t="s">
        <v>317</v>
      </c>
      <c r="N1322" s="1" t="s">
        <v>42</v>
      </c>
    </row>
    <row r="1323" spans="1:14" x14ac:dyDescent="0.25">
      <c r="A1323" s="1" t="s">
        <v>106</v>
      </c>
      <c r="B1323" s="1" t="s">
        <v>5523</v>
      </c>
      <c r="C1323" s="1" t="s">
        <v>643</v>
      </c>
      <c r="D1323" s="8" t="s">
        <v>642</v>
      </c>
      <c r="E1323" s="1" t="s">
        <v>428</v>
      </c>
      <c r="F1323" s="1" t="s">
        <v>6463</v>
      </c>
      <c r="G1323" s="1" t="s">
        <v>4744</v>
      </c>
      <c r="H1323" s="1" t="s">
        <v>4739</v>
      </c>
      <c r="I1323" s="1" t="s">
        <v>4721</v>
      </c>
      <c r="J1323" s="1" t="s">
        <v>12</v>
      </c>
      <c r="K1323" s="1" t="s">
        <v>4895</v>
      </c>
      <c r="L1323" s="1" t="s">
        <v>427</v>
      </c>
      <c r="M1323" s="1" t="s">
        <v>637</v>
      </c>
      <c r="N1323" s="1" t="s">
        <v>19</v>
      </c>
    </row>
    <row r="1324" spans="1:14" x14ac:dyDescent="0.25">
      <c r="A1324" s="1" t="s">
        <v>106</v>
      </c>
      <c r="B1324" s="1" t="s">
        <v>5530</v>
      </c>
      <c r="C1324" s="1" t="s">
        <v>2364</v>
      </c>
      <c r="D1324" s="8" t="s">
        <v>2363</v>
      </c>
      <c r="E1324" s="1" t="s">
        <v>131</v>
      </c>
      <c r="F1324" s="1" t="s">
        <v>6464</v>
      </c>
      <c r="G1324" s="1" t="s">
        <v>4744</v>
      </c>
      <c r="H1324" s="1" t="s">
        <v>4739</v>
      </c>
      <c r="I1324" s="1" t="s">
        <v>4721</v>
      </c>
      <c r="J1324" s="1" t="s">
        <v>12</v>
      </c>
      <c r="K1324" s="1" t="s">
        <v>4886</v>
      </c>
      <c r="L1324" s="1" t="s">
        <v>130</v>
      </c>
      <c r="M1324" s="1" t="s">
        <v>172</v>
      </c>
      <c r="N1324" s="1" t="s">
        <v>17</v>
      </c>
    </row>
    <row r="1325" spans="1:14" x14ac:dyDescent="0.25">
      <c r="A1325" s="1" t="s">
        <v>106</v>
      </c>
      <c r="B1325" s="1" t="s">
        <v>5538</v>
      </c>
      <c r="C1325" s="1" t="s">
        <v>1262</v>
      </c>
      <c r="D1325" s="8" t="s">
        <v>1261</v>
      </c>
      <c r="E1325" s="1" t="s">
        <v>863</v>
      </c>
      <c r="F1325" s="1" t="s">
        <v>6464</v>
      </c>
      <c r="G1325" s="1" t="s">
        <v>4744</v>
      </c>
      <c r="H1325" s="1" t="s">
        <v>4739</v>
      </c>
      <c r="I1325" s="1" t="s">
        <v>4721</v>
      </c>
      <c r="J1325" s="1" t="s">
        <v>12</v>
      </c>
      <c r="K1325" s="1" t="s">
        <v>4886</v>
      </c>
      <c r="L1325" s="1" t="s">
        <v>427</v>
      </c>
      <c r="M1325" s="1" t="s">
        <v>172</v>
      </c>
      <c r="N1325" s="1" t="s">
        <v>17</v>
      </c>
    </row>
    <row r="1326" spans="1:14" x14ac:dyDescent="0.25">
      <c r="A1326" s="1" t="s">
        <v>106</v>
      </c>
      <c r="B1326" s="1" t="s">
        <v>6156</v>
      </c>
      <c r="C1326" s="1" t="s">
        <v>2775</v>
      </c>
      <c r="D1326" s="8" t="s">
        <v>2774</v>
      </c>
      <c r="E1326" s="1" t="s">
        <v>186</v>
      </c>
      <c r="F1326" s="1" t="s">
        <v>6419</v>
      </c>
      <c r="G1326" s="1" t="s">
        <v>6419</v>
      </c>
      <c r="H1326" s="1" t="s">
        <v>6419</v>
      </c>
      <c r="I1326" s="1" t="s">
        <v>4721</v>
      </c>
      <c r="J1326" s="1" t="s">
        <v>39</v>
      </c>
      <c r="K1326" s="1" t="s">
        <v>4772</v>
      </c>
      <c r="L1326" s="1" t="s">
        <v>107</v>
      </c>
      <c r="M1326" s="1" t="s">
        <v>149</v>
      </c>
      <c r="N1326" s="1" t="s">
        <v>61</v>
      </c>
    </row>
    <row r="1327" spans="1:14" x14ac:dyDescent="0.25">
      <c r="A1327" s="1" t="s">
        <v>106</v>
      </c>
      <c r="B1327" s="1" t="s">
        <v>5540</v>
      </c>
      <c r="C1327" s="1" t="s">
        <v>3758</v>
      </c>
      <c r="D1327" s="8" t="s">
        <v>3757</v>
      </c>
      <c r="E1327" s="1" t="s">
        <v>108</v>
      </c>
      <c r="F1327" s="1" t="s">
        <v>4745</v>
      </c>
      <c r="G1327" s="1" t="s">
        <v>4744</v>
      </c>
      <c r="H1327" s="1" t="s">
        <v>4739</v>
      </c>
      <c r="I1327" s="1" t="s">
        <v>4722</v>
      </c>
      <c r="J1327" s="1" t="s">
        <v>39</v>
      </c>
      <c r="K1327" s="1" t="s">
        <v>4886</v>
      </c>
      <c r="L1327" s="1" t="s">
        <v>107</v>
      </c>
      <c r="M1327" s="1" t="s">
        <v>364</v>
      </c>
      <c r="N1327" s="1" t="s">
        <v>37</v>
      </c>
    </row>
    <row r="1328" spans="1:14" x14ac:dyDescent="0.25">
      <c r="A1328" s="1" t="s">
        <v>106</v>
      </c>
      <c r="B1328" s="1" t="s">
        <v>5543</v>
      </c>
      <c r="C1328" s="1" t="s">
        <v>1223</v>
      </c>
      <c r="D1328" s="8" t="s">
        <v>1222</v>
      </c>
      <c r="E1328" s="1" t="s">
        <v>405</v>
      </c>
      <c r="F1328" s="1" t="s">
        <v>4743</v>
      </c>
      <c r="G1328" s="1" t="s">
        <v>4744</v>
      </c>
      <c r="H1328" s="1" t="s">
        <v>4739</v>
      </c>
      <c r="I1328" s="1" t="s">
        <v>4721</v>
      </c>
      <c r="J1328" s="1" t="s">
        <v>12</v>
      </c>
      <c r="K1328" s="1" t="s">
        <v>4901</v>
      </c>
      <c r="L1328" s="1" t="s">
        <v>130</v>
      </c>
      <c r="M1328" s="1" t="s">
        <v>245</v>
      </c>
      <c r="N1328" s="1" t="s">
        <v>21</v>
      </c>
    </row>
    <row r="1329" spans="1:14" x14ac:dyDescent="0.25">
      <c r="A1329" s="1" t="s">
        <v>106</v>
      </c>
      <c r="B1329" s="1" t="s">
        <v>5546</v>
      </c>
      <c r="C1329" s="1" t="s">
        <v>3503</v>
      </c>
      <c r="D1329" s="8" t="s">
        <v>3502</v>
      </c>
      <c r="E1329" s="1" t="s">
        <v>116</v>
      </c>
      <c r="F1329" s="1" t="s">
        <v>6465</v>
      </c>
      <c r="G1329" s="1" t="s">
        <v>4744</v>
      </c>
      <c r="H1329" s="1" t="s">
        <v>4739</v>
      </c>
      <c r="I1329" s="1" t="s">
        <v>4721</v>
      </c>
      <c r="J1329" s="1" t="s">
        <v>12</v>
      </c>
      <c r="K1329" s="1" t="s">
        <v>4902</v>
      </c>
      <c r="L1329" s="1" t="s">
        <v>115</v>
      </c>
      <c r="M1329" s="1" t="s">
        <v>245</v>
      </c>
      <c r="N1329" s="1" t="s">
        <v>21</v>
      </c>
    </row>
    <row r="1330" spans="1:14" x14ac:dyDescent="0.25">
      <c r="A1330" s="1" t="s">
        <v>106</v>
      </c>
      <c r="B1330" s="1" t="s">
        <v>5548</v>
      </c>
      <c r="C1330" s="1" t="s">
        <v>2611</v>
      </c>
      <c r="D1330" s="8" t="s">
        <v>2610</v>
      </c>
      <c r="E1330" s="1" t="s">
        <v>116</v>
      </c>
      <c r="F1330" s="1" t="s">
        <v>6464</v>
      </c>
      <c r="G1330" s="1" t="s">
        <v>4744</v>
      </c>
      <c r="H1330" s="1" t="s">
        <v>4739</v>
      </c>
      <c r="I1330" s="1" t="s">
        <v>4721</v>
      </c>
      <c r="J1330" s="1" t="s">
        <v>12</v>
      </c>
      <c r="K1330" s="1" t="s">
        <v>4886</v>
      </c>
      <c r="L1330" s="1" t="s">
        <v>115</v>
      </c>
      <c r="M1330" s="1" t="s">
        <v>172</v>
      </c>
      <c r="N1330" s="1" t="s">
        <v>17</v>
      </c>
    </row>
    <row r="1331" spans="1:14" x14ac:dyDescent="0.25">
      <c r="A1331" s="1" t="s">
        <v>106</v>
      </c>
      <c r="B1331" s="1" t="s">
        <v>5550</v>
      </c>
      <c r="C1331" s="1" t="s">
        <v>3797</v>
      </c>
      <c r="D1331" s="8" t="s">
        <v>3796</v>
      </c>
      <c r="E1331" s="1" t="s">
        <v>108</v>
      </c>
      <c r="F1331" s="1" t="s">
        <v>4745</v>
      </c>
      <c r="G1331" s="1" t="s">
        <v>4744</v>
      </c>
      <c r="H1331" s="1" t="s">
        <v>4739</v>
      </c>
      <c r="I1331" s="1" t="s">
        <v>4721</v>
      </c>
      <c r="J1331" s="1" t="s">
        <v>12</v>
      </c>
      <c r="K1331" s="1" t="s">
        <v>4853</v>
      </c>
      <c r="L1331" s="1" t="s">
        <v>107</v>
      </c>
      <c r="M1331" s="1" t="s">
        <v>245</v>
      </c>
      <c r="N1331" s="1" t="s">
        <v>21</v>
      </c>
    </row>
    <row r="1332" spans="1:14" x14ac:dyDescent="0.25">
      <c r="A1332" s="1" t="s">
        <v>106</v>
      </c>
      <c r="B1332" s="1" t="s">
        <v>5551</v>
      </c>
      <c r="C1332" s="1" t="s">
        <v>2443</v>
      </c>
      <c r="D1332" s="8" t="s">
        <v>2442</v>
      </c>
      <c r="E1332" s="1" t="s">
        <v>405</v>
      </c>
      <c r="F1332" s="1" t="s">
        <v>4743</v>
      </c>
      <c r="G1332" s="1" t="s">
        <v>4744</v>
      </c>
      <c r="H1332" s="1" t="s">
        <v>4739</v>
      </c>
      <c r="I1332" s="1" t="s">
        <v>4721</v>
      </c>
      <c r="J1332" s="1" t="s">
        <v>12</v>
      </c>
      <c r="K1332" s="1" t="s">
        <v>4901</v>
      </c>
      <c r="L1332" s="1" t="s">
        <v>130</v>
      </c>
      <c r="M1332" s="1" t="s">
        <v>637</v>
      </c>
      <c r="N1332" s="1" t="s">
        <v>19</v>
      </c>
    </row>
    <row r="1333" spans="1:14" x14ac:dyDescent="0.25">
      <c r="A1333" s="1" t="s">
        <v>106</v>
      </c>
      <c r="B1333" s="1" t="s">
        <v>5553</v>
      </c>
      <c r="C1333" s="1" t="s">
        <v>2091</v>
      </c>
      <c r="D1333" s="8" t="s">
        <v>2090</v>
      </c>
      <c r="E1333" s="1" t="s">
        <v>509</v>
      </c>
      <c r="F1333" s="1" t="s">
        <v>6462</v>
      </c>
      <c r="G1333" s="1" t="s">
        <v>4744</v>
      </c>
      <c r="H1333" s="1" t="s">
        <v>4739</v>
      </c>
      <c r="I1333" s="1" t="s">
        <v>4721</v>
      </c>
      <c r="J1333" s="1" t="s">
        <v>12</v>
      </c>
      <c r="K1333" s="1" t="s">
        <v>4772</v>
      </c>
      <c r="L1333" s="1" t="s">
        <v>130</v>
      </c>
      <c r="M1333" s="1" t="s">
        <v>637</v>
      </c>
      <c r="N1333" s="1" t="s">
        <v>19</v>
      </c>
    </row>
    <row r="1334" spans="1:14" x14ac:dyDescent="0.25">
      <c r="A1334" s="1" t="s">
        <v>106</v>
      </c>
      <c r="B1334" s="1" t="s">
        <v>6162</v>
      </c>
      <c r="C1334" s="1" t="s">
        <v>1524</v>
      </c>
      <c r="D1334" s="8" t="s">
        <v>1523</v>
      </c>
      <c r="E1334" s="1" t="s">
        <v>863</v>
      </c>
      <c r="F1334" s="1" t="s">
        <v>6466</v>
      </c>
      <c r="G1334" s="1" t="s">
        <v>4744</v>
      </c>
      <c r="H1334" s="1" t="s">
        <v>4739</v>
      </c>
      <c r="I1334" s="1" t="s">
        <v>4721</v>
      </c>
      <c r="J1334" s="1" t="s">
        <v>12</v>
      </c>
      <c r="K1334" s="1" t="s">
        <v>4900</v>
      </c>
      <c r="L1334" s="1" t="s">
        <v>427</v>
      </c>
      <c r="M1334" s="1" t="s">
        <v>870</v>
      </c>
      <c r="N1334" s="1" t="s">
        <v>76</v>
      </c>
    </row>
    <row r="1335" spans="1:14" x14ac:dyDescent="0.25">
      <c r="A1335" s="1" t="s">
        <v>106</v>
      </c>
      <c r="B1335" s="1" t="s">
        <v>6163</v>
      </c>
      <c r="C1335" s="1" t="s">
        <v>1349</v>
      </c>
      <c r="D1335" s="8" t="s">
        <v>1348</v>
      </c>
      <c r="E1335" s="1" t="s">
        <v>405</v>
      </c>
      <c r="F1335" s="1" t="s">
        <v>4743</v>
      </c>
      <c r="G1335" s="1" t="s">
        <v>4744</v>
      </c>
      <c r="H1335" s="1" t="s">
        <v>4739</v>
      </c>
      <c r="I1335" s="1" t="s">
        <v>4721</v>
      </c>
      <c r="J1335" s="1" t="s">
        <v>12</v>
      </c>
      <c r="K1335" s="1" t="s">
        <v>4901</v>
      </c>
      <c r="L1335" s="1" t="s">
        <v>130</v>
      </c>
      <c r="M1335" s="1" t="s">
        <v>1350</v>
      </c>
      <c r="N1335" s="1" t="s">
        <v>126</v>
      </c>
    </row>
    <row r="1336" spans="1:14" x14ac:dyDescent="0.25">
      <c r="A1336" s="1" t="s">
        <v>106</v>
      </c>
      <c r="B1336" s="1" t="s">
        <v>5558</v>
      </c>
      <c r="C1336" s="1" t="s">
        <v>1780</v>
      </c>
      <c r="D1336" s="8" t="s">
        <v>1779</v>
      </c>
      <c r="E1336" s="1" t="s">
        <v>428</v>
      </c>
      <c r="F1336" s="1" t="s">
        <v>6463</v>
      </c>
      <c r="G1336" s="1" t="s">
        <v>4744</v>
      </c>
      <c r="H1336" s="1" t="s">
        <v>4739</v>
      </c>
      <c r="I1336" s="1" t="s">
        <v>4721</v>
      </c>
      <c r="J1336" s="1" t="s">
        <v>12</v>
      </c>
      <c r="K1336" s="1" t="s">
        <v>4895</v>
      </c>
      <c r="L1336" s="1" t="s">
        <v>427</v>
      </c>
      <c r="M1336" s="1" t="s">
        <v>870</v>
      </c>
      <c r="N1336" s="1" t="s">
        <v>76</v>
      </c>
    </row>
    <row r="1337" spans="1:14" x14ac:dyDescent="0.25">
      <c r="A1337" s="1" t="s">
        <v>106</v>
      </c>
      <c r="B1337" s="1" t="s">
        <v>5572</v>
      </c>
      <c r="C1337" s="1" t="s">
        <v>3725</v>
      </c>
      <c r="D1337" s="8" t="s">
        <v>3724</v>
      </c>
      <c r="E1337" s="1" t="s">
        <v>116</v>
      </c>
      <c r="F1337" s="1" t="s">
        <v>6465</v>
      </c>
      <c r="G1337" s="1" t="s">
        <v>4744</v>
      </c>
      <c r="H1337" s="1" t="s">
        <v>4739</v>
      </c>
      <c r="I1337" s="1" t="s">
        <v>4721</v>
      </c>
      <c r="J1337" s="1" t="s">
        <v>12</v>
      </c>
      <c r="K1337" s="1" t="s">
        <v>4902</v>
      </c>
      <c r="L1337" s="1" t="s">
        <v>115</v>
      </c>
      <c r="M1337" s="1" t="s">
        <v>58</v>
      </c>
      <c r="N1337" s="1" t="s">
        <v>61</v>
      </c>
    </row>
    <row r="1338" spans="1:14" x14ac:dyDescent="0.25">
      <c r="A1338" s="1" t="s">
        <v>106</v>
      </c>
      <c r="B1338" s="1" t="s">
        <v>5248</v>
      </c>
      <c r="C1338" s="1" t="s">
        <v>2379</v>
      </c>
      <c r="D1338" s="8" t="s">
        <v>2378</v>
      </c>
      <c r="E1338" s="1" t="s">
        <v>116</v>
      </c>
      <c r="F1338" s="1" t="s">
        <v>6464</v>
      </c>
      <c r="G1338" s="1" t="s">
        <v>4744</v>
      </c>
      <c r="H1338" s="1" t="s">
        <v>4739</v>
      </c>
      <c r="I1338" s="1" t="s">
        <v>4721</v>
      </c>
      <c r="J1338" s="1" t="s">
        <v>12</v>
      </c>
      <c r="K1338" s="1" t="s">
        <v>4886</v>
      </c>
      <c r="L1338" s="1" t="s">
        <v>115</v>
      </c>
      <c r="M1338" s="1" t="s">
        <v>172</v>
      </c>
      <c r="N1338" s="1" t="s">
        <v>17</v>
      </c>
    </row>
    <row r="1339" spans="1:14" x14ac:dyDescent="0.25">
      <c r="A1339" s="1" t="s">
        <v>106</v>
      </c>
      <c r="B1339" s="1" t="s">
        <v>5249</v>
      </c>
      <c r="C1339" s="1" t="s">
        <v>1777</v>
      </c>
      <c r="D1339" s="8" t="s">
        <v>1776</v>
      </c>
      <c r="E1339" s="1" t="s">
        <v>428</v>
      </c>
      <c r="F1339" s="1" t="s">
        <v>6463</v>
      </c>
      <c r="G1339" s="1" t="s">
        <v>4744</v>
      </c>
      <c r="H1339" s="1" t="s">
        <v>4739</v>
      </c>
      <c r="I1339" s="1" t="s">
        <v>4721</v>
      </c>
      <c r="J1339" s="1" t="s">
        <v>12</v>
      </c>
      <c r="K1339" s="1" t="s">
        <v>4895</v>
      </c>
      <c r="L1339" s="1" t="s">
        <v>427</v>
      </c>
      <c r="M1339" s="1" t="s">
        <v>245</v>
      </c>
      <c r="N1339" s="1" t="s">
        <v>21</v>
      </c>
    </row>
    <row r="1340" spans="1:14" x14ac:dyDescent="0.25">
      <c r="A1340" s="1" t="s">
        <v>106</v>
      </c>
      <c r="B1340" s="1" t="s">
        <v>5702</v>
      </c>
      <c r="C1340" s="1" t="s">
        <v>2040</v>
      </c>
      <c r="D1340" s="8" t="s">
        <v>2039</v>
      </c>
      <c r="E1340" s="1" t="s">
        <v>509</v>
      </c>
      <c r="F1340" s="1" t="s">
        <v>6462</v>
      </c>
      <c r="G1340" s="1" t="s">
        <v>4744</v>
      </c>
      <c r="H1340" s="1" t="s">
        <v>4739</v>
      </c>
      <c r="I1340" s="1" t="s">
        <v>4721</v>
      </c>
      <c r="J1340" s="1" t="s">
        <v>12</v>
      </c>
      <c r="K1340" s="1" t="s">
        <v>4772</v>
      </c>
      <c r="L1340" s="1" t="s">
        <v>130</v>
      </c>
      <c r="M1340" s="1" t="s">
        <v>245</v>
      </c>
      <c r="N1340" s="1" t="s">
        <v>21</v>
      </c>
    </row>
    <row r="1341" spans="1:14" x14ac:dyDescent="0.25">
      <c r="A1341" s="1" t="s">
        <v>106</v>
      </c>
      <c r="B1341" s="1" t="s">
        <v>5258</v>
      </c>
      <c r="C1341" s="1" t="s">
        <v>3490</v>
      </c>
      <c r="D1341" s="8" t="s">
        <v>3489</v>
      </c>
      <c r="E1341" s="1" t="s">
        <v>116</v>
      </c>
      <c r="F1341" s="1" t="s">
        <v>6465</v>
      </c>
      <c r="G1341" s="1" t="s">
        <v>4744</v>
      </c>
      <c r="H1341" s="1" t="s">
        <v>4739</v>
      </c>
      <c r="I1341" s="1" t="s">
        <v>4721</v>
      </c>
      <c r="J1341" s="1" t="s">
        <v>12</v>
      </c>
      <c r="K1341" s="1" t="s">
        <v>4818</v>
      </c>
      <c r="L1341" s="1" t="s">
        <v>115</v>
      </c>
      <c r="M1341" s="1" t="s">
        <v>58</v>
      </c>
      <c r="N1341" s="1" t="s">
        <v>61</v>
      </c>
    </row>
    <row r="1342" spans="1:14" x14ac:dyDescent="0.25">
      <c r="A1342" s="1" t="s">
        <v>106</v>
      </c>
      <c r="B1342" s="1" t="s">
        <v>5261</v>
      </c>
      <c r="C1342" s="1" t="s">
        <v>328</v>
      </c>
      <c r="D1342" s="8" t="s">
        <v>327</v>
      </c>
      <c r="E1342" s="1" t="s">
        <v>329</v>
      </c>
      <c r="F1342" s="1" t="s">
        <v>6462</v>
      </c>
      <c r="G1342" s="1" t="s">
        <v>4744</v>
      </c>
      <c r="H1342" s="1" t="s">
        <v>4739</v>
      </c>
      <c r="I1342" s="1" t="s">
        <v>4721</v>
      </c>
      <c r="J1342" s="1" t="s">
        <v>12</v>
      </c>
      <c r="K1342" s="1" t="s">
        <v>4772</v>
      </c>
      <c r="L1342" s="1" t="s">
        <v>107</v>
      </c>
      <c r="M1342" s="1" t="s">
        <v>245</v>
      </c>
      <c r="N1342" s="1" t="s">
        <v>21</v>
      </c>
    </row>
    <row r="1343" spans="1:14" x14ac:dyDescent="0.25">
      <c r="A1343" s="1" t="s">
        <v>106</v>
      </c>
      <c r="B1343" s="1" t="s">
        <v>5262</v>
      </c>
      <c r="C1343" s="1" t="s">
        <v>1238</v>
      </c>
      <c r="D1343" s="8" t="s">
        <v>1237</v>
      </c>
      <c r="E1343" s="1" t="s">
        <v>863</v>
      </c>
      <c r="F1343" s="1" t="s">
        <v>6464</v>
      </c>
      <c r="G1343" s="1" t="s">
        <v>4744</v>
      </c>
      <c r="H1343" s="1" t="s">
        <v>4739</v>
      </c>
      <c r="I1343" s="1" t="s">
        <v>4722</v>
      </c>
      <c r="J1343" s="1" t="s">
        <v>39</v>
      </c>
      <c r="K1343" s="1" t="s">
        <v>4886</v>
      </c>
      <c r="L1343" s="1" t="s">
        <v>427</v>
      </c>
      <c r="M1343" s="1" t="s">
        <v>172</v>
      </c>
      <c r="N1343" s="1" t="s">
        <v>17</v>
      </c>
    </row>
    <row r="1344" spans="1:14" x14ac:dyDescent="0.25">
      <c r="A1344" s="1" t="s">
        <v>106</v>
      </c>
      <c r="B1344" s="1" t="s">
        <v>5711</v>
      </c>
      <c r="C1344" s="1" t="s">
        <v>185</v>
      </c>
      <c r="D1344" s="8" t="s">
        <v>184</v>
      </c>
      <c r="E1344" s="1" t="s">
        <v>186</v>
      </c>
      <c r="F1344" s="1" t="s">
        <v>4745</v>
      </c>
      <c r="G1344" s="1" t="s">
        <v>4744</v>
      </c>
      <c r="H1344" s="1" t="s">
        <v>4739</v>
      </c>
      <c r="I1344" s="1" t="s">
        <v>4721</v>
      </c>
      <c r="J1344" s="1" t="s">
        <v>39</v>
      </c>
      <c r="K1344" s="1" t="s">
        <v>4772</v>
      </c>
      <c r="L1344" s="1" t="s">
        <v>107</v>
      </c>
      <c r="M1344" s="1" t="s">
        <v>136</v>
      </c>
      <c r="N1344" s="1" t="s">
        <v>72</v>
      </c>
    </row>
    <row r="1345" spans="1:14" x14ac:dyDescent="0.25">
      <c r="A1345" s="1" t="s">
        <v>106</v>
      </c>
      <c r="B1345" s="1" t="s">
        <v>5268</v>
      </c>
      <c r="C1345" s="1" t="s">
        <v>3803</v>
      </c>
      <c r="D1345" s="8" t="s">
        <v>3802</v>
      </c>
      <c r="E1345" s="1" t="s">
        <v>108</v>
      </c>
      <c r="F1345" s="1" t="s">
        <v>4745</v>
      </c>
      <c r="G1345" s="1" t="s">
        <v>4744</v>
      </c>
      <c r="H1345" s="1" t="s">
        <v>4739</v>
      </c>
      <c r="I1345" s="1" t="s">
        <v>4721</v>
      </c>
      <c r="J1345" s="1" t="s">
        <v>12</v>
      </c>
      <c r="K1345" s="1" t="s">
        <v>4853</v>
      </c>
      <c r="L1345" s="1" t="s">
        <v>107</v>
      </c>
      <c r="M1345" s="1" t="s">
        <v>245</v>
      </c>
      <c r="N1345" s="1" t="s">
        <v>21</v>
      </c>
    </row>
    <row r="1346" spans="1:14" x14ac:dyDescent="0.25">
      <c r="A1346" s="1" t="s">
        <v>106</v>
      </c>
      <c r="B1346" s="1" t="s">
        <v>5273</v>
      </c>
      <c r="C1346" s="1" t="s">
        <v>982</v>
      </c>
      <c r="D1346" s="8" t="s">
        <v>981</v>
      </c>
      <c r="E1346" s="1" t="s">
        <v>863</v>
      </c>
      <c r="F1346" s="1" t="s">
        <v>6464</v>
      </c>
      <c r="G1346" s="1" t="s">
        <v>4744</v>
      </c>
      <c r="H1346" s="1" t="s">
        <v>4739</v>
      </c>
      <c r="I1346" s="1" t="s">
        <v>4721</v>
      </c>
      <c r="J1346" s="1" t="s">
        <v>12</v>
      </c>
      <c r="K1346" s="1" t="s">
        <v>4886</v>
      </c>
      <c r="L1346" s="1" t="s">
        <v>427</v>
      </c>
      <c r="M1346" s="1" t="s">
        <v>172</v>
      </c>
      <c r="N1346" s="1" t="s">
        <v>17</v>
      </c>
    </row>
    <row r="1347" spans="1:14" x14ac:dyDescent="0.25">
      <c r="A1347" s="1" t="s">
        <v>106</v>
      </c>
      <c r="B1347" s="1" t="s">
        <v>5713</v>
      </c>
      <c r="C1347" s="1" t="s">
        <v>985</v>
      </c>
      <c r="D1347" s="8" t="s">
        <v>984</v>
      </c>
      <c r="E1347" s="1" t="s">
        <v>428</v>
      </c>
      <c r="F1347" s="1" t="s">
        <v>6464</v>
      </c>
      <c r="G1347" s="1" t="s">
        <v>4744</v>
      </c>
      <c r="H1347" s="1" t="s">
        <v>4739</v>
      </c>
      <c r="I1347" s="1" t="s">
        <v>4721</v>
      </c>
      <c r="J1347" s="1" t="s">
        <v>12</v>
      </c>
      <c r="K1347" s="1" t="s">
        <v>4886</v>
      </c>
      <c r="L1347" s="1" t="s">
        <v>427</v>
      </c>
      <c r="M1347" s="1" t="s">
        <v>172</v>
      </c>
      <c r="N1347" s="1" t="s">
        <v>17</v>
      </c>
    </row>
    <row r="1348" spans="1:14" x14ac:dyDescent="0.25">
      <c r="A1348" s="1" t="s">
        <v>106</v>
      </c>
      <c r="B1348" s="1" t="s">
        <v>5714</v>
      </c>
      <c r="C1348" s="1" t="s">
        <v>1942</v>
      </c>
      <c r="D1348" s="8" t="s">
        <v>1941</v>
      </c>
      <c r="E1348" s="1" t="s">
        <v>131</v>
      </c>
      <c r="F1348" s="1" t="s">
        <v>6467</v>
      </c>
      <c r="G1348" s="1" t="s">
        <v>6431</v>
      </c>
      <c r="H1348" s="1" t="s">
        <v>4739</v>
      </c>
      <c r="I1348" s="1" t="s">
        <v>4721</v>
      </c>
      <c r="J1348" s="1" t="s">
        <v>12</v>
      </c>
      <c r="K1348" s="1" t="s">
        <v>4888</v>
      </c>
      <c r="L1348" s="1" t="s">
        <v>130</v>
      </c>
      <c r="M1348" s="1" t="s">
        <v>58</v>
      </c>
      <c r="N1348" s="1" t="s">
        <v>61</v>
      </c>
    </row>
    <row r="1349" spans="1:14" x14ac:dyDescent="0.25">
      <c r="A1349" s="1" t="s">
        <v>106</v>
      </c>
      <c r="B1349" s="1" t="s">
        <v>5716</v>
      </c>
      <c r="C1349" s="1" t="s">
        <v>873</v>
      </c>
      <c r="D1349" s="8" t="s">
        <v>872</v>
      </c>
      <c r="E1349" s="1" t="s">
        <v>863</v>
      </c>
      <c r="F1349" s="1" t="s">
        <v>6466</v>
      </c>
      <c r="G1349" s="1" t="s">
        <v>4744</v>
      </c>
      <c r="H1349" s="1" t="s">
        <v>4739</v>
      </c>
      <c r="I1349" s="1" t="s">
        <v>4722</v>
      </c>
      <c r="J1349" s="1" t="s">
        <v>39</v>
      </c>
      <c r="K1349" s="1" t="s">
        <v>4773</v>
      </c>
      <c r="L1349" s="1" t="s">
        <v>427</v>
      </c>
      <c r="M1349" s="1" t="s">
        <v>245</v>
      </c>
      <c r="N1349" s="1" t="s">
        <v>21</v>
      </c>
    </row>
    <row r="1350" spans="1:14" x14ac:dyDescent="0.25">
      <c r="A1350" s="1" t="s">
        <v>106</v>
      </c>
      <c r="B1350" s="1" t="s">
        <v>5279</v>
      </c>
      <c r="C1350" s="1" t="s">
        <v>2394</v>
      </c>
      <c r="D1350" s="8" t="s">
        <v>2393</v>
      </c>
      <c r="E1350" s="1" t="s">
        <v>863</v>
      </c>
      <c r="F1350" s="1" t="s">
        <v>6464</v>
      </c>
      <c r="G1350" s="1" t="s">
        <v>4744</v>
      </c>
      <c r="H1350" s="1" t="s">
        <v>4739</v>
      </c>
      <c r="I1350" s="1" t="s">
        <v>4721</v>
      </c>
      <c r="J1350" s="1" t="s">
        <v>12</v>
      </c>
      <c r="K1350" s="1" t="s">
        <v>4886</v>
      </c>
      <c r="L1350" s="1" t="s">
        <v>427</v>
      </c>
      <c r="M1350" s="1" t="s">
        <v>58</v>
      </c>
      <c r="N1350" s="1" t="s">
        <v>61</v>
      </c>
    </row>
    <row r="1351" spans="1:14" x14ac:dyDescent="0.25">
      <c r="A1351" s="1" t="s">
        <v>106</v>
      </c>
      <c r="B1351" s="1" t="s">
        <v>5717</v>
      </c>
      <c r="C1351" s="1" t="s">
        <v>2385</v>
      </c>
      <c r="D1351" s="8" t="s">
        <v>2384</v>
      </c>
      <c r="E1351" s="1" t="s">
        <v>329</v>
      </c>
      <c r="F1351" s="1" t="s">
        <v>6464</v>
      </c>
      <c r="G1351" s="1" t="s">
        <v>4744</v>
      </c>
      <c r="H1351" s="1" t="s">
        <v>4739</v>
      </c>
      <c r="I1351" s="1" t="s">
        <v>4721</v>
      </c>
      <c r="J1351" s="1" t="s">
        <v>12</v>
      </c>
      <c r="K1351" s="1" t="s">
        <v>4818</v>
      </c>
      <c r="L1351" s="1" t="s">
        <v>107</v>
      </c>
      <c r="M1351" s="1" t="s">
        <v>58</v>
      </c>
      <c r="N1351" s="1" t="s">
        <v>61</v>
      </c>
    </row>
    <row r="1352" spans="1:14" x14ac:dyDescent="0.25">
      <c r="A1352" s="1" t="s">
        <v>106</v>
      </c>
      <c r="B1352" s="1" t="s">
        <v>5281</v>
      </c>
      <c r="C1352" s="1" t="s">
        <v>1442</v>
      </c>
      <c r="D1352" s="8" t="s">
        <v>1441</v>
      </c>
      <c r="E1352" s="1" t="s">
        <v>863</v>
      </c>
      <c r="F1352" s="1" t="s">
        <v>6466</v>
      </c>
      <c r="G1352" s="1" t="s">
        <v>4744</v>
      </c>
      <c r="H1352" s="1" t="s">
        <v>4739</v>
      </c>
      <c r="I1352" s="1" t="s">
        <v>4721</v>
      </c>
      <c r="J1352" s="1" t="s">
        <v>12</v>
      </c>
      <c r="K1352" s="1" t="s">
        <v>4773</v>
      </c>
      <c r="L1352" s="1" t="s">
        <v>427</v>
      </c>
      <c r="M1352" s="1" t="s">
        <v>245</v>
      </c>
      <c r="N1352" s="1" t="s">
        <v>21</v>
      </c>
    </row>
    <row r="1353" spans="1:14" x14ac:dyDescent="0.25">
      <c r="A1353" s="1" t="s">
        <v>106</v>
      </c>
      <c r="B1353" s="1" t="s">
        <v>5282</v>
      </c>
      <c r="C1353" s="1" t="s">
        <v>3540</v>
      </c>
      <c r="D1353" s="8" t="s">
        <v>3539</v>
      </c>
      <c r="E1353" s="1" t="s">
        <v>186</v>
      </c>
      <c r="F1353" s="1" t="s">
        <v>4745</v>
      </c>
      <c r="G1353" s="1" t="s">
        <v>4744</v>
      </c>
      <c r="H1353" s="1" t="s">
        <v>4739</v>
      </c>
      <c r="I1353" s="1" t="s">
        <v>4722</v>
      </c>
      <c r="J1353" s="1" t="s">
        <v>39</v>
      </c>
      <c r="K1353" s="1" t="s">
        <v>4853</v>
      </c>
      <c r="L1353" s="1" t="s">
        <v>107</v>
      </c>
      <c r="M1353" s="1" t="s">
        <v>245</v>
      </c>
      <c r="N1353" s="1" t="s">
        <v>21</v>
      </c>
    </row>
    <row r="1354" spans="1:14" x14ac:dyDescent="0.25">
      <c r="A1354" s="1" t="s">
        <v>106</v>
      </c>
      <c r="B1354" s="1" t="s">
        <v>5720</v>
      </c>
      <c r="C1354" s="1" t="s">
        <v>2094</v>
      </c>
      <c r="D1354" s="8" t="s">
        <v>2093</v>
      </c>
      <c r="E1354" s="1" t="s">
        <v>329</v>
      </c>
      <c r="F1354" s="1" t="s">
        <v>6462</v>
      </c>
      <c r="G1354" s="1" t="s">
        <v>4744</v>
      </c>
      <c r="H1354" s="1" t="s">
        <v>4739</v>
      </c>
      <c r="I1354" s="1" t="s">
        <v>4721</v>
      </c>
      <c r="J1354" s="1" t="s">
        <v>12</v>
      </c>
      <c r="K1354" s="1" t="s">
        <v>4772</v>
      </c>
      <c r="L1354" s="1" t="s">
        <v>107</v>
      </c>
      <c r="M1354" s="1" t="s">
        <v>245</v>
      </c>
      <c r="N1354" s="1" t="s">
        <v>21</v>
      </c>
    </row>
    <row r="1355" spans="1:14" x14ac:dyDescent="0.25">
      <c r="A1355" s="1" t="s">
        <v>106</v>
      </c>
      <c r="B1355" s="1" t="s">
        <v>5283</v>
      </c>
      <c r="C1355" s="1" t="s">
        <v>3516</v>
      </c>
      <c r="D1355" s="8" t="s">
        <v>3515</v>
      </c>
      <c r="E1355" s="1" t="s">
        <v>186</v>
      </c>
      <c r="F1355" s="1" t="s">
        <v>4745</v>
      </c>
      <c r="G1355" s="1" t="s">
        <v>4744</v>
      </c>
      <c r="H1355" s="1" t="s">
        <v>4739</v>
      </c>
      <c r="I1355" s="1" t="s">
        <v>4721</v>
      </c>
      <c r="J1355" s="1" t="s">
        <v>12</v>
      </c>
      <c r="K1355" s="1" t="s">
        <v>4853</v>
      </c>
      <c r="L1355" s="1" t="s">
        <v>107</v>
      </c>
      <c r="M1355" s="1" t="s">
        <v>245</v>
      </c>
      <c r="N1355" s="1" t="s">
        <v>21</v>
      </c>
    </row>
    <row r="1356" spans="1:14" x14ac:dyDescent="0.25">
      <c r="A1356" s="1" t="s">
        <v>106</v>
      </c>
      <c r="B1356" s="1" t="s">
        <v>5286</v>
      </c>
      <c r="C1356" s="1" t="s">
        <v>1093</v>
      </c>
      <c r="D1356" s="8" t="s">
        <v>1091</v>
      </c>
      <c r="E1356" s="1" t="s">
        <v>405</v>
      </c>
      <c r="F1356" s="1" t="s">
        <v>4743</v>
      </c>
      <c r="G1356" s="1" t="s">
        <v>4744</v>
      </c>
      <c r="H1356" s="1" t="s">
        <v>4739</v>
      </c>
      <c r="I1356" s="1" t="s">
        <v>4721</v>
      </c>
      <c r="J1356" s="1" t="s">
        <v>12</v>
      </c>
      <c r="K1356" s="1" t="s">
        <v>4901</v>
      </c>
      <c r="L1356" s="1" t="s">
        <v>130</v>
      </c>
      <c r="M1356" s="1" t="s">
        <v>870</v>
      </c>
      <c r="N1356" s="1" t="s">
        <v>76</v>
      </c>
    </row>
    <row r="1357" spans="1:14" x14ac:dyDescent="0.25">
      <c r="A1357" s="1" t="s">
        <v>106</v>
      </c>
      <c r="B1357" s="1" t="s">
        <v>5724</v>
      </c>
      <c r="C1357" s="1" t="s">
        <v>4368</v>
      </c>
      <c r="D1357" s="8" t="s">
        <v>4367</v>
      </c>
      <c r="E1357" s="1" t="s">
        <v>186</v>
      </c>
      <c r="F1357" s="1" t="s">
        <v>4745</v>
      </c>
      <c r="G1357" s="1" t="s">
        <v>4744</v>
      </c>
      <c r="H1357" s="1" t="s">
        <v>4739</v>
      </c>
      <c r="I1357" s="1" t="s">
        <v>4721</v>
      </c>
      <c r="J1357" s="1" t="s">
        <v>12</v>
      </c>
      <c r="K1357" s="1" t="s">
        <v>4853</v>
      </c>
      <c r="L1357" s="1" t="s">
        <v>107</v>
      </c>
      <c r="M1357" s="1" t="s">
        <v>245</v>
      </c>
      <c r="N1357" s="1" t="s">
        <v>21</v>
      </c>
    </row>
    <row r="1358" spans="1:14" x14ac:dyDescent="0.25">
      <c r="A1358" s="1" t="s">
        <v>106</v>
      </c>
      <c r="B1358" s="1" t="s">
        <v>5726</v>
      </c>
      <c r="C1358" s="1" t="s">
        <v>2772</v>
      </c>
      <c r="D1358" s="8" t="s">
        <v>2770</v>
      </c>
      <c r="E1358" s="1" t="s">
        <v>131</v>
      </c>
      <c r="F1358" s="1" t="s">
        <v>6419</v>
      </c>
      <c r="G1358" s="1" t="s">
        <v>6419</v>
      </c>
      <c r="H1358" s="1" t="s">
        <v>6419</v>
      </c>
      <c r="I1358" s="1" t="s">
        <v>4722</v>
      </c>
      <c r="J1358" s="1" t="s">
        <v>39</v>
      </c>
      <c r="K1358" s="1" t="s">
        <v>4853</v>
      </c>
      <c r="L1358" s="1" t="s">
        <v>130</v>
      </c>
      <c r="M1358" s="1" t="s">
        <v>149</v>
      </c>
      <c r="N1358" s="1" t="s">
        <v>61</v>
      </c>
    </row>
    <row r="1359" spans="1:14" x14ac:dyDescent="0.25">
      <c r="A1359" s="1" t="s">
        <v>106</v>
      </c>
      <c r="B1359" s="1" t="s">
        <v>5729</v>
      </c>
      <c r="C1359" s="1" t="s">
        <v>2419</v>
      </c>
      <c r="D1359" s="8" t="s">
        <v>2418</v>
      </c>
      <c r="E1359" s="1" t="s">
        <v>329</v>
      </c>
      <c r="F1359" s="1" t="s">
        <v>6464</v>
      </c>
      <c r="G1359" s="1" t="s">
        <v>4744</v>
      </c>
      <c r="H1359" s="1" t="s">
        <v>4739</v>
      </c>
      <c r="I1359" s="1" t="s">
        <v>4721</v>
      </c>
      <c r="J1359" s="1" t="s">
        <v>12</v>
      </c>
      <c r="K1359" s="1" t="s">
        <v>4803</v>
      </c>
      <c r="L1359" s="1" t="s">
        <v>107</v>
      </c>
      <c r="M1359" s="1" t="s">
        <v>172</v>
      </c>
      <c r="N1359" s="1" t="s">
        <v>17</v>
      </c>
    </row>
    <row r="1360" spans="1:14" x14ac:dyDescent="0.25">
      <c r="A1360" s="1" t="s">
        <v>106</v>
      </c>
      <c r="B1360" s="1" t="s">
        <v>5289</v>
      </c>
      <c r="C1360" s="1" t="s">
        <v>636</v>
      </c>
      <c r="D1360" s="8" t="s">
        <v>635</v>
      </c>
      <c r="E1360" s="1" t="s">
        <v>428</v>
      </c>
      <c r="F1360" s="1" t="s">
        <v>6463</v>
      </c>
      <c r="G1360" s="1" t="s">
        <v>4744</v>
      </c>
      <c r="H1360" s="1" t="s">
        <v>4739</v>
      </c>
      <c r="I1360" s="1" t="s">
        <v>4721</v>
      </c>
      <c r="J1360" s="1" t="s">
        <v>12</v>
      </c>
      <c r="K1360" s="1" t="s">
        <v>4895</v>
      </c>
      <c r="L1360" s="1" t="s">
        <v>427</v>
      </c>
      <c r="M1360" s="1" t="s">
        <v>637</v>
      </c>
      <c r="N1360" s="1" t="s">
        <v>19</v>
      </c>
    </row>
    <row r="1361" spans="1:14" x14ac:dyDescent="0.25">
      <c r="A1361" s="1" t="s">
        <v>106</v>
      </c>
      <c r="B1361" s="1" t="s">
        <v>5291</v>
      </c>
      <c r="C1361" s="1" t="s">
        <v>979</v>
      </c>
      <c r="D1361" s="8" t="s">
        <v>978</v>
      </c>
      <c r="E1361" s="1" t="s">
        <v>428</v>
      </c>
      <c r="F1361" s="1" t="s">
        <v>6464</v>
      </c>
      <c r="G1361" s="1" t="s">
        <v>4744</v>
      </c>
      <c r="H1361" s="1" t="s">
        <v>4739</v>
      </c>
      <c r="I1361" s="1" t="s">
        <v>4721</v>
      </c>
      <c r="J1361" s="1" t="s">
        <v>12</v>
      </c>
      <c r="K1361" s="1" t="s">
        <v>4886</v>
      </c>
      <c r="L1361" s="1" t="s">
        <v>427</v>
      </c>
      <c r="M1361" s="1" t="s">
        <v>172</v>
      </c>
      <c r="N1361" s="1" t="s">
        <v>17</v>
      </c>
    </row>
    <row r="1362" spans="1:14" x14ac:dyDescent="0.25">
      <c r="A1362" s="1" t="s">
        <v>106</v>
      </c>
      <c r="B1362" s="1" t="s">
        <v>5732</v>
      </c>
      <c r="C1362" s="1" t="s">
        <v>1283</v>
      </c>
      <c r="D1362" s="8" t="s">
        <v>1282</v>
      </c>
      <c r="E1362" s="1" t="s">
        <v>131</v>
      </c>
      <c r="F1362" s="1" t="s">
        <v>4743</v>
      </c>
      <c r="G1362" s="1" t="s">
        <v>4744</v>
      </c>
      <c r="H1362" s="1" t="s">
        <v>4739</v>
      </c>
      <c r="I1362" s="1" t="s">
        <v>4722</v>
      </c>
      <c r="J1362" s="1" t="s">
        <v>39</v>
      </c>
      <c r="K1362" s="1" t="s">
        <v>4853</v>
      </c>
      <c r="L1362" s="1" t="s">
        <v>130</v>
      </c>
      <c r="M1362" s="1" t="s">
        <v>711</v>
      </c>
      <c r="N1362" s="1" t="s">
        <v>126</v>
      </c>
    </row>
    <row r="1363" spans="1:14" x14ac:dyDescent="0.25">
      <c r="A1363" s="1" t="s">
        <v>106</v>
      </c>
      <c r="B1363" s="1" t="s">
        <v>5296</v>
      </c>
      <c r="C1363" s="1" t="s">
        <v>904</v>
      </c>
      <c r="D1363" s="8" t="s">
        <v>903</v>
      </c>
      <c r="E1363" s="1" t="s">
        <v>863</v>
      </c>
      <c r="F1363" s="1" t="s">
        <v>6466</v>
      </c>
      <c r="G1363" s="1" t="s">
        <v>4744</v>
      </c>
      <c r="H1363" s="1" t="s">
        <v>4739</v>
      </c>
      <c r="I1363" s="1" t="s">
        <v>4721</v>
      </c>
      <c r="J1363" s="1" t="s">
        <v>12</v>
      </c>
      <c r="K1363" s="1" t="s">
        <v>4773</v>
      </c>
      <c r="L1363" s="1" t="s">
        <v>427</v>
      </c>
      <c r="M1363" s="1" t="s">
        <v>630</v>
      </c>
      <c r="N1363" s="1" t="s">
        <v>21</v>
      </c>
    </row>
    <row r="1364" spans="1:14" x14ac:dyDescent="0.25">
      <c r="A1364" s="1" t="s">
        <v>106</v>
      </c>
      <c r="B1364" s="1" t="s">
        <v>5736</v>
      </c>
      <c r="C1364" s="1" t="s">
        <v>1798</v>
      </c>
      <c r="D1364" s="8" t="s">
        <v>1797</v>
      </c>
      <c r="E1364" s="1" t="s">
        <v>131</v>
      </c>
      <c r="F1364" s="1" t="s">
        <v>4743</v>
      </c>
      <c r="G1364" s="1" t="s">
        <v>4744</v>
      </c>
      <c r="H1364" s="1" t="s">
        <v>4739</v>
      </c>
      <c r="I1364" s="1" t="s">
        <v>4721</v>
      </c>
      <c r="J1364" s="1" t="s">
        <v>12</v>
      </c>
      <c r="K1364" s="1" t="s">
        <v>4901</v>
      </c>
      <c r="L1364" s="1" t="s">
        <v>130</v>
      </c>
      <c r="M1364" s="1" t="s">
        <v>245</v>
      </c>
      <c r="N1364" s="1" t="s">
        <v>21</v>
      </c>
    </row>
    <row r="1365" spans="1:14" x14ac:dyDescent="0.25">
      <c r="A1365" s="1" t="s">
        <v>106</v>
      </c>
      <c r="B1365" s="1" t="s">
        <v>5300</v>
      </c>
      <c r="C1365" s="1" t="s">
        <v>3722</v>
      </c>
      <c r="D1365" s="8" t="s">
        <v>3721</v>
      </c>
      <c r="E1365" s="1" t="s">
        <v>116</v>
      </c>
      <c r="F1365" s="1" t="s">
        <v>6465</v>
      </c>
      <c r="G1365" s="1" t="s">
        <v>4744</v>
      </c>
      <c r="H1365" s="1" t="s">
        <v>4739</v>
      </c>
      <c r="I1365" s="1" t="s">
        <v>4721</v>
      </c>
      <c r="J1365" s="1" t="s">
        <v>12</v>
      </c>
      <c r="K1365" s="1" t="s">
        <v>4902</v>
      </c>
      <c r="L1365" s="1" t="s">
        <v>115</v>
      </c>
      <c r="M1365" s="1" t="s">
        <v>41</v>
      </c>
      <c r="N1365" s="1" t="s">
        <v>42</v>
      </c>
    </row>
    <row r="1366" spans="1:14" x14ac:dyDescent="0.25">
      <c r="A1366" s="1" t="s">
        <v>106</v>
      </c>
      <c r="B1366" s="1" t="s">
        <v>5739</v>
      </c>
      <c r="C1366" s="1" t="s">
        <v>1071</v>
      </c>
      <c r="D1366" s="8" t="s">
        <v>1070</v>
      </c>
      <c r="E1366" s="1" t="s">
        <v>428</v>
      </c>
      <c r="F1366" s="1" t="s">
        <v>6463</v>
      </c>
      <c r="G1366" s="1" t="s">
        <v>4744</v>
      </c>
      <c r="H1366" s="1" t="s">
        <v>4739</v>
      </c>
      <c r="I1366" s="1" t="s">
        <v>4721</v>
      </c>
      <c r="J1366" s="1" t="s">
        <v>12</v>
      </c>
      <c r="K1366" s="1" t="s">
        <v>4895</v>
      </c>
      <c r="L1366" s="1" t="s">
        <v>427</v>
      </c>
      <c r="M1366" s="1" t="s">
        <v>41</v>
      </c>
      <c r="N1366" s="1" t="s">
        <v>42</v>
      </c>
    </row>
    <row r="1367" spans="1:14" x14ac:dyDescent="0.25">
      <c r="A1367" s="1" t="s">
        <v>106</v>
      </c>
      <c r="B1367" s="1" t="s">
        <v>5744</v>
      </c>
      <c r="C1367" s="1" t="s">
        <v>876</v>
      </c>
      <c r="D1367" s="8" t="s">
        <v>875</v>
      </c>
      <c r="E1367" s="1" t="s">
        <v>863</v>
      </c>
      <c r="F1367" s="1" t="s">
        <v>6466</v>
      </c>
      <c r="G1367" s="1" t="s">
        <v>4744</v>
      </c>
      <c r="H1367" s="1" t="s">
        <v>4739</v>
      </c>
      <c r="I1367" s="1" t="s">
        <v>4721</v>
      </c>
      <c r="J1367" s="1" t="s">
        <v>12</v>
      </c>
      <c r="K1367" s="1" t="s">
        <v>4773</v>
      </c>
      <c r="L1367" s="1" t="s">
        <v>427</v>
      </c>
      <c r="M1367" s="1" t="s">
        <v>637</v>
      </c>
      <c r="N1367" s="1" t="s">
        <v>19</v>
      </c>
    </row>
    <row r="1368" spans="1:14" x14ac:dyDescent="0.25">
      <c r="A1368" s="1" t="s">
        <v>106</v>
      </c>
      <c r="B1368" s="1" t="s">
        <v>5308</v>
      </c>
      <c r="C1368" s="1" t="s">
        <v>3506</v>
      </c>
      <c r="D1368" s="8" t="s">
        <v>3505</v>
      </c>
      <c r="E1368" s="1" t="s">
        <v>116</v>
      </c>
      <c r="F1368" s="1" t="s">
        <v>6465</v>
      </c>
      <c r="G1368" s="1" t="s">
        <v>4744</v>
      </c>
      <c r="H1368" s="1" t="s">
        <v>4739</v>
      </c>
      <c r="I1368" s="1" t="s">
        <v>4722</v>
      </c>
      <c r="J1368" s="1" t="s">
        <v>39</v>
      </c>
      <c r="K1368" s="1" t="s">
        <v>4902</v>
      </c>
      <c r="L1368" s="1" t="s">
        <v>115</v>
      </c>
      <c r="M1368" s="1" t="s">
        <v>245</v>
      </c>
      <c r="N1368" s="1" t="s">
        <v>21</v>
      </c>
    </row>
    <row r="1369" spans="1:14" x14ac:dyDescent="0.25">
      <c r="A1369" s="1" t="s">
        <v>106</v>
      </c>
      <c r="B1369" s="1" t="s">
        <v>5319</v>
      </c>
      <c r="C1369" s="1" t="s">
        <v>5316</v>
      </c>
      <c r="D1369" s="8" t="s">
        <v>5314</v>
      </c>
      <c r="E1369" s="1" t="s">
        <v>863</v>
      </c>
      <c r="F1369" s="1" t="s">
        <v>6468</v>
      </c>
      <c r="G1369" s="1" t="s">
        <v>6431</v>
      </c>
      <c r="H1369" s="1" t="s">
        <v>4739</v>
      </c>
      <c r="I1369" s="1" t="s">
        <v>4721</v>
      </c>
      <c r="J1369" s="1" t="s">
        <v>12</v>
      </c>
      <c r="K1369" s="1" t="s">
        <v>5318</v>
      </c>
      <c r="L1369" s="1" t="s">
        <v>427</v>
      </c>
      <c r="M1369" s="1" t="s">
        <v>58</v>
      </c>
      <c r="N1369" s="1" t="s">
        <v>61</v>
      </c>
    </row>
    <row r="1370" spans="1:14" x14ac:dyDescent="0.25">
      <c r="A1370" s="1" t="s">
        <v>106</v>
      </c>
      <c r="B1370" s="1" t="s">
        <v>5756</v>
      </c>
      <c r="C1370" s="1" t="s">
        <v>1265</v>
      </c>
      <c r="D1370" s="8" t="s">
        <v>1264</v>
      </c>
      <c r="E1370" s="1" t="s">
        <v>131</v>
      </c>
      <c r="F1370" s="1" t="s">
        <v>6464</v>
      </c>
      <c r="G1370" s="1" t="s">
        <v>4744</v>
      </c>
      <c r="H1370" s="1" t="s">
        <v>4739</v>
      </c>
      <c r="I1370" s="1" t="s">
        <v>4721</v>
      </c>
      <c r="J1370" s="1" t="s">
        <v>12</v>
      </c>
      <c r="K1370" s="1" t="s">
        <v>4886</v>
      </c>
      <c r="L1370" s="1" t="s">
        <v>130</v>
      </c>
      <c r="M1370" s="1" t="s">
        <v>172</v>
      </c>
      <c r="N1370" s="1" t="s">
        <v>17</v>
      </c>
    </row>
    <row r="1371" spans="1:14" x14ac:dyDescent="0.25">
      <c r="A1371" s="1" t="s">
        <v>106</v>
      </c>
      <c r="B1371" s="1" t="s">
        <v>5762</v>
      </c>
      <c r="C1371" s="1" t="s">
        <v>1244</v>
      </c>
      <c r="D1371" s="8" t="s">
        <v>1243</v>
      </c>
      <c r="E1371" s="1" t="s">
        <v>186</v>
      </c>
      <c r="F1371" s="1" t="s">
        <v>6464</v>
      </c>
      <c r="G1371" s="1" t="s">
        <v>4744</v>
      </c>
      <c r="H1371" s="1" t="s">
        <v>4739</v>
      </c>
      <c r="I1371" s="1" t="s">
        <v>4721</v>
      </c>
      <c r="J1371" s="1" t="s">
        <v>12</v>
      </c>
      <c r="K1371" s="1" t="s">
        <v>4803</v>
      </c>
      <c r="L1371" s="1" t="s">
        <v>107</v>
      </c>
      <c r="M1371" s="1" t="s">
        <v>172</v>
      </c>
      <c r="N1371" s="1" t="s">
        <v>17</v>
      </c>
    </row>
    <row r="1372" spans="1:14" x14ac:dyDescent="0.25">
      <c r="A1372" s="1" t="s">
        <v>106</v>
      </c>
      <c r="B1372" s="1" t="s">
        <v>5336</v>
      </c>
      <c r="C1372" s="1" t="s">
        <v>231</v>
      </c>
      <c r="D1372" s="8" t="s">
        <v>230</v>
      </c>
      <c r="E1372" s="1" t="s">
        <v>108</v>
      </c>
      <c r="F1372" s="1" t="s">
        <v>4745</v>
      </c>
      <c r="G1372" s="1" t="s">
        <v>4744</v>
      </c>
      <c r="H1372" s="1" t="s">
        <v>4739</v>
      </c>
      <c r="I1372" s="1" t="s">
        <v>4721</v>
      </c>
      <c r="J1372" s="1" t="s">
        <v>12</v>
      </c>
      <c r="K1372" s="1" t="s">
        <v>4853</v>
      </c>
      <c r="L1372" s="1" t="s">
        <v>107</v>
      </c>
      <c r="M1372" s="1" t="s">
        <v>41</v>
      </c>
      <c r="N1372" s="1" t="s">
        <v>42</v>
      </c>
    </row>
    <row r="1373" spans="1:14" x14ac:dyDescent="0.25">
      <c r="A1373" s="1" t="s">
        <v>106</v>
      </c>
      <c r="B1373" s="1" t="s">
        <v>5339</v>
      </c>
      <c r="C1373" s="1" t="s">
        <v>544</v>
      </c>
      <c r="D1373" s="8" t="s">
        <v>543</v>
      </c>
      <c r="E1373" s="1" t="s">
        <v>131</v>
      </c>
      <c r="F1373" s="1" t="s">
        <v>6464</v>
      </c>
      <c r="G1373" s="1" t="s">
        <v>4744</v>
      </c>
      <c r="H1373" s="1" t="s">
        <v>4739</v>
      </c>
      <c r="I1373" s="1" t="s">
        <v>4721</v>
      </c>
      <c r="J1373" s="1" t="s">
        <v>12</v>
      </c>
      <c r="K1373" s="1" t="s">
        <v>4886</v>
      </c>
      <c r="L1373" s="1" t="s">
        <v>130</v>
      </c>
      <c r="M1373" s="1" t="s">
        <v>58</v>
      </c>
      <c r="N1373" s="1" t="s">
        <v>61</v>
      </c>
    </row>
    <row r="1374" spans="1:14" x14ac:dyDescent="0.25">
      <c r="A1374" s="1" t="s">
        <v>106</v>
      </c>
      <c r="B1374" s="1" t="s">
        <v>5340</v>
      </c>
      <c r="C1374" s="1" t="s">
        <v>762</v>
      </c>
      <c r="D1374" s="8" t="s">
        <v>761</v>
      </c>
      <c r="E1374" s="1" t="s">
        <v>428</v>
      </c>
      <c r="F1374" s="1" t="s">
        <v>6463</v>
      </c>
      <c r="G1374" s="1" t="s">
        <v>4744</v>
      </c>
      <c r="H1374" s="1" t="s">
        <v>4739</v>
      </c>
      <c r="I1374" s="1" t="s">
        <v>4721</v>
      </c>
      <c r="J1374" s="1" t="s">
        <v>12</v>
      </c>
      <c r="K1374" s="1" t="s">
        <v>4895</v>
      </c>
      <c r="L1374" s="1" t="s">
        <v>427</v>
      </c>
      <c r="M1374" s="1" t="s">
        <v>245</v>
      </c>
      <c r="N1374" s="1" t="s">
        <v>21</v>
      </c>
    </row>
    <row r="1375" spans="1:14" x14ac:dyDescent="0.25">
      <c r="A1375" s="1" t="s">
        <v>106</v>
      </c>
      <c r="B1375" s="1" t="s">
        <v>5769</v>
      </c>
      <c r="C1375" s="1" t="s">
        <v>1235</v>
      </c>
      <c r="D1375" s="8" t="s">
        <v>1234</v>
      </c>
      <c r="E1375" s="1" t="s">
        <v>116</v>
      </c>
      <c r="F1375" s="1" t="s">
        <v>6464</v>
      </c>
      <c r="G1375" s="1" t="s">
        <v>4744</v>
      </c>
      <c r="H1375" s="1" t="s">
        <v>4739</v>
      </c>
      <c r="I1375" s="1" t="s">
        <v>4721</v>
      </c>
      <c r="J1375" s="1" t="s">
        <v>12</v>
      </c>
      <c r="K1375" s="1" t="s">
        <v>4886</v>
      </c>
      <c r="L1375" s="1" t="s">
        <v>115</v>
      </c>
      <c r="M1375" s="1" t="s">
        <v>172</v>
      </c>
      <c r="N1375" s="1" t="s">
        <v>17</v>
      </c>
    </row>
    <row r="1376" spans="1:14" x14ac:dyDescent="0.25">
      <c r="A1376" s="1" t="s">
        <v>106</v>
      </c>
      <c r="B1376" s="1" t="s">
        <v>5773</v>
      </c>
      <c r="C1376" s="1" t="s">
        <v>401</v>
      </c>
      <c r="D1376" s="8" t="s">
        <v>400</v>
      </c>
      <c r="E1376" s="1" t="s">
        <v>116</v>
      </c>
      <c r="F1376" s="1" t="s">
        <v>6465</v>
      </c>
      <c r="G1376" s="1" t="s">
        <v>4744</v>
      </c>
      <c r="H1376" s="1" t="s">
        <v>4739</v>
      </c>
      <c r="I1376" s="1" t="s">
        <v>4722</v>
      </c>
      <c r="J1376" s="1" t="s">
        <v>39</v>
      </c>
      <c r="K1376" s="1" t="s">
        <v>4902</v>
      </c>
      <c r="L1376" s="1" t="s">
        <v>115</v>
      </c>
      <c r="M1376" s="1" t="s">
        <v>637</v>
      </c>
      <c r="N1376" s="1" t="s">
        <v>19</v>
      </c>
    </row>
    <row r="1377" spans="1:14" x14ac:dyDescent="0.25">
      <c r="A1377" s="1" t="s">
        <v>106</v>
      </c>
      <c r="B1377" s="1" t="s">
        <v>5346</v>
      </c>
      <c r="C1377" s="1" t="s">
        <v>2434</v>
      </c>
      <c r="D1377" s="8" t="s">
        <v>2433</v>
      </c>
      <c r="E1377" s="1" t="s">
        <v>863</v>
      </c>
      <c r="F1377" s="1" t="s">
        <v>6464</v>
      </c>
      <c r="G1377" s="1" t="s">
        <v>4744</v>
      </c>
      <c r="H1377" s="1" t="s">
        <v>4739</v>
      </c>
      <c r="I1377" s="1" t="s">
        <v>4721</v>
      </c>
      <c r="J1377" s="1" t="s">
        <v>12</v>
      </c>
      <c r="K1377" s="1" t="s">
        <v>4886</v>
      </c>
      <c r="L1377" s="1" t="s">
        <v>427</v>
      </c>
      <c r="M1377" s="1" t="s">
        <v>172</v>
      </c>
      <c r="N1377" s="1" t="s">
        <v>17</v>
      </c>
    </row>
    <row r="1378" spans="1:14" x14ac:dyDescent="0.25">
      <c r="A1378" s="1" t="s">
        <v>106</v>
      </c>
      <c r="B1378" s="1" t="s">
        <v>5347</v>
      </c>
      <c r="C1378" s="1" t="s">
        <v>2376</v>
      </c>
      <c r="D1378" s="8" t="s">
        <v>2375</v>
      </c>
      <c r="E1378" s="1" t="s">
        <v>405</v>
      </c>
      <c r="F1378" s="1" t="s">
        <v>6464</v>
      </c>
      <c r="G1378" s="1" t="s">
        <v>4744</v>
      </c>
      <c r="H1378" s="1" t="s">
        <v>4739</v>
      </c>
      <c r="I1378" s="1" t="s">
        <v>4721</v>
      </c>
      <c r="J1378" s="1" t="s">
        <v>12</v>
      </c>
      <c r="K1378" s="1" t="s">
        <v>4886</v>
      </c>
      <c r="L1378" s="1" t="s">
        <v>130</v>
      </c>
      <c r="M1378" s="1" t="s">
        <v>58</v>
      </c>
      <c r="N1378" s="1" t="s">
        <v>61</v>
      </c>
    </row>
    <row r="1379" spans="1:14" x14ac:dyDescent="0.25">
      <c r="A1379" s="1" t="s">
        <v>106</v>
      </c>
      <c r="B1379" s="1" t="s">
        <v>5352</v>
      </c>
      <c r="C1379" s="1" t="s">
        <v>2037</v>
      </c>
      <c r="D1379" s="8" t="s">
        <v>2036</v>
      </c>
      <c r="E1379" s="1" t="s">
        <v>509</v>
      </c>
      <c r="F1379" s="1" t="s">
        <v>6462</v>
      </c>
      <c r="G1379" s="1" t="s">
        <v>4744</v>
      </c>
      <c r="H1379" s="1" t="s">
        <v>4739</v>
      </c>
      <c r="I1379" s="1" t="s">
        <v>4721</v>
      </c>
      <c r="J1379" s="1" t="s">
        <v>12</v>
      </c>
      <c r="K1379" s="1" t="s">
        <v>4772</v>
      </c>
      <c r="L1379" s="1" t="s">
        <v>130</v>
      </c>
      <c r="M1379" s="1" t="s">
        <v>245</v>
      </c>
      <c r="N1379" s="1" t="s">
        <v>21</v>
      </c>
    </row>
    <row r="1380" spans="1:14" x14ac:dyDescent="0.25">
      <c r="A1380" s="1" t="s">
        <v>106</v>
      </c>
      <c r="B1380" s="1" t="s">
        <v>5354</v>
      </c>
      <c r="C1380" s="1" t="s">
        <v>866</v>
      </c>
      <c r="D1380" s="8" t="s">
        <v>865</v>
      </c>
      <c r="E1380" s="1" t="s">
        <v>863</v>
      </c>
      <c r="F1380" s="1" t="s">
        <v>6466</v>
      </c>
      <c r="G1380" s="1" t="s">
        <v>4744</v>
      </c>
      <c r="H1380" s="1" t="s">
        <v>4739</v>
      </c>
      <c r="I1380" s="1" t="s">
        <v>4721</v>
      </c>
      <c r="J1380" s="1" t="s">
        <v>12</v>
      </c>
      <c r="K1380" s="1" t="s">
        <v>4773</v>
      </c>
      <c r="L1380" s="1" t="s">
        <v>427</v>
      </c>
      <c r="M1380" s="1" t="s">
        <v>245</v>
      </c>
      <c r="N1380" s="1" t="s">
        <v>21</v>
      </c>
    </row>
    <row r="1381" spans="1:14" x14ac:dyDescent="0.25">
      <c r="A1381" s="1" t="s">
        <v>106</v>
      </c>
      <c r="B1381" s="1" t="s">
        <v>5779</v>
      </c>
      <c r="C1381" s="1" t="s">
        <v>1433</v>
      </c>
      <c r="D1381" s="8" t="s">
        <v>1432</v>
      </c>
      <c r="E1381" s="1" t="s">
        <v>863</v>
      </c>
      <c r="F1381" s="1" t="s">
        <v>6466</v>
      </c>
      <c r="G1381" s="1" t="s">
        <v>4744</v>
      </c>
      <c r="H1381" s="1" t="s">
        <v>4739</v>
      </c>
      <c r="I1381" s="1" t="s">
        <v>4721</v>
      </c>
      <c r="J1381" s="1" t="s">
        <v>12</v>
      </c>
      <c r="K1381" s="1" t="s">
        <v>4773</v>
      </c>
      <c r="L1381" s="1" t="s">
        <v>427</v>
      </c>
      <c r="M1381" s="1" t="s">
        <v>630</v>
      </c>
      <c r="N1381" s="1" t="s">
        <v>21</v>
      </c>
    </row>
    <row r="1382" spans="1:14" x14ac:dyDescent="0.25">
      <c r="A1382" s="1" t="s">
        <v>106</v>
      </c>
      <c r="B1382" s="1" t="s">
        <v>5356</v>
      </c>
      <c r="C1382" s="1" t="s">
        <v>907</v>
      </c>
      <c r="D1382" s="8" t="s">
        <v>906</v>
      </c>
      <c r="E1382" s="1" t="s">
        <v>863</v>
      </c>
      <c r="F1382" s="1" t="s">
        <v>6466</v>
      </c>
      <c r="G1382" s="1" t="s">
        <v>4744</v>
      </c>
      <c r="H1382" s="1" t="s">
        <v>4739</v>
      </c>
      <c r="I1382" s="1" t="s">
        <v>4721</v>
      </c>
      <c r="J1382" s="1" t="s">
        <v>12</v>
      </c>
      <c r="K1382" s="1" t="s">
        <v>4773</v>
      </c>
      <c r="L1382" s="1" t="s">
        <v>427</v>
      </c>
      <c r="M1382" s="1" t="s">
        <v>630</v>
      </c>
      <c r="N1382" s="1" t="s">
        <v>21</v>
      </c>
    </row>
    <row r="1383" spans="1:14" x14ac:dyDescent="0.25">
      <c r="A1383" s="1" t="s">
        <v>106</v>
      </c>
      <c r="B1383" s="1" t="s">
        <v>5357</v>
      </c>
      <c r="C1383" s="1" t="s">
        <v>988</v>
      </c>
      <c r="D1383" s="8" t="s">
        <v>987</v>
      </c>
      <c r="E1383" s="1" t="s">
        <v>116</v>
      </c>
      <c r="F1383" s="1" t="s">
        <v>6464</v>
      </c>
      <c r="G1383" s="1" t="s">
        <v>4744</v>
      </c>
      <c r="H1383" s="1" t="s">
        <v>4739</v>
      </c>
      <c r="I1383" s="1" t="s">
        <v>4721</v>
      </c>
      <c r="J1383" s="1" t="s">
        <v>12</v>
      </c>
      <c r="K1383" s="1" t="s">
        <v>4886</v>
      </c>
      <c r="L1383" s="1" t="s">
        <v>115</v>
      </c>
      <c r="M1383" s="1" t="s">
        <v>172</v>
      </c>
      <c r="N1383" s="1" t="s">
        <v>17</v>
      </c>
    </row>
    <row r="1384" spans="1:14" x14ac:dyDescent="0.25">
      <c r="A1384" s="1" t="s">
        <v>106</v>
      </c>
      <c r="B1384" s="1" t="s">
        <v>5786</v>
      </c>
      <c r="C1384" s="1" t="s">
        <v>640</v>
      </c>
      <c r="D1384" s="8" t="s">
        <v>639</v>
      </c>
      <c r="E1384" s="1" t="s">
        <v>428</v>
      </c>
      <c r="F1384" s="1" t="s">
        <v>6463</v>
      </c>
      <c r="G1384" s="1" t="s">
        <v>4744</v>
      </c>
      <c r="H1384" s="1" t="s">
        <v>4739</v>
      </c>
      <c r="I1384" s="1" t="s">
        <v>4721</v>
      </c>
      <c r="J1384" s="1" t="s">
        <v>12</v>
      </c>
      <c r="K1384" s="1" t="s">
        <v>4895</v>
      </c>
      <c r="L1384" s="1" t="s">
        <v>427</v>
      </c>
      <c r="M1384" s="1" t="s">
        <v>630</v>
      </c>
      <c r="N1384" s="1" t="s">
        <v>21</v>
      </c>
    </row>
    <row r="1385" spans="1:14" x14ac:dyDescent="0.25">
      <c r="A1385" s="1" t="s">
        <v>106</v>
      </c>
      <c r="B1385" s="1" t="s">
        <v>5362</v>
      </c>
      <c r="C1385" s="1" t="s">
        <v>3743</v>
      </c>
      <c r="D1385" s="8" t="s">
        <v>3742</v>
      </c>
      <c r="E1385" s="1" t="s">
        <v>116</v>
      </c>
      <c r="F1385" s="1" t="s">
        <v>6465</v>
      </c>
      <c r="G1385" s="1" t="s">
        <v>4744</v>
      </c>
      <c r="H1385" s="1" t="s">
        <v>4739</v>
      </c>
      <c r="I1385" s="1" t="s">
        <v>4721</v>
      </c>
      <c r="J1385" s="1" t="s">
        <v>12</v>
      </c>
      <c r="K1385" s="1" t="s">
        <v>4902</v>
      </c>
      <c r="L1385" s="1" t="s">
        <v>115</v>
      </c>
      <c r="M1385" s="1" t="s">
        <v>58</v>
      </c>
      <c r="N1385" s="1" t="s">
        <v>61</v>
      </c>
    </row>
    <row r="1386" spans="1:14" x14ac:dyDescent="0.25">
      <c r="A1386" s="1" t="s">
        <v>106</v>
      </c>
      <c r="B1386" s="1" t="s">
        <v>5793</v>
      </c>
      <c r="C1386" s="1" t="s">
        <v>3746</v>
      </c>
      <c r="D1386" s="8" t="s">
        <v>3745</v>
      </c>
      <c r="E1386" s="1" t="s">
        <v>116</v>
      </c>
      <c r="F1386" s="1" t="s">
        <v>6465</v>
      </c>
      <c r="G1386" s="1" t="s">
        <v>4744</v>
      </c>
      <c r="H1386" s="1" t="s">
        <v>4739</v>
      </c>
      <c r="I1386" s="1" t="s">
        <v>4721</v>
      </c>
      <c r="J1386" s="1" t="s">
        <v>12</v>
      </c>
      <c r="K1386" s="1" t="s">
        <v>4902</v>
      </c>
      <c r="L1386" s="1" t="s">
        <v>115</v>
      </c>
      <c r="M1386" s="1" t="s">
        <v>245</v>
      </c>
      <c r="N1386" s="1" t="s">
        <v>21</v>
      </c>
    </row>
    <row r="1387" spans="1:14" x14ac:dyDescent="0.25">
      <c r="A1387" s="1" t="s">
        <v>106</v>
      </c>
      <c r="B1387" s="1" t="s">
        <v>5794</v>
      </c>
      <c r="C1387" s="1" t="s">
        <v>2602</v>
      </c>
      <c r="D1387" s="8" t="s">
        <v>2601</v>
      </c>
      <c r="E1387" s="1" t="s">
        <v>863</v>
      </c>
      <c r="F1387" s="1" t="s">
        <v>6464</v>
      </c>
      <c r="G1387" s="1" t="s">
        <v>4744</v>
      </c>
      <c r="H1387" s="1" t="s">
        <v>4739</v>
      </c>
      <c r="I1387" s="1" t="s">
        <v>4721</v>
      </c>
      <c r="J1387" s="1" t="s">
        <v>12</v>
      </c>
      <c r="K1387" s="1" t="s">
        <v>4886</v>
      </c>
      <c r="L1387" s="1" t="s">
        <v>427</v>
      </c>
      <c r="M1387" s="1" t="s">
        <v>172</v>
      </c>
      <c r="N1387" s="1" t="s">
        <v>17</v>
      </c>
    </row>
    <row r="1388" spans="1:14" x14ac:dyDescent="0.25">
      <c r="A1388" s="1" t="s">
        <v>106</v>
      </c>
      <c r="B1388" s="1" t="s">
        <v>5795</v>
      </c>
      <c r="C1388" s="1" t="s">
        <v>3873</v>
      </c>
      <c r="D1388" s="8" t="s">
        <v>3872</v>
      </c>
      <c r="E1388" s="1" t="s">
        <v>329</v>
      </c>
      <c r="F1388" s="1" t="s">
        <v>6462</v>
      </c>
      <c r="G1388" s="1" t="s">
        <v>4744</v>
      </c>
      <c r="H1388" s="1" t="s">
        <v>4739</v>
      </c>
      <c r="I1388" s="1" t="s">
        <v>4721</v>
      </c>
      <c r="J1388" s="1" t="s">
        <v>12</v>
      </c>
      <c r="K1388" s="1" t="s">
        <v>4772</v>
      </c>
      <c r="L1388" s="1" t="s">
        <v>107</v>
      </c>
      <c r="M1388" s="1" t="s">
        <v>317</v>
      </c>
      <c r="N1388" s="1" t="s">
        <v>42</v>
      </c>
    </row>
    <row r="1389" spans="1:14" x14ac:dyDescent="0.25">
      <c r="A1389" s="1" t="s">
        <v>106</v>
      </c>
      <c r="B1389" s="1" t="s">
        <v>5796</v>
      </c>
      <c r="C1389" s="1" t="s">
        <v>3770</v>
      </c>
      <c r="D1389" s="8" t="s">
        <v>3769</v>
      </c>
      <c r="E1389" s="1" t="s">
        <v>108</v>
      </c>
      <c r="F1389" s="1" t="s">
        <v>4745</v>
      </c>
      <c r="G1389" s="1" t="s">
        <v>4744</v>
      </c>
      <c r="H1389" s="1" t="s">
        <v>4739</v>
      </c>
      <c r="I1389" s="1" t="s">
        <v>6407</v>
      </c>
      <c r="J1389" s="1" t="s">
        <v>39</v>
      </c>
      <c r="K1389" s="1" t="s">
        <v>4772</v>
      </c>
      <c r="L1389" s="1" t="s">
        <v>107</v>
      </c>
      <c r="M1389" s="1" t="s">
        <v>870</v>
      </c>
      <c r="N1389" s="1" t="s">
        <v>76</v>
      </c>
    </row>
    <row r="1390" spans="1:14" x14ac:dyDescent="0.25">
      <c r="A1390" s="1" t="s">
        <v>106</v>
      </c>
      <c r="B1390" s="1" t="s">
        <v>5797</v>
      </c>
      <c r="C1390" s="1" t="s">
        <v>3728</v>
      </c>
      <c r="D1390" s="8" t="s">
        <v>3727</v>
      </c>
      <c r="E1390" s="1" t="s">
        <v>116</v>
      </c>
      <c r="F1390" s="1" t="s">
        <v>6465</v>
      </c>
      <c r="G1390" s="1" t="s">
        <v>4744</v>
      </c>
      <c r="H1390" s="1" t="s">
        <v>4739</v>
      </c>
      <c r="I1390" s="1" t="s">
        <v>4721</v>
      </c>
      <c r="J1390" s="1" t="s">
        <v>12</v>
      </c>
      <c r="K1390" s="1" t="s">
        <v>4902</v>
      </c>
      <c r="L1390" s="1" t="s">
        <v>115</v>
      </c>
      <c r="M1390" s="1" t="s">
        <v>58</v>
      </c>
      <c r="N1390" s="1" t="s">
        <v>61</v>
      </c>
    </row>
    <row r="1391" spans="1:14" x14ac:dyDescent="0.25">
      <c r="A1391" s="1" t="s">
        <v>106</v>
      </c>
      <c r="B1391" s="1" t="s">
        <v>5365</v>
      </c>
      <c r="C1391" s="1" t="s">
        <v>3779</v>
      </c>
      <c r="D1391" s="8" t="s">
        <v>3778</v>
      </c>
      <c r="E1391" s="1" t="s">
        <v>186</v>
      </c>
      <c r="F1391" s="1" t="s">
        <v>4745</v>
      </c>
      <c r="G1391" s="1" t="s">
        <v>4744</v>
      </c>
      <c r="H1391" s="1" t="s">
        <v>4739</v>
      </c>
      <c r="I1391" s="1" t="s">
        <v>4721</v>
      </c>
      <c r="J1391" s="1" t="s">
        <v>12</v>
      </c>
      <c r="K1391" s="1" t="s">
        <v>4853</v>
      </c>
      <c r="L1391" s="1" t="s">
        <v>107</v>
      </c>
      <c r="M1391" s="1" t="s">
        <v>245</v>
      </c>
      <c r="N1391" s="1" t="s">
        <v>21</v>
      </c>
    </row>
    <row r="1392" spans="1:14" x14ac:dyDescent="0.25">
      <c r="A1392" s="1" t="s">
        <v>106</v>
      </c>
      <c r="B1392" s="1" t="s">
        <v>5798</v>
      </c>
      <c r="C1392" s="1" t="s">
        <v>404</v>
      </c>
      <c r="D1392" s="8" t="s">
        <v>403</v>
      </c>
      <c r="E1392" s="1" t="s">
        <v>405</v>
      </c>
      <c r="F1392" s="1" t="s">
        <v>4743</v>
      </c>
      <c r="G1392" s="1" t="s">
        <v>4744</v>
      </c>
      <c r="H1392" s="1" t="s">
        <v>4739</v>
      </c>
      <c r="I1392" s="1" t="s">
        <v>4721</v>
      </c>
      <c r="J1392" s="1" t="s">
        <v>12</v>
      </c>
      <c r="K1392" s="1" t="s">
        <v>4901</v>
      </c>
      <c r="L1392" s="1" t="s">
        <v>130</v>
      </c>
      <c r="M1392" s="1" t="s">
        <v>870</v>
      </c>
      <c r="N1392" s="1" t="s">
        <v>76</v>
      </c>
    </row>
    <row r="1393" spans="1:14" x14ac:dyDescent="0.25">
      <c r="A1393" s="1" t="s">
        <v>106</v>
      </c>
      <c r="B1393" s="1" t="s">
        <v>5799</v>
      </c>
      <c r="C1393" s="1" t="s">
        <v>862</v>
      </c>
      <c r="D1393" s="8" t="s">
        <v>861</v>
      </c>
      <c r="E1393" s="1" t="s">
        <v>863</v>
      </c>
      <c r="F1393" s="1" t="s">
        <v>6466</v>
      </c>
      <c r="G1393" s="1" t="s">
        <v>4744</v>
      </c>
      <c r="H1393" s="1" t="s">
        <v>4739</v>
      </c>
      <c r="I1393" s="1" t="s">
        <v>4721</v>
      </c>
      <c r="J1393" s="1" t="s">
        <v>12</v>
      </c>
      <c r="K1393" s="1" t="s">
        <v>4773</v>
      </c>
      <c r="L1393" s="1" t="s">
        <v>427</v>
      </c>
      <c r="M1393" s="1" t="s">
        <v>58</v>
      </c>
      <c r="N1393" s="1" t="s">
        <v>61</v>
      </c>
    </row>
    <row r="1394" spans="1:14" x14ac:dyDescent="0.25">
      <c r="A1394" s="1" t="s">
        <v>106</v>
      </c>
      <c r="B1394" s="1" t="s">
        <v>5374</v>
      </c>
      <c r="C1394" s="1" t="s">
        <v>970</v>
      </c>
      <c r="D1394" s="8" t="s">
        <v>969</v>
      </c>
      <c r="E1394" s="1" t="s">
        <v>509</v>
      </c>
      <c r="F1394" s="1" t="s">
        <v>6464</v>
      </c>
      <c r="G1394" s="1" t="s">
        <v>4744</v>
      </c>
      <c r="H1394" s="1" t="s">
        <v>4739</v>
      </c>
      <c r="I1394" s="1" t="s">
        <v>4721</v>
      </c>
      <c r="J1394" s="1" t="s">
        <v>12</v>
      </c>
      <c r="K1394" s="1" t="s">
        <v>4886</v>
      </c>
      <c r="L1394" s="1" t="s">
        <v>130</v>
      </c>
      <c r="M1394" s="1" t="s">
        <v>58</v>
      </c>
      <c r="N1394" s="1" t="s">
        <v>61</v>
      </c>
    </row>
    <row r="1395" spans="1:14" x14ac:dyDescent="0.25">
      <c r="A1395" s="1" t="s">
        <v>106</v>
      </c>
      <c r="B1395" s="1" t="s">
        <v>5383</v>
      </c>
      <c r="C1395" s="1" t="s">
        <v>925</v>
      </c>
      <c r="D1395" s="8" t="s">
        <v>924</v>
      </c>
      <c r="E1395" s="1" t="s">
        <v>863</v>
      </c>
      <c r="F1395" s="1" t="s">
        <v>6466</v>
      </c>
      <c r="G1395" s="1" t="s">
        <v>4744</v>
      </c>
      <c r="H1395" s="1" t="s">
        <v>4739</v>
      </c>
      <c r="I1395" s="1" t="s">
        <v>4721</v>
      </c>
      <c r="J1395" s="1" t="s">
        <v>12</v>
      </c>
      <c r="K1395" s="1" t="s">
        <v>4853</v>
      </c>
      <c r="L1395" s="1" t="s">
        <v>427</v>
      </c>
      <c r="M1395" s="1" t="s">
        <v>245</v>
      </c>
      <c r="N1395" s="1" t="s">
        <v>21</v>
      </c>
    </row>
    <row r="1396" spans="1:14" x14ac:dyDescent="0.25">
      <c r="A1396" s="1" t="s">
        <v>106</v>
      </c>
      <c r="B1396" s="1" t="s">
        <v>5387</v>
      </c>
      <c r="C1396" s="1" t="s">
        <v>3752</v>
      </c>
      <c r="D1396" s="8" t="s">
        <v>3751</v>
      </c>
      <c r="E1396" s="1" t="s">
        <v>116</v>
      </c>
      <c r="F1396" s="1" t="s">
        <v>6465</v>
      </c>
      <c r="G1396" s="1" t="s">
        <v>4744</v>
      </c>
      <c r="H1396" s="1" t="s">
        <v>4739</v>
      </c>
      <c r="I1396" s="1" t="s">
        <v>4721</v>
      </c>
      <c r="J1396" s="1" t="s">
        <v>12</v>
      </c>
      <c r="K1396" s="1" t="s">
        <v>4902</v>
      </c>
      <c r="L1396" s="1" t="s">
        <v>115</v>
      </c>
      <c r="M1396" s="1" t="s">
        <v>245</v>
      </c>
      <c r="N1396" s="1" t="s">
        <v>21</v>
      </c>
    </row>
    <row r="1397" spans="1:14" x14ac:dyDescent="0.25">
      <c r="A1397" s="1" t="s">
        <v>106</v>
      </c>
      <c r="B1397" s="1" t="s">
        <v>6175</v>
      </c>
      <c r="C1397" s="1" t="s">
        <v>3749</v>
      </c>
      <c r="D1397" s="8" t="s">
        <v>3748</v>
      </c>
      <c r="E1397" s="1" t="s">
        <v>116</v>
      </c>
      <c r="F1397" s="1" t="s">
        <v>6465</v>
      </c>
      <c r="G1397" s="1" t="s">
        <v>4744</v>
      </c>
      <c r="H1397" s="1" t="s">
        <v>4739</v>
      </c>
      <c r="I1397" s="1" t="s">
        <v>4721</v>
      </c>
      <c r="J1397" s="1" t="s">
        <v>12</v>
      </c>
      <c r="K1397" s="1" t="s">
        <v>4902</v>
      </c>
      <c r="L1397" s="1" t="s">
        <v>115</v>
      </c>
      <c r="M1397" s="1" t="s">
        <v>245</v>
      </c>
      <c r="N1397" s="1" t="s">
        <v>21</v>
      </c>
    </row>
    <row r="1398" spans="1:14" x14ac:dyDescent="0.25">
      <c r="A1398" s="1" t="s">
        <v>106</v>
      </c>
      <c r="B1398" s="1" t="s">
        <v>5582</v>
      </c>
      <c r="C1398" s="1" t="s">
        <v>3500</v>
      </c>
      <c r="D1398" s="8" t="s">
        <v>3499</v>
      </c>
      <c r="E1398" s="1" t="s">
        <v>116</v>
      </c>
      <c r="F1398" s="1" t="s">
        <v>6465</v>
      </c>
      <c r="G1398" s="1" t="s">
        <v>4744</v>
      </c>
      <c r="H1398" s="1" t="s">
        <v>4739</v>
      </c>
      <c r="I1398" s="1" t="s">
        <v>4721</v>
      </c>
      <c r="J1398" s="1" t="s">
        <v>12</v>
      </c>
      <c r="K1398" s="1" t="s">
        <v>4902</v>
      </c>
      <c r="L1398" s="1" t="s">
        <v>115</v>
      </c>
      <c r="M1398" s="1" t="s">
        <v>245</v>
      </c>
      <c r="N1398" s="1" t="s">
        <v>21</v>
      </c>
    </row>
    <row r="1399" spans="1:14" x14ac:dyDescent="0.25">
      <c r="A1399" s="1" t="s">
        <v>106</v>
      </c>
      <c r="B1399" s="1" t="s">
        <v>6187</v>
      </c>
      <c r="C1399" s="1" t="s">
        <v>2608</v>
      </c>
      <c r="D1399" s="8" t="s">
        <v>2607</v>
      </c>
      <c r="E1399" s="1" t="s">
        <v>108</v>
      </c>
      <c r="F1399" s="1" t="s">
        <v>6464</v>
      </c>
      <c r="G1399" s="1" t="s">
        <v>4744</v>
      </c>
      <c r="H1399" s="1" t="s">
        <v>4739</v>
      </c>
      <c r="I1399" s="1" t="s">
        <v>4721</v>
      </c>
      <c r="J1399" s="1" t="s">
        <v>12</v>
      </c>
      <c r="K1399" s="1" t="s">
        <v>4886</v>
      </c>
      <c r="L1399" s="1" t="s">
        <v>107</v>
      </c>
      <c r="M1399" s="1" t="s">
        <v>364</v>
      </c>
      <c r="N1399" s="1" t="s">
        <v>37</v>
      </c>
    </row>
    <row r="1400" spans="1:14" x14ac:dyDescent="0.25">
      <c r="A1400" s="1" t="s">
        <v>106</v>
      </c>
      <c r="B1400" s="1" t="s">
        <v>6189</v>
      </c>
      <c r="C1400" s="1" t="s">
        <v>2082</v>
      </c>
      <c r="D1400" s="8" t="s">
        <v>2081</v>
      </c>
      <c r="E1400" s="1" t="s">
        <v>329</v>
      </c>
      <c r="F1400" s="1" t="s">
        <v>6462</v>
      </c>
      <c r="G1400" s="1" t="s">
        <v>4744</v>
      </c>
      <c r="H1400" s="1" t="s">
        <v>4739</v>
      </c>
      <c r="I1400" s="1" t="s">
        <v>4721</v>
      </c>
      <c r="J1400" s="1" t="s">
        <v>12</v>
      </c>
      <c r="K1400" s="1" t="s">
        <v>4772</v>
      </c>
      <c r="L1400" s="1" t="s">
        <v>107</v>
      </c>
      <c r="M1400" s="1" t="s">
        <v>245</v>
      </c>
      <c r="N1400" s="1" t="s">
        <v>21</v>
      </c>
    </row>
    <row r="1401" spans="1:14" x14ac:dyDescent="0.25">
      <c r="A1401" s="1" t="s">
        <v>106</v>
      </c>
      <c r="B1401" s="1" t="s">
        <v>5878</v>
      </c>
      <c r="C1401" s="1" t="s">
        <v>2409</v>
      </c>
      <c r="D1401" s="8" t="s">
        <v>2408</v>
      </c>
      <c r="E1401" s="1" t="s">
        <v>405</v>
      </c>
      <c r="F1401" s="1" t="s">
        <v>6464</v>
      </c>
      <c r="G1401" s="1" t="s">
        <v>4744</v>
      </c>
      <c r="H1401" s="1" t="s">
        <v>4739</v>
      </c>
      <c r="I1401" s="1" t="s">
        <v>4721</v>
      </c>
      <c r="J1401" s="1" t="s">
        <v>12</v>
      </c>
      <c r="K1401" s="1" t="s">
        <v>4886</v>
      </c>
      <c r="L1401" s="1" t="s">
        <v>130</v>
      </c>
      <c r="M1401" s="1" t="s">
        <v>172</v>
      </c>
      <c r="N1401" s="1" t="s">
        <v>17</v>
      </c>
    </row>
    <row r="1402" spans="1:14" x14ac:dyDescent="0.25">
      <c r="A1402" s="1" t="s">
        <v>106</v>
      </c>
      <c r="B1402" s="1" t="s">
        <v>6345</v>
      </c>
      <c r="C1402" s="1" t="s">
        <v>3528</v>
      </c>
      <c r="D1402" s="8" t="s">
        <v>3527</v>
      </c>
      <c r="E1402" s="1" t="s">
        <v>509</v>
      </c>
      <c r="F1402" s="1" t="s">
        <v>4745</v>
      </c>
      <c r="G1402" s="1" t="s">
        <v>4744</v>
      </c>
      <c r="H1402" s="1" t="s">
        <v>4739</v>
      </c>
      <c r="I1402" s="1" t="s">
        <v>6407</v>
      </c>
      <c r="J1402" s="1" t="s">
        <v>39</v>
      </c>
      <c r="K1402" s="1" t="s">
        <v>4772</v>
      </c>
      <c r="L1402" s="1" t="s">
        <v>130</v>
      </c>
      <c r="M1402" s="1" t="s">
        <v>711</v>
      </c>
      <c r="N1402" s="1" t="s">
        <v>126</v>
      </c>
    </row>
    <row r="1403" spans="1:14" x14ac:dyDescent="0.25">
      <c r="A1403" s="1" t="s">
        <v>106</v>
      </c>
      <c r="B1403" s="1" t="s">
        <v>6351</v>
      </c>
      <c r="C1403" s="1" t="s">
        <v>3487</v>
      </c>
      <c r="D1403" s="8" t="s">
        <v>3486</v>
      </c>
      <c r="E1403" s="1" t="s">
        <v>116</v>
      </c>
      <c r="F1403" s="1" t="s">
        <v>6465</v>
      </c>
      <c r="G1403" s="1" t="s">
        <v>4744</v>
      </c>
      <c r="H1403" s="1" t="s">
        <v>4739</v>
      </c>
      <c r="I1403" s="1" t="s">
        <v>4721</v>
      </c>
      <c r="J1403" s="1" t="s">
        <v>12</v>
      </c>
      <c r="K1403" s="1" t="s">
        <v>4902</v>
      </c>
      <c r="L1403" s="1" t="s">
        <v>115</v>
      </c>
      <c r="M1403" s="1" t="s">
        <v>870</v>
      </c>
      <c r="N1403" s="1" t="s">
        <v>76</v>
      </c>
    </row>
    <row r="1404" spans="1:14" x14ac:dyDescent="0.25">
      <c r="A1404" s="1" t="s">
        <v>106</v>
      </c>
      <c r="B1404" s="1" t="s">
        <v>6358</v>
      </c>
      <c r="C1404" s="1" t="s">
        <v>3788</v>
      </c>
      <c r="D1404" s="8" t="s">
        <v>3787</v>
      </c>
      <c r="E1404" s="1" t="s">
        <v>108</v>
      </c>
      <c r="F1404" s="1" t="s">
        <v>4745</v>
      </c>
      <c r="G1404" s="1" t="s">
        <v>4744</v>
      </c>
      <c r="H1404" s="1" t="s">
        <v>4739</v>
      </c>
      <c r="I1404" s="1" t="s">
        <v>4721</v>
      </c>
      <c r="J1404" s="1" t="s">
        <v>12</v>
      </c>
      <c r="K1404" s="1" t="s">
        <v>4853</v>
      </c>
      <c r="L1404" s="1" t="s">
        <v>107</v>
      </c>
      <c r="M1404" s="1" t="s">
        <v>711</v>
      </c>
      <c r="N1404" s="1" t="s">
        <v>126</v>
      </c>
    </row>
    <row r="1405" spans="1:14" x14ac:dyDescent="0.25">
      <c r="A1405" s="1" t="s">
        <v>106</v>
      </c>
      <c r="B1405" s="1" t="s">
        <v>5818</v>
      </c>
      <c r="C1405" s="1" t="s">
        <v>916</v>
      </c>
      <c r="D1405" s="8" t="s">
        <v>915</v>
      </c>
      <c r="E1405" s="1" t="s">
        <v>863</v>
      </c>
      <c r="F1405" s="1" t="s">
        <v>6466</v>
      </c>
      <c r="G1405" s="1" t="s">
        <v>4744</v>
      </c>
      <c r="H1405" s="1" t="s">
        <v>4739</v>
      </c>
      <c r="I1405" s="1" t="s">
        <v>4721</v>
      </c>
      <c r="J1405" s="1" t="s">
        <v>12</v>
      </c>
      <c r="K1405" s="1" t="s">
        <v>4818</v>
      </c>
      <c r="L1405" s="1" t="s">
        <v>427</v>
      </c>
      <c r="M1405" s="1" t="s">
        <v>89</v>
      </c>
      <c r="N1405" s="1" t="s">
        <v>37</v>
      </c>
    </row>
    <row r="1406" spans="1:14" x14ac:dyDescent="0.25">
      <c r="A1406" s="1" t="s">
        <v>106</v>
      </c>
      <c r="B1406" s="1" t="s">
        <v>5402</v>
      </c>
      <c r="C1406" s="1" t="s">
        <v>526</v>
      </c>
      <c r="D1406" s="8" t="s">
        <v>525</v>
      </c>
      <c r="E1406" s="1" t="s">
        <v>131</v>
      </c>
      <c r="F1406" s="1" t="s">
        <v>6467</v>
      </c>
      <c r="G1406" s="1" t="s">
        <v>6431</v>
      </c>
      <c r="H1406" s="1" t="s">
        <v>4739</v>
      </c>
      <c r="I1406" s="1" t="s">
        <v>4721</v>
      </c>
      <c r="J1406" s="1" t="s">
        <v>12</v>
      </c>
      <c r="K1406" s="1" t="s">
        <v>4888</v>
      </c>
      <c r="L1406" s="1" t="s">
        <v>130</v>
      </c>
      <c r="M1406" s="1" t="s">
        <v>58</v>
      </c>
      <c r="N1406" s="1" t="s">
        <v>61</v>
      </c>
    </row>
    <row r="1407" spans="1:14" x14ac:dyDescent="0.25">
      <c r="A1407" s="1" t="s">
        <v>106</v>
      </c>
      <c r="B1407" s="1" t="s">
        <v>5829</v>
      </c>
      <c r="C1407" s="1" t="s">
        <v>3767</v>
      </c>
      <c r="D1407" s="8" t="s">
        <v>3766</v>
      </c>
      <c r="E1407" s="1" t="s">
        <v>186</v>
      </c>
      <c r="F1407" s="1" t="s">
        <v>4745</v>
      </c>
      <c r="G1407" s="1" t="s">
        <v>4744</v>
      </c>
      <c r="H1407" s="1" t="s">
        <v>4739</v>
      </c>
      <c r="I1407" s="1" t="s">
        <v>6407</v>
      </c>
      <c r="J1407" s="1" t="s">
        <v>39</v>
      </c>
      <c r="K1407" s="1" t="s">
        <v>4772</v>
      </c>
      <c r="L1407" s="1" t="s">
        <v>107</v>
      </c>
      <c r="M1407" s="1" t="s">
        <v>870</v>
      </c>
      <c r="N1407" s="1" t="s">
        <v>76</v>
      </c>
    </row>
    <row r="1408" spans="1:14" x14ac:dyDescent="0.25">
      <c r="A1408" s="1" t="s">
        <v>106</v>
      </c>
      <c r="B1408" s="1" t="s">
        <v>5830</v>
      </c>
      <c r="C1408" s="1" t="s">
        <v>1346</v>
      </c>
      <c r="D1408" s="8" t="s">
        <v>1345</v>
      </c>
      <c r="E1408" s="1" t="s">
        <v>509</v>
      </c>
      <c r="F1408" s="1" t="s">
        <v>4743</v>
      </c>
      <c r="G1408" s="1" t="s">
        <v>4744</v>
      </c>
      <c r="H1408" s="1" t="s">
        <v>4739</v>
      </c>
      <c r="I1408" s="1" t="s">
        <v>6407</v>
      </c>
      <c r="J1408" s="1" t="s">
        <v>39</v>
      </c>
      <c r="K1408" s="1" t="s">
        <v>4853</v>
      </c>
      <c r="L1408" s="1" t="s">
        <v>130</v>
      </c>
      <c r="M1408" s="1" t="s">
        <v>870</v>
      </c>
      <c r="N1408" s="1" t="s">
        <v>76</v>
      </c>
    </row>
    <row r="1409" spans="1:14" x14ac:dyDescent="0.25">
      <c r="A1409" s="1" t="s">
        <v>106</v>
      </c>
      <c r="B1409" s="1" t="s">
        <v>5415</v>
      </c>
      <c r="C1409" s="1" t="s">
        <v>765</v>
      </c>
      <c r="D1409" s="8" t="s">
        <v>764</v>
      </c>
      <c r="E1409" s="1" t="s">
        <v>428</v>
      </c>
      <c r="F1409" s="1" t="s">
        <v>6463</v>
      </c>
      <c r="G1409" s="1" t="s">
        <v>4744</v>
      </c>
      <c r="H1409" s="1" t="s">
        <v>4739</v>
      </c>
      <c r="I1409" s="1" t="s">
        <v>4721</v>
      </c>
      <c r="J1409" s="1" t="s">
        <v>12</v>
      </c>
      <c r="K1409" s="1" t="s">
        <v>4895</v>
      </c>
      <c r="L1409" s="1" t="s">
        <v>427</v>
      </c>
      <c r="M1409" s="1" t="s">
        <v>245</v>
      </c>
      <c r="N1409" s="1" t="s">
        <v>21</v>
      </c>
    </row>
    <row r="1410" spans="1:14" x14ac:dyDescent="0.25">
      <c r="A1410" s="1" t="s">
        <v>106</v>
      </c>
      <c r="B1410" s="1" t="s">
        <v>6045</v>
      </c>
      <c r="C1410" s="1" t="s">
        <v>1253</v>
      </c>
      <c r="D1410" s="8" t="s">
        <v>1252</v>
      </c>
      <c r="E1410" s="1" t="s">
        <v>329</v>
      </c>
      <c r="F1410" s="1" t="s">
        <v>4743</v>
      </c>
      <c r="G1410" s="1" t="s">
        <v>4744</v>
      </c>
      <c r="H1410" s="1" t="s">
        <v>4739</v>
      </c>
      <c r="I1410" s="1" t="s">
        <v>6407</v>
      </c>
      <c r="J1410" s="1" t="s">
        <v>39</v>
      </c>
      <c r="K1410" s="1" t="s">
        <v>4853</v>
      </c>
      <c r="L1410" s="1" t="s">
        <v>107</v>
      </c>
      <c r="M1410" s="1" t="s">
        <v>870</v>
      </c>
      <c r="N1410" s="1" t="s">
        <v>76</v>
      </c>
    </row>
    <row r="1411" spans="1:14" x14ac:dyDescent="0.25">
      <c r="A1411" s="1" t="s">
        <v>106</v>
      </c>
      <c r="B1411" s="1" t="s">
        <v>6200</v>
      </c>
      <c r="C1411" s="1" t="s">
        <v>756</v>
      </c>
      <c r="D1411" s="8" t="s">
        <v>755</v>
      </c>
      <c r="E1411" s="1" t="s">
        <v>428</v>
      </c>
      <c r="F1411" s="1" t="s">
        <v>6463</v>
      </c>
      <c r="G1411" s="1" t="s">
        <v>4744</v>
      </c>
      <c r="H1411" s="1" t="s">
        <v>4739</v>
      </c>
      <c r="I1411" s="1" t="s">
        <v>4721</v>
      </c>
      <c r="J1411" s="1" t="s">
        <v>12</v>
      </c>
      <c r="K1411" s="1" t="s">
        <v>4895</v>
      </c>
      <c r="L1411" s="1" t="s">
        <v>427</v>
      </c>
      <c r="M1411" s="1" t="s">
        <v>58</v>
      </c>
      <c r="N1411" s="1" t="s">
        <v>61</v>
      </c>
    </row>
    <row r="1412" spans="1:14" x14ac:dyDescent="0.25">
      <c r="A1412" s="1" t="s">
        <v>106</v>
      </c>
      <c r="B1412" s="1" t="s">
        <v>5458</v>
      </c>
      <c r="C1412" s="1" t="s">
        <v>1801</v>
      </c>
      <c r="D1412" s="8" t="s">
        <v>1800</v>
      </c>
      <c r="E1412" s="1" t="s">
        <v>863</v>
      </c>
      <c r="F1412" s="1" t="s">
        <v>6466</v>
      </c>
      <c r="G1412" s="1" t="s">
        <v>4744</v>
      </c>
      <c r="H1412" s="1" t="s">
        <v>4739</v>
      </c>
      <c r="I1412" s="1" t="s">
        <v>4721</v>
      </c>
      <c r="J1412" s="1" t="s">
        <v>39</v>
      </c>
      <c r="K1412" s="1" t="s">
        <v>4853</v>
      </c>
      <c r="L1412" s="1" t="s">
        <v>427</v>
      </c>
      <c r="M1412" s="1" t="s">
        <v>136</v>
      </c>
      <c r="N1412" s="1" t="s">
        <v>72</v>
      </c>
    </row>
    <row r="1413" spans="1:14" x14ac:dyDescent="0.25">
      <c r="A1413" s="1" t="s">
        <v>106</v>
      </c>
      <c r="B1413" s="1" t="s">
        <v>6215</v>
      </c>
      <c r="C1413" s="1" t="s">
        <v>913</v>
      </c>
      <c r="D1413" s="8" t="s">
        <v>912</v>
      </c>
      <c r="E1413" s="1" t="s">
        <v>863</v>
      </c>
      <c r="F1413" s="1" t="s">
        <v>6466</v>
      </c>
      <c r="G1413" s="1" t="s">
        <v>4744</v>
      </c>
      <c r="H1413" s="1" t="s">
        <v>4739</v>
      </c>
      <c r="I1413" s="1" t="s">
        <v>4721</v>
      </c>
      <c r="J1413" s="1" t="s">
        <v>12</v>
      </c>
      <c r="K1413" s="1" t="s">
        <v>4773</v>
      </c>
      <c r="L1413" s="1" t="s">
        <v>427</v>
      </c>
      <c r="M1413" s="1" t="s">
        <v>630</v>
      </c>
      <c r="N1413" s="1" t="s">
        <v>21</v>
      </c>
    </row>
    <row r="1414" spans="1:14" x14ac:dyDescent="0.25">
      <c r="A1414" s="1" t="s">
        <v>106</v>
      </c>
      <c r="B1414" s="1" t="s">
        <v>5954</v>
      </c>
      <c r="C1414" s="1" t="s">
        <v>1280</v>
      </c>
      <c r="D1414" s="8" t="s">
        <v>1279</v>
      </c>
      <c r="E1414" s="1" t="s">
        <v>131</v>
      </c>
      <c r="F1414" s="1" t="s">
        <v>4743</v>
      </c>
      <c r="G1414" s="1" t="s">
        <v>4744</v>
      </c>
      <c r="H1414" s="1" t="s">
        <v>4739</v>
      </c>
      <c r="I1414" s="1" t="s">
        <v>4721</v>
      </c>
      <c r="J1414" s="1" t="s">
        <v>12</v>
      </c>
      <c r="K1414" s="1" t="s">
        <v>4901</v>
      </c>
      <c r="L1414" s="1" t="s">
        <v>130</v>
      </c>
      <c r="M1414" s="1" t="s">
        <v>245</v>
      </c>
      <c r="N1414" s="1" t="s">
        <v>21</v>
      </c>
    </row>
    <row r="1415" spans="1:14" x14ac:dyDescent="0.25">
      <c r="A1415" s="1" t="s">
        <v>106</v>
      </c>
      <c r="B1415" s="1" t="s">
        <v>6224</v>
      </c>
      <c r="C1415" s="1" t="s">
        <v>991</v>
      </c>
      <c r="D1415" s="8" t="s">
        <v>990</v>
      </c>
      <c r="E1415" s="1" t="s">
        <v>509</v>
      </c>
      <c r="F1415" s="1" t="s">
        <v>6464</v>
      </c>
      <c r="G1415" s="1" t="s">
        <v>4744</v>
      </c>
      <c r="H1415" s="1" t="s">
        <v>4739</v>
      </c>
      <c r="I1415" s="1" t="s">
        <v>4721</v>
      </c>
      <c r="J1415" s="1" t="s">
        <v>12</v>
      </c>
      <c r="K1415" s="1" t="s">
        <v>4886</v>
      </c>
      <c r="L1415" s="1" t="s">
        <v>130</v>
      </c>
      <c r="M1415" s="1" t="s">
        <v>58</v>
      </c>
      <c r="N1415" s="1" t="s">
        <v>61</v>
      </c>
    </row>
    <row r="1416" spans="1:14" x14ac:dyDescent="0.25">
      <c r="A1416" s="1" t="s">
        <v>106</v>
      </c>
      <c r="B1416" s="1" t="s">
        <v>6225</v>
      </c>
      <c r="C1416" s="1" t="s">
        <v>2412</v>
      </c>
      <c r="D1416" s="8" t="s">
        <v>2411</v>
      </c>
      <c r="E1416" s="1" t="s">
        <v>509</v>
      </c>
      <c r="F1416" s="1" t="s">
        <v>6464</v>
      </c>
      <c r="G1416" s="1" t="s">
        <v>4744</v>
      </c>
      <c r="H1416" s="1" t="s">
        <v>4739</v>
      </c>
      <c r="I1416" s="1" t="s">
        <v>4721</v>
      </c>
      <c r="J1416" s="1" t="s">
        <v>12</v>
      </c>
      <c r="K1416" s="1" t="s">
        <v>4886</v>
      </c>
      <c r="L1416" s="1" t="s">
        <v>130</v>
      </c>
      <c r="M1416" s="1" t="s">
        <v>58</v>
      </c>
      <c r="N1416" s="1" t="s">
        <v>61</v>
      </c>
    </row>
    <row r="1417" spans="1:14" x14ac:dyDescent="0.25">
      <c r="A1417" s="1" t="s">
        <v>106</v>
      </c>
      <c r="B1417" s="1" t="s">
        <v>6227</v>
      </c>
      <c r="C1417" s="1" t="s">
        <v>2446</v>
      </c>
      <c r="D1417" s="8" t="s">
        <v>2445</v>
      </c>
      <c r="E1417" s="1" t="s">
        <v>131</v>
      </c>
      <c r="F1417" s="1" t="s">
        <v>4743</v>
      </c>
      <c r="G1417" s="1" t="s">
        <v>4744</v>
      </c>
      <c r="H1417" s="1" t="s">
        <v>4739</v>
      </c>
      <c r="I1417" s="1" t="s">
        <v>4721</v>
      </c>
      <c r="J1417" s="1" t="s">
        <v>12</v>
      </c>
      <c r="K1417" s="1" t="s">
        <v>4901</v>
      </c>
      <c r="L1417" s="1" t="s">
        <v>130</v>
      </c>
      <c r="M1417" s="1" t="s">
        <v>245</v>
      </c>
      <c r="N1417" s="1" t="s">
        <v>21</v>
      </c>
    </row>
    <row r="1418" spans="1:14" x14ac:dyDescent="0.25">
      <c r="A1418" s="1" t="s">
        <v>106</v>
      </c>
      <c r="B1418" s="1" t="s">
        <v>5957</v>
      </c>
      <c r="C1418" s="1" t="s">
        <v>2449</v>
      </c>
      <c r="D1418" s="8" t="s">
        <v>2448</v>
      </c>
      <c r="E1418" s="1" t="s">
        <v>131</v>
      </c>
      <c r="F1418" s="1" t="s">
        <v>4743</v>
      </c>
      <c r="G1418" s="1" t="s">
        <v>4744</v>
      </c>
      <c r="H1418" s="1" t="s">
        <v>4739</v>
      </c>
      <c r="I1418" s="1" t="s">
        <v>4721</v>
      </c>
      <c r="J1418" s="1" t="s">
        <v>12</v>
      </c>
      <c r="K1418" s="1" t="s">
        <v>4901</v>
      </c>
      <c r="L1418" s="1" t="s">
        <v>130</v>
      </c>
      <c r="M1418" s="1" t="s">
        <v>245</v>
      </c>
      <c r="N1418" s="1" t="s">
        <v>21</v>
      </c>
    </row>
    <row r="1419" spans="1:14" x14ac:dyDescent="0.25">
      <c r="A1419" s="1" t="s">
        <v>106</v>
      </c>
      <c r="B1419" s="1" t="s">
        <v>6236</v>
      </c>
      <c r="C1419" s="1" t="s">
        <v>3519</v>
      </c>
      <c r="D1419" s="8" t="s">
        <v>3518</v>
      </c>
      <c r="E1419" s="1" t="s">
        <v>108</v>
      </c>
      <c r="F1419" s="1" t="s">
        <v>4745</v>
      </c>
      <c r="G1419" s="1" t="s">
        <v>4744</v>
      </c>
      <c r="H1419" s="1" t="s">
        <v>4739</v>
      </c>
      <c r="I1419" s="1" t="s">
        <v>4721</v>
      </c>
      <c r="J1419" s="1" t="s">
        <v>12</v>
      </c>
      <c r="K1419" s="1" t="s">
        <v>4853</v>
      </c>
      <c r="L1419" s="1" t="s">
        <v>107</v>
      </c>
      <c r="M1419" s="1" t="s">
        <v>245</v>
      </c>
      <c r="N1419" s="1" t="s">
        <v>21</v>
      </c>
    </row>
    <row r="1420" spans="1:14" x14ac:dyDescent="0.25">
      <c r="A1420" s="1" t="s">
        <v>106</v>
      </c>
      <c r="B1420" s="1" t="s">
        <v>5973</v>
      </c>
      <c r="C1420" s="1" t="s">
        <v>2415</v>
      </c>
      <c r="D1420" s="8" t="s">
        <v>2414</v>
      </c>
      <c r="E1420" s="1" t="s">
        <v>863</v>
      </c>
      <c r="F1420" s="1" t="s">
        <v>6464</v>
      </c>
      <c r="G1420" s="1" t="s">
        <v>4744</v>
      </c>
      <c r="H1420" s="1" t="s">
        <v>4739</v>
      </c>
      <c r="I1420" s="1" t="s">
        <v>4721</v>
      </c>
      <c r="J1420" s="1" t="s">
        <v>12</v>
      </c>
      <c r="K1420" s="1" t="s">
        <v>4886</v>
      </c>
      <c r="L1420" s="1" t="s">
        <v>427</v>
      </c>
      <c r="M1420" s="1" t="s">
        <v>58</v>
      </c>
      <c r="N1420" s="1" t="s">
        <v>61</v>
      </c>
    </row>
    <row r="1421" spans="1:14" x14ac:dyDescent="0.25">
      <c r="A1421" s="1" t="s">
        <v>106</v>
      </c>
      <c r="B1421" s="1" t="s">
        <v>6259</v>
      </c>
      <c r="C1421" s="1" t="s">
        <v>3734</v>
      </c>
      <c r="D1421" s="8" t="s">
        <v>3733</v>
      </c>
      <c r="E1421" s="1" t="s">
        <v>116</v>
      </c>
      <c r="F1421" s="1" t="s">
        <v>6465</v>
      </c>
      <c r="G1421" s="1" t="s">
        <v>4744</v>
      </c>
      <c r="H1421" s="1" t="s">
        <v>4739</v>
      </c>
      <c r="I1421" s="1" t="s">
        <v>4721</v>
      </c>
      <c r="J1421" s="1" t="s">
        <v>12</v>
      </c>
      <c r="K1421" s="1" t="s">
        <v>4902</v>
      </c>
      <c r="L1421" s="1" t="s">
        <v>115</v>
      </c>
      <c r="M1421" s="1" t="s">
        <v>637</v>
      </c>
      <c r="N1421" s="1" t="s">
        <v>19</v>
      </c>
    </row>
    <row r="1422" spans="1:14" x14ac:dyDescent="0.25">
      <c r="A1422" s="1" t="s">
        <v>106</v>
      </c>
      <c r="B1422" s="1" t="s">
        <v>6266</v>
      </c>
      <c r="C1422" s="1" t="s">
        <v>741</v>
      </c>
      <c r="D1422" s="8" t="s">
        <v>740</v>
      </c>
      <c r="E1422" s="1" t="s">
        <v>428</v>
      </c>
      <c r="F1422" s="1" t="s">
        <v>6463</v>
      </c>
      <c r="G1422" s="1" t="s">
        <v>4744</v>
      </c>
      <c r="H1422" s="1" t="s">
        <v>4739</v>
      </c>
      <c r="I1422" s="1" t="s">
        <v>4721</v>
      </c>
      <c r="J1422" s="1" t="s">
        <v>12</v>
      </c>
      <c r="K1422" s="1" t="s">
        <v>4895</v>
      </c>
      <c r="L1422" s="1" t="s">
        <v>427</v>
      </c>
      <c r="M1422" s="1" t="s">
        <v>149</v>
      </c>
      <c r="N1422" s="1" t="s">
        <v>61</v>
      </c>
    </row>
    <row r="1423" spans="1:14" x14ac:dyDescent="0.25">
      <c r="A1423" s="1" t="s">
        <v>106</v>
      </c>
      <c r="B1423" s="1" t="s">
        <v>6267</v>
      </c>
      <c r="C1423" s="1" t="s">
        <v>626</v>
      </c>
      <c r="D1423" s="8" t="s">
        <v>624</v>
      </c>
      <c r="E1423" s="1" t="s">
        <v>428</v>
      </c>
      <c r="F1423" s="1" t="s">
        <v>6463</v>
      </c>
      <c r="G1423" s="1" t="s">
        <v>4744</v>
      </c>
      <c r="H1423" s="1" t="s">
        <v>4739</v>
      </c>
      <c r="I1423" s="1" t="s">
        <v>4721</v>
      </c>
      <c r="J1423" s="1" t="s">
        <v>12</v>
      </c>
      <c r="K1423" s="1" t="s">
        <v>4896</v>
      </c>
      <c r="L1423" s="1" t="s">
        <v>427</v>
      </c>
      <c r="M1423" s="1" t="s">
        <v>58</v>
      </c>
      <c r="N1423" s="1" t="s">
        <v>61</v>
      </c>
    </row>
    <row r="1424" spans="1:14" x14ac:dyDescent="0.25">
      <c r="A1424" s="1" t="s">
        <v>106</v>
      </c>
      <c r="B1424" s="1" t="s">
        <v>6269</v>
      </c>
      <c r="C1424" s="1" t="s">
        <v>919</v>
      </c>
      <c r="D1424" s="8" t="s">
        <v>918</v>
      </c>
      <c r="E1424" s="1" t="s">
        <v>863</v>
      </c>
      <c r="F1424" s="1" t="s">
        <v>6466</v>
      </c>
      <c r="G1424" s="1" t="s">
        <v>4744</v>
      </c>
      <c r="H1424" s="1" t="s">
        <v>4739</v>
      </c>
      <c r="I1424" s="1" t="s">
        <v>4721</v>
      </c>
      <c r="J1424" s="1" t="s">
        <v>12</v>
      </c>
      <c r="K1424" s="1" t="s">
        <v>4773</v>
      </c>
      <c r="L1424" s="1" t="s">
        <v>427</v>
      </c>
      <c r="M1424" s="1" t="s">
        <v>870</v>
      </c>
      <c r="N1424" s="1" t="s">
        <v>76</v>
      </c>
    </row>
    <row r="1425" spans="1:14" x14ac:dyDescent="0.25">
      <c r="A1425" s="1" t="s">
        <v>106</v>
      </c>
      <c r="B1425" s="1" t="s">
        <v>5992</v>
      </c>
      <c r="C1425" s="1" t="s">
        <v>753</v>
      </c>
      <c r="D1425" s="8" t="s">
        <v>752</v>
      </c>
      <c r="E1425" s="1" t="s">
        <v>428</v>
      </c>
      <c r="F1425" s="1" t="s">
        <v>6463</v>
      </c>
      <c r="G1425" s="1" t="s">
        <v>4744</v>
      </c>
      <c r="H1425" s="1" t="s">
        <v>4739</v>
      </c>
      <c r="I1425" s="1" t="s">
        <v>4721</v>
      </c>
      <c r="J1425" s="1" t="s">
        <v>12</v>
      </c>
      <c r="K1425" s="1" t="s">
        <v>4896</v>
      </c>
      <c r="L1425" s="1" t="s">
        <v>427</v>
      </c>
      <c r="M1425" s="1" t="s">
        <v>58</v>
      </c>
      <c r="N1425" s="1" t="s">
        <v>61</v>
      </c>
    </row>
    <row r="1426" spans="1:14" x14ac:dyDescent="0.25">
      <c r="A1426" s="1" t="s">
        <v>106</v>
      </c>
      <c r="B1426" s="1" t="s">
        <v>6281</v>
      </c>
      <c r="C1426" s="1" t="s">
        <v>2388</v>
      </c>
      <c r="D1426" s="8" t="s">
        <v>2387</v>
      </c>
      <c r="E1426" s="1" t="s">
        <v>405</v>
      </c>
      <c r="F1426" s="1" t="s">
        <v>6464</v>
      </c>
      <c r="G1426" s="1" t="s">
        <v>4744</v>
      </c>
      <c r="H1426" s="1" t="s">
        <v>4739</v>
      </c>
      <c r="I1426" s="1" t="s">
        <v>4721</v>
      </c>
      <c r="J1426" s="1" t="s">
        <v>12</v>
      </c>
      <c r="K1426" s="1" t="s">
        <v>4886</v>
      </c>
      <c r="L1426" s="1" t="s">
        <v>130</v>
      </c>
      <c r="M1426" s="1" t="s">
        <v>58</v>
      </c>
      <c r="N1426" s="1" t="s">
        <v>61</v>
      </c>
    </row>
    <row r="1427" spans="1:14" x14ac:dyDescent="0.25">
      <c r="A1427" s="1" t="s">
        <v>106</v>
      </c>
      <c r="B1427" s="1" t="s">
        <v>6002</v>
      </c>
      <c r="C1427" s="1" t="s">
        <v>2097</v>
      </c>
      <c r="D1427" s="8" t="s">
        <v>2096</v>
      </c>
      <c r="E1427" s="1" t="s">
        <v>329</v>
      </c>
      <c r="F1427" s="1" t="s">
        <v>6462</v>
      </c>
      <c r="G1427" s="1" t="s">
        <v>4744</v>
      </c>
      <c r="H1427" s="1" t="s">
        <v>4739</v>
      </c>
      <c r="I1427" s="1" t="s">
        <v>4721</v>
      </c>
      <c r="J1427" s="1" t="s">
        <v>12</v>
      </c>
      <c r="K1427" s="1" t="s">
        <v>4772</v>
      </c>
      <c r="L1427" s="1" t="s">
        <v>107</v>
      </c>
      <c r="M1427" s="1" t="s">
        <v>245</v>
      </c>
      <c r="N1427" s="1" t="s">
        <v>21</v>
      </c>
    </row>
    <row r="1428" spans="1:14" x14ac:dyDescent="0.25">
      <c r="A1428" s="1" t="s">
        <v>106</v>
      </c>
      <c r="B1428" s="1" t="s">
        <v>6282</v>
      </c>
      <c r="C1428" s="1" t="s">
        <v>1274</v>
      </c>
      <c r="D1428" s="8" t="s">
        <v>1273</v>
      </c>
      <c r="E1428" s="1" t="s">
        <v>131</v>
      </c>
      <c r="F1428" s="1" t="s">
        <v>4743</v>
      </c>
      <c r="G1428" s="1" t="s">
        <v>4744</v>
      </c>
      <c r="H1428" s="1" t="s">
        <v>4739</v>
      </c>
      <c r="I1428" s="1" t="s">
        <v>4721</v>
      </c>
      <c r="J1428" s="1" t="s">
        <v>39</v>
      </c>
      <c r="K1428" s="1" t="s">
        <v>4853</v>
      </c>
      <c r="L1428" s="1" t="s">
        <v>130</v>
      </c>
      <c r="M1428" s="1" t="s">
        <v>149</v>
      </c>
      <c r="N1428" s="1" t="s">
        <v>61</v>
      </c>
    </row>
    <row r="1429" spans="1:14" x14ac:dyDescent="0.25">
      <c r="A1429" s="1" t="s">
        <v>106</v>
      </c>
      <c r="B1429" s="1" t="s">
        <v>6007</v>
      </c>
      <c r="C1429" s="1" t="s">
        <v>3546</v>
      </c>
      <c r="D1429" s="8" t="s">
        <v>3545</v>
      </c>
      <c r="E1429" s="1" t="s">
        <v>108</v>
      </c>
      <c r="F1429" s="1" t="s">
        <v>4745</v>
      </c>
      <c r="G1429" s="1" t="s">
        <v>4744</v>
      </c>
      <c r="H1429" s="1" t="s">
        <v>4739</v>
      </c>
      <c r="I1429" s="1" t="s">
        <v>4722</v>
      </c>
      <c r="J1429" s="1" t="s">
        <v>39</v>
      </c>
      <c r="K1429" s="1" t="s">
        <v>4853</v>
      </c>
      <c r="L1429" s="1" t="s">
        <v>107</v>
      </c>
      <c r="M1429" s="1" t="s">
        <v>1350</v>
      </c>
      <c r="N1429" s="1" t="s">
        <v>126</v>
      </c>
    </row>
    <row r="1430" spans="1:14" x14ac:dyDescent="0.25">
      <c r="A1430" s="1" t="s">
        <v>106</v>
      </c>
      <c r="B1430" s="1" t="s">
        <v>6291</v>
      </c>
      <c r="C1430" s="1" t="s">
        <v>633</v>
      </c>
      <c r="D1430" s="8" t="s">
        <v>632</v>
      </c>
      <c r="E1430" s="1" t="s">
        <v>428</v>
      </c>
      <c r="F1430" s="1" t="s">
        <v>6463</v>
      </c>
      <c r="G1430" s="1" t="s">
        <v>4744</v>
      </c>
      <c r="H1430" s="1" t="s">
        <v>4739</v>
      </c>
      <c r="I1430" s="1" t="s">
        <v>4722</v>
      </c>
      <c r="J1430" s="1" t="s">
        <v>39</v>
      </c>
      <c r="K1430" s="1" t="s">
        <v>4895</v>
      </c>
      <c r="L1430" s="1" t="s">
        <v>427</v>
      </c>
      <c r="M1430" s="1" t="s">
        <v>630</v>
      </c>
      <c r="N1430" s="1" t="s">
        <v>21</v>
      </c>
    </row>
    <row r="1431" spans="1:14" x14ac:dyDescent="0.25">
      <c r="A1431" s="1" t="s">
        <v>106</v>
      </c>
      <c r="B1431" s="1" t="s">
        <v>6018</v>
      </c>
      <c r="C1431" s="1" t="s">
        <v>3531</v>
      </c>
      <c r="D1431" s="8" t="s">
        <v>3530</v>
      </c>
      <c r="E1431" s="1" t="s">
        <v>186</v>
      </c>
      <c r="F1431" s="1" t="s">
        <v>4745</v>
      </c>
      <c r="G1431" s="1" t="s">
        <v>4744</v>
      </c>
      <c r="H1431" s="1" t="s">
        <v>4739</v>
      </c>
      <c r="I1431" s="1" t="s">
        <v>4721</v>
      </c>
      <c r="J1431" s="1" t="s">
        <v>12</v>
      </c>
      <c r="K1431" s="1" t="s">
        <v>4853</v>
      </c>
      <c r="L1431" s="1" t="s">
        <v>107</v>
      </c>
      <c r="M1431" s="1" t="s">
        <v>245</v>
      </c>
      <c r="N1431" s="1" t="s">
        <v>21</v>
      </c>
    </row>
    <row r="1432" spans="1:14" x14ac:dyDescent="0.25">
      <c r="A1432" s="1" t="s">
        <v>106</v>
      </c>
      <c r="B1432" s="1" t="s">
        <v>6307</v>
      </c>
      <c r="C1432" s="1" t="s">
        <v>105</v>
      </c>
      <c r="D1432" s="8" t="s">
        <v>104</v>
      </c>
      <c r="E1432" s="1" t="s">
        <v>108</v>
      </c>
      <c r="F1432" s="1" t="s">
        <v>6464</v>
      </c>
      <c r="G1432" s="1" t="s">
        <v>4744</v>
      </c>
      <c r="H1432" s="1" t="s">
        <v>4739</v>
      </c>
      <c r="I1432" s="1" t="s">
        <v>4721</v>
      </c>
      <c r="J1432" s="1" t="s">
        <v>12</v>
      </c>
      <c r="K1432" s="1" t="s">
        <v>4886</v>
      </c>
      <c r="L1432" s="1" t="s">
        <v>107</v>
      </c>
      <c r="M1432" s="1" t="s">
        <v>172</v>
      </c>
      <c r="N1432" s="1" t="s">
        <v>17</v>
      </c>
    </row>
    <row r="1433" spans="1:14" x14ac:dyDescent="0.25">
      <c r="A1433" s="1" t="s">
        <v>106</v>
      </c>
      <c r="B1433" s="1" t="s">
        <v>6029</v>
      </c>
      <c r="C1433" s="1" t="s">
        <v>910</v>
      </c>
      <c r="D1433" s="8" t="s">
        <v>909</v>
      </c>
      <c r="E1433" s="1" t="s">
        <v>863</v>
      </c>
      <c r="F1433" s="1" t="s">
        <v>6466</v>
      </c>
      <c r="G1433" s="1" t="s">
        <v>4744</v>
      </c>
      <c r="H1433" s="1" t="s">
        <v>4739</v>
      </c>
      <c r="I1433" s="1" t="s">
        <v>4721</v>
      </c>
      <c r="J1433" s="1" t="s">
        <v>12</v>
      </c>
      <c r="K1433" s="1" t="s">
        <v>4773</v>
      </c>
      <c r="L1433" s="1" t="s">
        <v>427</v>
      </c>
      <c r="M1433" s="1" t="s">
        <v>630</v>
      </c>
      <c r="N1433" s="1" t="s">
        <v>21</v>
      </c>
    </row>
    <row r="1434" spans="1:14" x14ac:dyDescent="0.25">
      <c r="A1434" s="1" t="s">
        <v>106</v>
      </c>
      <c r="B1434" s="1" t="s">
        <v>6030</v>
      </c>
      <c r="C1434" s="1" t="s">
        <v>1247</v>
      </c>
      <c r="D1434" s="8" t="s">
        <v>1246</v>
      </c>
      <c r="E1434" s="1" t="s">
        <v>405</v>
      </c>
      <c r="F1434" s="1" t="s">
        <v>6464</v>
      </c>
      <c r="G1434" s="1" t="s">
        <v>4744</v>
      </c>
      <c r="H1434" s="1" t="s">
        <v>4739</v>
      </c>
      <c r="I1434" s="1" t="s">
        <v>4721</v>
      </c>
      <c r="J1434" s="1" t="s">
        <v>12</v>
      </c>
      <c r="K1434" s="1" t="s">
        <v>4886</v>
      </c>
      <c r="L1434" s="1" t="s">
        <v>130</v>
      </c>
      <c r="M1434" s="1" t="s">
        <v>172</v>
      </c>
      <c r="N1434" s="1" t="s">
        <v>17</v>
      </c>
    </row>
    <row r="1435" spans="1:14" x14ac:dyDescent="0.25">
      <c r="A1435" s="1" t="s">
        <v>106</v>
      </c>
      <c r="B1435" s="1" t="s">
        <v>6380</v>
      </c>
      <c r="C1435" s="1" t="s">
        <v>973</v>
      </c>
      <c r="D1435" s="8" t="s">
        <v>972</v>
      </c>
      <c r="E1435" s="1" t="s">
        <v>428</v>
      </c>
      <c r="F1435" s="1" t="s">
        <v>6464</v>
      </c>
      <c r="G1435" s="1" t="s">
        <v>4744</v>
      </c>
      <c r="H1435" s="1" t="s">
        <v>4739</v>
      </c>
      <c r="I1435" s="1" t="s">
        <v>4721</v>
      </c>
      <c r="J1435" s="1" t="s">
        <v>12</v>
      </c>
      <c r="K1435" s="1" t="s">
        <v>4886</v>
      </c>
      <c r="L1435" s="1" t="s">
        <v>427</v>
      </c>
      <c r="M1435" s="1" t="s">
        <v>172</v>
      </c>
      <c r="N1435" s="1" t="s">
        <v>17</v>
      </c>
    </row>
    <row r="1436" spans="1:14" x14ac:dyDescent="0.25">
      <c r="A1436" s="1" t="s">
        <v>106</v>
      </c>
      <c r="B1436" s="1" t="s">
        <v>6381</v>
      </c>
      <c r="C1436" s="1" t="s">
        <v>3543</v>
      </c>
      <c r="D1436" s="8" t="s">
        <v>3542</v>
      </c>
      <c r="E1436" s="1" t="s">
        <v>186</v>
      </c>
      <c r="F1436" s="1" t="s">
        <v>4745</v>
      </c>
      <c r="G1436" s="1" t="s">
        <v>4744</v>
      </c>
      <c r="H1436" s="1" t="s">
        <v>4739</v>
      </c>
      <c r="I1436" s="1" t="s">
        <v>4721</v>
      </c>
      <c r="J1436" s="1" t="s">
        <v>12</v>
      </c>
      <c r="K1436" s="1" t="s">
        <v>4853</v>
      </c>
      <c r="L1436" s="1" t="s">
        <v>107</v>
      </c>
      <c r="M1436" s="1" t="s">
        <v>1350</v>
      </c>
      <c r="N1436" s="1" t="s">
        <v>126</v>
      </c>
    </row>
    <row r="1437" spans="1:14" x14ac:dyDescent="0.25">
      <c r="A1437" s="1" t="s">
        <v>106</v>
      </c>
      <c r="B1437" s="1" t="s">
        <v>6382</v>
      </c>
      <c r="C1437" s="1" t="s">
        <v>2452</v>
      </c>
      <c r="D1437" s="8" t="s">
        <v>2451</v>
      </c>
      <c r="E1437" s="1" t="s">
        <v>131</v>
      </c>
      <c r="F1437" s="1" t="s">
        <v>4743</v>
      </c>
      <c r="G1437" s="1" t="s">
        <v>4744</v>
      </c>
      <c r="H1437" s="1" t="s">
        <v>4739</v>
      </c>
      <c r="I1437" s="1" t="s">
        <v>4721</v>
      </c>
      <c r="J1437" s="1" t="s">
        <v>39</v>
      </c>
      <c r="K1437" s="1" t="s">
        <v>4853</v>
      </c>
      <c r="L1437" s="1" t="s">
        <v>130</v>
      </c>
      <c r="M1437" s="1" t="s">
        <v>136</v>
      </c>
      <c r="N1437" s="1" t="s">
        <v>72</v>
      </c>
    </row>
    <row r="1438" spans="1:14" x14ac:dyDescent="0.25">
      <c r="A1438" s="1" t="s">
        <v>106</v>
      </c>
      <c r="B1438" s="1" t="s">
        <v>6420</v>
      </c>
      <c r="C1438" s="1" t="s">
        <v>3794</v>
      </c>
      <c r="D1438" s="8" t="s">
        <v>3793</v>
      </c>
      <c r="E1438" s="1" t="s">
        <v>108</v>
      </c>
      <c r="F1438" s="1" t="s">
        <v>4745</v>
      </c>
      <c r="G1438" s="1" t="s">
        <v>4744</v>
      </c>
      <c r="H1438" s="1" t="s">
        <v>4739</v>
      </c>
      <c r="I1438" s="1" t="s">
        <v>6421</v>
      </c>
      <c r="J1438" s="1" t="s">
        <v>39</v>
      </c>
      <c r="K1438" s="1" t="s">
        <v>4772</v>
      </c>
      <c r="L1438" s="1" t="s">
        <v>107</v>
      </c>
      <c r="M1438" s="1" t="s">
        <v>245</v>
      </c>
      <c r="N1438" s="1" t="s">
        <v>21</v>
      </c>
    </row>
    <row r="1439" spans="1:14" x14ac:dyDescent="0.25">
      <c r="A1439" s="1" t="s">
        <v>106</v>
      </c>
      <c r="B1439" s="1" t="s">
        <v>6420</v>
      </c>
      <c r="C1439" s="1" t="s">
        <v>3493</v>
      </c>
      <c r="D1439" s="8" t="s">
        <v>3492</v>
      </c>
      <c r="E1439" s="1" t="s">
        <v>405</v>
      </c>
      <c r="F1439" s="1" t="s">
        <v>6465</v>
      </c>
      <c r="G1439" s="1" t="s">
        <v>4744</v>
      </c>
      <c r="H1439" s="1" t="s">
        <v>4739</v>
      </c>
      <c r="I1439" s="1" t="s">
        <v>6421</v>
      </c>
      <c r="J1439" s="1" t="s">
        <v>39</v>
      </c>
      <c r="K1439" s="1" t="s">
        <v>4818</v>
      </c>
      <c r="L1439" s="1" t="s">
        <v>130</v>
      </c>
      <c r="M1439" s="1" t="s">
        <v>3494</v>
      </c>
      <c r="N1439" s="1" t="s">
        <v>21</v>
      </c>
    </row>
    <row r="1440" spans="1:14" x14ac:dyDescent="0.25">
      <c r="A1440" s="1" t="s">
        <v>106</v>
      </c>
      <c r="B1440" s="1" t="s">
        <v>6420</v>
      </c>
      <c r="C1440" s="1" t="s">
        <v>387</v>
      </c>
      <c r="D1440" s="8" t="s">
        <v>386</v>
      </c>
      <c r="E1440" s="1" t="s">
        <v>131</v>
      </c>
      <c r="F1440" s="1" t="s">
        <v>6464</v>
      </c>
      <c r="G1440" s="1" t="s">
        <v>4744</v>
      </c>
      <c r="H1440" s="1" t="s">
        <v>4739</v>
      </c>
      <c r="I1440" s="1" t="s">
        <v>6421</v>
      </c>
      <c r="J1440" s="1" t="s">
        <v>39</v>
      </c>
      <c r="K1440" s="1" t="s">
        <v>4803</v>
      </c>
      <c r="L1440" s="1" t="s">
        <v>130</v>
      </c>
      <c r="M1440" s="1" t="s">
        <v>2417</v>
      </c>
      <c r="N1440" s="1" t="s">
        <v>76</v>
      </c>
    </row>
    <row r="1441" spans="1:14" x14ac:dyDescent="0.25">
      <c r="A1441" s="1" t="s">
        <v>106</v>
      </c>
      <c r="B1441" s="1" t="s">
        <v>6420</v>
      </c>
      <c r="C1441" s="1" t="s">
        <v>3791</v>
      </c>
      <c r="D1441" s="8" t="s">
        <v>3790</v>
      </c>
      <c r="E1441" s="1" t="s">
        <v>108</v>
      </c>
      <c r="F1441" s="1" t="s">
        <v>4745</v>
      </c>
      <c r="G1441" s="1" t="s">
        <v>4744</v>
      </c>
      <c r="H1441" s="1" t="s">
        <v>4739</v>
      </c>
      <c r="I1441" s="1" t="s">
        <v>6421</v>
      </c>
      <c r="J1441" s="1" t="s">
        <v>39</v>
      </c>
      <c r="K1441" s="1" t="s">
        <v>4853</v>
      </c>
      <c r="L1441" s="1" t="s">
        <v>107</v>
      </c>
      <c r="M1441" s="1" t="s">
        <v>245</v>
      </c>
      <c r="N1441" s="1" t="s">
        <v>21</v>
      </c>
    </row>
    <row r="1442" spans="1:14" x14ac:dyDescent="0.25">
      <c r="A1442" s="1" t="s">
        <v>106</v>
      </c>
      <c r="B1442" s="1" t="s">
        <v>6420</v>
      </c>
      <c r="C1442" s="1" t="s">
        <v>3870</v>
      </c>
      <c r="D1442" s="8" t="s">
        <v>3869</v>
      </c>
      <c r="E1442" s="1" t="s">
        <v>108</v>
      </c>
      <c r="F1442" s="1" t="s">
        <v>6462</v>
      </c>
      <c r="G1442" s="1" t="s">
        <v>4744</v>
      </c>
      <c r="H1442" s="1" t="s">
        <v>4739</v>
      </c>
      <c r="I1442" s="1" t="s">
        <v>6421</v>
      </c>
      <c r="J1442" s="1" t="s">
        <v>39</v>
      </c>
      <c r="K1442" s="1" t="s">
        <v>4818</v>
      </c>
      <c r="L1442" s="1" t="s">
        <v>107</v>
      </c>
      <c r="M1442" s="1" t="s">
        <v>245</v>
      </c>
      <c r="N1442" s="1" t="s">
        <v>21</v>
      </c>
    </row>
    <row r="1443" spans="1:14" x14ac:dyDescent="0.25">
      <c r="A1443" s="1" t="s">
        <v>106</v>
      </c>
      <c r="B1443" s="1" t="s">
        <v>6420</v>
      </c>
      <c r="C1443" s="1" t="s">
        <v>750</v>
      </c>
      <c r="D1443" s="8" t="s">
        <v>749</v>
      </c>
      <c r="E1443" s="1" t="s">
        <v>428</v>
      </c>
      <c r="F1443" s="1" t="s">
        <v>6463</v>
      </c>
      <c r="G1443" s="1" t="s">
        <v>4744</v>
      </c>
      <c r="H1443" s="1" t="s">
        <v>4739</v>
      </c>
      <c r="I1443" s="1" t="s">
        <v>6421</v>
      </c>
      <c r="J1443" s="1" t="s">
        <v>39</v>
      </c>
      <c r="K1443" s="1" t="s">
        <v>4895</v>
      </c>
      <c r="L1443" s="1" t="s">
        <v>427</v>
      </c>
      <c r="M1443" s="1" t="s">
        <v>630</v>
      </c>
      <c r="N1443" s="1" t="s">
        <v>21</v>
      </c>
    </row>
    <row r="1444" spans="1:14" x14ac:dyDescent="0.25">
      <c r="A1444" s="1" t="s">
        <v>106</v>
      </c>
      <c r="B1444" s="1" t="s">
        <v>6420</v>
      </c>
      <c r="C1444" s="1" t="s">
        <v>3785</v>
      </c>
      <c r="D1444" s="8" t="s">
        <v>3784</v>
      </c>
      <c r="E1444" s="1" t="s">
        <v>186</v>
      </c>
      <c r="F1444" s="1" t="s">
        <v>4745</v>
      </c>
      <c r="G1444" s="1" t="s">
        <v>4744</v>
      </c>
      <c r="H1444" s="1" t="s">
        <v>4739</v>
      </c>
      <c r="I1444" s="1" t="s">
        <v>6421</v>
      </c>
      <c r="J1444" s="1" t="s">
        <v>39</v>
      </c>
      <c r="K1444" s="1" t="s">
        <v>4853</v>
      </c>
      <c r="L1444" s="1" t="s">
        <v>107</v>
      </c>
      <c r="M1444" s="1" t="s">
        <v>630</v>
      </c>
      <c r="N1444" s="1" t="s">
        <v>21</v>
      </c>
    </row>
    <row r="1445" spans="1:14" x14ac:dyDescent="0.25">
      <c r="A1445" s="1" t="s">
        <v>106</v>
      </c>
      <c r="B1445" s="1" t="s">
        <v>6420</v>
      </c>
      <c r="C1445" s="1" t="s">
        <v>3858</v>
      </c>
      <c r="D1445" s="8" t="s">
        <v>3857</v>
      </c>
      <c r="E1445" s="1" t="s">
        <v>509</v>
      </c>
      <c r="F1445" s="1" t="s">
        <v>6462</v>
      </c>
      <c r="G1445" s="1" t="s">
        <v>4744</v>
      </c>
      <c r="H1445" s="1" t="s">
        <v>4739</v>
      </c>
      <c r="I1445" s="1" t="s">
        <v>6421</v>
      </c>
      <c r="J1445" s="1" t="s">
        <v>39</v>
      </c>
      <c r="K1445" s="1" t="s">
        <v>4772</v>
      </c>
      <c r="L1445" s="1" t="s">
        <v>130</v>
      </c>
      <c r="M1445" s="1" t="s">
        <v>245</v>
      </c>
      <c r="N1445" s="1" t="s">
        <v>21</v>
      </c>
    </row>
    <row r="1446" spans="1:14" x14ac:dyDescent="0.25">
      <c r="A1446" s="1" t="s">
        <v>106</v>
      </c>
      <c r="B1446" s="1" t="s">
        <v>6420</v>
      </c>
      <c r="C1446" s="1" t="s">
        <v>3148</v>
      </c>
      <c r="D1446" s="8" t="s">
        <v>3147</v>
      </c>
      <c r="E1446" s="1" t="s">
        <v>186</v>
      </c>
      <c r="F1446" s="1" t="s">
        <v>6467</v>
      </c>
      <c r="G1446" s="1" t="s">
        <v>6431</v>
      </c>
      <c r="H1446" s="1" t="s">
        <v>4739</v>
      </c>
      <c r="I1446" s="1" t="s">
        <v>6421</v>
      </c>
      <c r="J1446" s="1" t="s">
        <v>39</v>
      </c>
      <c r="K1446" s="1" t="s">
        <v>4818</v>
      </c>
      <c r="L1446" s="1" t="s">
        <v>107</v>
      </c>
      <c r="M1446" s="1" t="s">
        <v>58</v>
      </c>
      <c r="N1446" s="1" t="s">
        <v>61</v>
      </c>
    </row>
    <row r="1447" spans="1:14" x14ac:dyDescent="0.25">
      <c r="A1447" s="1" t="s">
        <v>106</v>
      </c>
      <c r="B1447" s="1" t="s">
        <v>6420</v>
      </c>
      <c r="C1447" s="1" t="s">
        <v>2043</v>
      </c>
      <c r="D1447" s="8" t="s">
        <v>2042</v>
      </c>
      <c r="E1447" s="1" t="s">
        <v>509</v>
      </c>
      <c r="F1447" s="1" t="s">
        <v>6462</v>
      </c>
      <c r="G1447" s="1" t="s">
        <v>4744</v>
      </c>
      <c r="H1447" s="1" t="s">
        <v>4739</v>
      </c>
      <c r="I1447" s="1" t="s">
        <v>6421</v>
      </c>
      <c r="J1447" s="1" t="s">
        <v>39</v>
      </c>
      <c r="K1447" s="1" t="s">
        <v>4773</v>
      </c>
      <c r="L1447" s="1" t="s">
        <v>130</v>
      </c>
      <c r="M1447" s="1" t="s">
        <v>870</v>
      </c>
      <c r="N1447" s="1" t="s">
        <v>76</v>
      </c>
    </row>
    <row r="1448" spans="1:14" x14ac:dyDescent="0.25">
      <c r="A1448" s="1" t="s">
        <v>106</v>
      </c>
      <c r="B1448" s="1" t="s">
        <v>6420</v>
      </c>
      <c r="C1448" s="1" t="s">
        <v>3855</v>
      </c>
      <c r="D1448" s="8" t="s">
        <v>3854</v>
      </c>
      <c r="E1448" s="1" t="s">
        <v>509</v>
      </c>
      <c r="F1448" s="1" t="s">
        <v>6462</v>
      </c>
      <c r="G1448" s="1" t="s">
        <v>4744</v>
      </c>
      <c r="H1448" s="1" t="s">
        <v>4739</v>
      </c>
      <c r="I1448" s="1" t="s">
        <v>6421</v>
      </c>
      <c r="J1448" s="1" t="s">
        <v>39</v>
      </c>
      <c r="K1448" s="1" t="s">
        <v>4773</v>
      </c>
      <c r="L1448" s="1" t="s">
        <v>130</v>
      </c>
      <c r="M1448" s="1" t="s">
        <v>364</v>
      </c>
      <c r="N1448" s="1" t="s">
        <v>37</v>
      </c>
    </row>
    <row r="1449" spans="1:14" x14ac:dyDescent="0.25">
      <c r="A1449" s="1" t="s">
        <v>106</v>
      </c>
      <c r="B1449" s="1" t="s">
        <v>6420</v>
      </c>
      <c r="C1449" s="1" t="s">
        <v>1436</v>
      </c>
      <c r="D1449" s="8" t="s">
        <v>1435</v>
      </c>
      <c r="E1449" s="1" t="s">
        <v>329</v>
      </c>
      <c r="F1449" s="1" t="s">
        <v>6469</v>
      </c>
      <c r="G1449" s="1" t="s">
        <v>4744</v>
      </c>
      <c r="H1449" s="1" t="s">
        <v>4739</v>
      </c>
      <c r="I1449" s="1" t="s">
        <v>6421</v>
      </c>
      <c r="J1449" s="1" t="s">
        <v>39</v>
      </c>
      <c r="K1449" s="1" t="s">
        <v>4773</v>
      </c>
      <c r="L1449" s="1" t="s">
        <v>107</v>
      </c>
      <c r="M1449" s="1" t="s">
        <v>58</v>
      </c>
      <c r="N1449" s="1" t="s">
        <v>61</v>
      </c>
    </row>
    <row r="1450" spans="1:14" x14ac:dyDescent="0.25">
      <c r="A1450" s="1" t="s">
        <v>106</v>
      </c>
      <c r="B1450" s="1" t="s">
        <v>6420</v>
      </c>
      <c r="C1450" s="1" t="s">
        <v>2088</v>
      </c>
      <c r="D1450" s="8" t="s">
        <v>2087</v>
      </c>
      <c r="E1450" s="1" t="s">
        <v>509</v>
      </c>
      <c r="F1450" s="1" t="s">
        <v>6462</v>
      </c>
      <c r="G1450" s="1" t="s">
        <v>4744</v>
      </c>
      <c r="H1450" s="1" t="s">
        <v>4739</v>
      </c>
      <c r="I1450" s="1" t="s">
        <v>6421</v>
      </c>
      <c r="J1450" s="1" t="s">
        <v>39</v>
      </c>
      <c r="K1450" s="1" t="s">
        <v>4773</v>
      </c>
      <c r="L1450" s="1" t="s">
        <v>130</v>
      </c>
      <c r="M1450" s="1" t="s">
        <v>245</v>
      </c>
      <c r="N1450" s="1" t="s">
        <v>21</v>
      </c>
    </row>
    <row r="1451" spans="1:14" x14ac:dyDescent="0.25">
      <c r="A1451" s="1" t="s">
        <v>106</v>
      </c>
      <c r="B1451" s="1" t="s">
        <v>6420</v>
      </c>
      <c r="C1451" s="1" t="s">
        <v>922</v>
      </c>
      <c r="D1451" s="8" t="s">
        <v>921</v>
      </c>
      <c r="E1451" s="1" t="s">
        <v>863</v>
      </c>
      <c r="F1451" s="1" t="s">
        <v>6469</v>
      </c>
      <c r="G1451" s="1" t="s">
        <v>4744</v>
      </c>
      <c r="H1451" s="1" t="s">
        <v>4739</v>
      </c>
      <c r="I1451" s="1" t="s">
        <v>6421</v>
      </c>
      <c r="J1451" s="1" t="s">
        <v>39</v>
      </c>
      <c r="K1451" s="1" t="s">
        <v>4773</v>
      </c>
      <c r="L1451" s="1" t="s">
        <v>427</v>
      </c>
      <c r="M1451" s="1" t="s">
        <v>245</v>
      </c>
      <c r="N1451" s="1" t="s">
        <v>21</v>
      </c>
    </row>
    <row r="1452" spans="1:14" x14ac:dyDescent="0.25">
      <c r="A1452" s="1" t="s">
        <v>106</v>
      </c>
      <c r="B1452" s="1" t="s">
        <v>6420</v>
      </c>
      <c r="C1452" s="1" t="s">
        <v>3512</v>
      </c>
      <c r="D1452" s="8" t="s">
        <v>3511</v>
      </c>
      <c r="E1452" s="1" t="s">
        <v>186</v>
      </c>
      <c r="F1452" s="1" t="s">
        <v>4745</v>
      </c>
      <c r="G1452" s="1" t="s">
        <v>4744</v>
      </c>
      <c r="H1452" s="1" t="s">
        <v>4739</v>
      </c>
      <c r="I1452" s="1" t="s">
        <v>6421</v>
      </c>
      <c r="J1452" s="1" t="s">
        <v>39</v>
      </c>
      <c r="K1452" s="1" t="s">
        <v>4854</v>
      </c>
      <c r="L1452" s="1" t="s">
        <v>107</v>
      </c>
      <c r="M1452" s="1" t="s">
        <v>3513</v>
      </c>
      <c r="N1452" s="1" t="s">
        <v>21</v>
      </c>
    </row>
    <row r="1453" spans="1:14" x14ac:dyDescent="0.25">
      <c r="A1453" s="1" t="s">
        <v>106</v>
      </c>
      <c r="B1453" s="1" t="s">
        <v>6420</v>
      </c>
      <c r="C1453" s="1" t="s">
        <v>1515</v>
      </c>
      <c r="D1453" s="8" t="s">
        <v>1514</v>
      </c>
      <c r="E1453" s="1" t="s">
        <v>863</v>
      </c>
      <c r="F1453" s="1" t="s">
        <v>6469</v>
      </c>
      <c r="G1453" s="1" t="s">
        <v>4744</v>
      </c>
      <c r="H1453" s="1" t="s">
        <v>4739</v>
      </c>
      <c r="I1453" s="1" t="s">
        <v>6421</v>
      </c>
      <c r="J1453" s="1" t="s">
        <v>39</v>
      </c>
      <c r="K1453" s="1" t="s">
        <v>4901</v>
      </c>
      <c r="L1453" s="1" t="s">
        <v>427</v>
      </c>
      <c r="M1453" s="1" t="s">
        <v>245</v>
      </c>
      <c r="N1453" s="1" t="s">
        <v>21</v>
      </c>
    </row>
  </sheetData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2" r:id="rId5" name="TextBox1">
          <controlPr defaultSize="0" disabled="1" recalcAlways="1" autoLine="0" linkedCell="configuracoes!C2" r:id="rId6">
            <anchor moveWithCells="1">
              <from>
                <xdr:col>10</xdr:col>
                <xdr:colOff>352425</xdr:colOff>
                <xdr:row>10</xdr:row>
                <xdr:rowOff>161925</xdr:rowOff>
              </from>
              <to>
                <xdr:col>11</xdr:col>
                <xdr:colOff>142875</xdr:colOff>
                <xdr:row>12</xdr:row>
                <xdr:rowOff>28575</xdr:rowOff>
              </to>
            </anchor>
          </controlPr>
        </control>
      </mc:Choice>
      <mc:Fallback>
        <control shapeId="1032" r:id="rId5" name="TextBox1"/>
      </mc:Fallback>
    </mc:AlternateContent>
    <mc:AlternateContent xmlns:mc="http://schemas.openxmlformats.org/markup-compatibility/2006">
      <mc:Choice Requires="x14">
        <control shapeId="1025" r:id="rId7" name="Button 1">
          <controlPr defaultSize="0" autoFill="0" autoPict="0" macro="[0]!limpa_filtro">
            <anchor>
              <from>
                <xdr:col>10</xdr:col>
                <xdr:colOff>381000</xdr:colOff>
                <xdr:row>5</xdr:row>
                <xdr:rowOff>85725</xdr:rowOff>
              </from>
              <to>
                <xdr:col>11</xdr:col>
                <xdr:colOff>161925</xdr:colOff>
                <xdr:row>6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8" name="Button 2">
          <controlPr defaultSize="0" autoFill="0" autoPict="0" macro="[0]!usuario">
            <anchor>
              <from>
                <xdr:col>10</xdr:col>
                <xdr:colOff>381000</xdr:colOff>
                <xdr:row>7</xdr:row>
                <xdr:rowOff>9525</xdr:rowOff>
              </from>
              <to>
                <xdr:col>11</xdr:col>
                <xdr:colOff>161925</xdr:colOff>
                <xdr:row>8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9" name="Button 3">
          <controlPr defaultSize="0" autoFill="0" autoPict="0" macro="[0]!exportar_dados">
            <anchor>
              <from>
                <xdr:col>10</xdr:col>
                <xdr:colOff>381000</xdr:colOff>
                <xdr:row>3</xdr:row>
                <xdr:rowOff>161925</xdr:rowOff>
              </from>
              <to>
                <xdr:col>11</xdr:col>
                <xdr:colOff>161925</xdr:colOff>
                <xdr:row>5</xdr:row>
                <xdr:rowOff>47625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0" name="Button 4">
          <controlPr defaultSize="0" autoFill="0" autoPict="0" macro="[0]!Email_Com_Imagem">
            <anchor>
              <from>
                <xdr:col>10</xdr:col>
                <xdr:colOff>381000</xdr:colOff>
                <xdr:row>8</xdr:row>
                <xdr:rowOff>133350</xdr:rowOff>
              </from>
              <to>
                <xdr:col>11</xdr:col>
                <xdr:colOff>161925</xdr:colOff>
                <xdr:row>10</xdr:row>
                <xdr:rowOff>19050</xdr:rowOff>
              </to>
            </anchor>
          </controlPr>
        </control>
      </mc:Choice>
    </mc:AlternateContent>
  </controls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E1440"/>
  <sheetViews>
    <sheetView showGridLines="0" topLeftCell="M1" workbookViewId="0"/>
  </sheetViews>
  <sheetFormatPr defaultColWidth="20.7109375" defaultRowHeight="11.25" x14ac:dyDescent="0.25"/>
  <cols>
    <col min="1" max="1" width="34" style="2" bestFit="1" customWidth="1"/>
    <col min="2" max="2" width="15.7109375" style="2" bestFit="1" customWidth="1"/>
    <col min="3" max="3" width="22.7109375" style="2" bestFit="1" customWidth="1"/>
    <col min="4" max="4" width="15" style="2" bestFit="1" customWidth="1"/>
    <col min="5" max="5" width="2.85546875" style="2" bestFit="1" customWidth="1"/>
    <col min="6" max="6" width="13.140625" style="2" bestFit="1" customWidth="1"/>
    <col min="7" max="7" width="81.140625" style="2" bestFit="1" customWidth="1"/>
    <col min="8" max="8" width="17.85546875" style="2" bestFit="1" customWidth="1"/>
    <col min="9" max="9" width="15.85546875" style="2" bestFit="1" customWidth="1"/>
    <col min="10" max="10" width="14.5703125" style="2" bestFit="1" customWidth="1"/>
    <col min="11" max="11" width="13.140625" style="2" bestFit="1" customWidth="1"/>
    <col min="12" max="12" width="8.7109375" style="2" bestFit="1" customWidth="1"/>
    <col min="13" max="13" width="24.7109375" style="2" bestFit="1" customWidth="1"/>
    <col min="14" max="14" width="22.7109375" style="2" bestFit="1" customWidth="1"/>
    <col min="15" max="15" width="8.42578125" style="2" bestFit="1" customWidth="1"/>
    <col min="16" max="16" width="10.42578125" style="2" bestFit="1" customWidth="1"/>
    <col min="17" max="17" width="15" style="2" bestFit="1" customWidth="1"/>
    <col min="18" max="18" width="35" style="2" bestFit="1" customWidth="1"/>
    <col min="19" max="19" width="29.85546875" style="2" bestFit="1" customWidth="1"/>
    <col min="20" max="20" width="23.5703125" style="2" bestFit="1" customWidth="1"/>
    <col min="21" max="21" width="10.28515625" style="2" bestFit="1" customWidth="1"/>
    <col min="22" max="22" width="21.42578125" style="2" bestFit="1" customWidth="1"/>
    <col min="23" max="23" width="16.42578125" style="2" bestFit="1" customWidth="1"/>
    <col min="24" max="24" width="20.85546875" style="2" bestFit="1" customWidth="1"/>
    <col min="25" max="25" width="7.7109375" style="2" bestFit="1" customWidth="1"/>
    <col min="26" max="26" width="7.85546875" style="2" bestFit="1" customWidth="1"/>
    <col min="27" max="29" width="17.7109375" style="2" bestFit="1" customWidth="1"/>
    <col min="30" max="30" width="12.85546875" style="2" bestFit="1" customWidth="1"/>
    <col min="31" max="31" width="6.42578125" style="2" bestFit="1" customWidth="1"/>
    <col min="32" max="32" width="17.42578125" style="2" bestFit="1" customWidth="1"/>
    <col min="33" max="33" width="11" style="2" bestFit="1" customWidth="1"/>
    <col min="34" max="16384" width="20.7109375" style="2"/>
  </cols>
  <sheetData>
    <row r="1" spans="1:31" x14ac:dyDescent="0.25">
      <c r="A1" s="2" t="s">
        <v>0</v>
      </c>
      <c r="B1" s="2" t="s">
        <v>603</v>
      </c>
      <c r="C1" s="2" t="s">
        <v>604</v>
      </c>
      <c r="D1" s="2" t="s">
        <v>605</v>
      </c>
      <c r="E1" s="2" t="s">
        <v>1</v>
      </c>
      <c r="F1" s="2" t="s">
        <v>606</v>
      </c>
      <c r="G1" s="2" t="s">
        <v>3</v>
      </c>
      <c r="H1" s="2" t="s">
        <v>2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9</v>
      </c>
      <c r="N1" s="2" t="s">
        <v>10</v>
      </c>
      <c r="O1" s="2" t="s">
        <v>11</v>
      </c>
      <c r="P1" s="2" t="s">
        <v>8</v>
      </c>
      <c r="Q1" s="2" t="s">
        <v>607</v>
      </c>
      <c r="R1" s="2" t="s">
        <v>4692</v>
      </c>
      <c r="S1" s="2" t="s">
        <v>4693</v>
      </c>
      <c r="T1" s="2" t="s">
        <v>4694</v>
      </c>
      <c r="U1" s="2" t="s">
        <v>4695</v>
      </c>
      <c r="V1" s="2" t="s">
        <v>4762</v>
      </c>
      <c r="W1" s="2" t="s">
        <v>4921</v>
      </c>
      <c r="X1" s="2" t="s">
        <v>4922</v>
      </c>
      <c r="Y1" s="2" t="s">
        <v>6389</v>
      </c>
      <c r="Z1" s="2" t="s">
        <v>6390</v>
      </c>
      <c r="AA1" s="5" t="s">
        <v>4705</v>
      </c>
      <c r="AB1" s="5" t="s">
        <v>4706</v>
      </c>
      <c r="AC1" s="5" t="s">
        <v>4707</v>
      </c>
      <c r="AD1" s="5" t="s">
        <v>4720</v>
      </c>
      <c r="AE1" s="5" t="s">
        <v>4735</v>
      </c>
    </row>
    <row r="2" spans="1:31" x14ac:dyDescent="0.25">
      <c r="A2" s="2" t="s">
        <v>4379</v>
      </c>
      <c r="B2" s="2">
        <v>413841</v>
      </c>
      <c r="C2" s="2" t="s">
        <v>15</v>
      </c>
      <c r="D2" s="2" t="s">
        <v>4669</v>
      </c>
      <c r="E2" s="2" t="s">
        <v>86</v>
      </c>
      <c r="F2" s="2" t="s">
        <v>88</v>
      </c>
      <c r="G2" s="2" t="s">
        <v>99</v>
      </c>
      <c r="H2" s="2" t="s">
        <v>87</v>
      </c>
      <c r="I2" s="2" t="s">
        <v>33</v>
      </c>
      <c r="J2" s="2" t="s">
        <v>91</v>
      </c>
      <c r="K2" s="2" t="s">
        <v>13</v>
      </c>
      <c r="L2" s="2" t="s">
        <v>25</v>
      </c>
      <c r="M2" s="2" t="s">
        <v>22</v>
      </c>
      <c r="N2" s="2" t="s">
        <v>15</v>
      </c>
      <c r="O2" s="2" t="s">
        <v>95</v>
      </c>
      <c r="P2" s="2" t="s">
        <v>4381</v>
      </c>
      <c r="Q2" s="2" t="s">
        <v>4926</v>
      </c>
      <c r="R2" s="2" t="s">
        <v>3604</v>
      </c>
      <c r="S2" s="2" t="s">
        <v>93</v>
      </c>
      <c r="T2" s="2" t="s">
        <v>4696</v>
      </c>
      <c r="U2" s="2" t="s">
        <v>12</v>
      </c>
      <c r="V2" s="2" t="s">
        <v>4865</v>
      </c>
      <c r="W2" s="2" t="s">
        <v>4923</v>
      </c>
      <c r="X2" s="2" t="s">
        <v>4925</v>
      </c>
      <c r="Y2" s="2" t="s">
        <v>4380</v>
      </c>
      <c r="Z2" s="2" t="s">
        <v>4924</v>
      </c>
      <c r="AA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" s="6" t="str">
        <f>IF(_xlfn.IFNA(INDEX(configuracoes!$A$2:$A$10,MATCH(base_tc_geral[[#This Row],[TIPO]],configuracoes!$A$2:$A$10,0)),"NÃO")="NÃO","NÃO","SIM")</f>
        <v>SIM</v>
      </c>
    </row>
    <row r="3" spans="1:31" x14ac:dyDescent="0.25">
      <c r="A3" s="2" t="s">
        <v>3603</v>
      </c>
      <c r="B3" s="2">
        <v>413841</v>
      </c>
      <c r="C3" s="2" t="s">
        <v>15</v>
      </c>
      <c r="D3" s="2" t="s">
        <v>4669</v>
      </c>
      <c r="E3" s="2" t="s">
        <v>86</v>
      </c>
      <c r="F3" s="2" t="s">
        <v>88</v>
      </c>
      <c r="G3" s="2" t="s">
        <v>99</v>
      </c>
      <c r="H3" s="2" t="s">
        <v>87</v>
      </c>
      <c r="I3" s="2" t="s">
        <v>33</v>
      </c>
      <c r="J3" s="2" t="s">
        <v>91</v>
      </c>
      <c r="K3" s="2" t="s">
        <v>13</v>
      </c>
      <c r="L3" s="2" t="s">
        <v>25</v>
      </c>
      <c r="M3" s="2" t="s">
        <v>22</v>
      </c>
      <c r="N3" s="2" t="s">
        <v>15</v>
      </c>
      <c r="O3" s="2" t="s">
        <v>95</v>
      </c>
      <c r="P3" s="2" t="s">
        <v>3606</v>
      </c>
      <c r="Q3" s="2" t="s">
        <v>4926</v>
      </c>
      <c r="R3" s="2" t="s">
        <v>3604</v>
      </c>
      <c r="S3" s="2" t="s">
        <v>93</v>
      </c>
      <c r="T3" s="2" t="s">
        <v>4696</v>
      </c>
      <c r="U3" s="2" t="s">
        <v>12</v>
      </c>
      <c r="V3" s="2" t="s">
        <v>4865</v>
      </c>
      <c r="W3" s="2" t="s">
        <v>4923</v>
      </c>
      <c r="X3" s="2" t="s">
        <v>4925</v>
      </c>
      <c r="Y3" s="2" t="s">
        <v>3605</v>
      </c>
      <c r="Z3" s="2" t="s">
        <v>4927</v>
      </c>
      <c r="AA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" s="6" t="str">
        <f>IF(_xlfn.IFNA(INDEX(configuracoes!$A$2:$A$10,MATCH(base_tc_geral[[#This Row],[TIPO]],configuracoes!$A$2:$A$10,0)),"NÃO")="NÃO","NÃO","SIM")</f>
        <v>SIM</v>
      </c>
    </row>
    <row r="4" spans="1:31" x14ac:dyDescent="0.25">
      <c r="A4" s="2" t="s">
        <v>4928</v>
      </c>
      <c r="B4" s="2">
        <v>101010210</v>
      </c>
      <c r="C4" s="2" t="s">
        <v>15</v>
      </c>
      <c r="D4" s="2" t="s">
        <v>4669</v>
      </c>
      <c r="E4" s="2" t="s">
        <v>47</v>
      </c>
      <c r="F4" s="2" t="s">
        <v>264</v>
      </c>
      <c r="G4" s="2" t="s">
        <v>613</v>
      </c>
      <c r="H4" s="2" t="s">
        <v>227</v>
      </c>
      <c r="I4" s="2" t="s">
        <v>16</v>
      </c>
      <c r="J4" s="2" t="s">
        <v>227</v>
      </c>
      <c r="K4" s="2" t="s">
        <v>13</v>
      </c>
      <c r="L4" s="2" t="s">
        <v>25</v>
      </c>
      <c r="M4" s="2" t="s">
        <v>22</v>
      </c>
      <c r="N4" s="2" t="s">
        <v>15</v>
      </c>
      <c r="O4" s="2" t="s">
        <v>266</v>
      </c>
      <c r="P4" s="2" t="s">
        <v>4930</v>
      </c>
      <c r="Q4" s="2" t="s">
        <v>4926</v>
      </c>
      <c r="R4" s="2" t="s">
        <v>294</v>
      </c>
      <c r="S4" s="2" t="s">
        <v>101</v>
      </c>
      <c r="T4" s="2" t="s">
        <v>4697</v>
      </c>
      <c r="U4" s="2" t="s">
        <v>12</v>
      </c>
      <c r="V4" s="2" t="s">
        <v>4903</v>
      </c>
      <c r="W4" s="2" t="s">
        <v>4931</v>
      </c>
      <c r="X4" s="2" t="s">
        <v>4925</v>
      </c>
      <c r="Y4" s="2" t="s">
        <v>4929</v>
      </c>
      <c r="Z4" s="2" t="s">
        <v>4932</v>
      </c>
      <c r="AA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" s="6" t="str">
        <f>IF(_xlfn.IFNA(INDEX(configuracoes!$A$2:$A$10,MATCH(base_tc_geral[[#This Row],[TIPO]],configuracoes!$A$2:$A$10,0)),"NÃO")="NÃO","NÃO","SIM")</f>
        <v>SIM</v>
      </c>
    </row>
    <row r="5" spans="1:31" x14ac:dyDescent="0.25">
      <c r="A5" s="2" t="s">
        <v>4933</v>
      </c>
      <c r="B5" s="2">
        <v>101001488</v>
      </c>
      <c r="C5" s="2" t="s">
        <v>15</v>
      </c>
      <c r="D5" s="2" t="s">
        <v>4669</v>
      </c>
      <c r="E5" s="2" t="s">
        <v>47</v>
      </c>
      <c r="F5" s="2" t="s">
        <v>251</v>
      </c>
      <c r="G5" s="2" t="s">
        <v>613</v>
      </c>
      <c r="H5" s="2" t="s">
        <v>224</v>
      </c>
      <c r="I5" s="2" t="s">
        <v>16</v>
      </c>
      <c r="J5" s="2" t="s">
        <v>227</v>
      </c>
      <c r="K5" s="2" t="s">
        <v>13</v>
      </c>
      <c r="L5" s="2" t="s">
        <v>25</v>
      </c>
      <c r="M5" s="2" t="s">
        <v>22</v>
      </c>
      <c r="N5" s="2" t="s">
        <v>15</v>
      </c>
      <c r="O5" s="2" t="s">
        <v>229</v>
      </c>
      <c r="P5" s="2" t="s">
        <v>4935</v>
      </c>
      <c r="Q5" s="2" t="s">
        <v>4926</v>
      </c>
      <c r="R5" s="2" t="s">
        <v>252</v>
      </c>
      <c r="S5" s="2" t="s">
        <v>101</v>
      </c>
      <c r="T5" s="2" t="s">
        <v>4697</v>
      </c>
      <c r="U5" s="2" t="s">
        <v>12</v>
      </c>
      <c r="V5" s="2" t="s">
        <v>4839</v>
      </c>
      <c r="W5" s="2" t="s">
        <v>4931</v>
      </c>
      <c r="X5" s="2" t="s">
        <v>4925</v>
      </c>
      <c r="Y5" s="2" t="s">
        <v>4934</v>
      </c>
      <c r="Z5" s="2" t="s">
        <v>4936</v>
      </c>
      <c r="AA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" s="6" t="str">
        <f>IF(_xlfn.IFNA(INDEX(configuracoes!$A$2:$A$10,MATCH(base_tc_geral[[#This Row],[TIPO]],configuracoes!$A$2:$A$10,0)),"NÃO")="NÃO","NÃO","SIM")</f>
        <v>SIM</v>
      </c>
    </row>
    <row r="6" spans="1:31" x14ac:dyDescent="0.25">
      <c r="A6" s="2" t="s">
        <v>4937</v>
      </c>
      <c r="B6" s="2">
        <v>101008003</v>
      </c>
      <c r="C6" s="2" t="s">
        <v>15</v>
      </c>
      <c r="D6" s="2" t="s">
        <v>4669</v>
      </c>
      <c r="E6" s="2" t="s">
        <v>47</v>
      </c>
      <c r="F6" s="2" t="s">
        <v>98</v>
      </c>
      <c r="G6" s="2" t="s">
        <v>613</v>
      </c>
      <c r="H6" s="2" t="s">
        <v>56</v>
      </c>
      <c r="I6" s="2" t="s">
        <v>16</v>
      </c>
      <c r="J6" s="2" t="s">
        <v>60</v>
      </c>
      <c r="K6" s="2" t="s">
        <v>13</v>
      </c>
      <c r="L6" s="2" t="s">
        <v>25</v>
      </c>
      <c r="M6" s="2" t="s">
        <v>22</v>
      </c>
      <c r="N6" s="2" t="s">
        <v>15</v>
      </c>
      <c r="O6" s="2" t="s">
        <v>63</v>
      </c>
      <c r="P6" s="2" t="s">
        <v>4939</v>
      </c>
      <c r="Q6" s="2" t="s">
        <v>4926</v>
      </c>
      <c r="R6" s="2" t="s">
        <v>100</v>
      </c>
      <c r="S6" s="2" t="s">
        <v>101</v>
      </c>
      <c r="T6" s="2" t="s">
        <v>4697</v>
      </c>
      <c r="U6" s="2" t="s">
        <v>12</v>
      </c>
      <c r="V6" s="2" t="s">
        <v>4808</v>
      </c>
      <c r="W6" s="2" t="s">
        <v>4931</v>
      </c>
      <c r="X6" s="2" t="s">
        <v>4925</v>
      </c>
      <c r="Y6" s="2" t="s">
        <v>4938</v>
      </c>
      <c r="Z6" s="2" t="s">
        <v>4940</v>
      </c>
      <c r="AA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" s="6" t="str">
        <f>IF(_xlfn.IFNA(INDEX(configuracoes!$A$2:$A$10,MATCH(base_tc_geral[[#This Row],[TIPO]],configuracoes!$A$2:$A$10,0)),"NÃO")="NÃO","NÃO","SIM")</f>
        <v>SIM</v>
      </c>
    </row>
    <row r="7" spans="1:31" x14ac:dyDescent="0.25">
      <c r="A7" s="2" t="s">
        <v>4389</v>
      </c>
      <c r="B7" s="2">
        <v>413841</v>
      </c>
      <c r="C7" s="2" t="s">
        <v>15</v>
      </c>
      <c r="D7" s="2" t="s">
        <v>4669</v>
      </c>
      <c r="E7" s="2" t="s">
        <v>86</v>
      </c>
      <c r="F7" s="2" t="s">
        <v>88</v>
      </c>
      <c r="G7" s="2" t="s">
        <v>99</v>
      </c>
      <c r="H7" s="2" t="s">
        <v>87</v>
      </c>
      <c r="I7" s="2" t="s">
        <v>33</v>
      </c>
      <c r="J7" s="2" t="s">
        <v>91</v>
      </c>
      <c r="K7" s="2" t="s">
        <v>13</v>
      </c>
      <c r="L7" s="2" t="s">
        <v>25</v>
      </c>
      <c r="M7" s="2" t="s">
        <v>22</v>
      </c>
      <c r="N7" s="2" t="s">
        <v>15</v>
      </c>
      <c r="O7" s="2" t="s">
        <v>95</v>
      </c>
      <c r="P7" s="2" t="s">
        <v>4391</v>
      </c>
      <c r="Q7" s="2" t="s">
        <v>4926</v>
      </c>
      <c r="R7" s="2" t="s">
        <v>3604</v>
      </c>
      <c r="S7" s="2" t="s">
        <v>93</v>
      </c>
      <c r="T7" s="2" t="s">
        <v>4696</v>
      </c>
      <c r="U7" s="2" t="s">
        <v>12</v>
      </c>
      <c r="V7" s="2" t="s">
        <v>4865</v>
      </c>
      <c r="W7" s="2" t="s">
        <v>4923</v>
      </c>
      <c r="X7" s="2" t="s">
        <v>4925</v>
      </c>
      <c r="Y7" s="2" t="s">
        <v>4390</v>
      </c>
      <c r="Z7" s="2" t="s">
        <v>4941</v>
      </c>
      <c r="AA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" s="6" t="str">
        <f>IF(_xlfn.IFNA(INDEX(configuracoes!$A$2:$A$10,MATCH(base_tc_geral[[#This Row],[TIPO]],configuracoes!$A$2:$A$10,0)),"NÃO")="NÃO","NÃO","SIM")</f>
        <v>SIM</v>
      </c>
    </row>
    <row r="8" spans="1:31" x14ac:dyDescent="0.25">
      <c r="A8" s="2" t="s">
        <v>4942</v>
      </c>
      <c r="B8" s="2">
        <v>101010821</v>
      </c>
      <c r="C8" s="2" t="s">
        <v>15</v>
      </c>
      <c r="D8" s="2" t="s">
        <v>4669</v>
      </c>
      <c r="E8" s="2" t="s">
        <v>47</v>
      </c>
      <c r="F8" s="2" t="s">
        <v>251</v>
      </c>
      <c r="G8" s="2" t="s">
        <v>613</v>
      </c>
      <c r="H8" s="2" t="s">
        <v>224</v>
      </c>
      <c r="I8" s="2" t="s">
        <v>16</v>
      </c>
      <c r="J8" s="2" t="s">
        <v>227</v>
      </c>
      <c r="K8" s="2" t="s">
        <v>13</v>
      </c>
      <c r="L8" s="2" t="s">
        <v>25</v>
      </c>
      <c r="M8" s="2" t="s">
        <v>22</v>
      </c>
      <c r="N8" s="2" t="s">
        <v>15</v>
      </c>
      <c r="O8" s="2" t="s">
        <v>229</v>
      </c>
      <c r="P8" s="2" t="s">
        <v>4944</v>
      </c>
      <c r="Q8" s="2" t="s">
        <v>4926</v>
      </c>
      <c r="R8" s="2" t="s">
        <v>4894</v>
      </c>
      <c r="S8" s="2" t="s">
        <v>101</v>
      </c>
      <c r="T8" s="2" t="s">
        <v>4697</v>
      </c>
      <c r="U8" s="2" t="s">
        <v>12</v>
      </c>
      <c r="V8" s="2" t="s">
        <v>4903</v>
      </c>
      <c r="W8" s="2" t="s">
        <v>4931</v>
      </c>
      <c r="X8" s="2" t="s">
        <v>4925</v>
      </c>
      <c r="Y8" s="2" t="s">
        <v>4943</v>
      </c>
      <c r="Z8" s="2" t="s">
        <v>4945</v>
      </c>
      <c r="AA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SILVA </v>
      </c>
      <c r="AB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" s="6" t="str">
        <f>IF(_xlfn.IFNA(INDEX(configuracoes!$A$2:$A$10,MATCH(base_tc_geral[[#This Row],[TIPO]],configuracoes!$A$2:$A$10,0)),"NÃO")="NÃO","NÃO","SIM")</f>
        <v>SIM</v>
      </c>
    </row>
    <row r="9" spans="1:31" x14ac:dyDescent="0.25">
      <c r="A9" s="2" t="s">
        <v>4946</v>
      </c>
      <c r="B9" s="2">
        <v>101010821</v>
      </c>
      <c r="C9" s="2" t="s">
        <v>15</v>
      </c>
      <c r="D9" s="2" t="s">
        <v>4669</v>
      </c>
      <c r="E9" s="2" t="s">
        <v>47</v>
      </c>
      <c r="F9" s="2" t="s">
        <v>251</v>
      </c>
      <c r="G9" s="2" t="s">
        <v>613</v>
      </c>
      <c r="H9" s="2" t="s">
        <v>224</v>
      </c>
      <c r="I9" s="2" t="s">
        <v>16</v>
      </c>
      <c r="J9" s="2" t="s">
        <v>227</v>
      </c>
      <c r="K9" s="2" t="s">
        <v>13</v>
      </c>
      <c r="L9" s="2" t="s">
        <v>25</v>
      </c>
      <c r="M9" s="2" t="s">
        <v>22</v>
      </c>
      <c r="N9" s="2" t="s">
        <v>15</v>
      </c>
      <c r="O9" s="2" t="s">
        <v>229</v>
      </c>
      <c r="P9" s="2" t="s">
        <v>4948</v>
      </c>
      <c r="Q9" s="2" t="s">
        <v>4926</v>
      </c>
      <c r="R9" s="2" t="s">
        <v>4894</v>
      </c>
      <c r="S9" s="2" t="s">
        <v>101</v>
      </c>
      <c r="T9" s="2" t="s">
        <v>4697</v>
      </c>
      <c r="U9" s="2" t="s">
        <v>12</v>
      </c>
      <c r="V9" s="2" t="s">
        <v>4839</v>
      </c>
      <c r="W9" s="2" t="s">
        <v>4931</v>
      </c>
      <c r="X9" s="2" t="s">
        <v>4925</v>
      </c>
      <c r="Y9" s="2" t="s">
        <v>4947</v>
      </c>
      <c r="Z9" s="2" t="s">
        <v>4949</v>
      </c>
      <c r="AA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SILVA </v>
      </c>
      <c r="AB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" s="6" t="str">
        <f>IF(_xlfn.IFNA(INDEX(configuracoes!$A$2:$A$10,MATCH(base_tc_geral[[#This Row],[TIPO]],configuracoes!$A$2:$A$10,0)),"NÃO")="NÃO","NÃO","SIM")</f>
        <v>SIM</v>
      </c>
    </row>
    <row r="10" spans="1:31" x14ac:dyDescent="0.25">
      <c r="A10" s="2" t="s">
        <v>4950</v>
      </c>
      <c r="B10" s="2">
        <v>101010210</v>
      </c>
      <c r="C10" s="2" t="s">
        <v>15</v>
      </c>
      <c r="D10" s="2" t="s">
        <v>4669</v>
      </c>
      <c r="E10" s="2" t="s">
        <v>47</v>
      </c>
      <c r="F10" s="2" t="s">
        <v>264</v>
      </c>
      <c r="G10" s="2" t="s">
        <v>613</v>
      </c>
      <c r="H10" s="2" t="s">
        <v>227</v>
      </c>
      <c r="I10" s="2" t="s">
        <v>16</v>
      </c>
      <c r="J10" s="2" t="s">
        <v>227</v>
      </c>
      <c r="K10" s="2" t="s">
        <v>13</v>
      </c>
      <c r="L10" s="2" t="s">
        <v>25</v>
      </c>
      <c r="M10" s="2" t="s">
        <v>22</v>
      </c>
      <c r="N10" s="2" t="s">
        <v>15</v>
      </c>
      <c r="O10" s="2" t="s">
        <v>266</v>
      </c>
      <c r="P10" s="2" t="s">
        <v>4952</v>
      </c>
      <c r="Q10" s="2" t="s">
        <v>4926</v>
      </c>
      <c r="R10" s="2" t="s">
        <v>294</v>
      </c>
      <c r="S10" s="2" t="s">
        <v>101</v>
      </c>
      <c r="T10" s="2" t="s">
        <v>4697</v>
      </c>
      <c r="U10" s="2" t="s">
        <v>12</v>
      </c>
      <c r="V10" s="2" t="s">
        <v>4903</v>
      </c>
      <c r="W10" s="2" t="s">
        <v>4931</v>
      </c>
      <c r="X10" s="2" t="s">
        <v>4925</v>
      </c>
      <c r="Y10" s="2" t="s">
        <v>4951</v>
      </c>
      <c r="Z10" s="2" t="s">
        <v>4953</v>
      </c>
      <c r="AA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" s="6" t="str">
        <f>IF(_xlfn.IFNA(INDEX(configuracoes!$A$2:$A$10,MATCH(base_tc_geral[[#This Row],[TIPO]],configuracoes!$A$2:$A$10,0)),"NÃO")="NÃO","NÃO","SIM")</f>
        <v>SIM</v>
      </c>
    </row>
    <row r="11" spans="1:31" x14ac:dyDescent="0.25">
      <c r="A11" s="2" t="s">
        <v>4954</v>
      </c>
      <c r="B11" s="2">
        <v>101008134</v>
      </c>
      <c r="C11" s="2" t="s">
        <v>15</v>
      </c>
      <c r="D11" s="2" t="s">
        <v>4669</v>
      </c>
      <c r="E11" s="2" t="s">
        <v>47</v>
      </c>
      <c r="F11" s="2" t="s">
        <v>159</v>
      </c>
      <c r="G11" s="2" t="s">
        <v>613</v>
      </c>
      <c r="H11" s="2" t="s">
        <v>60</v>
      </c>
      <c r="I11" s="2" t="s">
        <v>16</v>
      </c>
      <c r="J11" s="2" t="s">
        <v>60</v>
      </c>
      <c r="K11" s="2" t="s">
        <v>13</v>
      </c>
      <c r="L11" s="2" t="s">
        <v>25</v>
      </c>
      <c r="M11" s="2" t="s">
        <v>22</v>
      </c>
      <c r="N11" s="2" t="s">
        <v>15</v>
      </c>
      <c r="O11" s="2" t="s">
        <v>161</v>
      </c>
      <c r="P11" s="2" t="s">
        <v>4956</v>
      </c>
      <c r="Q11" s="2" t="s">
        <v>4926</v>
      </c>
      <c r="R11" s="2" t="s">
        <v>351</v>
      </c>
      <c r="S11" s="2" t="s">
        <v>101</v>
      </c>
      <c r="T11" s="2" t="s">
        <v>4697</v>
      </c>
      <c r="U11" s="2" t="s">
        <v>12</v>
      </c>
      <c r="V11" s="2" t="s">
        <v>4885</v>
      </c>
      <c r="W11" s="2" t="s">
        <v>4931</v>
      </c>
      <c r="X11" s="2" t="s">
        <v>4925</v>
      </c>
      <c r="Y11" s="2" t="s">
        <v>4955</v>
      </c>
      <c r="Z11" s="2" t="s">
        <v>4957</v>
      </c>
      <c r="AA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" s="6" t="str">
        <f>IF(_xlfn.IFNA(INDEX(configuracoes!$A$2:$A$10,MATCH(base_tc_geral[[#This Row],[TIPO]],configuracoes!$A$2:$A$10,0)),"NÃO")="NÃO","NÃO","SIM")</f>
        <v>SIM</v>
      </c>
    </row>
    <row r="12" spans="1:31" x14ac:dyDescent="0.25">
      <c r="A12" s="2" t="s">
        <v>4958</v>
      </c>
      <c r="B12" s="2">
        <v>101001488</v>
      </c>
      <c r="C12" s="2" t="s">
        <v>15</v>
      </c>
      <c r="D12" s="2" t="s">
        <v>4669</v>
      </c>
      <c r="E12" s="2" t="s">
        <v>47</v>
      </c>
      <c r="F12" s="2" t="s">
        <v>98</v>
      </c>
      <c r="G12" s="2" t="s">
        <v>613</v>
      </c>
      <c r="H12" s="2" t="s">
        <v>56</v>
      </c>
      <c r="I12" s="2" t="s">
        <v>16</v>
      </c>
      <c r="J12" s="2" t="s">
        <v>60</v>
      </c>
      <c r="K12" s="2" t="s">
        <v>13</v>
      </c>
      <c r="L12" s="2" t="s">
        <v>25</v>
      </c>
      <c r="M12" s="2" t="s">
        <v>22</v>
      </c>
      <c r="N12" s="2" t="s">
        <v>15</v>
      </c>
      <c r="O12" s="2" t="s">
        <v>63</v>
      </c>
      <c r="P12" s="2" t="s">
        <v>4960</v>
      </c>
      <c r="Q12" s="2" t="s">
        <v>4926</v>
      </c>
      <c r="R12" s="2" t="s">
        <v>252</v>
      </c>
      <c r="S12" s="2" t="s">
        <v>101</v>
      </c>
      <c r="T12" s="2" t="s">
        <v>4697</v>
      </c>
      <c r="U12" s="2" t="s">
        <v>12</v>
      </c>
      <c r="V12" s="2" t="s">
        <v>4808</v>
      </c>
      <c r="W12" s="2" t="s">
        <v>4931</v>
      </c>
      <c r="X12" s="2" t="s">
        <v>4925</v>
      </c>
      <c r="Y12" s="2" t="s">
        <v>4959</v>
      </c>
      <c r="Z12" s="2" t="s">
        <v>4961</v>
      </c>
      <c r="AA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" s="6" t="str">
        <f>IF(_xlfn.IFNA(INDEX(configuracoes!$A$2:$A$10,MATCH(base_tc_geral[[#This Row],[TIPO]],configuracoes!$A$2:$A$10,0)),"NÃO")="NÃO","NÃO","SIM")</f>
        <v>SIM</v>
      </c>
    </row>
    <row r="13" spans="1:31" x14ac:dyDescent="0.25">
      <c r="A13" s="2" t="s">
        <v>4962</v>
      </c>
      <c r="B13" s="2">
        <v>101001488</v>
      </c>
      <c r="C13" s="2" t="s">
        <v>15</v>
      </c>
      <c r="D13" s="2" t="s">
        <v>4669</v>
      </c>
      <c r="E13" s="2" t="s">
        <v>47</v>
      </c>
      <c r="F13" s="2" t="s">
        <v>159</v>
      </c>
      <c r="G13" s="2" t="s">
        <v>613</v>
      </c>
      <c r="H13" s="2" t="s">
        <v>60</v>
      </c>
      <c r="I13" s="2" t="s">
        <v>16</v>
      </c>
      <c r="J13" s="2" t="s">
        <v>60</v>
      </c>
      <c r="K13" s="2" t="s">
        <v>13</v>
      </c>
      <c r="L13" s="2" t="s">
        <v>25</v>
      </c>
      <c r="M13" s="2" t="s">
        <v>22</v>
      </c>
      <c r="N13" s="2" t="s">
        <v>15</v>
      </c>
      <c r="O13" s="2" t="s">
        <v>161</v>
      </c>
      <c r="P13" s="2" t="s">
        <v>4964</v>
      </c>
      <c r="Q13" s="2" t="s">
        <v>4926</v>
      </c>
      <c r="R13" s="2" t="s">
        <v>252</v>
      </c>
      <c r="S13" s="2" t="s">
        <v>101</v>
      </c>
      <c r="T13" s="2" t="s">
        <v>4697</v>
      </c>
      <c r="U13" s="2" t="s">
        <v>12</v>
      </c>
      <c r="V13" s="2" t="s">
        <v>4885</v>
      </c>
      <c r="W13" s="2" t="s">
        <v>4931</v>
      </c>
      <c r="X13" s="2" t="s">
        <v>4925</v>
      </c>
      <c r="Y13" s="2" t="s">
        <v>4963</v>
      </c>
      <c r="Z13" s="2" t="s">
        <v>4965</v>
      </c>
      <c r="AA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" s="6" t="str">
        <f>IF(_xlfn.IFNA(INDEX(configuracoes!$A$2:$A$10,MATCH(base_tc_geral[[#This Row],[TIPO]],configuracoes!$A$2:$A$10,0)),"NÃO")="NÃO","NÃO","SIM")</f>
        <v>SIM</v>
      </c>
    </row>
    <row r="14" spans="1:31" x14ac:dyDescent="0.25">
      <c r="A14" s="2" t="s">
        <v>4966</v>
      </c>
      <c r="B14" s="2">
        <v>101008003</v>
      </c>
      <c r="C14" s="2" t="s">
        <v>15</v>
      </c>
      <c r="D14" s="2" t="s">
        <v>4669</v>
      </c>
      <c r="E14" s="2" t="s">
        <v>47</v>
      </c>
      <c r="F14" s="2" t="s">
        <v>264</v>
      </c>
      <c r="G14" s="2" t="s">
        <v>613</v>
      </c>
      <c r="H14" s="2" t="s">
        <v>227</v>
      </c>
      <c r="I14" s="2" t="s">
        <v>16</v>
      </c>
      <c r="J14" s="2" t="s">
        <v>227</v>
      </c>
      <c r="K14" s="2" t="s">
        <v>13</v>
      </c>
      <c r="L14" s="2" t="s">
        <v>25</v>
      </c>
      <c r="M14" s="2" t="s">
        <v>22</v>
      </c>
      <c r="N14" s="2" t="s">
        <v>15</v>
      </c>
      <c r="O14" s="2" t="s">
        <v>266</v>
      </c>
      <c r="P14" s="2" t="s">
        <v>4968</v>
      </c>
      <c r="Q14" s="2" t="s">
        <v>4926</v>
      </c>
      <c r="R14" s="2" t="s">
        <v>100</v>
      </c>
      <c r="S14" s="2" t="s">
        <v>101</v>
      </c>
      <c r="T14" s="2" t="s">
        <v>4697</v>
      </c>
      <c r="U14" s="2" t="s">
        <v>12</v>
      </c>
      <c r="V14" s="2" t="s">
        <v>4903</v>
      </c>
      <c r="W14" s="2" t="s">
        <v>4931</v>
      </c>
      <c r="X14" s="2" t="s">
        <v>4925</v>
      </c>
      <c r="Y14" s="2" t="s">
        <v>4967</v>
      </c>
      <c r="Z14" s="2" t="s">
        <v>4969</v>
      </c>
      <c r="AA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" s="6" t="str">
        <f>IF(_xlfn.IFNA(INDEX(configuracoes!$A$2:$A$10,MATCH(base_tc_geral[[#This Row],[TIPO]],configuracoes!$A$2:$A$10,0)),"NÃO")="NÃO","NÃO","SIM")</f>
        <v>SIM</v>
      </c>
    </row>
    <row r="15" spans="1:31" x14ac:dyDescent="0.25">
      <c r="A15" s="2" t="s">
        <v>5093</v>
      </c>
      <c r="B15" s="2">
        <v>101010210</v>
      </c>
      <c r="C15" s="2" t="s">
        <v>15</v>
      </c>
      <c r="D15" s="2" t="s">
        <v>4675</v>
      </c>
      <c r="E15" s="2" t="s">
        <v>47</v>
      </c>
      <c r="F15" s="2" t="s">
        <v>264</v>
      </c>
      <c r="G15" s="2" t="s">
        <v>613</v>
      </c>
      <c r="H15" s="2" t="s">
        <v>227</v>
      </c>
      <c r="I15" s="2" t="s">
        <v>16</v>
      </c>
      <c r="J15" s="2" t="s">
        <v>227</v>
      </c>
      <c r="K15" s="2" t="s">
        <v>13</v>
      </c>
      <c r="L15" s="2" t="s">
        <v>25</v>
      </c>
      <c r="M15" s="2" t="s">
        <v>22</v>
      </c>
      <c r="N15" s="2" t="s">
        <v>15</v>
      </c>
      <c r="O15" s="2" t="s">
        <v>266</v>
      </c>
      <c r="P15" s="2" t="s">
        <v>5095</v>
      </c>
      <c r="Q15" s="2" t="s">
        <v>4926</v>
      </c>
      <c r="R15" s="2" t="s">
        <v>294</v>
      </c>
      <c r="S15" s="2" t="s">
        <v>101</v>
      </c>
      <c r="T15" s="2" t="s">
        <v>4697</v>
      </c>
      <c r="U15" s="2" t="s">
        <v>12</v>
      </c>
      <c r="V15" s="2" t="s">
        <v>4903</v>
      </c>
      <c r="W15" s="2" t="s">
        <v>4931</v>
      </c>
      <c r="X15" s="2" t="s">
        <v>4925</v>
      </c>
      <c r="Y15" s="2" t="s">
        <v>5094</v>
      </c>
      <c r="Z15" s="2" t="s">
        <v>5096</v>
      </c>
      <c r="AA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5" s="6" t="str">
        <f>IF(_xlfn.IFNA(INDEX(configuracoes!$A$2:$A$10,MATCH(base_tc_geral[[#This Row],[TIPO]],configuracoes!$A$2:$A$10,0)),"NÃO")="NÃO","NÃO","SIM")</f>
        <v>SIM</v>
      </c>
    </row>
    <row r="16" spans="1:31" x14ac:dyDescent="0.25">
      <c r="A16" s="2" t="s">
        <v>5097</v>
      </c>
      <c r="B16" s="2">
        <v>101008003</v>
      </c>
      <c r="C16" s="2" t="s">
        <v>15</v>
      </c>
      <c r="D16" s="2" t="s">
        <v>4669</v>
      </c>
      <c r="E16" s="2" t="s">
        <v>47</v>
      </c>
      <c r="F16" s="2" t="s">
        <v>264</v>
      </c>
      <c r="G16" s="2" t="s">
        <v>613</v>
      </c>
      <c r="H16" s="2" t="s">
        <v>227</v>
      </c>
      <c r="I16" s="2" t="s">
        <v>16</v>
      </c>
      <c r="J16" s="2" t="s">
        <v>227</v>
      </c>
      <c r="K16" s="2" t="s">
        <v>13</v>
      </c>
      <c r="L16" s="2" t="s">
        <v>25</v>
      </c>
      <c r="M16" s="2" t="s">
        <v>22</v>
      </c>
      <c r="N16" s="2" t="s">
        <v>15</v>
      </c>
      <c r="O16" s="2" t="s">
        <v>266</v>
      </c>
      <c r="P16" s="2" t="s">
        <v>5099</v>
      </c>
      <c r="Q16" s="2" t="s">
        <v>4926</v>
      </c>
      <c r="R16" s="2" t="s">
        <v>100</v>
      </c>
      <c r="S16" s="2" t="s">
        <v>101</v>
      </c>
      <c r="T16" s="2" t="s">
        <v>4697</v>
      </c>
      <c r="U16" s="2" t="s">
        <v>12</v>
      </c>
      <c r="V16" s="2" t="s">
        <v>4903</v>
      </c>
      <c r="W16" s="2" t="s">
        <v>4931</v>
      </c>
      <c r="X16" s="2" t="s">
        <v>4925</v>
      </c>
      <c r="Y16" s="2" t="s">
        <v>5098</v>
      </c>
      <c r="Z16" s="2" t="s">
        <v>5100</v>
      </c>
      <c r="AA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" s="6" t="str">
        <f>IF(_xlfn.IFNA(INDEX(configuracoes!$A$2:$A$10,MATCH(base_tc_geral[[#This Row],[TIPO]],configuracoes!$A$2:$A$10,0)),"NÃO")="NÃO","NÃO","SIM")</f>
        <v>SIM</v>
      </c>
    </row>
    <row r="17" spans="1:31" x14ac:dyDescent="0.25">
      <c r="A17" s="2" t="s">
        <v>5101</v>
      </c>
      <c r="B17" s="2">
        <v>101008134</v>
      </c>
      <c r="C17" s="2" t="s">
        <v>15</v>
      </c>
      <c r="D17" s="2" t="s">
        <v>4669</v>
      </c>
      <c r="E17" s="2" t="s">
        <v>47</v>
      </c>
      <c r="F17" s="2" t="s">
        <v>98</v>
      </c>
      <c r="G17" s="2" t="s">
        <v>613</v>
      </c>
      <c r="H17" s="2" t="s">
        <v>56</v>
      </c>
      <c r="I17" s="2" t="s">
        <v>16</v>
      </c>
      <c r="J17" s="2" t="s">
        <v>60</v>
      </c>
      <c r="K17" s="2" t="s">
        <v>13</v>
      </c>
      <c r="L17" s="2" t="s">
        <v>25</v>
      </c>
      <c r="M17" s="2" t="s">
        <v>22</v>
      </c>
      <c r="N17" s="2" t="s">
        <v>15</v>
      </c>
      <c r="O17" s="2" t="s">
        <v>63</v>
      </c>
      <c r="P17" s="2" t="s">
        <v>5103</v>
      </c>
      <c r="Q17" s="2" t="s">
        <v>4926</v>
      </c>
      <c r="R17" s="2" t="s">
        <v>351</v>
      </c>
      <c r="S17" s="2" t="s">
        <v>101</v>
      </c>
      <c r="T17" s="2" t="s">
        <v>4697</v>
      </c>
      <c r="U17" s="2" t="s">
        <v>12</v>
      </c>
      <c r="V17" s="2" t="s">
        <v>4808</v>
      </c>
      <c r="W17" s="2" t="s">
        <v>4931</v>
      </c>
      <c r="X17" s="2" t="s">
        <v>4925</v>
      </c>
      <c r="Y17" s="2" t="s">
        <v>5102</v>
      </c>
      <c r="Z17" s="2" t="s">
        <v>5104</v>
      </c>
      <c r="AA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7" s="6" t="str">
        <f>IF(_xlfn.IFNA(INDEX(configuracoes!$A$2:$A$10,MATCH(base_tc_geral[[#This Row],[TIPO]],configuracoes!$A$2:$A$10,0)),"NÃO")="NÃO","NÃO","SIM")</f>
        <v>SIM</v>
      </c>
    </row>
    <row r="18" spans="1:31" x14ac:dyDescent="0.25">
      <c r="A18" s="2" t="s">
        <v>4410</v>
      </c>
      <c r="B18" s="2">
        <v>413841</v>
      </c>
      <c r="C18" s="2" t="s">
        <v>15</v>
      </c>
      <c r="D18" s="2" t="s">
        <v>4669</v>
      </c>
      <c r="E18" s="2" t="s">
        <v>86</v>
      </c>
      <c r="F18" s="2" t="s">
        <v>88</v>
      </c>
      <c r="G18" s="2" t="s">
        <v>99</v>
      </c>
      <c r="H18" s="2" t="s">
        <v>87</v>
      </c>
      <c r="I18" s="2" t="s">
        <v>33</v>
      </c>
      <c r="J18" s="2" t="s">
        <v>91</v>
      </c>
      <c r="K18" s="2" t="s">
        <v>13</v>
      </c>
      <c r="L18" s="2" t="s">
        <v>25</v>
      </c>
      <c r="M18" s="2" t="s">
        <v>22</v>
      </c>
      <c r="N18" s="2" t="s">
        <v>15</v>
      </c>
      <c r="O18" s="2" t="s">
        <v>95</v>
      </c>
      <c r="P18" s="2" t="s">
        <v>4412</v>
      </c>
      <c r="Q18" s="2" t="s">
        <v>4926</v>
      </c>
      <c r="R18" s="2" t="s">
        <v>3604</v>
      </c>
      <c r="S18" s="2" t="s">
        <v>93</v>
      </c>
      <c r="T18" s="2" t="s">
        <v>4696</v>
      </c>
      <c r="U18" s="2" t="s">
        <v>12</v>
      </c>
      <c r="V18" s="2" t="s">
        <v>4865</v>
      </c>
      <c r="W18" s="2" t="s">
        <v>4923</v>
      </c>
      <c r="X18" s="2" t="s">
        <v>4925</v>
      </c>
      <c r="Y18" s="2" t="s">
        <v>4411</v>
      </c>
      <c r="Z18" s="2" t="s">
        <v>5105</v>
      </c>
      <c r="AA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" s="6" t="str">
        <f>IF(_xlfn.IFNA(INDEX(configuracoes!$A$2:$A$10,MATCH(base_tc_geral[[#This Row],[TIPO]],configuracoes!$A$2:$A$10,0)),"NÃO")="NÃO","NÃO","SIM")</f>
        <v>SIM</v>
      </c>
    </row>
    <row r="19" spans="1:31" x14ac:dyDescent="0.25">
      <c r="A19" s="2" t="s">
        <v>5106</v>
      </c>
      <c r="B19" s="2">
        <v>101008003</v>
      </c>
      <c r="C19" s="2" t="s">
        <v>15</v>
      </c>
      <c r="D19" s="2" t="s">
        <v>4669</v>
      </c>
      <c r="E19" s="2" t="s">
        <v>47</v>
      </c>
      <c r="F19" s="2" t="s">
        <v>264</v>
      </c>
      <c r="G19" s="2" t="s">
        <v>613</v>
      </c>
      <c r="H19" s="2" t="s">
        <v>227</v>
      </c>
      <c r="I19" s="2" t="s">
        <v>16</v>
      </c>
      <c r="J19" s="2" t="s">
        <v>227</v>
      </c>
      <c r="K19" s="2" t="s">
        <v>13</v>
      </c>
      <c r="L19" s="2" t="s">
        <v>25</v>
      </c>
      <c r="M19" s="2" t="s">
        <v>22</v>
      </c>
      <c r="N19" s="2" t="s">
        <v>15</v>
      </c>
      <c r="O19" s="2" t="s">
        <v>266</v>
      </c>
      <c r="P19" s="2" t="s">
        <v>5108</v>
      </c>
      <c r="Q19" s="2" t="s">
        <v>4926</v>
      </c>
      <c r="R19" s="2" t="s">
        <v>100</v>
      </c>
      <c r="S19" s="2" t="s">
        <v>101</v>
      </c>
      <c r="T19" s="2" t="s">
        <v>4697</v>
      </c>
      <c r="U19" s="2" t="s">
        <v>12</v>
      </c>
      <c r="V19" s="2" t="s">
        <v>4903</v>
      </c>
      <c r="W19" s="2" t="s">
        <v>4931</v>
      </c>
      <c r="X19" s="2" t="s">
        <v>4925</v>
      </c>
      <c r="Y19" s="2" t="s">
        <v>5107</v>
      </c>
      <c r="Z19" s="2" t="s">
        <v>5109</v>
      </c>
      <c r="AA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" s="6" t="str">
        <f>IF(_xlfn.IFNA(INDEX(configuracoes!$A$2:$A$10,MATCH(base_tc_geral[[#This Row],[TIPO]],configuracoes!$A$2:$A$10,0)),"NÃO")="NÃO","NÃO","SIM")</f>
        <v>SIM</v>
      </c>
    </row>
    <row r="20" spans="1:31" x14ac:dyDescent="0.25">
      <c r="A20" s="2" t="s">
        <v>5110</v>
      </c>
      <c r="B20" s="2">
        <v>101001488</v>
      </c>
      <c r="C20" s="2" t="s">
        <v>15</v>
      </c>
      <c r="D20" s="2" t="s">
        <v>4669</v>
      </c>
      <c r="E20" s="2" t="s">
        <v>47</v>
      </c>
      <c r="F20" s="2" t="s">
        <v>264</v>
      </c>
      <c r="G20" s="2" t="s">
        <v>613</v>
      </c>
      <c r="H20" s="2" t="s">
        <v>227</v>
      </c>
      <c r="I20" s="2" t="s">
        <v>16</v>
      </c>
      <c r="J20" s="2" t="s">
        <v>227</v>
      </c>
      <c r="K20" s="2" t="s">
        <v>13</v>
      </c>
      <c r="L20" s="2" t="s">
        <v>25</v>
      </c>
      <c r="M20" s="2" t="s">
        <v>22</v>
      </c>
      <c r="N20" s="2" t="s">
        <v>15</v>
      </c>
      <c r="O20" s="2" t="s">
        <v>266</v>
      </c>
      <c r="P20" s="2" t="s">
        <v>5112</v>
      </c>
      <c r="Q20" s="2" t="s">
        <v>4926</v>
      </c>
      <c r="R20" s="2" t="s">
        <v>252</v>
      </c>
      <c r="S20" s="2" t="s">
        <v>101</v>
      </c>
      <c r="T20" s="2" t="s">
        <v>4697</v>
      </c>
      <c r="U20" s="2" t="s">
        <v>12</v>
      </c>
      <c r="V20" s="2" t="s">
        <v>4903</v>
      </c>
      <c r="W20" s="2" t="s">
        <v>4931</v>
      </c>
      <c r="X20" s="2" t="s">
        <v>4925</v>
      </c>
      <c r="Y20" s="2" t="s">
        <v>5111</v>
      </c>
      <c r="Z20" s="2" t="s">
        <v>5113</v>
      </c>
      <c r="AA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" s="6" t="str">
        <f>IF(_xlfn.IFNA(INDEX(configuracoes!$A$2:$A$10,MATCH(base_tc_geral[[#This Row],[TIPO]],configuracoes!$A$2:$A$10,0)),"NÃO")="NÃO","NÃO","SIM")</f>
        <v>SIM</v>
      </c>
    </row>
    <row r="21" spans="1:31" x14ac:dyDescent="0.25">
      <c r="A21" s="2" t="s">
        <v>5114</v>
      </c>
      <c r="B21" s="2">
        <v>101008134</v>
      </c>
      <c r="C21" s="2" t="s">
        <v>15</v>
      </c>
      <c r="D21" s="2" t="s">
        <v>4669</v>
      </c>
      <c r="E21" s="2" t="s">
        <v>47</v>
      </c>
      <c r="F21" s="2" t="s">
        <v>98</v>
      </c>
      <c r="G21" s="2" t="s">
        <v>613</v>
      </c>
      <c r="H21" s="2" t="s">
        <v>56</v>
      </c>
      <c r="I21" s="2" t="s">
        <v>16</v>
      </c>
      <c r="J21" s="2" t="s">
        <v>60</v>
      </c>
      <c r="K21" s="2" t="s">
        <v>13</v>
      </c>
      <c r="L21" s="2" t="s">
        <v>25</v>
      </c>
      <c r="M21" s="2" t="s">
        <v>22</v>
      </c>
      <c r="N21" s="2" t="s">
        <v>15</v>
      </c>
      <c r="O21" s="2" t="s">
        <v>63</v>
      </c>
      <c r="P21" s="2" t="s">
        <v>5116</v>
      </c>
      <c r="Q21" s="2" t="s">
        <v>4926</v>
      </c>
      <c r="R21" s="2" t="s">
        <v>351</v>
      </c>
      <c r="S21" s="2" t="s">
        <v>101</v>
      </c>
      <c r="T21" s="2" t="s">
        <v>4697</v>
      </c>
      <c r="U21" s="2" t="s">
        <v>12</v>
      </c>
      <c r="V21" s="2" t="s">
        <v>4808</v>
      </c>
      <c r="W21" s="2" t="s">
        <v>4931</v>
      </c>
      <c r="X21" s="2" t="s">
        <v>4925</v>
      </c>
      <c r="Y21" s="2" t="s">
        <v>5115</v>
      </c>
      <c r="Z21" s="2" t="s">
        <v>5117</v>
      </c>
      <c r="AA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" s="6" t="str">
        <f>IF(_xlfn.IFNA(INDEX(configuracoes!$A$2:$A$10,MATCH(base_tc_geral[[#This Row],[TIPO]],configuracoes!$A$2:$A$10,0)),"NÃO")="NÃO","NÃO","SIM")</f>
        <v>SIM</v>
      </c>
    </row>
    <row r="22" spans="1:31" x14ac:dyDescent="0.25">
      <c r="A22" s="2" t="s">
        <v>4970</v>
      </c>
      <c r="B22" s="2">
        <v>101001488</v>
      </c>
      <c r="C22" s="2" t="s">
        <v>15</v>
      </c>
      <c r="D22" s="2" t="s">
        <v>4669</v>
      </c>
      <c r="E22" s="2" t="s">
        <v>47</v>
      </c>
      <c r="F22" s="2" t="s">
        <v>159</v>
      </c>
      <c r="G22" s="2" t="s">
        <v>613</v>
      </c>
      <c r="H22" s="2" t="s">
        <v>60</v>
      </c>
      <c r="I22" s="2" t="s">
        <v>16</v>
      </c>
      <c r="J22" s="2" t="s">
        <v>60</v>
      </c>
      <c r="K22" s="2" t="s">
        <v>13</v>
      </c>
      <c r="L22" s="2" t="s">
        <v>25</v>
      </c>
      <c r="M22" s="2" t="s">
        <v>22</v>
      </c>
      <c r="N22" s="2" t="s">
        <v>15</v>
      </c>
      <c r="O22" s="2" t="s">
        <v>161</v>
      </c>
      <c r="P22" s="2" t="s">
        <v>4972</v>
      </c>
      <c r="Q22" s="2" t="s">
        <v>4926</v>
      </c>
      <c r="R22" s="2" t="s">
        <v>252</v>
      </c>
      <c r="S22" s="2" t="s">
        <v>101</v>
      </c>
      <c r="T22" s="2" t="s">
        <v>4697</v>
      </c>
      <c r="U22" s="2" t="s">
        <v>12</v>
      </c>
      <c r="V22" s="2" t="s">
        <v>4885</v>
      </c>
      <c r="W22" s="2" t="s">
        <v>4931</v>
      </c>
      <c r="X22" s="2" t="s">
        <v>4925</v>
      </c>
      <c r="Y22" s="2" t="s">
        <v>4971</v>
      </c>
      <c r="Z22" s="2" t="s">
        <v>4973</v>
      </c>
      <c r="AA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" s="6" t="str">
        <f>IF(_xlfn.IFNA(INDEX(configuracoes!$A$2:$A$10,MATCH(base_tc_geral[[#This Row],[TIPO]],configuracoes!$A$2:$A$10,0)),"NÃO")="NÃO","NÃO","SIM")</f>
        <v>SIM</v>
      </c>
    </row>
    <row r="23" spans="1:31" x14ac:dyDescent="0.25">
      <c r="A23" s="2" t="s">
        <v>4974</v>
      </c>
      <c r="B23" s="2">
        <v>101010210</v>
      </c>
      <c r="C23" s="2" t="s">
        <v>15</v>
      </c>
      <c r="D23" s="2" t="s">
        <v>4669</v>
      </c>
      <c r="E23" s="2" t="s">
        <v>47</v>
      </c>
      <c r="F23" s="2" t="s">
        <v>264</v>
      </c>
      <c r="G23" s="2" t="s">
        <v>613</v>
      </c>
      <c r="H23" s="2" t="s">
        <v>227</v>
      </c>
      <c r="I23" s="2" t="s">
        <v>16</v>
      </c>
      <c r="J23" s="2" t="s">
        <v>227</v>
      </c>
      <c r="K23" s="2" t="s">
        <v>13</v>
      </c>
      <c r="L23" s="2" t="s">
        <v>25</v>
      </c>
      <c r="M23" s="2" t="s">
        <v>22</v>
      </c>
      <c r="N23" s="2" t="s">
        <v>15</v>
      </c>
      <c r="O23" s="2" t="s">
        <v>266</v>
      </c>
      <c r="P23" s="2" t="s">
        <v>4976</v>
      </c>
      <c r="Q23" s="2" t="s">
        <v>4926</v>
      </c>
      <c r="R23" s="2" t="s">
        <v>294</v>
      </c>
      <c r="S23" s="2" t="s">
        <v>101</v>
      </c>
      <c r="T23" s="2" t="s">
        <v>4697</v>
      </c>
      <c r="U23" s="2" t="s">
        <v>12</v>
      </c>
      <c r="V23" s="2" t="s">
        <v>4903</v>
      </c>
      <c r="W23" s="2" t="s">
        <v>4931</v>
      </c>
      <c r="X23" s="2" t="s">
        <v>4925</v>
      </c>
      <c r="Y23" s="2" t="s">
        <v>4975</v>
      </c>
      <c r="Z23" s="2" t="s">
        <v>4977</v>
      </c>
      <c r="AA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3" s="6" t="str">
        <f>IF(_xlfn.IFNA(INDEX(configuracoes!$A$2:$A$10,MATCH(base_tc_geral[[#This Row],[TIPO]],configuracoes!$A$2:$A$10,0)),"NÃO")="NÃO","NÃO","SIM")</f>
        <v>SIM</v>
      </c>
    </row>
    <row r="24" spans="1:31" x14ac:dyDescent="0.25">
      <c r="A24" s="2" t="s">
        <v>4978</v>
      </c>
      <c r="B24" s="2">
        <v>101010821</v>
      </c>
      <c r="C24" s="2" t="s">
        <v>15</v>
      </c>
      <c r="D24" s="2" t="s">
        <v>4669</v>
      </c>
      <c r="E24" s="2" t="s">
        <v>47</v>
      </c>
      <c r="F24" s="2" t="s">
        <v>159</v>
      </c>
      <c r="G24" s="2" t="s">
        <v>613</v>
      </c>
      <c r="H24" s="2" t="s">
        <v>60</v>
      </c>
      <c r="I24" s="2" t="s">
        <v>16</v>
      </c>
      <c r="J24" s="2" t="s">
        <v>60</v>
      </c>
      <c r="K24" s="2" t="s">
        <v>13</v>
      </c>
      <c r="L24" s="2" t="s">
        <v>25</v>
      </c>
      <c r="M24" s="2" t="s">
        <v>22</v>
      </c>
      <c r="N24" s="2" t="s">
        <v>15</v>
      </c>
      <c r="O24" s="2" t="s">
        <v>161</v>
      </c>
      <c r="P24" s="2" t="s">
        <v>4980</v>
      </c>
      <c r="Q24" s="2" t="s">
        <v>4926</v>
      </c>
      <c r="R24" s="2" t="s">
        <v>4894</v>
      </c>
      <c r="S24" s="2" t="s">
        <v>101</v>
      </c>
      <c r="T24" s="2" t="s">
        <v>4697</v>
      </c>
      <c r="U24" s="2" t="s">
        <v>12</v>
      </c>
      <c r="V24" s="2" t="s">
        <v>4885</v>
      </c>
      <c r="W24" s="2" t="s">
        <v>4931</v>
      </c>
      <c r="X24" s="2" t="s">
        <v>4925</v>
      </c>
      <c r="Y24" s="2" t="s">
        <v>4979</v>
      </c>
      <c r="Z24" s="2" t="s">
        <v>4981</v>
      </c>
      <c r="AA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SILVA </v>
      </c>
      <c r="AB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" s="6" t="str">
        <f>IF(_xlfn.IFNA(INDEX(configuracoes!$A$2:$A$10,MATCH(base_tc_geral[[#This Row],[TIPO]],configuracoes!$A$2:$A$10,0)),"NÃO")="NÃO","NÃO","SIM")</f>
        <v>SIM</v>
      </c>
    </row>
    <row r="25" spans="1:31" x14ac:dyDescent="0.25">
      <c r="A25" s="2" t="s">
        <v>4241</v>
      </c>
      <c r="B25" s="2">
        <v>101005241</v>
      </c>
      <c r="C25" s="2" t="s">
        <v>24</v>
      </c>
      <c r="D25" s="2" t="s">
        <v>4768</v>
      </c>
      <c r="E25" s="2" t="s">
        <v>47</v>
      </c>
      <c r="F25" s="2" t="s">
        <v>2862</v>
      </c>
      <c r="G25" s="2" t="s">
        <v>99</v>
      </c>
      <c r="H25" s="2" t="s">
        <v>141</v>
      </c>
      <c r="I25" s="2" t="s">
        <v>16</v>
      </c>
      <c r="J25" s="2" t="s">
        <v>141</v>
      </c>
      <c r="K25" s="2" t="s">
        <v>20</v>
      </c>
      <c r="L25" s="2" t="s">
        <v>25</v>
      </c>
      <c r="M25" s="2" t="s">
        <v>22</v>
      </c>
      <c r="N25" s="2" t="s">
        <v>24</v>
      </c>
      <c r="O25" s="2" t="s">
        <v>145</v>
      </c>
      <c r="P25" s="2" t="s">
        <v>4243</v>
      </c>
      <c r="Q25" s="2" t="s">
        <v>4926</v>
      </c>
      <c r="R25" s="2" t="s">
        <v>143</v>
      </c>
      <c r="S25" s="2" t="s">
        <v>4698</v>
      </c>
      <c r="T25" s="2" t="s">
        <v>4697</v>
      </c>
      <c r="U25" s="2" t="s">
        <v>39</v>
      </c>
      <c r="V25" s="2" t="s">
        <v>4845</v>
      </c>
      <c r="W25" s="2" t="s">
        <v>4982</v>
      </c>
      <c r="X25" s="2" t="s">
        <v>4925</v>
      </c>
      <c r="Y25" s="2" t="s">
        <v>4242</v>
      </c>
      <c r="Z25" s="2" t="s">
        <v>4983</v>
      </c>
      <c r="AA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5" s="6" t="str">
        <f>IF(_xlfn.IFNA(INDEX(configuracoes!$A$2:$A$10,MATCH(base_tc_geral[[#This Row],[TIPO]],configuracoes!$A$2:$A$10,0)),"NÃO")="NÃO","NÃO","SIM")</f>
        <v>SIM</v>
      </c>
    </row>
    <row r="26" spans="1:31" x14ac:dyDescent="0.25">
      <c r="A26" s="2" t="s">
        <v>720</v>
      </c>
      <c r="B26" s="2">
        <v>109000427</v>
      </c>
      <c r="C26" s="2" t="s">
        <v>24</v>
      </c>
      <c r="D26" s="2" t="s">
        <v>4503</v>
      </c>
      <c r="E26" s="2" t="s">
        <v>86</v>
      </c>
      <c r="F26" s="2" t="s">
        <v>559</v>
      </c>
      <c r="G26" s="2" t="s">
        <v>58</v>
      </c>
      <c r="H26" s="2" t="s">
        <v>558</v>
      </c>
      <c r="I26" s="2" t="s">
        <v>33</v>
      </c>
      <c r="J26" s="2" t="s">
        <v>91</v>
      </c>
      <c r="K26" s="2" t="s">
        <v>13</v>
      </c>
      <c r="L26" s="2" t="s">
        <v>61</v>
      </c>
      <c r="M26" s="2" t="s">
        <v>74</v>
      </c>
      <c r="N26" s="2" t="s">
        <v>24</v>
      </c>
      <c r="O26" s="2" t="s">
        <v>561</v>
      </c>
      <c r="P26" s="2" t="s">
        <v>722</v>
      </c>
      <c r="Q26" s="2" t="s">
        <v>4926</v>
      </c>
      <c r="R26" s="2" t="s">
        <v>259</v>
      </c>
      <c r="S26" s="2" t="s">
        <v>4699</v>
      </c>
      <c r="T26" s="2" t="s">
        <v>4696</v>
      </c>
      <c r="U26" s="2" t="s">
        <v>39</v>
      </c>
      <c r="V26" s="2" t="s">
        <v>4795</v>
      </c>
      <c r="W26" s="2" t="s">
        <v>4984</v>
      </c>
      <c r="X26" s="2" t="s">
        <v>74</v>
      </c>
      <c r="Y26" s="2" t="s">
        <v>721</v>
      </c>
      <c r="Z26" s="2" t="s">
        <v>4985</v>
      </c>
      <c r="AA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6" s="6" t="str">
        <f>IF(_xlfn.IFNA(INDEX(configuracoes!$A$2:$A$10,MATCH(base_tc_geral[[#This Row],[TIPO]],configuracoes!$A$2:$A$10,0)),"NÃO")="NÃO","NÃO","SIM")</f>
        <v>NÃO</v>
      </c>
    </row>
    <row r="27" spans="1:31" x14ac:dyDescent="0.25">
      <c r="A27" s="2" t="s">
        <v>3805</v>
      </c>
      <c r="B27" s="2">
        <v>109504534</v>
      </c>
      <c r="C27" s="2" t="s">
        <v>15</v>
      </c>
      <c r="D27" s="2" t="s">
        <v>4499</v>
      </c>
      <c r="E27" s="2" t="s">
        <v>86</v>
      </c>
      <c r="F27" s="2" t="s">
        <v>325</v>
      </c>
      <c r="G27" s="2" t="s">
        <v>58</v>
      </c>
      <c r="H27" s="2" t="s">
        <v>283</v>
      </c>
      <c r="I27" s="2" t="s">
        <v>33</v>
      </c>
      <c r="J27" s="2" t="s">
        <v>124</v>
      </c>
      <c r="K27" s="2" t="s">
        <v>13</v>
      </c>
      <c r="L27" s="2" t="s">
        <v>61</v>
      </c>
      <c r="M27" s="2" t="s">
        <v>44</v>
      </c>
      <c r="N27" s="2" t="s">
        <v>15</v>
      </c>
      <c r="O27" s="2" t="s">
        <v>287</v>
      </c>
      <c r="P27" s="2" t="s">
        <v>3807</v>
      </c>
      <c r="Q27" s="2" t="s">
        <v>4926</v>
      </c>
      <c r="R27" s="2" t="s">
        <v>1957</v>
      </c>
      <c r="S27" s="2" t="s">
        <v>4699</v>
      </c>
      <c r="T27" s="2" t="s">
        <v>4696</v>
      </c>
      <c r="U27" s="2" t="s">
        <v>12</v>
      </c>
      <c r="V27" s="2" t="s">
        <v>4797</v>
      </c>
      <c r="W27" s="2" t="s">
        <v>4984</v>
      </c>
      <c r="X27" s="2" t="s">
        <v>44</v>
      </c>
      <c r="Y27" s="2" t="s">
        <v>3806</v>
      </c>
      <c r="Z27" s="2" t="s">
        <v>4986</v>
      </c>
      <c r="AA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EDSON CARLOS </v>
      </c>
      <c r="AB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" s="6" t="str">
        <f>IF(_xlfn.IFNA(INDEX(configuracoes!$A$2:$A$10,MATCH(base_tc_geral[[#This Row],[TIPO]],configuracoes!$A$2:$A$10,0)),"NÃO")="NÃO","NÃO","SIM")</f>
        <v>NÃO</v>
      </c>
    </row>
    <row r="28" spans="1:31" x14ac:dyDescent="0.25">
      <c r="A28" s="2" t="s">
        <v>709</v>
      </c>
      <c r="B28" s="2">
        <v>101001670</v>
      </c>
      <c r="C28" s="2" t="s">
        <v>15</v>
      </c>
      <c r="D28" s="2" t="s">
        <v>4495</v>
      </c>
      <c r="E28" s="2" t="s">
        <v>47</v>
      </c>
      <c r="F28" s="2" t="s">
        <v>225</v>
      </c>
      <c r="G28" s="2" t="s">
        <v>711</v>
      </c>
      <c r="H28" s="2" t="s">
        <v>224</v>
      </c>
      <c r="I28" s="2" t="s">
        <v>16</v>
      </c>
      <c r="J28" s="2" t="s">
        <v>227</v>
      </c>
      <c r="K28" s="2" t="s">
        <v>13</v>
      </c>
      <c r="L28" s="2" t="s">
        <v>126</v>
      </c>
      <c r="M28" s="2" t="s">
        <v>128</v>
      </c>
      <c r="N28" s="2" t="s">
        <v>15</v>
      </c>
      <c r="O28" s="2" t="s">
        <v>229</v>
      </c>
      <c r="P28" s="2" t="s">
        <v>712</v>
      </c>
      <c r="Q28" s="2" t="s">
        <v>4926</v>
      </c>
      <c r="R28" s="2" t="s">
        <v>226</v>
      </c>
      <c r="S28" s="2" t="s">
        <v>4698</v>
      </c>
      <c r="T28" s="2" t="s">
        <v>4697</v>
      </c>
      <c r="U28" s="2" t="s">
        <v>12</v>
      </c>
      <c r="V28" s="2" t="s">
        <v>4844</v>
      </c>
      <c r="W28" s="2" t="s">
        <v>4987</v>
      </c>
      <c r="X28" s="2" t="s">
        <v>4989</v>
      </c>
      <c r="Y28" s="2" t="s">
        <v>710</v>
      </c>
      <c r="Z28" s="2" t="s">
        <v>4988</v>
      </c>
      <c r="AA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8" s="6" t="str">
        <f>IF(_xlfn.IFNA(INDEX(configuracoes!$A$2:$A$10,MATCH(base_tc_geral[[#This Row],[TIPO]],configuracoes!$A$2:$A$10,0)),"NÃO")="NÃO","NÃO","SIM")</f>
        <v>SIM</v>
      </c>
    </row>
    <row r="29" spans="1:31" x14ac:dyDescent="0.25">
      <c r="A29" s="2" t="s">
        <v>5118</v>
      </c>
      <c r="B29" s="2">
        <v>101010821</v>
      </c>
      <c r="C29" s="2" t="s">
        <v>15</v>
      </c>
      <c r="D29" s="2" t="s">
        <v>4669</v>
      </c>
      <c r="E29" s="2" t="s">
        <v>47</v>
      </c>
      <c r="F29" s="2" t="s">
        <v>159</v>
      </c>
      <c r="G29" s="2" t="s">
        <v>613</v>
      </c>
      <c r="H29" s="2" t="s">
        <v>60</v>
      </c>
      <c r="I29" s="2" t="s">
        <v>16</v>
      </c>
      <c r="J29" s="2" t="s">
        <v>60</v>
      </c>
      <c r="K29" s="2" t="s">
        <v>13</v>
      </c>
      <c r="L29" s="2" t="s">
        <v>25</v>
      </c>
      <c r="M29" s="2" t="s">
        <v>22</v>
      </c>
      <c r="N29" s="2" t="s">
        <v>15</v>
      </c>
      <c r="O29" s="2" t="s">
        <v>161</v>
      </c>
      <c r="P29" s="2" t="s">
        <v>5120</v>
      </c>
      <c r="Q29" s="2" t="s">
        <v>4926</v>
      </c>
      <c r="R29" s="2" t="s">
        <v>4894</v>
      </c>
      <c r="S29" s="2" t="s">
        <v>101</v>
      </c>
      <c r="T29" s="2" t="s">
        <v>4697</v>
      </c>
      <c r="U29" s="2" t="s">
        <v>12</v>
      </c>
      <c r="V29" s="2" t="s">
        <v>4839</v>
      </c>
      <c r="W29" s="2" t="s">
        <v>4931</v>
      </c>
      <c r="X29" s="2" t="s">
        <v>4925</v>
      </c>
      <c r="Y29" s="2" t="s">
        <v>5119</v>
      </c>
      <c r="Z29" s="2" t="s">
        <v>5121</v>
      </c>
      <c r="AA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SILVA </v>
      </c>
      <c r="AB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" s="6" t="str">
        <f>IF(_xlfn.IFNA(INDEX(configuracoes!$A$2:$A$10,MATCH(base_tc_geral[[#This Row],[TIPO]],configuracoes!$A$2:$A$10,0)),"NÃO")="NÃO","NÃO","SIM")</f>
        <v>SIM</v>
      </c>
    </row>
    <row r="30" spans="1:31" x14ac:dyDescent="0.25">
      <c r="A30" s="2" t="s">
        <v>4407</v>
      </c>
      <c r="B30" s="2">
        <v>413841</v>
      </c>
      <c r="C30" s="2" t="s">
        <v>15</v>
      </c>
      <c r="D30" s="2" t="s">
        <v>4669</v>
      </c>
      <c r="E30" s="2" t="s">
        <v>86</v>
      </c>
      <c r="F30" s="2" t="s">
        <v>88</v>
      </c>
      <c r="G30" s="2" t="s">
        <v>99</v>
      </c>
      <c r="H30" s="2" t="s">
        <v>87</v>
      </c>
      <c r="I30" s="2" t="s">
        <v>33</v>
      </c>
      <c r="J30" s="2" t="s">
        <v>91</v>
      </c>
      <c r="K30" s="2" t="s">
        <v>13</v>
      </c>
      <c r="L30" s="2" t="s">
        <v>25</v>
      </c>
      <c r="M30" s="2" t="s">
        <v>22</v>
      </c>
      <c r="N30" s="2" t="s">
        <v>15</v>
      </c>
      <c r="O30" s="2" t="s">
        <v>95</v>
      </c>
      <c r="P30" s="2" t="s">
        <v>4409</v>
      </c>
      <c r="Q30" s="2" t="s">
        <v>4926</v>
      </c>
      <c r="R30" s="2" t="s">
        <v>3604</v>
      </c>
      <c r="S30" s="2" t="s">
        <v>93</v>
      </c>
      <c r="T30" s="2" t="s">
        <v>4696</v>
      </c>
      <c r="U30" s="2" t="s">
        <v>12</v>
      </c>
      <c r="V30" s="2" t="s">
        <v>4865</v>
      </c>
      <c r="W30" s="2" t="s">
        <v>4923</v>
      </c>
      <c r="X30" s="2" t="s">
        <v>4925</v>
      </c>
      <c r="Y30" s="2" t="s">
        <v>4408</v>
      </c>
      <c r="Z30" s="2" t="s">
        <v>5122</v>
      </c>
      <c r="AA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" s="6" t="str">
        <f>IF(_xlfn.IFNA(INDEX(configuracoes!$A$2:$A$10,MATCH(base_tc_geral[[#This Row],[TIPO]],configuracoes!$A$2:$A$10,0)),"NÃO")="NÃO","NÃO","SIM")</f>
        <v>SIM</v>
      </c>
    </row>
    <row r="31" spans="1:31" x14ac:dyDescent="0.25">
      <c r="A31" s="2" t="s">
        <v>5123</v>
      </c>
      <c r="B31" s="2">
        <v>101001488</v>
      </c>
      <c r="C31" s="2" t="s">
        <v>15</v>
      </c>
      <c r="D31" s="2" t="s">
        <v>4669</v>
      </c>
      <c r="E31" s="2" t="s">
        <v>47</v>
      </c>
      <c r="F31" s="2" t="s">
        <v>251</v>
      </c>
      <c r="G31" s="2" t="s">
        <v>613</v>
      </c>
      <c r="H31" s="2" t="s">
        <v>224</v>
      </c>
      <c r="I31" s="2" t="s">
        <v>16</v>
      </c>
      <c r="J31" s="2" t="s">
        <v>227</v>
      </c>
      <c r="K31" s="2" t="s">
        <v>13</v>
      </c>
      <c r="L31" s="2" t="s">
        <v>25</v>
      </c>
      <c r="M31" s="2" t="s">
        <v>22</v>
      </c>
      <c r="N31" s="2" t="s">
        <v>15</v>
      </c>
      <c r="O31" s="2" t="s">
        <v>229</v>
      </c>
      <c r="P31" s="2" t="s">
        <v>5125</v>
      </c>
      <c r="Q31" s="2" t="s">
        <v>4926</v>
      </c>
      <c r="R31" s="2" t="s">
        <v>252</v>
      </c>
      <c r="S31" s="2" t="s">
        <v>101</v>
      </c>
      <c r="T31" s="2" t="s">
        <v>4697</v>
      </c>
      <c r="U31" s="2" t="s">
        <v>12</v>
      </c>
      <c r="V31" s="2" t="s">
        <v>4839</v>
      </c>
      <c r="W31" s="2" t="s">
        <v>4931</v>
      </c>
      <c r="X31" s="2" t="s">
        <v>4925</v>
      </c>
      <c r="Y31" s="2" t="s">
        <v>5124</v>
      </c>
      <c r="Z31" s="2" t="s">
        <v>5126</v>
      </c>
      <c r="AA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" s="6" t="str">
        <f>IF(_xlfn.IFNA(INDEX(configuracoes!$A$2:$A$10,MATCH(base_tc_geral[[#This Row],[TIPO]],configuracoes!$A$2:$A$10,0)),"NÃO")="NÃO","NÃO","SIM")</f>
        <v>SIM</v>
      </c>
    </row>
    <row r="32" spans="1:31" x14ac:dyDescent="0.25">
      <c r="A32" s="2" t="s">
        <v>3607</v>
      </c>
      <c r="B32" s="2">
        <v>413841</v>
      </c>
      <c r="C32" s="2" t="s">
        <v>15</v>
      </c>
      <c r="D32" s="2" t="s">
        <v>4669</v>
      </c>
      <c r="E32" s="2" t="s">
        <v>86</v>
      </c>
      <c r="F32" s="2" t="s">
        <v>88</v>
      </c>
      <c r="G32" s="2" t="s">
        <v>99</v>
      </c>
      <c r="H32" s="2" t="s">
        <v>87</v>
      </c>
      <c r="I32" s="2" t="s">
        <v>33</v>
      </c>
      <c r="J32" s="2" t="s">
        <v>91</v>
      </c>
      <c r="K32" s="2" t="s">
        <v>13</v>
      </c>
      <c r="L32" s="2" t="s">
        <v>25</v>
      </c>
      <c r="M32" s="2" t="s">
        <v>22</v>
      </c>
      <c r="N32" s="2" t="s">
        <v>15</v>
      </c>
      <c r="O32" s="2" t="s">
        <v>95</v>
      </c>
      <c r="P32" s="2" t="s">
        <v>3609</v>
      </c>
      <c r="Q32" s="2" t="s">
        <v>4926</v>
      </c>
      <c r="R32" s="2" t="s">
        <v>3604</v>
      </c>
      <c r="S32" s="2" t="s">
        <v>93</v>
      </c>
      <c r="T32" s="2" t="s">
        <v>4696</v>
      </c>
      <c r="U32" s="2" t="s">
        <v>12</v>
      </c>
      <c r="V32" s="2" t="s">
        <v>4865</v>
      </c>
      <c r="W32" s="2" t="s">
        <v>4923</v>
      </c>
      <c r="X32" s="2" t="s">
        <v>4925</v>
      </c>
      <c r="Y32" s="2" t="s">
        <v>3608</v>
      </c>
      <c r="Z32" s="2" t="s">
        <v>5127</v>
      </c>
      <c r="AA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" s="6" t="str">
        <f>IF(_xlfn.IFNA(INDEX(configuracoes!$A$2:$A$10,MATCH(base_tc_geral[[#This Row],[TIPO]],configuracoes!$A$2:$A$10,0)),"NÃO")="NÃO","NÃO","SIM")</f>
        <v>SIM</v>
      </c>
    </row>
    <row r="33" spans="1:31" x14ac:dyDescent="0.25">
      <c r="A33" s="2" t="s">
        <v>5128</v>
      </c>
      <c r="B33" s="2">
        <v>101008134</v>
      </c>
      <c r="C33" s="2" t="s">
        <v>15</v>
      </c>
      <c r="D33" s="2" t="s">
        <v>4669</v>
      </c>
      <c r="E33" s="2" t="s">
        <v>47</v>
      </c>
      <c r="F33" s="2" t="s">
        <v>159</v>
      </c>
      <c r="G33" s="2" t="s">
        <v>613</v>
      </c>
      <c r="H33" s="2" t="s">
        <v>60</v>
      </c>
      <c r="I33" s="2" t="s">
        <v>16</v>
      </c>
      <c r="J33" s="2" t="s">
        <v>60</v>
      </c>
      <c r="K33" s="2" t="s">
        <v>13</v>
      </c>
      <c r="L33" s="2" t="s">
        <v>25</v>
      </c>
      <c r="M33" s="2" t="s">
        <v>22</v>
      </c>
      <c r="N33" s="2" t="s">
        <v>15</v>
      </c>
      <c r="O33" s="2" t="s">
        <v>161</v>
      </c>
      <c r="P33" s="2" t="s">
        <v>5130</v>
      </c>
      <c r="Q33" s="2" t="s">
        <v>4926</v>
      </c>
      <c r="R33" s="2" t="s">
        <v>351</v>
      </c>
      <c r="S33" s="2" t="s">
        <v>101</v>
      </c>
      <c r="T33" s="2" t="s">
        <v>4697</v>
      </c>
      <c r="U33" s="2" t="s">
        <v>12</v>
      </c>
      <c r="V33" s="2" t="s">
        <v>4885</v>
      </c>
      <c r="W33" s="2" t="s">
        <v>4931</v>
      </c>
      <c r="X33" s="2" t="s">
        <v>4925</v>
      </c>
      <c r="Y33" s="2" t="s">
        <v>5129</v>
      </c>
      <c r="Z33" s="2" t="s">
        <v>5131</v>
      </c>
      <c r="AA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3" s="6" t="str">
        <f>IF(_xlfn.IFNA(INDEX(configuracoes!$A$2:$A$10,MATCH(base_tc_geral[[#This Row],[TIPO]],configuracoes!$A$2:$A$10,0)),"NÃO")="NÃO","NÃO","SIM")</f>
        <v>SIM</v>
      </c>
    </row>
    <row r="34" spans="1:31" x14ac:dyDescent="0.25">
      <c r="A34" s="2" t="s">
        <v>4392</v>
      </c>
      <c r="B34" s="2">
        <v>413841</v>
      </c>
      <c r="C34" s="2" t="s">
        <v>15</v>
      </c>
      <c r="D34" s="2" t="s">
        <v>4669</v>
      </c>
      <c r="E34" s="2" t="s">
        <v>86</v>
      </c>
      <c r="F34" s="2" t="s">
        <v>88</v>
      </c>
      <c r="G34" s="2" t="s">
        <v>99</v>
      </c>
      <c r="H34" s="2" t="s">
        <v>87</v>
      </c>
      <c r="I34" s="2" t="s">
        <v>33</v>
      </c>
      <c r="J34" s="2" t="s">
        <v>91</v>
      </c>
      <c r="K34" s="2" t="s">
        <v>13</v>
      </c>
      <c r="L34" s="2" t="s">
        <v>25</v>
      </c>
      <c r="M34" s="2" t="s">
        <v>22</v>
      </c>
      <c r="N34" s="2" t="s">
        <v>15</v>
      </c>
      <c r="O34" s="2" t="s">
        <v>95</v>
      </c>
      <c r="P34" s="2" t="s">
        <v>4394</v>
      </c>
      <c r="Q34" s="2" t="s">
        <v>4926</v>
      </c>
      <c r="R34" s="2" t="s">
        <v>3604</v>
      </c>
      <c r="S34" s="2" t="s">
        <v>93</v>
      </c>
      <c r="T34" s="2" t="s">
        <v>4696</v>
      </c>
      <c r="U34" s="2" t="s">
        <v>12</v>
      </c>
      <c r="V34" s="2" t="s">
        <v>4865</v>
      </c>
      <c r="W34" s="2" t="s">
        <v>4923</v>
      </c>
      <c r="X34" s="2" t="s">
        <v>4925</v>
      </c>
      <c r="Y34" s="2" t="s">
        <v>4393</v>
      </c>
      <c r="Z34" s="2" t="s">
        <v>5132</v>
      </c>
      <c r="AA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" s="6" t="str">
        <f>IF(_xlfn.IFNA(INDEX(configuracoes!$A$2:$A$10,MATCH(base_tc_geral[[#This Row],[TIPO]],configuracoes!$A$2:$A$10,0)),"NÃO")="NÃO","NÃO","SIM")</f>
        <v>SIM</v>
      </c>
    </row>
    <row r="35" spans="1:31" x14ac:dyDescent="0.25">
      <c r="A35" s="2" t="s">
        <v>2911</v>
      </c>
      <c r="B35" s="2">
        <v>101001782</v>
      </c>
      <c r="C35" s="2" t="s">
        <v>15</v>
      </c>
      <c r="D35" s="2" t="s">
        <v>4502</v>
      </c>
      <c r="E35" s="2" t="s">
        <v>47</v>
      </c>
      <c r="F35" s="2" t="s">
        <v>511</v>
      </c>
      <c r="G35" s="2" t="s">
        <v>637</v>
      </c>
      <c r="H35" s="2" t="s">
        <v>48</v>
      </c>
      <c r="I35" s="2" t="s">
        <v>16</v>
      </c>
      <c r="J35" s="2" t="s">
        <v>48</v>
      </c>
      <c r="K35" s="2" t="s">
        <v>20</v>
      </c>
      <c r="L35" s="2" t="s">
        <v>19</v>
      </c>
      <c r="M35" s="2" t="s">
        <v>22</v>
      </c>
      <c r="N35" s="2" t="s">
        <v>15</v>
      </c>
      <c r="O35" s="2" t="s">
        <v>53</v>
      </c>
      <c r="P35" s="2" t="s">
        <v>2913</v>
      </c>
      <c r="Q35" s="2" t="s">
        <v>4926</v>
      </c>
      <c r="R35" s="2" t="s">
        <v>512</v>
      </c>
      <c r="S35" s="2" t="s">
        <v>51</v>
      </c>
      <c r="T35" s="2" t="s">
        <v>4697</v>
      </c>
      <c r="U35" s="2" t="s">
        <v>12</v>
      </c>
      <c r="V35" s="2" t="s">
        <v>4861</v>
      </c>
      <c r="W35" s="2" t="s">
        <v>4982</v>
      </c>
      <c r="X35" s="2" t="s">
        <v>4925</v>
      </c>
      <c r="Y35" s="2" t="s">
        <v>2912</v>
      </c>
      <c r="Z35" s="2" t="s">
        <v>4990</v>
      </c>
      <c r="AA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" s="6" t="str">
        <f>IF(_xlfn.IFNA(INDEX(configuracoes!$A$2:$A$10,MATCH(base_tc_geral[[#This Row],[TIPO]],configuracoes!$A$2:$A$10,0)),"NÃO")="NÃO","NÃO","SIM")</f>
        <v>SIM</v>
      </c>
    </row>
    <row r="36" spans="1:31" x14ac:dyDescent="0.25">
      <c r="A36" s="2" t="s">
        <v>1385</v>
      </c>
      <c r="B36" s="2">
        <v>101010209</v>
      </c>
      <c r="C36" s="2" t="s">
        <v>15</v>
      </c>
      <c r="D36" s="2" t="s">
        <v>4564</v>
      </c>
      <c r="E36" s="2" t="s">
        <v>47</v>
      </c>
      <c r="F36" s="2" t="s">
        <v>278</v>
      </c>
      <c r="G36" s="2" t="s">
        <v>883</v>
      </c>
      <c r="H36" s="2" t="s">
        <v>60</v>
      </c>
      <c r="I36" s="2" t="s">
        <v>16</v>
      </c>
      <c r="J36" s="2" t="s">
        <v>60</v>
      </c>
      <c r="K36" s="2" t="s">
        <v>20</v>
      </c>
      <c r="L36" s="2" t="s">
        <v>21</v>
      </c>
      <c r="M36" s="2" t="s">
        <v>22</v>
      </c>
      <c r="N36" s="2" t="s">
        <v>15</v>
      </c>
      <c r="O36" s="2" t="s">
        <v>161</v>
      </c>
      <c r="P36" s="2" t="s">
        <v>1387</v>
      </c>
      <c r="Q36" s="2" t="s">
        <v>4926</v>
      </c>
      <c r="R36" s="2" t="s">
        <v>279</v>
      </c>
      <c r="S36" s="2" t="s">
        <v>51</v>
      </c>
      <c r="T36" s="2" t="s">
        <v>4697</v>
      </c>
      <c r="U36" s="2" t="s">
        <v>12</v>
      </c>
      <c r="V36" s="2" t="s">
        <v>4821</v>
      </c>
      <c r="W36" s="2" t="s">
        <v>4982</v>
      </c>
      <c r="X36" s="2" t="s">
        <v>4925</v>
      </c>
      <c r="Y36" s="2" t="s">
        <v>1386</v>
      </c>
      <c r="Z36" s="2" t="s">
        <v>4991</v>
      </c>
      <c r="AA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" s="6" t="str">
        <f>IF(_xlfn.IFNA(INDEX(configuracoes!$A$2:$A$10,MATCH(base_tc_geral[[#This Row],[TIPO]],configuracoes!$A$2:$A$10,0)),"NÃO")="NÃO","NÃO","SIM")</f>
        <v>SIM</v>
      </c>
    </row>
    <row r="37" spans="1:31" x14ac:dyDescent="0.25">
      <c r="A37" s="2" t="s">
        <v>556</v>
      </c>
      <c r="B37" s="2">
        <v>109505858</v>
      </c>
      <c r="C37" s="2" t="s">
        <v>24</v>
      </c>
      <c r="D37" s="2" t="s">
        <v>4482</v>
      </c>
      <c r="E37" s="2" t="s">
        <v>86</v>
      </c>
      <c r="F37" s="2" t="s">
        <v>559</v>
      </c>
      <c r="G37" s="2" t="s">
        <v>172</v>
      </c>
      <c r="H37" s="2" t="s">
        <v>558</v>
      </c>
      <c r="I37" s="2" t="s">
        <v>33</v>
      </c>
      <c r="J37" s="2" t="s">
        <v>91</v>
      </c>
      <c r="K37" s="2" t="s">
        <v>13</v>
      </c>
      <c r="L37" s="2" t="s">
        <v>17</v>
      </c>
      <c r="M37" s="2" t="s">
        <v>22</v>
      </c>
      <c r="N37" s="2" t="s">
        <v>24</v>
      </c>
      <c r="O37" s="2" t="s">
        <v>561</v>
      </c>
      <c r="P37" s="2" t="s">
        <v>560</v>
      </c>
      <c r="Q37" s="2" t="s">
        <v>4926</v>
      </c>
      <c r="R37" s="2" t="s">
        <v>1466</v>
      </c>
      <c r="S37" s="2" t="s">
        <v>93</v>
      </c>
      <c r="T37" s="2" t="s">
        <v>4696</v>
      </c>
      <c r="U37" s="2" t="s">
        <v>39</v>
      </c>
      <c r="V37" s="2" t="s">
        <v>4802</v>
      </c>
      <c r="W37" s="2" t="s">
        <v>4982</v>
      </c>
      <c r="X37" s="2" t="s">
        <v>4925</v>
      </c>
      <c r="Y37" s="2" t="s">
        <v>557</v>
      </c>
      <c r="Z37" s="2" t="s">
        <v>4992</v>
      </c>
      <c r="AA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7" s="6" t="str">
        <f>IF(_xlfn.IFNA(INDEX(configuracoes!$A$2:$A$10,MATCH(base_tc_geral[[#This Row],[TIPO]],configuracoes!$A$2:$A$10,0)),"NÃO")="NÃO","NÃO","SIM")</f>
        <v>NÃO</v>
      </c>
    </row>
    <row r="38" spans="1:31" x14ac:dyDescent="0.25">
      <c r="A38" s="2" t="s">
        <v>1924</v>
      </c>
      <c r="B38" s="2">
        <v>101010178</v>
      </c>
      <c r="C38" s="2" t="s">
        <v>24</v>
      </c>
      <c r="D38" s="2" t="s">
        <v>4768</v>
      </c>
      <c r="E38" s="2" t="s">
        <v>47</v>
      </c>
      <c r="F38" s="2" t="s">
        <v>312</v>
      </c>
      <c r="G38" s="2" t="s">
        <v>135</v>
      </c>
      <c r="H38" s="2" t="s">
        <v>311</v>
      </c>
      <c r="I38" s="2" t="s">
        <v>16</v>
      </c>
      <c r="J38" s="2" t="s">
        <v>141</v>
      </c>
      <c r="K38" s="2" t="s">
        <v>13</v>
      </c>
      <c r="L38" s="2" t="s">
        <v>61</v>
      </c>
      <c r="M38" s="2" t="s">
        <v>1927</v>
      </c>
      <c r="N38" s="2" t="s">
        <v>24</v>
      </c>
      <c r="O38" s="2" t="s">
        <v>314</v>
      </c>
      <c r="P38" s="2" t="s">
        <v>1928</v>
      </c>
      <c r="Q38" s="2" t="s">
        <v>4926</v>
      </c>
      <c r="R38" s="2" t="s">
        <v>1925</v>
      </c>
      <c r="S38" s="2" t="s">
        <v>1925</v>
      </c>
      <c r="T38" s="2" t="s">
        <v>110</v>
      </c>
      <c r="U38" s="2" t="s">
        <v>39</v>
      </c>
      <c r="V38" s="2" t="s">
        <v>4909</v>
      </c>
      <c r="W38" s="2" t="s">
        <v>4993</v>
      </c>
      <c r="X38" s="2" t="s">
        <v>4995</v>
      </c>
      <c r="Y38" s="2" t="s">
        <v>1926</v>
      </c>
      <c r="Z38" s="2" t="s">
        <v>4994</v>
      </c>
      <c r="AA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CRISTIANO ADOLFO </v>
      </c>
      <c r="AB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ADOLFO </v>
      </c>
      <c r="AC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8" s="6" t="str">
        <f>IF(_xlfn.IFNA(INDEX(configuracoes!$A$2:$A$10,MATCH(base_tc_geral[[#This Row],[TIPO]],configuracoes!$A$2:$A$10,0)),"NÃO")="NÃO","NÃO","SIM")</f>
        <v>NÃO</v>
      </c>
    </row>
    <row r="39" spans="1:31" x14ac:dyDescent="0.25">
      <c r="A39" s="2" t="s">
        <v>788</v>
      </c>
      <c r="B39" s="2">
        <v>101010210</v>
      </c>
      <c r="C39" s="2" t="s">
        <v>15</v>
      </c>
      <c r="D39" s="2" t="s">
        <v>4490</v>
      </c>
      <c r="E39" s="2" t="s">
        <v>47</v>
      </c>
      <c r="F39" s="2" t="s">
        <v>264</v>
      </c>
      <c r="G39" s="2" t="s">
        <v>613</v>
      </c>
      <c r="H39" s="2" t="s">
        <v>227</v>
      </c>
      <c r="I39" s="2" t="s">
        <v>16</v>
      </c>
      <c r="J39" s="2" t="s">
        <v>227</v>
      </c>
      <c r="K39" s="2" t="s">
        <v>13</v>
      </c>
      <c r="L39" s="2" t="s">
        <v>25</v>
      </c>
      <c r="M39" s="2" t="s">
        <v>22</v>
      </c>
      <c r="N39" s="2" t="s">
        <v>15</v>
      </c>
      <c r="O39" s="2" t="s">
        <v>266</v>
      </c>
      <c r="P39" s="2" t="s">
        <v>790</v>
      </c>
      <c r="Q39" s="2" t="s">
        <v>4926</v>
      </c>
      <c r="R39" s="2" t="s">
        <v>294</v>
      </c>
      <c r="S39" s="2" t="s">
        <v>101</v>
      </c>
      <c r="T39" s="2" t="s">
        <v>4697</v>
      </c>
      <c r="U39" s="2" t="s">
        <v>12</v>
      </c>
      <c r="V39" s="2" t="s">
        <v>4903</v>
      </c>
      <c r="W39" s="2" t="s">
        <v>4931</v>
      </c>
      <c r="X39" s="2" t="s">
        <v>4925</v>
      </c>
      <c r="Y39" s="2" t="s">
        <v>789</v>
      </c>
      <c r="Z39" s="2" t="s">
        <v>4996</v>
      </c>
      <c r="AA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" s="6" t="str">
        <f>IF(_xlfn.IFNA(INDEX(configuracoes!$A$2:$A$10,MATCH(base_tc_geral[[#This Row],[TIPO]],configuracoes!$A$2:$A$10,0)),"NÃO")="NÃO","NÃO","SIM")</f>
        <v>SIM</v>
      </c>
    </row>
    <row r="40" spans="1:31" x14ac:dyDescent="0.25">
      <c r="A40" s="2" t="s">
        <v>1929</v>
      </c>
      <c r="B40" s="2">
        <v>101003771</v>
      </c>
      <c r="C40" s="2" t="s">
        <v>15</v>
      </c>
      <c r="D40" s="2" t="s">
        <v>4528</v>
      </c>
      <c r="E40" s="2" t="s">
        <v>47</v>
      </c>
      <c r="F40" s="2" t="s">
        <v>269</v>
      </c>
      <c r="G40" s="2" t="s">
        <v>172</v>
      </c>
      <c r="H40" s="2" t="s">
        <v>227</v>
      </c>
      <c r="I40" s="2" t="s">
        <v>16</v>
      </c>
      <c r="J40" s="2" t="s">
        <v>227</v>
      </c>
      <c r="K40" s="2" t="s">
        <v>13</v>
      </c>
      <c r="L40" s="2" t="s">
        <v>17</v>
      </c>
      <c r="M40" s="2" t="s">
        <v>18</v>
      </c>
      <c r="N40" s="2" t="s">
        <v>15</v>
      </c>
      <c r="O40" s="2" t="s">
        <v>271</v>
      </c>
      <c r="P40" s="2" t="s">
        <v>1931</v>
      </c>
      <c r="Q40" s="2" t="s">
        <v>4926</v>
      </c>
      <c r="R40" s="2" t="s">
        <v>465</v>
      </c>
      <c r="S40" s="2" t="s">
        <v>51</v>
      </c>
      <c r="T40" s="2" t="s">
        <v>4697</v>
      </c>
      <c r="U40" s="2" t="s">
        <v>12</v>
      </c>
      <c r="V40" s="2" t="s">
        <v>4810</v>
      </c>
      <c r="W40" s="2" t="s">
        <v>17</v>
      </c>
      <c r="X40" s="2" t="s">
        <v>4998</v>
      </c>
      <c r="Y40" s="2" t="s">
        <v>1930</v>
      </c>
      <c r="Z40" s="2" t="s">
        <v>4997</v>
      </c>
      <c r="AA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" s="6" t="str">
        <f>IF(_xlfn.IFNA(INDEX(configuracoes!$A$2:$A$10,MATCH(base_tc_geral[[#This Row],[TIPO]],configuracoes!$A$2:$A$10,0)),"NÃO")="NÃO","NÃO","SIM")</f>
        <v>NÃO</v>
      </c>
    </row>
    <row r="41" spans="1:31" x14ac:dyDescent="0.25">
      <c r="A41" s="2" t="s">
        <v>361</v>
      </c>
      <c r="B41" s="2">
        <v>109000017</v>
      </c>
      <c r="C41" s="2" t="s">
        <v>15</v>
      </c>
      <c r="D41" s="2" t="s">
        <v>4505</v>
      </c>
      <c r="E41" s="2" t="s">
        <v>86</v>
      </c>
      <c r="F41" s="2" t="s">
        <v>298</v>
      </c>
      <c r="G41" s="2" t="s">
        <v>364</v>
      </c>
      <c r="H41" s="2" t="s">
        <v>210</v>
      </c>
      <c r="I41" s="2" t="s">
        <v>33</v>
      </c>
      <c r="J41" s="2" t="s">
        <v>124</v>
      </c>
      <c r="K41" s="2" t="s">
        <v>13</v>
      </c>
      <c r="L41" s="2" t="s">
        <v>37</v>
      </c>
      <c r="M41" s="2" t="s">
        <v>44</v>
      </c>
      <c r="N41" s="2" t="s">
        <v>15</v>
      </c>
      <c r="O41" s="2" t="s">
        <v>214</v>
      </c>
      <c r="P41" s="2" t="s">
        <v>365</v>
      </c>
      <c r="Q41" s="2" t="s">
        <v>4926</v>
      </c>
      <c r="R41" s="2" t="s">
        <v>212</v>
      </c>
      <c r="S41" s="2" t="s">
        <v>93</v>
      </c>
      <c r="T41" s="2" t="s">
        <v>4696</v>
      </c>
      <c r="U41" s="2" t="s">
        <v>12</v>
      </c>
      <c r="V41" s="2" t="s">
        <v>4794</v>
      </c>
      <c r="W41" s="2" t="s">
        <v>4999</v>
      </c>
      <c r="X41" s="2" t="s">
        <v>44</v>
      </c>
      <c r="Y41" s="2" t="s">
        <v>362</v>
      </c>
      <c r="Z41" s="2" t="s">
        <v>5000</v>
      </c>
      <c r="AA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" s="6" t="str">
        <f>IF(_xlfn.IFNA(INDEX(configuracoes!$A$2:$A$10,MATCH(base_tc_geral[[#This Row],[TIPO]],configuracoes!$A$2:$A$10,0)),"NÃO")="NÃO","NÃO","SIM")</f>
        <v>NÃO</v>
      </c>
    </row>
    <row r="42" spans="1:31" x14ac:dyDescent="0.25">
      <c r="A42" s="2" t="s">
        <v>1550</v>
      </c>
      <c r="B42" s="2">
        <v>109505858</v>
      </c>
      <c r="C42" s="2" t="s">
        <v>40</v>
      </c>
      <c r="D42" s="2" t="s">
        <v>4635</v>
      </c>
      <c r="E42" s="2" t="s">
        <v>86</v>
      </c>
      <c r="F42" s="2" t="s">
        <v>817</v>
      </c>
      <c r="G42" s="2" t="s">
        <v>202</v>
      </c>
      <c r="H42" s="2" t="s">
        <v>217</v>
      </c>
      <c r="I42" s="2" t="s">
        <v>33</v>
      </c>
      <c r="J42" s="2" t="s">
        <v>91</v>
      </c>
      <c r="K42" s="2" t="s">
        <v>13</v>
      </c>
      <c r="L42" s="2" t="s">
        <v>76</v>
      </c>
      <c r="M42" s="2" t="s">
        <v>18</v>
      </c>
      <c r="N42" s="2" t="s">
        <v>40</v>
      </c>
      <c r="O42" s="2" t="s">
        <v>221</v>
      </c>
      <c r="P42" s="2" t="s">
        <v>1552</v>
      </c>
      <c r="Q42" s="2" t="s">
        <v>4926</v>
      </c>
      <c r="R42" s="2" t="s">
        <v>1466</v>
      </c>
      <c r="S42" s="2" t="s">
        <v>93</v>
      </c>
      <c r="T42" s="2" t="s">
        <v>4696</v>
      </c>
      <c r="U42" s="2" t="s">
        <v>39</v>
      </c>
      <c r="V42" s="2" t="s">
        <v>4802</v>
      </c>
      <c r="W42" s="2" t="s">
        <v>4982</v>
      </c>
      <c r="X42" s="2" t="s">
        <v>4998</v>
      </c>
      <c r="Y42" s="2" t="s">
        <v>1551</v>
      </c>
      <c r="Z42" s="2" t="s">
        <v>5001</v>
      </c>
      <c r="AA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42" s="6" t="str">
        <f>IF(_xlfn.IFNA(INDEX(configuracoes!$A$2:$A$10,MATCH(base_tc_geral[[#This Row],[TIPO]],configuracoes!$A$2:$A$10,0)),"NÃO")="NÃO","NÃO","SIM")</f>
        <v>SIM</v>
      </c>
    </row>
    <row r="43" spans="1:31" x14ac:dyDescent="0.25">
      <c r="A43" s="2" t="s">
        <v>1423</v>
      </c>
      <c r="B43" s="2">
        <v>105303208</v>
      </c>
      <c r="C43" s="2" t="s">
        <v>15</v>
      </c>
      <c r="D43" s="2" t="s">
        <v>4501</v>
      </c>
      <c r="E43" s="2" t="s">
        <v>28</v>
      </c>
      <c r="F43" s="2" t="s">
        <v>440</v>
      </c>
      <c r="G43" s="2" t="s">
        <v>245</v>
      </c>
      <c r="H43" s="2" t="s">
        <v>34</v>
      </c>
      <c r="I43" s="2" t="s">
        <v>33</v>
      </c>
      <c r="J43" s="2" t="s">
        <v>34</v>
      </c>
      <c r="K43" s="2" t="s">
        <v>20</v>
      </c>
      <c r="L43" s="2" t="s">
        <v>21</v>
      </c>
      <c r="M43" s="2" t="s">
        <v>22</v>
      </c>
      <c r="N43" s="2" t="s">
        <v>15</v>
      </c>
      <c r="O43" s="2" t="s">
        <v>156</v>
      </c>
      <c r="P43" s="2" t="s">
        <v>1425</v>
      </c>
      <c r="Q43" s="2" t="s">
        <v>4926</v>
      </c>
      <c r="R43" s="2" t="s">
        <v>849</v>
      </c>
      <c r="S43" s="2" t="s">
        <v>167</v>
      </c>
      <c r="T43" s="2" t="s">
        <v>167</v>
      </c>
      <c r="U43" s="2" t="s">
        <v>39</v>
      </c>
      <c r="V43" s="2" t="s">
        <v>4893</v>
      </c>
      <c r="W43" s="2" t="s">
        <v>4982</v>
      </c>
      <c r="X43" s="2" t="s">
        <v>4925</v>
      </c>
      <c r="Y43" s="2" t="s">
        <v>1424</v>
      </c>
      <c r="Z43" s="2" t="s">
        <v>5002</v>
      </c>
      <c r="AA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" s="6" t="str">
        <f>IF(_xlfn.IFNA(INDEX(configuracoes!$A$2:$A$10,MATCH(base_tc_geral[[#This Row],[TIPO]],configuracoes!$A$2:$A$10,0)),"NÃO")="NÃO","NÃO","SIM")</f>
        <v>SIM</v>
      </c>
    </row>
    <row r="44" spans="1:31" x14ac:dyDescent="0.25">
      <c r="A44" s="2" t="s">
        <v>2938</v>
      </c>
      <c r="B44" s="2">
        <v>109506032</v>
      </c>
      <c r="C44" s="2" t="s">
        <v>15</v>
      </c>
      <c r="D44" s="2" t="s">
        <v>4527</v>
      </c>
      <c r="E44" s="2" t="s">
        <v>86</v>
      </c>
      <c r="F44" s="2" t="s">
        <v>2894</v>
      </c>
      <c r="G44" s="2" t="s">
        <v>364</v>
      </c>
      <c r="H44" s="2" t="s">
        <v>164</v>
      </c>
      <c r="I44" s="2" t="s">
        <v>33</v>
      </c>
      <c r="J44" s="2" t="s">
        <v>124</v>
      </c>
      <c r="K44" s="2" t="s">
        <v>92</v>
      </c>
      <c r="L44" s="2" t="s">
        <v>37</v>
      </c>
      <c r="M44" s="2" t="s">
        <v>38</v>
      </c>
      <c r="N44" s="2" t="s">
        <v>15</v>
      </c>
      <c r="O44" s="2" t="s">
        <v>169</v>
      </c>
      <c r="P44" s="2" t="s">
        <v>2940</v>
      </c>
      <c r="Q44" s="2" t="s">
        <v>4926</v>
      </c>
      <c r="R44" s="2" t="s">
        <v>2892</v>
      </c>
      <c r="S44" s="2" t="s">
        <v>93</v>
      </c>
      <c r="T44" s="2" t="s">
        <v>4696</v>
      </c>
      <c r="U44" s="2" t="s">
        <v>12</v>
      </c>
      <c r="V44" s="2" t="s">
        <v>4785</v>
      </c>
      <c r="W44" s="2" t="s">
        <v>4999</v>
      </c>
      <c r="X44" s="2" t="s">
        <v>38</v>
      </c>
      <c r="Y44" s="2" t="s">
        <v>2939</v>
      </c>
      <c r="Z44" s="2" t="s">
        <v>5003</v>
      </c>
      <c r="AA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" s="6" t="str">
        <f>IF(_xlfn.IFNA(INDEX(configuracoes!$A$2:$A$10,MATCH(base_tc_geral[[#This Row],[TIPO]],configuracoes!$A$2:$A$10,0)),"NÃO")="NÃO","NÃO","SIM")</f>
        <v>NÃO</v>
      </c>
    </row>
    <row r="45" spans="1:31" x14ac:dyDescent="0.25">
      <c r="A45" s="2" t="s">
        <v>1659</v>
      </c>
      <c r="B45" s="2">
        <v>109505858</v>
      </c>
      <c r="C45" s="2" t="s">
        <v>15</v>
      </c>
      <c r="D45" s="2" t="s">
        <v>4571</v>
      </c>
      <c r="E45" s="2" t="s">
        <v>86</v>
      </c>
      <c r="F45" s="2" t="s">
        <v>559</v>
      </c>
      <c r="G45" s="2" t="s">
        <v>149</v>
      </c>
      <c r="H45" s="2" t="s">
        <v>558</v>
      </c>
      <c r="I45" s="2" t="s">
        <v>33</v>
      </c>
      <c r="J45" s="2" t="s">
        <v>91</v>
      </c>
      <c r="K45" s="2" t="s">
        <v>20</v>
      </c>
      <c r="L45" s="2" t="s">
        <v>61</v>
      </c>
      <c r="M45" s="2" t="s">
        <v>22</v>
      </c>
      <c r="N45" s="2" t="s">
        <v>15</v>
      </c>
      <c r="O45" s="2" t="s">
        <v>561</v>
      </c>
      <c r="P45" s="2" t="s">
        <v>1661</v>
      </c>
      <c r="Q45" s="2" t="s">
        <v>4926</v>
      </c>
      <c r="R45" s="2" t="s">
        <v>1466</v>
      </c>
      <c r="S45" s="2" t="s">
        <v>93</v>
      </c>
      <c r="T45" s="2" t="s">
        <v>4696</v>
      </c>
      <c r="U45" s="2" t="s">
        <v>12</v>
      </c>
      <c r="V45" s="2" t="s">
        <v>4802</v>
      </c>
      <c r="W45" s="2" t="s">
        <v>4982</v>
      </c>
      <c r="X45" s="2" t="s">
        <v>4925</v>
      </c>
      <c r="Y45" s="2" t="s">
        <v>1660</v>
      </c>
      <c r="Z45" s="2" t="s">
        <v>5004</v>
      </c>
      <c r="AA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" s="6" t="str">
        <f>IF(_xlfn.IFNA(INDEX(configuracoes!$A$2:$A$10,MATCH(base_tc_geral[[#This Row],[TIPO]],configuracoes!$A$2:$A$10,0)),"NÃO")="NÃO","NÃO","SIM")</f>
        <v>NÃO</v>
      </c>
    </row>
    <row r="46" spans="1:31" x14ac:dyDescent="0.25">
      <c r="A46" s="2" t="s">
        <v>2622</v>
      </c>
      <c r="B46" s="2">
        <v>101005989</v>
      </c>
      <c r="C46" s="2" t="s">
        <v>15</v>
      </c>
      <c r="D46" s="2" t="s">
        <v>4481</v>
      </c>
      <c r="E46" s="2" t="s">
        <v>47</v>
      </c>
      <c r="F46" s="2" t="s">
        <v>433</v>
      </c>
      <c r="G46" s="2" t="s">
        <v>58</v>
      </c>
      <c r="H46" s="2" t="s">
        <v>56</v>
      </c>
      <c r="I46" s="2" t="s">
        <v>16</v>
      </c>
      <c r="J46" s="2" t="s">
        <v>60</v>
      </c>
      <c r="K46" s="2" t="s">
        <v>13</v>
      </c>
      <c r="L46" s="2" t="s">
        <v>61</v>
      </c>
      <c r="M46" s="2" t="s">
        <v>44</v>
      </c>
      <c r="N46" s="2" t="s">
        <v>15</v>
      </c>
      <c r="O46" s="2" t="s">
        <v>63</v>
      </c>
      <c r="P46" s="2" t="s">
        <v>2624</v>
      </c>
      <c r="Q46" s="2" t="s">
        <v>4926</v>
      </c>
      <c r="R46" s="2" t="s">
        <v>59</v>
      </c>
      <c r="S46" s="2" t="s">
        <v>51</v>
      </c>
      <c r="T46" s="2" t="s">
        <v>4697</v>
      </c>
      <c r="U46" s="2" t="s">
        <v>12</v>
      </c>
      <c r="V46" s="2" t="s">
        <v>4779</v>
      </c>
      <c r="W46" s="2" t="s">
        <v>4999</v>
      </c>
      <c r="X46" s="2" t="s">
        <v>44</v>
      </c>
      <c r="Y46" s="2" t="s">
        <v>2623</v>
      </c>
      <c r="Z46" s="2" t="s">
        <v>5005</v>
      </c>
      <c r="AA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" s="6" t="str">
        <f>IF(_xlfn.IFNA(INDEX(configuracoes!$A$2:$A$10,MATCH(base_tc_geral[[#This Row],[TIPO]],configuracoes!$A$2:$A$10,0)),"NÃO")="NÃO","NÃO","SIM")</f>
        <v>NÃO</v>
      </c>
    </row>
    <row r="47" spans="1:31" x14ac:dyDescent="0.25">
      <c r="A47" s="2" t="s">
        <v>4354</v>
      </c>
      <c r="B47" s="2">
        <v>109500038</v>
      </c>
      <c r="C47" s="2" t="s">
        <v>15</v>
      </c>
      <c r="D47" s="2" t="s">
        <v>4652</v>
      </c>
      <c r="E47" s="2" t="s">
        <v>86</v>
      </c>
      <c r="F47" s="2" t="s">
        <v>445</v>
      </c>
      <c r="G47" s="2" t="s">
        <v>89</v>
      </c>
      <c r="H47" s="2" t="s">
        <v>122</v>
      </c>
      <c r="I47" s="2" t="s">
        <v>33</v>
      </c>
      <c r="J47" s="2" t="s">
        <v>124</v>
      </c>
      <c r="K47" s="2" t="s">
        <v>13</v>
      </c>
      <c r="L47" s="2" t="s">
        <v>37</v>
      </c>
      <c r="M47" s="2" t="s">
        <v>38</v>
      </c>
      <c r="N47" s="2" t="s">
        <v>15</v>
      </c>
      <c r="O47" s="2" t="s">
        <v>129</v>
      </c>
      <c r="P47" s="2" t="s">
        <v>4356</v>
      </c>
      <c r="Q47" s="2" t="s">
        <v>4926</v>
      </c>
      <c r="R47" s="2" t="s">
        <v>3212</v>
      </c>
      <c r="S47" s="2" t="s">
        <v>4699</v>
      </c>
      <c r="T47" s="2" t="s">
        <v>4696</v>
      </c>
      <c r="U47" s="2" t="s">
        <v>12</v>
      </c>
      <c r="V47" s="2" t="s">
        <v>4782</v>
      </c>
      <c r="W47" s="2" t="s">
        <v>5006</v>
      </c>
      <c r="X47" s="2" t="s">
        <v>38</v>
      </c>
      <c r="Y47" s="2" t="s">
        <v>4355</v>
      </c>
      <c r="Z47" s="2" t="s">
        <v>5007</v>
      </c>
      <c r="AA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PATRICIO MARTINS </v>
      </c>
      <c r="AB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" s="6" t="str">
        <f>IF(_xlfn.IFNA(INDEX(configuracoes!$A$2:$A$10,MATCH(base_tc_geral[[#This Row],[TIPO]],configuracoes!$A$2:$A$10,0)),"NÃO")="NÃO","NÃO","SIM")</f>
        <v>NÃO</v>
      </c>
    </row>
    <row r="48" spans="1:31" x14ac:dyDescent="0.25">
      <c r="A48" s="2" t="s">
        <v>3569</v>
      </c>
      <c r="B48" s="2">
        <v>101005380</v>
      </c>
      <c r="C48" s="2" t="s">
        <v>24</v>
      </c>
      <c r="D48" s="2" t="s">
        <v>4482</v>
      </c>
      <c r="E48" s="2" t="s">
        <v>47</v>
      </c>
      <c r="F48" s="2" t="s">
        <v>67</v>
      </c>
      <c r="G48" s="2" t="s">
        <v>883</v>
      </c>
      <c r="H48" s="2" t="s">
        <v>66</v>
      </c>
      <c r="I48" s="2" t="s">
        <v>16</v>
      </c>
      <c r="J48" s="2" t="s">
        <v>66</v>
      </c>
      <c r="K48" s="2" t="s">
        <v>20</v>
      </c>
      <c r="L48" s="2" t="s">
        <v>21</v>
      </c>
      <c r="M48" s="2" t="s">
        <v>22</v>
      </c>
      <c r="N48" s="2" t="s">
        <v>24</v>
      </c>
      <c r="O48" s="2" t="s">
        <v>71</v>
      </c>
      <c r="P48" s="2" t="s">
        <v>3571</v>
      </c>
      <c r="Q48" s="2" t="s">
        <v>4926</v>
      </c>
      <c r="R48" s="2" t="s">
        <v>69</v>
      </c>
      <c r="S48" s="2" t="s">
        <v>4698</v>
      </c>
      <c r="T48" s="2" t="s">
        <v>4697</v>
      </c>
      <c r="U48" s="2" t="s">
        <v>39</v>
      </c>
      <c r="V48" s="2" t="s">
        <v>4787</v>
      </c>
      <c r="W48" s="2" t="s">
        <v>4982</v>
      </c>
      <c r="X48" s="2" t="s">
        <v>4925</v>
      </c>
      <c r="Y48" s="2" t="s">
        <v>3570</v>
      </c>
      <c r="Z48" s="2" t="s">
        <v>5008</v>
      </c>
      <c r="AA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8" s="6" t="str">
        <f>IF(_xlfn.IFNA(INDEX(configuracoes!$A$2:$A$10,MATCH(base_tc_geral[[#This Row],[TIPO]],configuracoes!$A$2:$A$10,0)),"NÃO")="NÃO","NÃO","SIM")</f>
        <v>SIM</v>
      </c>
    </row>
    <row r="49" spans="1:31" x14ac:dyDescent="0.25">
      <c r="A49" s="2" t="s">
        <v>1370</v>
      </c>
      <c r="B49" s="2">
        <v>105000986</v>
      </c>
      <c r="C49" s="2" t="s">
        <v>15</v>
      </c>
      <c r="D49" s="2" t="s">
        <v>4551</v>
      </c>
      <c r="E49" s="2" t="s">
        <v>28</v>
      </c>
      <c r="F49" s="2" t="s">
        <v>80</v>
      </c>
      <c r="G49" s="2" t="s">
        <v>883</v>
      </c>
      <c r="H49" s="2" t="s">
        <v>79</v>
      </c>
      <c r="I49" s="2" t="s">
        <v>33</v>
      </c>
      <c r="J49" s="2" t="s">
        <v>34</v>
      </c>
      <c r="K49" s="2" t="s">
        <v>20</v>
      </c>
      <c r="L49" s="2" t="s">
        <v>21</v>
      </c>
      <c r="M49" s="2" t="s">
        <v>22</v>
      </c>
      <c r="N49" s="2" t="s">
        <v>15</v>
      </c>
      <c r="O49" s="2" t="s">
        <v>83</v>
      </c>
      <c r="P49" s="2" t="s">
        <v>1372</v>
      </c>
      <c r="Q49" s="2" t="s">
        <v>4926</v>
      </c>
      <c r="R49" s="2" t="s">
        <v>81</v>
      </c>
      <c r="S49" s="2" t="s">
        <v>167</v>
      </c>
      <c r="T49" s="2" t="s">
        <v>167</v>
      </c>
      <c r="U49" s="2" t="s">
        <v>12</v>
      </c>
      <c r="V49" s="2" t="s">
        <v>4767</v>
      </c>
      <c r="W49" s="2" t="s">
        <v>4982</v>
      </c>
      <c r="X49" s="2" t="s">
        <v>4925</v>
      </c>
      <c r="Y49" s="2" t="s">
        <v>1371</v>
      </c>
      <c r="Z49" s="2" t="s">
        <v>5009</v>
      </c>
      <c r="AA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" s="6" t="str">
        <f>IF(_xlfn.IFNA(INDEX(configuracoes!$A$2:$A$10,MATCH(base_tc_geral[[#This Row],[TIPO]],configuracoes!$A$2:$A$10,0)),"NÃO")="NÃO","NÃO","SIM")</f>
        <v>SIM</v>
      </c>
    </row>
    <row r="50" spans="1:31" x14ac:dyDescent="0.25">
      <c r="A50" s="2" t="s">
        <v>2679</v>
      </c>
      <c r="B50" s="2">
        <v>109000340</v>
      </c>
      <c r="C50" s="2" t="s">
        <v>15</v>
      </c>
      <c r="D50" s="2" t="s">
        <v>4507</v>
      </c>
      <c r="E50" s="2" t="s">
        <v>86</v>
      </c>
      <c r="F50" s="2" t="s">
        <v>199</v>
      </c>
      <c r="G50" s="2" t="s">
        <v>136</v>
      </c>
      <c r="H50" s="2" t="s">
        <v>198</v>
      </c>
      <c r="I50" s="2" t="s">
        <v>33</v>
      </c>
      <c r="J50" s="2" t="s">
        <v>91</v>
      </c>
      <c r="K50" s="2" t="s">
        <v>13</v>
      </c>
      <c r="L50" s="2" t="s">
        <v>72</v>
      </c>
      <c r="M50" s="2" t="s">
        <v>73</v>
      </c>
      <c r="N50" s="2" t="s">
        <v>15</v>
      </c>
      <c r="O50" s="2" t="s">
        <v>201</v>
      </c>
      <c r="P50" s="2" t="s">
        <v>2681</v>
      </c>
      <c r="Q50" s="2" t="s">
        <v>4926</v>
      </c>
      <c r="R50" s="2" t="s">
        <v>90</v>
      </c>
      <c r="S50" s="2" t="s">
        <v>93</v>
      </c>
      <c r="T50" s="2" t="s">
        <v>4696</v>
      </c>
      <c r="U50" s="2" t="s">
        <v>12</v>
      </c>
      <c r="V50" s="2" t="s">
        <v>4796</v>
      </c>
      <c r="W50" s="2" t="s">
        <v>72</v>
      </c>
      <c r="X50" s="2" t="s">
        <v>5011</v>
      </c>
      <c r="Y50" s="2" t="s">
        <v>2680</v>
      </c>
      <c r="Z50" s="2" t="s">
        <v>5010</v>
      </c>
      <c r="AA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" s="6" t="str">
        <f>IF(_xlfn.IFNA(INDEX(configuracoes!$A$2:$A$10,MATCH(base_tc_geral[[#This Row],[TIPO]],configuracoes!$A$2:$A$10,0)),"NÃO")="NÃO","NÃO","SIM")</f>
        <v>NÃO</v>
      </c>
    </row>
    <row r="51" spans="1:31" x14ac:dyDescent="0.25">
      <c r="A51" s="2" t="s">
        <v>758</v>
      </c>
      <c r="B51" s="2">
        <v>102101220</v>
      </c>
      <c r="C51" s="2" t="s">
        <v>15</v>
      </c>
      <c r="D51" s="2" t="s">
        <v>4483</v>
      </c>
      <c r="E51" s="2" t="s">
        <v>106</v>
      </c>
      <c r="F51" s="2" t="s">
        <v>428</v>
      </c>
      <c r="G51" s="2" t="s">
        <v>630</v>
      </c>
      <c r="H51" s="2" t="s">
        <v>427</v>
      </c>
      <c r="I51" s="2" t="s">
        <v>33</v>
      </c>
      <c r="J51" s="2" t="s">
        <v>109</v>
      </c>
      <c r="K51" s="2" t="s">
        <v>20</v>
      </c>
      <c r="L51" s="2" t="s">
        <v>21</v>
      </c>
      <c r="M51" s="2" t="s">
        <v>22</v>
      </c>
      <c r="N51" s="2" t="s">
        <v>15</v>
      </c>
      <c r="O51" s="2" t="s">
        <v>430</v>
      </c>
      <c r="P51" s="2" t="s">
        <v>760</v>
      </c>
      <c r="Q51" s="2" t="s">
        <v>4926</v>
      </c>
      <c r="R51" s="2" t="s">
        <v>625</v>
      </c>
      <c r="S51" s="2" t="s">
        <v>736</v>
      </c>
      <c r="T51" s="2" t="s">
        <v>167</v>
      </c>
      <c r="U51" s="2" t="s">
        <v>12</v>
      </c>
      <c r="V51" s="2" t="s">
        <v>4895</v>
      </c>
      <c r="W51" s="2" t="s">
        <v>4982</v>
      </c>
      <c r="X51" s="2" t="s">
        <v>4925</v>
      </c>
      <c r="Y51" s="2" t="s">
        <v>759</v>
      </c>
      <c r="Z51" s="2" t="s">
        <v>5012</v>
      </c>
      <c r="AA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" s="6" t="str">
        <f>IF(_xlfn.IFNA(INDEX(configuracoes!$A$2:$A$10,MATCH(base_tc_geral[[#This Row],[TIPO]],configuracoes!$A$2:$A$10,0)),"NÃO")="NÃO","NÃO","SIM")</f>
        <v>SIM</v>
      </c>
    </row>
    <row r="52" spans="1:31" x14ac:dyDescent="0.25">
      <c r="A52" s="2" t="s">
        <v>2366</v>
      </c>
      <c r="B52" s="2">
        <v>102101393</v>
      </c>
      <c r="C52" s="2" t="s">
        <v>15</v>
      </c>
      <c r="D52" s="2" t="s">
        <v>4507</v>
      </c>
      <c r="E52" s="2" t="s">
        <v>106</v>
      </c>
      <c r="F52" s="2" t="s">
        <v>863</v>
      </c>
      <c r="G52" s="2" t="s">
        <v>58</v>
      </c>
      <c r="H52" s="2" t="s">
        <v>427</v>
      </c>
      <c r="I52" s="2" t="s">
        <v>33</v>
      </c>
      <c r="J52" s="2" t="s">
        <v>109</v>
      </c>
      <c r="K52" s="2" t="s">
        <v>92</v>
      </c>
      <c r="L52" s="2" t="s">
        <v>61</v>
      </c>
      <c r="M52" s="2" t="s">
        <v>44</v>
      </c>
      <c r="N52" s="2" t="s">
        <v>15</v>
      </c>
      <c r="O52" s="2" t="s">
        <v>430</v>
      </c>
      <c r="P52" s="2" t="s">
        <v>2368</v>
      </c>
      <c r="Q52" s="2" t="s">
        <v>4926</v>
      </c>
      <c r="R52" s="2" t="s">
        <v>735</v>
      </c>
      <c r="S52" s="2" t="s">
        <v>736</v>
      </c>
      <c r="T52" s="2" t="s">
        <v>167</v>
      </c>
      <c r="U52" s="2" t="s">
        <v>12</v>
      </c>
      <c r="V52" s="2" t="s">
        <v>4886</v>
      </c>
      <c r="W52" s="2" t="s">
        <v>5013</v>
      </c>
      <c r="X52" s="2" t="s">
        <v>44</v>
      </c>
      <c r="Y52" s="2" t="s">
        <v>2367</v>
      </c>
      <c r="Z52" s="2" t="s">
        <v>5014</v>
      </c>
      <c r="AA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" s="6" t="str">
        <f>IF(_xlfn.IFNA(INDEX(configuracoes!$A$2:$A$10,MATCH(base_tc_geral[[#This Row],[TIPO]],configuracoes!$A$2:$A$10,0)),"NÃO")="NÃO","NÃO","SIM")</f>
        <v>NÃO</v>
      </c>
    </row>
    <row r="53" spans="1:31" x14ac:dyDescent="0.25">
      <c r="A53" s="2" t="s">
        <v>2372</v>
      </c>
      <c r="B53" s="2">
        <v>102101393</v>
      </c>
      <c r="C53" s="2" t="s">
        <v>15</v>
      </c>
      <c r="D53" s="2" t="s">
        <v>4567</v>
      </c>
      <c r="E53" s="2" t="s">
        <v>106</v>
      </c>
      <c r="F53" s="2" t="s">
        <v>329</v>
      </c>
      <c r="G53" s="2" t="s">
        <v>172</v>
      </c>
      <c r="H53" s="2" t="s">
        <v>107</v>
      </c>
      <c r="I53" s="2" t="s">
        <v>33</v>
      </c>
      <c r="J53" s="2" t="s">
        <v>109</v>
      </c>
      <c r="K53" s="2" t="s">
        <v>13</v>
      </c>
      <c r="L53" s="2" t="s">
        <v>17</v>
      </c>
      <c r="M53" s="2" t="s">
        <v>23</v>
      </c>
      <c r="N53" s="2" t="s">
        <v>15</v>
      </c>
      <c r="O53" s="2" t="s">
        <v>112</v>
      </c>
      <c r="P53" s="2" t="s">
        <v>2374</v>
      </c>
      <c r="Q53" s="2" t="s">
        <v>4926</v>
      </c>
      <c r="R53" s="2" t="s">
        <v>735</v>
      </c>
      <c r="S53" s="2" t="s">
        <v>736</v>
      </c>
      <c r="T53" s="2" t="s">
        <v>167</v>
      </c>
      <c r="U53" s="2" t="s">
        <v>12</v>
      </c>
      <c r="V53" s="2" t="s">
        <v>4886</v>
      </c>
      <c r="W53" s="2" t="s">
        <v>17</v>
      </c>
      <c r="X53" s="2" t="s">
        <v>4998</v>
      </c>
      <c r="Y53" s="2" t="s">
        <v>2373</v>
      </c>
      <c r="Z53" s="2" t="s">
        <v>5015</v>
      </c>
      <c r="AA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" s="6" t="str">
        <f>IF(_xlfn.IFNA(INDEX(configuracoes!$A$2:$A$10,MATCH(base_tc_geral[[#This Row],[TIPO]],configuracoes!$A$2:$A$10,0)),"NÃO")="NÃO","NÃO","SIM")</f>
        <v>NÃO</v>
      </c>
    </row>
    <row r="54" spans="1:31" x14ac:dyDescent="0.25">
      <c r="A54" s="2" t="s">
        <v>1535</v>
      </c>
      <c r="B54" s="2">
        <v>109000017</v>
      </c>
      <c r="C54" s="2" t="s">
        <v>15</v>
      </c>
      <c r="D54" s="2" t="s">
        <v>4515</v>
      </c>
      <c r="E54" s="2" t="s">
        <v>86</v>
      </c>
      <c r="F54" s="2" t="s">
        <v>274</v>
      </c>
      <c r="G54" s="2" t="s">
        <v>41</v>
      </c>
      <c r="H54" s="2" t="s">
        <v>210</v>
      </c>
      <c r="I54" s="2" t="s">
        <v>33</v>
      </c>
      <c r="J54" s="2" t="s">
        <v>124</v>
      </c>
      <c r="K54" s="2" t="s">
        <v>13</v>
      </c>
      <c r="L54" s="2" t="s">
        <v>42</v>
      </c>
      <c r="M54" s="2" t="s">
        <v>75</v>
      </c>
      <c r="N54" s="2" t="s">
        <v>15</v>
      </c>
      <c r="O54" s="2" t="s">
        <v>214</v>
      </c>
      <c r="P54" s="2" t="s">
        <v>1537</v>
      </c>
      <c r="Q54" s="2" t="s">
        <v>4926</v>
      </c>
      <c r="R54" s="2" t="s">
        <v>212</v>
      </c>
      <c r="S54" s="2" t="s">
        <v>93</v>
      </c>
      <c r="T54" s="2" t="s">
        <v>4696</v>
      </c>
      <c r="U54" s="2" t="s">
        <v>12</v>
      </c>
      <c r="V54" s="2" t="s">
        <v>4846</v>
      </c>
      <c r="W54" s="2" t="s">
        <v>42</v>
      </c>
      <c r="X54" s="2" t="s">
        <v>75</v>
      </c>
      <c r="Y54" s="2" t="s">
        <v>1536</v>
      </c>
      <c r="Z54" s="2" t="s">
        <v>5016</v>
      </c>
      <c r="AA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" s="6" t="str">
        <f>IF(_xlfn.IFNA(INDEX(configuracoes!$A$2:$A$10,MATCH(base_tc_geral[[#This Row],[TIPO]],configuracoes!$A$2:$A$10,0)),"NÃO")="NÃO","NÃO","SIM")</f>
        <v>SIM</v>
      </c>
    </row>
    <row r="55" spans="1:31" x14ac:dyDescent="0.25">
      <c r="A55" s="2" t="s">
        <v>1034</v>
      </c>
      <c r="B55" s="2">
        <v>109504012</v>
      </c>
      <c r="C55" s="2" t="s">
        <v>15</v>
      </c>
      <c r="D55" s="2" t="s">
        <v>4550</v>
      </c>
      <c r="E55" s="2" t="s">
        <v>28</v>
      </c>
      <c r="F55" s="2" t="s">
        <v>440</v>
      </c>
      <c r="G55" s="2" t="s">
        <v>172</v>
      </c>
      <c r="H55" s="2" t="s">
        <v>34</v>
      </c>
      <c r="I55" s="2" t="s">
        <v>33</v>
      </c>
      <c r="J55" s="2" t="s">
        <v>34</v>
      </c>
      <c r="K55" s="2" t="s">
        <v>13</v>
      </c>
      <c r="L55" s="2" t="s">
        <v>17</v>
      </c>
      <c r="M55" s="2" t="s">
        <v>23</v>
      </c>
      <c r="N55" s="2" t="s">
        <v>15</v>
      </c>
      <c r="O55" s="2" t="s">
        <v>156</v>
      </c>
      <c r="P55" s="2" t="s">
        <v>1036</v>
      </c>
      <c r="Q55" s="2" t="s">
        <v>4926</v>
      </c>
      <c r="R55" s="2" t="s">
        <v>166</v>
      </c>
      <c r="S55" s="2" t="s">
        <v>167</v>
      </c>
      <c r="T55" s="2" t="s">
        <v>167</v>
      </c>
      <c r="U55" s="2" t="s">
        <v>12</v>
      </c>
      <c r="V55" s="2" t="s">
        <v>4764</v>
      </c>
      <c r="W55" s="2" t="s">
        <v>17</v>
      </c>
      <c r="X55" s="2" t="s">
        <v>4998</v>
      </c>
      <c r="Y55" s="2" t="s">
        <v>1035</v>
      </c>
      <c r="Z55" s="2" t="s">
        <v>5017</v>
      </c>
      <c r="AA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" s="6" t="str">
        <f>IF(_xlfn.IFNA(INDEX(configuracoes!$A$2:$A$10,MATCH(base_tc_geral[[#This Row],[TIPO]],configuracoes!$A$2:$A$10,0)),"NÃO")="NÃO","NÃO","SIM")</f>
        <v>NÃO</v>
      </c>
    </row>
    <row r="56" spans="1:31" x14ac:dyDescent="0.25">
      <c r="A56" s="2" t="s">
        <v>1720</v>
      </c>
      <c r="B56" s="2">
        <v>101010062</v>
      </c>
      <c r="C56" s="2" t="s">
        <v>15</v>
      </c>
      <c r="D56" s="2" t="s">
        <v>4640</v>
      </c>
      <c r="E56" s="2" t="s">
        <v>47</v>
      </c>
      <c r="F56" s="2" t="s">
        <v>181</v>
      </c>
      <c r="G56" s="2" t="s">
        <v>245</v>
      </c>
      <c r="H56" s="2" t="s">
        <v>66</v>
      </c>
      <c r="I56" s="2" t="s">
        <v>16</v>
      </c>
      <c r="J56" s="2" t="s">
        <v>66</v>
      </c>
      <c r="K56" s="2" t="s">
        <v>20</v>
      </c>
      <c r="L56" s="2" t="s">
        <v>21</v>
      </c>
      <c r="M56" s="2" t="s">
        <v>22</v>
      </c>
      <c r="N56" s="2" t="s">
        <v>15</v>
      </c>
      <c r="O56" s="2" t="s">
        <v>71</v>
      </c>
      <c r="P56" s="2" t="s">
        <v>1722</v>
      </c>
      <c r="Q56" s="2" t="s">
        <v>4926</v>
      </c>
      <c r="R56" s="2" t="s">
        <v>1699</v>
      </c>
      <c r="S56" s="2" t="s">
        <v>4698</v>
      </c>
      <c r="T56" s="2" t="s">
        <v>4697</v>
      </c>
      <c r="U56" s="2" t="s">
        <v>12</v>
      </c>
      <c r="V56" s="2" t="s">
        <v>4792</v>
      </c>
      <c r="W56" s="2" t="s">
        <v>17</v>
      </c>
      <c r="X56" s="2" t="s">
        <v>4925</v>
      </c>
      <c r="Y56" s="2" t="s">
        <v>1721</v>
      </c>
      <c r="Z56" s="2" t="s">
        <v>5018</v>
      </c>
      <c r="AA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" s="6" t="str">
        <f>IF(_xlfn.IFNA(INDEX(configuracoes!$A$2:$A$10,MATCH(base_tc_geral[[#This Row],[TIPO]],configuracoes!$A$2:$A$10,0)),"NÃO")="NÃO","NÃO","SIM")</f>
        <v>SIM</v>
      </c>
    </row>
    <row r="57" spans="1:31" x14ac:dyDescent="0.25">
      <c r="A57" s="2" t="s">
        <v>113</v>
      </c>
      <c r="B57" s="2">
        <v>102100917</v>
      </c>
      <c r="C57" s="2" t="s">
        <v>15</v>
      </c>
      <c r="D57" s="2" t="s">
        <v>4481</v>
      </c>
      <c r="E57" s="2" t="s">
        <v>106</v>
      </c>
      <c r="F57" s="2" t="s">
        <v>116</v>
      </c>
      <c r="G57" s="2" t="s">
        <v>245</v>
      </c>
      <c r="H57" s="2" t="s">
        <v>115</v>
      </c>
      <c r="I57" s="2" t="s">
        <v>33</v>
      </c>
      <c r="J57" s="2" t="s">
        <v>109</v>
      </c>
      <c r="K57" s="2" t="s">
        <v>20</v>
      </c>
      <c r="L57" s="2" t="s">
        <v>21</v>
      </c>
      <c r="M57" s="2" t="s">
        <v>22</v>
      </c>
      <c r="N57" s="2" t="s">
        <v>15</v>
      </c>
      <c r="O57" s="2" t="s">
        <v>119</v>
      </c>
      <c r="P57" s="2" t="s">
        <v>118</v>
      </c>
      <c r="Q57" s="2" t="s">
        <v>4926</v>
      </c>
      <c r="R57" s="2" t="s">
        <v>117</v>
      </c>
      <c r="S57" s="2" t="s">
        <v>736</v>
      </c>
      <c r="T57" s="2" t="s">
        <v>167</v>
      </c>
      <c r="U57" s="2" t="s">
        <v>12</v>
      </c>
      <c r="V57" s="2" t="s">
        <v>4818</v>
      </c>
      <c r="W57" s="2" t="s">
        <v>4982</v>
      </c>
      <c r="X57" s="2" t="s">
        <v>4925</v>
      </c>
      <c r="Y57" s="2" t="s">
        <v>114</v>
      </c>
      <c r="Z57" s="2" t="s">
        <v>5019</v>
      </c>
      <c r="AA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" s="6" t="str">
        <f>IF(_xlfn.IFNA(INDEX(configuracoes!$A$2:$A$10,MATCH(base_tc_geral[[#This Row],[TIPO]],configuracoes!$A$2:$A$10,0)),"NÃO")="NÃO","NÃO","SIM")</f>
        <v>SIM</v>
      </c>
    </row>
    <row r="58" spans="1:31" x14ac:dyDescent="0.25">
      <c r="A58" s="2" t="s">
        <v>3718</v>
      </c>
      <c r="B58" s="2">
        <v>102100917</v>
      </c>
      <c r="C58" s="2" t="s">
        <v>15</v>
      </c>
      <c r="D58" s="2" t="s">
        <v>4628</v>
      </c>
      <c r="E58" s="2" t="s">
        <v>106</v>
      </c>
      <c r="F58" s="2" t="s">
        <v>116</v>
      </c>
      <c r="G58" s="2" t="s">
        <v>637</v>
      </c>
      <c r="H58" s="2" t="s">
        <v>115</v>
      </c>
      <c r="I58" s="2" t="s">
        <v>33</v>
      </c>
      <c r="J58" s="2" t="s">
        <v>109</v>
      </c>
      <c r="K58" s="2" t="s">
        <v>20</v>
      </c>
      <c r="L58" s="2" t="s">
        <v>19</v>
      </c>
      <c r="M58" s="2" t="s">
        <v>22</v>
      </c>
      <c r="N58" s="2" t="s">
        <v>15</v>
      </c>
      <c r="O58" s="2" t="s">
        <v>119</v>
      </c>
      <c r="P58" s="2" t="s">
        <v>3720</v>
      </c>
      <c r="Q58" s="2" t="s">
        <v>4926</v>
      </c>
      <c r="R58" s="2" t="s">
        <v>117</v>
      </c>
      <c r="S58" s="2" t="s">
        <v>736</v>
      </c>
      <c r="T58" s="2" t="s">
        <v>167</v>
      </c>
      <c r="U58" s="2" t="s">
        <v>12</v>
      </c>
      <c r="V58" s="2" t="s">
        <v>4902</v>
      </c>
      <c r="W58" s="2" t="s">
        <v>4982</v>
      </c>
      <c r="X58" s="2" t="s">
        <v>4925</v>
      </c>
      <c r="Y58" s="2" t="s">
        <v>3719</v>
      </c>
      <c r="Z58" s="2" t="s">
        <v>5020</v>
      </c>
      <c r="AA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" s="6" t="str">
        <f>IF(_xlfn.IFNA(INDEX(configuracoes!$A$2:$A$10,MATCH(base_tc_geral[[#This Row],[TIPO]],configuracoes!$A$2:$A$10,0)),"NÃO")="NÃO","NÃO","SIM")</f>
        <v>SIM</v>
      </c>
    </row>
    <row r="59" spans="1:31" x14ac:dyDescent="0.25">
      <c r="A59" s="2" t="s">
        <v>3866</v>
      </c>
      <c r="B59" s="2">
        <v>102101642</v>
      </c>
      <c r="C59" s="2" t="s">
        <v>15</v>
      </c>
      <c r="D59" s="2" t="s">
        <v>4516</v>
      </c>
      <c r="E59" s="2" t="s">
        <v>106</v>
      </c>
      <c r="F59" s="2" t="s">
        <v>509</v>
      </c>
      <c r="G59" s="2" t="s">
        <v>136</v>
      </c>
      <c r="H59" s="2" t="s">
        <v>130</v>
      </c>
      <c r="I59" s="2" t="s">
        <v>33</v>
      </c>
      <c r="J59" s="2" t="s">
        <v>109</v>
      </c>
      <c r="K59" s="2" t="s">
        <v>13</v>
      </c>
      <c r="L59" s="2" t="s">
        <v>72</v>
      </c>
      <c r="M59" s="2" t="s">
        <v>73</v>
      </c>
      <c r="N59" s="2" t="s">
        <v>15</v>
      </c>
      <c r="O59" s="2" t="s">
        <v>132</v>
      </c>
      <c r="P59" s="2" t="s">
        <v>3868</v>
      </c>
      <c r="Q59" s="2" t="s">
        <v>4926</v>
      </c>
      <c r="R59" s="2" t="s">
        <v>187</v>
      </c>
      <c r="S59" s="2" t="s">
        <v>736</v>
      </c>
      <c r="T59" s="2" t="s">
        <v>167</v>
      </c>
      <c r="U59" s="2" t="s">
        <v>39</v>
      </c>
      <c r="V59" s="2" t="s">
        <v>4773</v>
      </c>
      <c r="W59" s="2" t="s">
        <v>72</v>
      </c>
      <c r="X59" s="2" t="s">
        <v>5011</v>
      </c>
      <c r="Y59" s="2" t="s">
        <v>3867</v>
      </c>
      <c r="Z59" s="2" t="s">
        <v>5021</v>
      </c>
      <c r="AA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" s="6" t="str">
        <f>IF(_xlfn.IFNA(INDEX(configuracoes!$A$2:$A$10,MATCH(base_tc_geral[[#This Row],[TIPO]],configuracoes!$A$2:$A$10,0)),"NÃO")="NÃO","NÃO","SIM")</f>
        <v>NÃO</v>
      </c>
    </row>
    <row r="60" spans="1:31" x14ac:dyDescent="0.25">
      <c r="A60" s="2" t="s">
        <v>3739</v>
      </c>
      <c r="B60" s="2">
        <v>102100917</v>
      </c>
      <c r="C60" s="2" t="s">
        <v>24</v>
      </c>
      <c r="D60" s="2" t="s">
        <v>4768</v>
      </c>
      <c r="E60" s="2" t="s">
        <v>106</v>
      </c>
      <c r="F60" s="2" t="s">
        <v>116</v>
      </c>
      <c r="G60" s="2" t="s">
        <v>58</v>
      </c>
      <c r="H60" s="2" t="s">
        <v>115</v>
      </c>
      <c r="I60" s="2" t="s">
        <v>33</v>
      </c>
      <c r="J60" s="2" t="s">
        <v>109</v>
      </c>
      <c r="K60" s="2" t="s">
        <v>13</v>
      </c>
      <c r="L60" s="2" t="s">
        <v>61</v>
      </c>
      <c r="M60" s="2" t="s">
        <v>44</v>
      </c>
      <c r="N60" s="2" t="s">
        <v>24</v>
      </c>
      <c r="O60" s="2" t="s">
        <v>119</v>
      </c>
      <c r="P60" s="2" t="s">
        <v>3741</v>
      </c>
      <c r="Q60" s="2" t="s">
        <v>4926</v>
      </c>
      <c r="R60" s="2" t="s">
        <v>117</v>
      </c>
      <c r="S60" s="2" t="s">
        <v>736</v>
      </c>
      <c r="T60" s="2" t="s">
        <v>167</v>
      </c>
      <c r="U60" s="2" t="s">
        <v>39</v>
      </c>
      <c r="V60" s="2" t="s">
        <v>4902</v>
      </c>
      <c r="W60" s="2" t="s">
        <v>4999</v>
      </c>
      <c r="X60" s="2" t="s">
        <v>44</v>
      </c>
      <c r="Y60" s="2" t="s">
        <v>3740</v>
      </c>
      <c r="Z60" s="2" t="s">
        <v>5022</v>
      </c>
      <c r="AA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0" s="6" t="str">
        <f>IF(_xlfn.IFNA(INDEX(configuracoes!$A$2:$A$10,MATCH(base_tc_geral[[#This Row],[TIPO]],configuracoes!$A$2:$A$10,0)),"NÃO")="NÃO","NÃO","SIM")</f>
        <v>NÃO</v>
      </c>
    </row>
    <row r="61" spans="1:31" x14ac:dyDescent="0.25">
      <c r="A61" s="2" t="s">
        <v>3754</v>
      </c>
      <c r="B61" s="2">
        <v>102101634</v>
      </c>
      <c r="C61" s="2" t="s">
        <v>15</v>
      </c>
      <c r="D61" s="2" t="s">
        <v>4526</v>
      </c>
      <c r="E61" s="2" t="s">
        <v>106</v>
      </c>
      <c r="F61" s="2" t="s">
        <v>186</v>
      </c>
      <c r="G61" s="2" t="s">
        <v>245</v>
      </c>
      <c r="H61" s="2" t="s">
        <v>107</v>
      </c>
      <c r="I61" s="2" t="s">
        <v>33</v>
      </c>
      <c r="J61" s="2" t="s">
        <v>109</v>
      </c>
      <c r="K61" s="2" t="s">
        <v>13</v>
      </c>
      <c r="L61" s="2" t="s">
        <v>21</v>
      </c>
      <c r="M61" s="2" t="s">
        <v>22</v>
      </c>
      <c r="N61" s="2" t="s">
        <v>15</v>
      </c>
      <c r="O61" s="2" t="s">
        <v>112</v>
      </c>
      <c r="P61" s="2" t="s">
        <v>3756</v>
      </c>
      <c r="Q61" s="2" t="s">
        <v>4926</v>
      </c>
      <c r="R61" s="2" t="s">
        <v>406</v>
      </c>
      <c r="S61" s="2" t="s">
        <v>736</v>
      </c>
      <c r="T61" s="2" t="s">
        <v>167</v>
      </c>
      <c r="U61" s="2" t="s">
        <v>12</v>
      </c>
      <c r="V61" s="2" t="s">
        <v>4853</v>
      </c>
      <c r="W61" s="2" t="s">
        <v>4982</v>
      </c>
      <c r="X61" s="2" t="s">
        <v>4925</v>
      </c>
      <c r="Y61" s="2" t="s">
        <v>3755</v>
      </c>
      <c r="Z61" s="2" t="s">
        <v>5023</v>
      </c>
      <c r="AA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" s="6" t="str">
        <f>IF(_xlfn.IFNA(INDEX(configuracoes!$A$2:$A$10,MATCH(base_tc_geral[[#This Row],[TIPO]],configuracoes!$A$2:$A$10,0)),"NÃO")="NÃO","NÃO","SIM")</f>
        <v>SIM</v>
      </c>
    </row>
    <row r="62" spans="1:31" x14ac:dyDescent="0.25">
      <c r="A62" s="2" t="s">
        <v>1270</v>
      </c>
      <c r="B62" s="2">
        <v>109504193</v>
      </c>
      <c r="C62" s="2" t="s">
        <v>15</v>
      </c>
      <c r="D62" s="2" t="s">
        <v>4579</v>
      </c>
      <c r="E62" s="2" t="s">
        <v>86</v>
      </c>
      <c r="F62" s="2" t="s">
        <v>497</v>
      </c>
      <c r="G62" s="2" t="s">
        <v>58</v>
      </c>
      <c r="H62" s="2" t="s">
        <v>164</v>
      </c>
      <c r="I62" s="2" t="s">
        <v>33</v>
      </c>
      <c r="J62" s="2" t="s">
        <v>124</v>
      </c>
      <c r="K62" s="2" t="s">
        <v>13</v>
      </c>
      <c r="L62" s="2" t="s">
        <v>61</v>
      </c>
      <c r="M62" s="2" t="s">
        <v>22</v>
      </c>
      <c r="N62" s="2" t="s">
        <v>15</v>
      </c>
      <c r="O62" s="2" t="s">
        <v>169</v>
      </c>
      <c r="P62" s="2" t="s">
        <v>1272</v>
      </c>
      <c r="Q62" s="2" t="s">
        <v>4926</v>
      </c>
      <c r="R62" s="2" t="s">
        <v>639</v>
      </c>
      <c r="S62" s="2" t="s">
        <v>4699</v>
      </c>
      <c r="T62" s="2" t="s">
        <v>4696</v>
      </c>
      <c r="U62" s="2" t="s">
        <v>12</v>
      </c>
      <c r="V62" s="2" t="s">
        <v>4799</v>
      </c>
      <c r="W62" s="2" t="s">
        <v>5024</v>
      </c>
      <c r="X62" s="2" t="s">
        <v>4925</v>
      </c>
      <c r="Y62" s="2" t="s">
        <v>1271</v>
      </c>
      <c r="Z62" s="2" t="s">
        <v>5025</v>
      </c>
      <c r="AA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" s="6" t="str">
        <f>IF(_xlfn.IFNA(INDEX(configuracoes!$A$2:$A$10,MATCH(base_tc_geral[[#This Row],[TIPO]],configuracoes!$A$2:$A$10,0)),"NÃO")="NÃO","NÃO","SIM")</f>
        <v>NÃO</v>
      </c>
    </row>
    <row r="63" spans="1:31" x14ac:dyDescent="0.25">
      <c r="A63" s="2" t="s">
        <v>2873</v>
      </c>
      <c r="B63" s="2">
        <v>101005241</v>
      </c>
      <c r="C63" s="2" t="s">
        <v>15</v>
      </c>
      <c r="D63" s="2" t="s">
        <v>4584</v>
      </c>
      <c r="E63" s="2" t="s">
        <v>47</v>
      </c>
      <c r="F63" s="2" t="s">
        <v>142</v>
      </c>
      <c r="G63" s="2" t="s">
        <v>58</v>
      </c>
      <c r="H63" s="2" t="s">
        <v>141</v>
      </c>
      <c r="I63" s="2" t="s">
        <v>16</v>
      </c>
      <c r="J63" s="2" t="s">
        <v>141</v>
      </c>
      <c r="K63" s="2" t="s">
        <v>92</v>
      </c>
      <c r="L63" s="2" t="s">
        <v>61</v>
      </c>
      <c r="M63" s="2" t="s">
        <v>44</v>
      </c>
      <c r="N63" s="2" t="s">
        <v>15</v>
      </c>
      <c r="O63" s="2" t="s">
        <v>145</v>
      </c>
      <c r="P63" s="2" t="s">
        <v>2875</v>
      </c>
      <c r="Q63" s="2" t="s">
        <v>4926</v>
      </c>
      <c r="R63" s="2" t="s">
        <v>143</v>
      </c>
      <c r="S63" s="2" t="s">
        <v>4698</v>
      </c>
      <c r="T63" s="2" t="s">
        <v>4697</v>
      </c>
      <c r="U63" s="2" t="s">
        <v>12</v>
      </c>
      <c r="V63" s="2" t="s">
        <v>4845</v>
      </c>
      <c r="W63" s="2" t="s">
        <v>5013</v>
      </c>
      <c r="X63" s="2" t="s">
        <v>44</v>
      </c>
      <c r="Y63" s="2" t="s">
        <v>2874</v>
      </c>
      <c r="Z63" s="2" t="s">
        <v>5026</v>
      </c>
      <c r="AA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" s="6" t="str">
        <f>IF(_xlfn.IFNA(INDEX(configuracoes!$A$2:$A$10,MATCH(base_tc_geral[[#This Row],[TIPO]],configuracoes!$A$2:$A$10,0)),"NÃO")="NÃO","NÃO","SIM")</f>
        <v>NÃO</v>
      </c>
    </row>
    <row r="64" spans="1:31" x14ac:dyDescent="0.25">
      <c r="A64" s="2" t="s">
        <v>1966</v>
      </c>
      <c r="B64" s="2">
        <v>101006255</v>
      </c>
      <c r="C64" s="2" t="s">
        <v>15</v>
      </c>
      <c r="D64" s="2" t="s">
        <v>4557</v>
      </c>
      <c r="E64" s="2" t="s">
        <v>47</v>
      </c>
      <c r="F64" s="2" t="s">
        <v>1112</v>
      </c>
      <c r="G64" s="2" t="s">
        <v>883</v>
      </c>
      <c r="H64" s="2" t="s">
        <v>224</v>
      </c>
      <c r="I64" s="2" t="s">
        <v>16</v>
      </c>
      <c r="J64" s="2" t="s">
        <v>227</v>
      </c>
      <c r="K64" s="2" t="s">
        <v>20</v>
      </c>
      <c r="L64" s="2" t="s">
        <v>21</v>
      </c>
      <c r="M64" s="2" t="s">
        <v>22</v>
      </c>
      <c r="N64" s="2" t="s">
        <v>15</v>
      </c>
      <c r="O64" s="2" t="s">
        <v>229</v>
      </c>
      <c r="P64" s="2" t="s">
        <v>1968</v>
      </c>
      <c r="Q64" s="2" t="s">
        <v>4926</v>
      </c>
      <c r="R64" s="2" t="s">
        <v>369</v>
      </c>
      <c r="S64" s="2" t="s">
        <v>4698</v>
      </c>
      <c r="T64" s="2" t="s">
        <v>4697</v>
      </c>
      <c r="U64" s="2" t="s">
        <v>12</v>
      </c>
      <c r="V64" s="2" t="s">
        <v>4817</v>
      </c>
      <c r="W64" s="2" t="s">
        <v>4982</v>
      </c>
      <c r="X64" s="2" t="s">
        <v>4925</v>
      </c>
      <c r="Y64" s="2" t="s">
        <v>1967</v>
      </c>
      <c r="Z64" s="2" t="s">
        <v>5027</v>
      </c>
      <c r="AA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" s="6" t="str">
        <f>IF(_xlfn.IFNA(INDEX(configuracoes!$A$2:$A$10,MATCH(base_tc_geral[[#This Row],[TIPO]],configuracoes!$A$2:$A$10,0)),"NÃO")="NÃO","NÃO","SIM")</f>
        <v>SIM</v>
      </c>
    </row>
    <row r="65" spans="1:31" x14ac:dyDescent="0.25">
      <c r="A65" s="2" t="s">
        <v>881</v>
      </c>
      <c r="B65" s="2">
        <v>105303208</v>
      </c>
      <c r="C65" s="2" t="s">
        <v>389</v>
      </c>
      <c r="D65" s="2" t="s">
        <v>4768</v>
      </c>
      <c r="E65" s="2" t="s">
        <v>28</v>
      </c>
      <c r="F65" s="2" t="s">
        <v>440</v>
      </c>
      <c r="G65" s="2" t="s">
        <v>883</v>
      </c>
      <c r="H65" s="2" t="s">
        <v>34</v>
      </c>
      <c r="I65" s="2" t="s">
        <v>33</v>
      </c>
      <c r="J65" s="2" t="s">
        <v>34</v>
      </c>
      <c r="K65" s="2" t="s">
        <v>20</v>
      </c>
      <c r="L65" s="2" t="s">
        <v>21</v>
      </c>
      <c r="M65" s="2" t="s">
        <v>22</v>
      </c>
      <c r="N65" s="2" t="s">
        <v>389</v>
      </c>
      <c r="O65" s="2" t="s">
        <v>156</v>
      </c>
      <c r="P65" s="2" t="s">
        <v>884</v>
      </c>
      <c r="Q65" s="2" t="s">
        <v>4926</v>
      </c>
      <c r="R65" s="2" t="s">
        <v>849</v>
      </c>
      <c r="S65" s="2" t="s">
        <v>167</v>
      </c>
      <c r="T65" s="2" t="s">
        <v>167</v>
      </c>
      <c r="U65" s="2" t="s">
        <v>39</v>
      </c>
      <c r="V65" s="2" t="s">
        <v>4764</v>
      </c>
      <c r="W65" s="2" t="s">
        <v>4982</v>
      </c>
      <c r="X65" s="2" t="s">
        <v>4925</v>
      </c>
      <c r="Y65" s="2" t="s">
        <v>882</v>
      </c>
      <c r="Z65" s="2" t="s">
        <v>5028</v>
      </c>
      <c r="AA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5" s="6" t="str">
        <f>IF(_xlfn.IFNA(INDEX(configuracoes!$A$2:$A$10,MATCH(base_tc_geral[[#This Row],[TIPO]],configuracoes!$A$2:$A$10,0)),"NÃO")="NÃO","NÃO","SIM")</f>
        <v>SIM</v>
      </c>
    </row>
    <row r="66" spans="1:31" x14ac:dyDescent="0.25">
      <c r="A66" s="2" t="s">
        <v>628</v>
      </c>
      <c r="B66" s="2">
        <v>102101220</v>
      </c>
      <c r="C66" s="2" t="s">
        <v>24</v>
      </c>
      <c r="D66" s="2" t="s">
        <v>4482</v>
      </c>
      <c r="E66" s="2" t="s">
        <v>106</v>
      </c>
      <c r="F66" s="2" t="s">
        <v>428</v>
      </c>
      <c r="G66" s="2" t="s">
        <v>630</v>
      </c>
      <c r="H66" s="2" t="s">
        <v>427</v>
      </c>
      <c r="I66" s="2" t="s">
        <v>33</v>
      </c>
      <c r="J66" s="2" t="s">
        <v>109</v>
      </c>
      <c r="K66" s="2" t="s">
        <v>20</v>
      </c>
      <c r="L66" s="2" t="s">
        <v>21</v>
      </c>
      <c r="M66" s="2" t="s">
        <v>22</v>
      </c>
      <c r="N66" s="2" t="s">
        <v>24</v>
      </c>
      <c r="O66" s="2" t="s">
        <v>430</v>
      </c>
      <c r="P66" s="2" t="s">
        <v>631</v>
      </c>
      <c r="Q66" s="2" t="s">
        <v>4926</v>
      </c>
      <c r="R66" s="2" t="s">
        <v>625</v>
      </c>
      <c r="S66" s="2" t="s">
        <v>736</v>
      </c>
      <c r="T66" s="2" t="s">
        <v>167</v>
      </c>
      <c r="U66" s="2" t="s">
        <v>39</v>
      </c>
      <c r="V66" s="2" t="s">
        <v>4895</v>
      </c>
      <c r="W66" s="2" t="s">
        <v>4982</v>
      </c>
      <c r="X66" s="2" t="s">
        <v>4925</v>
      </c>
      <c r="Y66" s="2" t="s">
        <v>629</v>
      </c>
      <c r="Z66" s="2" t="s">
        <v>5029</v>
      </c>
      <c r="AA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6" s="6" t="str">
        <f>IF(_xlfn.IFNA(INDEX(configuracoes!$A$2:$A$10,MATCH(base_tc_geral[[#This Row],[TIPO]],configuracoes!$A$2:$A$10,0)),"NÃO")="NÃO","NÃO","SIM")</f>
        <v>SIM</v>
      </c>
    </row>
    <row r="67" spans="1:31" x14ac:dyDescent="0.25">
      <c r="A67" s="2" t="s">
        <v>4095</v>
      </c>
      <c r="B67" s="2">
        <v>108401409</v>
      </c>
      <c r="C67" s="2" t="s">
        <v>15</v>
      </c>
      <c r="D67" s="2" t="s">
        <v>4489</v>
      </c>
      <c r="E67" s="2" t="s">
        <v>47</v>
      </c>
      <c r="F67" s="2" t="s">
        <v>225</v>
      </c>
      <c r="G67" s="2" t="s">
        <v>41</v>
      </c>
      <c r="H67" s="2" t="s">
        <v>224</v>
      </c>
      <c r="I67" s="2" t="s">
        <v>16</v>
      </c>
      <c r="J67" s="2" t="s">
        <v>227</v>
      </c>
      <c r="K67" s="2" t="s">
        <v>13</v>
      </c>
      <c r="L67" s="2" t="s">
        <v>42</v>
      </c>
      <c r="M67" s="2" t="s">
        <v>75</v>
      </c>
      <c r="N67" s="2" t="s">
        <v>15</v>
      </c>
      <c r="O67" s="2" t="s">
        <v>229</v>
      </c>
      <c r="P67" s="2" t="s">
        <v>4097</v>
      </c>
      <c r="Q67" s="2" t="s">
        <v>4926</v>
      </c>
      <c r="R67" s="2" t="s">
        <v>2738</v>
      </c>
      <c r="S67" s="2" t="s">
        <v>359</v>
      </c>
      <c r="T67" s="2" t="s">
        <v>4697</v>
      </c>
      <c r="U67" s="2" t="s">
        <v>12</v>
      </c>
      <c r="V67" s="2" t="s">
        <v>4866</v>
      </c>
      <c r="W67" s="2" t="s">
        <v>42</v>
      </c>
      <c r="X67" s="2" t="s">
        <v>75</v>
      </c>
      <c r="Y67" s="2" t="s">
        <v>4096</v>
      </c>
      <c r="Z67" s="2" t="s">
        <v>5030</v>
      </c>
      <c r="AA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" s="6" t="str">
        <f>IF(_xlfn.IFNA(INDEX(configuracoes!$A$2:$A$10,MATCH(base_tc_geral[[#This Row],[TIPO]],configuracoes!$A$2:$A$10,0)),"NÃO")="NÃO","NÃO","SIM")</f>
        <v>SIM</v>
      </c>
    </row>
    <row r="68" spans="1:31" x14ac:dyDescent="0.25">
      <c r="A68" s="2" t="s">
        <v>3475</v>
      </c>
      <c r="B68" s="2">
        <v>109505154</v>
      </c>
      <c r="C68" s="2" t="s">
        <v>15</v>
      </c>
      <c r="D68" s="2" t="s">
        <v>4521</v>
      </c>
      <c r="E68" s="2" t="s">
        <v>86</v>
      </c>
      <c r="F68" s="2" t="s">
        <v>497</v>
      </c>
      <c r="G68" s="2" t="s">
        <v>58</v>
      </c>
      <c r="H68" s="2" t="s">
        <v>164</v>
      </c>
      <c r="I68" s="2" t="s">
        <v>33</v>
      </c>
      <c r="J68" s="2" t="s">
        <v>124</v>
      </c>
      <c r="K68" s="2" t="s">
        <v>13</v>
      </c>
      <c r="L68" s="2" t="s">
        <v>61</v>
      </c>
      <c r="M68" s="2" t="s">
        <v>18</v>
      </c>
      <c r="N68" s="2" t="s">
        <v>15</v>
      </c>
      <c r="O68" s="2" t="s">
        <v>169</v>
      </c>
      <c r="P68" s="2" t="s">
        <v>3478</v>
      </c>
      <c r="Q68" s="2" t="s">
        <v>4926</v>
      </c>
      <c r="R68" s="2" t="s">
        <v>3476</v>
      </c>
      <c r="S68" s="2" t="s">
        <v>4699</v>
      </c>
      <c r="T68" s="2" t="s">
        <v>4696</v>
      </c>
      <c r="U68" s="2" t="s">
        <v>12</v>
      </c>
      <c r="V68" s="2" t="s">
        <v>4800</v>
      </c>
      <c r="W68" s="2" t="s">
        <v>5006</v>
      </c>
      <c r="X68" s="2" t="s">
        <v>4998</v>
      </c>
      <c r="Y68" s="2" t="s">
        <v>3477</v>
      </c>
      <c r="Z68" s="2" t="s">
        <v>5031</v>
      </c>
      <c r="AA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LUIZ </v>
      </c>
      <c r="AB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" s="6" t="str">
        <f>IF(_xlfn.IFNA(INDEX(configuracoes!$A$2:$A$10,MATCH(base_tc_geral[[#This Row],[TIPO]],configuracoes!$A$2:$A$10,0)),"NÃO")="NÃO","NÃO","SIM")</f>
        <v>NÃO</v>
      </c>
    </row>
    <row r="69" spans="1:31" x14ac:dyDescent="0.25">
      <c r="A69" s="2" t="s">
        <v>1082</v>
      </c>
      <c r="B69" s="2">
        <v>109504012</v>
      </c>
      <c r="C69" s="2" t="s">
        <v>15</v>
      </c>
      <c r="D69" s="2" t="s">
        <v>4507</v>
      </c>
      <c r="E69" s="2" t="s">
        <v>28</v>
      </c>
      <c r="F69" s="2" t="s">
        <v>586</v>
      </c>
      <c r="G69" s="2" t="s">
        <v>172</v>
      </c>
      <c r="H69" s="2" t="s">
        <v>79</v>
      </c>
      <c r="I69" s="2" t="s">
        <v>33</v>
      </c>
      <c r="J69" s="2" t="s">
        <v>34</v>
      </c>
      <c r="K69" s="2" t="s">
        <v>13</v>
      </c>
      <c r="L69" s="2" t="s">
        <v>17</v>
      </c>
      <c r="M69" s="2" t="s">
        <v>23</v>
      </c>
      <c r="N69" s="2" t="s">
        <v>15</v>
      </c>
      <c r="O69" s="2" t="s">
        <v>83</v>
      </c>
      <c r="P69" s="2" t="s">
        <v>1084</v>
      </c>
      <c r="Q69" s="2" t="s">
        <v>4926</v>
      </c>
      <c r="R69" s="2" t="s">
        <v>166</v>
      </c>
      <c r="S69" s="2" t="s">
        <v>167</v>
      </c>
      <c r="T69" s="2" t="s">
        <v>167</v>
      </c>
      <c r="U69" s="2" t="s">
        <v>12</v>
      </c>
      <c r="V69" s="2" t="s">
        <v>4774</v>
      </c>
      <c r="W69" s="2" t="s">
        <v>17</v>
      </c>
      <c r="X69" s="2" t="s">
        <v>4998</v>
      </c>
      <c r="Y69" s="2" t="s">
        <v>1083</v>
      </c>
      <c r="Z69" s="2" t="s">
        <v>5032</v>
      </c>
      <c r="AA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" s="6" t="str">
        <f>IF(_xlfn.IFNA(INDEX(configuracoes!$A$2:$A$10,MATCH(base_tc_geral[[#This Row],[TIPO]],configuracoes!$A$2:$A$10,0)),"NÃO")="NÃO","NÃO","SIM")</f>
        <v>NÃO</v>
      </c>
    </row>
    <row r="70" spans="1:31" x14ac:dyDescent="0.25">
      <c r="A70" s="2" t="s">
        <v>2908</v>
      </c>
      <c r="B70" s="2">
        <v>101001782</v>
      </c>
      <c r="C70" s="2" t="s">
        <v>15</v>
      </c>
      <c r="D70" s="2" t="s">
        <v>4781</v>
      </c>
      <c r="E70" s="2" t="s">
        <v>47</v>
      </c>
      <c r="F70" s="2" t="s">
        <v>511</v>
      </c>
      <c r="G70" s="2" t="s">
        <v>637</v>
      </c>
      <c r="H70" s="2" t="s">
        <v>48</v>
      </c>
      <c r="I70" s="2" t="s">
        <v>16</v>
      </c>
      <c r="J70" s="2" t="s">
        <v>48</v>
      </c>
      <c r="K70" s="2" t="s">
        <v>20</v>
      </c>
      <c r="L70" s="2" t="s">
        <v>19</v>
      </c>
      <c r="M70" s="2" t="s">
        <v>22</v>
      </c>
      <c r="N70" s="2" t="s">
        <v>15</v>
      </c>
      <c r="O70" s="2" t="s">
        <v>53</v>
      </c>
      <c r="P70" s="2" t="s">
        <v>2910</v>
      </c>
      <c r="Q70" s="2" t="s">
        <v>4926</v>
      </c>
      <c r="R70" s="2" t="s">
        <v>512</v>
      </c>
      <c r="S70" s="2" t="s">
        <v>51</v>
      </c>
      <c r="T70" s="2" t="s">
        <v>4697</v>
      </c>
      <c r="U70" s="2" t="s">
        <v>12</v>
      </c>
      <c r="V70" s="2" t="s">
        <v>4861</v>
      </c>
      <c r="W70" s="2" t="s">
        <v>4982</v>
      </c>
      <c r="X70" s="2" t="s">
        <v>4925</v>
      </c>
      <c r="Y70" s="2" t="s">
        <v>2909</v>
      </c>
      <c r="Z70" s="2" t="s">
        <v>5033</v>
      </c>
      <c r="AA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" s="6" t="str">
        <f>IF(_xlfn.IFNA(INDEX(configuracoes!$A$2:$A$10,MATCH(base_tc_geral[[#This Row],[TIPO]],configuracoes!$A$2:$A$10,0)),"NÃO")="NÃO","NÃO","SIM")</f>
        <v>SIM</v>
      </c>
    </row>
    <row r="71" spans="1:31" x14ac:dyDescent="0.25">
      <c r="A71" s="2" t="s">
        <v>1088</v>
      </c>
      <c r="B71" s="2">
        <v>109504012</v>
      </c>
      <c r="C71" s="2" t="s">
        <v>15</v>
      </c>
      <c r="D71" s="2" t="s">
        <v>4515</v>
      </c>
      <c r="E71" s="2" t="s">
        <v>28</v>
      </c>
      <c r="F71" s="2" t="s">
        <v>423</v>
      </c>
      <c r="G71" s="2" t="s">
        <v>172</v>
      </c>
      <c r="H71" s="2" t="s">
        <v>34</v>
      </c>
      <c r="I71" s="2" t="s">
        <v>33</v>
      </c>
      <c r="J71" s="2" t="s">
        <v>34</v>
      </c>
      <c r="K71" s="2" t="s">
        <v>20</v>
      </c>
      <c r="L71" s="2" t="s">
        <v>17</v>
      </c>
      <c r="M71" s="2" t="s">
        <v>22</v>
      </c>
      <c r="N71" s="2" t="s">
        <v>15</v>
      </c>
      <c r="O71" s="2" t="s">
        <v>156</v>
      </c>
      <c r="P71" s="2" t="s">
        <v>1090</v>
      </c>
      <c r="Q71" s="2" t="s">
        <v>4926</v>
      </c>
      <c r="R71" s="2" t="s">
        <v>166</v>
      </c>
      <c r="S71" s="2" t="s">
        <v>167</v>
      </c>
      <c r="T71" s="2" t="s">
        <v>167</v>
      </c>
      <c r="U71" s="2" t="s">
        <v>12</v>
      </c>
      <c r="V71" s="2" t="s">
        <v>4775</v>
      </c>
      <c r="W71" s="2" t="s">
        <v>4982</v>
      </c>
      <c r="X71" s="2" t="s">
        <v>4925</v>
      </c>
      <c r="Y71" s="2" t="s">
        <v>1089</v>
      </c>
      <c r="Z71" s="2" t="s">
        <v>5034</v>
      </c>
      <c r="AA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" s="6" t="str">
        <f>IF(_xlfn.IFNA(INDEX(configuracoes!$A$2:$A$10,MATCH(base_tc_geral[[#This Row],[TIPO]],configuracoes!$A$2:$A$10,0)),"NÃO")="NÃO","NÃO","SIM")</f>
        <v>NÃO</v>
      </c>
    </row>
    <row r="72" spans="1:31" x14ac:dyDescent="0.25">
      <c r="A72" s="2" t="s">
        <v>1444</v>
      </c>
      <c r="B72" s="2">
        <v>105303208</v>
      </c>
      <c r="C72" s="2" t="s">
        <v>24</v>
      </c>
      <c r="D72" s="2" t="s">
        <v>4482</v>
      </c>
      <c r="E72" s="2" t="s">
        <v>28</v>
      </c>
      <c r="F72" s="2" t="s">
        <v>440</v>
      </c>
      <c r="G72" s="2" t="s">
        <v>317</v>
      </c>
      <c r="H72" s="2" t="s">
        <v>34</v>
      </c>
      <c r="I72" s="2" t="s">
        <v>33</v>
      </c>
      <c r="J72" s="2" t="s">
        <v>34</v>
      </c>
      <c r="K72" s="2" t="s">
        <v>13</v>
      </c>
      <c r="L72" s="2" t="s">
        <v>42</v>
      </c>
      <c r="M72" s="2" t="s">
        <v>75</v>
      </c>
      <c r="N72" s="2" t="s">
        <v>24</v>
      </c>
      <c r="O72" s="2" t="s">
        <v>156</v>
      </c>
      <c r="P72" s="2" t="s">
        <v>1446</v>
      </c>
      <c r="Q72" s="2" t="s">
        <v>4926</v>
      </c>
      <c r="R72" s="2" t="s">
        <v>849</v>
      </c>
      <c r="S72" s="2" t="s">
        <v>167</v>
      </c>
      <c r="T72" s="2" t="s">
        <v>167</v>
      </c>
      <c r="U72" s="2" t="s">
        <v>39</v>
      </c>
      <c r="V72" s="2" t="s">
        <v>4764</v>
      </c>
      <c r="W72" s="2" t="s">
        <v>42</v>
      </c>
      <c r="X72" s="2" t="s">
        <v>75</v>
      </c>
      <c r="Y72" s="2" t="s">
        <v>1445</v>
      </c>
      <c r="Z72" s="2" t="s">
        <v>5035</v>
      </c>
      <c r="AA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2" s="6" t="str">
        <f>IF(_xlfn.IFNA(INDEX(configuracoes!$A$2:$A$10,MATCH(base_tc_geral[[#This Row],[TIPO]],configuracoes!$A$2:$A$10,0)),"NÃO")="NÃO","NÃO","SIM")</f>
        <v>SIM</v>
      </c>
    </row>
    <row r="73" spans="1:31" x14ac:dyDescent="0.25">
      <c r="A73" s="2" t="s">
        <v>2553</v>
      </c>
      <c r="B73" s="2">
        <v>109501286</v>
      </c>
      <c r="C73" s="2" t="s">
        <v>15</v>
      </c>
      <c r="D73" s="2" t="s">
        <v>4605</v>
      </c>
      <c r="E73" s="2" t="s">
        <v>86</v>
      </c>
      <c r="F73" s="2" t="s">
        <v>497</v>
      </c>
      <c r="G73" s="2" t="s">
        <v>41</v>
      </c>
      <c r="H73" s="2" t="s">
        <v>164</v>
      </c>
      <c r="I73" s="2" t="s">
        <v>33</v>
      </c>
      <c r="J73" s="2" t="s">
        <v>124</v>
      </c>
      <c r="K73" s="2" t="s">
        <v>13</v>
      </c>
      <c r="L73" s="2" t="s">
        <v>42</v>
      </c>
      <c r="M73" s="2" t="s">
        <v>75</v>
      </c>
      <c r="N73" s="2" t="s">
        <v>15</v>
      </c>
      <c r="O73" s="2" t="s">
        <v>169</v>
      </c>
      <c r="P73" s="2" t="s">
        <v>2555</v>
      </c>
      <c r="Q73" s="2" t="s">
        <v>4926</v>
      </c>
      <c r="R73" s="2" t="s">
        <v>498</v>
      </c>
      <c r="S73" s="2" t="s">
        <v>93</v>
      </c>
      <c r="T73" s="2" t="s">
        <v>4696</v>
      </c>
      <c r="U73" s="2" t="s">
        <v>12</v>
      </c>
      <c r="V73" s="2" t="s">
        <v>4766</v>
      </c>
      <c r="W73" s="2" t="s">
        <v>42</v>
      </c>
      <c r="X73" s="2" t="s">
        <v>75</v>
      </c>
      <c r="Y73" s="2" t="s">
        <v>2554</v>
      </c>
      <c r="Z73" s="2" t="s">
        <v>5036</v>
      </c>
      <c r="AA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" s="6" t="str">
        <f>IF(_xlfn.IFNA(INDEX(configuracoes!$A$2:$A$10,MATCH(base_tc_geral[[#This Row],[TIPO]],configuracoes!$A$2:$A$10,0)),"NÃO")="NÃO","NÃO","SIM")</f>
        <v>SIM</v>
      </c>
    </row>
    <row r="74" spans="1:31" x14ac:dyDescent="0.25">
      <c r="A74" s="2" t="s">
        <v>2541</v>
      </c>
      <c r="B74" s="2">
        <v>109504193</v>
      </c>
      <c r="C74" s="2" t="s">
        <v>15</v>
      </c>
      <c r="D74" s="2" t="s">
        <v>4516</v>
      </c>
      <c r="E74" s="2" t="s">
        <v>86</v>
      </c>
      <c r="F74" s="2" t="s">
        <v>123</v>
      </c>
      <c r="G74" s="2" t="s">
        <v>58</v>
      </c>
      <c r="H74" s="2" t="s">
        <v>122</v>
      </c>
      <c r="I74" s="2" t="s">
        <v>33</v>
      </c>
      <c r="J74" s="2" t="s">
        <v>124</v>
      </c>
      <c r="K74" s="2" t="s">
        <v>13</v>
      </c>
      <c r="L74" s="2" t="s">
        <v>61</v>
      </c>
      <c r="M74" s="2" t="s">
        <v>44</v>
      </c>
      <c r="N74" s="2" t="s">
        <v>15</v>
      </c>
      <c r="O74" s="2" t="s">
        <v>129</v>
      </c>
      <c r="P74" s="2" t="s">
        <v>2543</v>
      </c>
      <c r="Q74" s="2" t="s">
        <v>4926</v>
      </c>
      <c r="R74" s="2" t="s">
        <v>639</v>
      </c>
      <c r="S74" s="2" t="s">
        <v>4699</v>
      </c>
      <c r="T74" s="2" t="s">
        <v>4696</v>
      </c>
      <c r="U74" s="2" t="s">
        <v>12</v>
      </c>
      <c r="V74" s="2" t="s">
        <v>4771</v>
      </c>
      <c r="W74" s="2" t="s">
        <v>5037</v>
      </c>
      <c r="X74" s="2" t="s">
        <v>44</v>
      </c>
      <c r="Y74" s="2" t="s">
        <v>2542</v>
      </c>
      <c r="Z74" s="2" t="s">
        <v>5038</v>
      </c>
      <c r="AA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" s="6" t="str">
        <f>IF(_xlfn.IFNA(INDEX(configuracoes!$A$2:$A$10,MATCH(base_tc_geral[[#This Row],[TIPO]],configuracoes!$A$2:$A$10,0)),"NÃO")="NÃO","NÃO","SIM")</f>
        <v>NÃO</v>
      </c>
    </row>
    <row r="75" spans="1:31" x14ac:dyDescent="0.25">
      <c r="A75" s="2" t="s">
        <v>2145</v>
      </c>
      <c r="B75" s="2">
        <v>101007963</v>
      </c>
      <c r="C75" s="2" t="s">
        <v>15</v>
      </c>
      <c r="D75" s="2" t="s">
        <v>4488</v>
      </c>
      <c r="E75" s="2" t="s">
        <v>47</v>
      </c>
      <c r="F75" s="2" t="s">
        <v>244</v>
      </c>
      <c r="G75" s="2" t="s">
        <v>883</v>
      </c>
      <c r="H75" s="2" t="s">
        <v>60</v>
      </c>
      <c r="I75" s="2" t="s">
        <v>16</v>
      </c>
      <c r="J75" s="2" t="s">
        <v>60</v>
      </c>
      <c r="K75" s="2" t="s">
        <v>20</v>
      </c>
      <c r="L75" s="2" t="s">
        <v>21</v>
      </c>
      <c r="M75" s="2" t="s">
        <v>22</v>
      </c>
      <c r="N75" s="2" t="s">
        <v>15</v>
      </c>
      <c r="O75" s="2" t="s">
        <v>161</v>
      </c>
      <c r="P75" s="2" t="s">
        <v>2147</v>
      </c>
      <c r="Q75" s="2" t="s">
        <v>4926</v>
      </c>
      <c r="R75" s="2" t="s">
        <v>246</v>
      </c>
      <c r="S75" s="2" t="s">
        <v>51</v>
      </c>
      <c r="T75" s="2" t="s">
        <v>4697</v>
      </c>
      <c r="U75" s="2" t="s">
        <v>12</v>
      </c>
      <c r="V75" s="2" t="s">
        <v>4778</v>
      </c>
      <c r="W75" s="2" t="s">
        <v>4982</v>
      </c>
      <c r="X75" s="2" t="s">
        <v>4925</v>
      </c>
      <c r="Y75" s="2" t="s">
        <v>2146</v>
      </c>
      <c r="Z75" s="2" t="s">
        <v>5039</v>
      </c>
      <c r="AA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" s="6" t="str">
        <f>IF(_xlfn.IFNA(INDEX(configuracoes!$A$2:$A$10,MATCH(base_tc_geral[[#This Row],[TIPO]],configuracoes!$A$2:$A$10,0)),"NÃO")="NÃO","NÃO","SIM")</f>
        <v>SIM</v>
      </c>
    </row>
    <row r="76" spans="1:31" x14ac:dyDescent="0.25">
      <c r="A76" s="2" t="s">
        <v>4247</v>
      </c>
      <c r="B76" s="2">
        <v>101005241</v>
      </c>
      <c r="C76" s="2" t="s">
        <v>24</v>
      </c>
      <c r="D76" s="2" t="s">
        <v>4768</v>
      </c>
      <c r="E76" s="2" t="s">
        <v>47</v>
      </c>
      <c r="F76" s="2" t="s">
        <v>2862</v>
      </c>
      <c r="G76" s="2" t="s">
        <v>99</v>
      </c>
      <c r="H76" s="2" t="s">
        <v>141</v>
      </c>
      <c r="I76" s="2" t="s">
        <v>16</v>
      </c>
      <c r="J76" s="2" t="s">
        <v>141</v>
      </c>
      <c r="K76" s="2" t="s">
        <v>20</v>
      </c>
      <c r="L76" s="2" t="s">
        <v>25</v>
      </c>
      <c r="M76" s="2" t="s">
        <v>22</v>
      </c>
      <c r="N76" s="2" t="s">
        <v>24</v>
      </c>
      <c r="O76" s="2" t="s">
        <v>145</v>
      </c>
      <c r="P76" s="2" t="s">
        <v>4249</v>
      </c>
      <c r="Q76" s="2" t="s">
        <v>4926</v>
      </c>
      <c r="R76" s="2" t="s">
        <v>143</v>
      </c>
      <c r="S76" s="2" t="s">
        <v>4698</v>
      </c>
      <c r="T76" s="2" t="s">
        <v>4697</v>
      </c>
      <c r="U76" s="2" t="s">
        <v>39</v>
      </c>
      <c r="V76" s="2" t="s">
        <v>4845</v>
      </c>
      <c r="W76" s="2" t="s">
        <v>4931</v>
      </c>
      <c r="X76" s="2" t="s">
        <v>4925</v>
      </c>
      <c r="Y76" s="2" t="s">
        <v>4248</v>
      </c>
      <c r="Z76" s="2" t="s">
        <v>5040</v>
      </c>
      <c r="AA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6" s="6" t="str">
        <f>IF(_xlfn.IFNA(INDEX(configuracoes!$A$2:$A$10,MATCH(base_tc_geral[[#This Row],[TIPO]],configuracoes!$A$2:$A$10,0)),"NÃO")="NÃO","NÃO","SIM")</f>
        <v>SIM</v>
      </c>
    </row>
    <row r="77" spans="1:31" x14ac:dyDescent="0.25">
      <c r="A77" s="2" t="s">
        <v>1656</v>
      </c>
      <c r="B77" s="2">
        <v>109500177</v>
      </c>
      <c r="C77" s="2" t="s">
        <v>40</v>
      </c>
      <c r="D77" s="2" t="s">
        <v>4539</v>
      </c>
      <c r="E77" s="2" t="s">
        <v>86</v>
      </c>
      <c r="F77" s="2" t="s">
        <v>590</v>
      </c>
      <c r="G77" s="2" t="s">
        <v>245</v>
      </c>
      <c r="H77" s="2" t="s">
        <v>122</v>
      </c>
      <c r="I77" s="2" t="s">
        <v>33</v>
      </c>
      <c r="J77" s="2" t="s">
        <v>124</v>
      </c>
      <c r="K77" s="2" t="s">
        <v>20</v>
      </c>
      <c r="L77" s="2" t="s">
        <v>21</v>
      </c>
      <c r="M77" s="2" t="s">
        <v>22</v>
      </c>
      <c r="N77" s="2" t="s">
        <v>40</v>
      </c>
      <c r="O77" s="2" t="s">
        <v>129</v>
      </c>
      <c r="P77" s="2" t="s">
        <v>1658</v>
      </c>
      <c r="Q77" s="2" t="s">
        <v>4926</v>
      </c>
      <c r="R77" s="2" t="s">
        <v>447</v>
      </c>
      <c r="S77" s="2" t="s">
        <v>125</v>
      </c>
      <c r="T77" s="2" t="s">
        <v>4696</v>
      </c>
      <c r="U77" s="2" t="s">
        <v>39</v>
      </c>
      <c r="V77" s="2" t="s">
        <v>4784</v>
      </c>
      <c r="W77" s="2" t="s">
        <v>4982</v>
      </c>
      <c r="X77" s="2" t="s">
        <v>4925</v>
      </c>
      <c r="Y77" s="2" t="s">
        <v>1657</v>
      </c>
      <c r="Z77" s="2" t="s">
        <v>5041</v>
      </c>
      <c r="AA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77" s="6" t="str">
        <f>IF(_xlfn.IFNA(INDEX(configuracoes!$A$2:$A$10,MATCH(base_tc_geral[[#This Row],[TIPO]],configuracoes!$A$2:$A$10,0)),"NÃO")="NÃO","NÃO","SIM")</f>
        <v>SIM</v>
      </c>
    </row>
    <row r="78" spans="1:31" x14ac:dyDescent="0.25">
      <c r="A78" s="2" t="s">
        <v>2923</v>
      </c>
      <c r="B78" s="2">
        <v>101001782</v>
      </c>
      <c r="C78" s="2" t="s">
        <v>15</v>
      </c>
      <c r="D78" s="2" t="s">
        <v>4781</v>
      </c>
      <c r="E78" s="2" t="s">
        <v>47</v>
      </c>
      <c r="F78" s="2" t="s">
        <v>511</v>
      </c>
      <c r="G78" s="2" t="s">
        <v>637</v>
      </c>
      <c r="H78" s="2" t="s">
        <v>48</v>
      </c>
      <c r="I78" s="2" t="s">
        <v>16</v>
      </c>
      <c r="J78" s="2" t="s">
        <v>48</v>
      </c>
      <c r="K78" s="2" t="s">
        <v>20</v>
      </c>
      <c r="L78" s="2" t="s">
        <v>19</v>
      </c>
      <c r="M78" s="2" t="s">
        <v>22</v>
      </c>
      <c r="N78" s="2" t="s">
        <v>15</v>
      </c>
      <c r="O78" s="2" t="s">
        <v>53</v>
      </c>
      <c r="P78" s="2" t="s">
        <v>2925</v>
      </c>
      <c r="Q78" s="2" t="s">
        <v>4926</v>
      </c>
      <c r="R78" s="2" t="s">
        <v>512</v>
      </c>
      <c r="S78" s="2" t="s">
        <v>51</v>
      </c>
      <c r="T78" s="2" t="s">
        <v>4697</v>
      </c>
      <c r="U78" s="2" t="s">
        <v>12</v>
      </c>
      <c r="V78" s="2" t="s">
        <v>4861</v>
      </c>
      <c r="W78" s="2" t="s">
        <v>4982</v>
      </c>
      <c r="X78" s="2" t="s">
        <v>4925</v>
      </c>
      <c r="Y78" s="2" t="s">
        <v>2924</v>
      </c>
      <c r="Z78" s="2" t="s">
        <v>5042</v>
      </c>
      <c r="AA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" s="6" t="str">
        <f>IF(_xlfn.IFNA(INDEX(configuracoes!$A$2:$A$10,MATCH(base_tc_geral[[#This Row],[TIPO]],configuracoes!$A$2:$A$10,0)),"NÃO")="NÃO","NÃO","SIM")</f>
        <v>SIM</v>
      </c>
    </row>
    <row r="79" spans="1:31" x14ac:dyDescent="0.25">
      <c r="A79" s="2" t="s">
        <v>4050</v>
      </c>
      <c r="B79" s="2">
        <v>109000340</v>
      </c>
      <c r="C79" s="2" t="s">
        <v>24</v>
      </c>
      <c r="D79" s="2" t="s">
        <v>4768</v>
      </c>
      <c r="E79" s="2" t="s">
        <v>86</v>
      </c>
      <c r="F79" s="2" t="s">
        <v>1320</v>
      </c>
      <c r="G79" s="2" t="s">
        <v>630</v>
      </c>
      <c r="H79" s="2" t="s">
        <v>1321</v>
      </c>
      <c r="I79" s="2" t="s">
        <v>33</v>
      </c>
      <c r="J79" s="2" t="s">
        <v>91</v>
      </c>
      <c r="K79" s="2" t="s">
        <v>20</v>
      </c>
      <c r="L79" s="2" t="s">
        <v>21</v>
      </c>
      <c r="M79" s="2" t="s">
        <v>22</v>
      </c>
      <c r="N79" s="2" t="s">
        <v>24</v>
      </c>
      <c r="O79" s="2" t="s">
        <v>1322</v>
      </c>
      <c r="P79" s="2" t="s">
        <v>4052</v>
      </c>
      <c r="Q79" s="2" t="s">
        <v>4926</v>
      </c>
      <c r="R79" s="2" t="s">
        <v>90</v>
      </c>
      <c r="S79" s="2" t="s">
        <v>93</v>
      </c>
      <c r="T79" s="2" t="s">
        <v>4696</v>
      </c>
      <c r="U79" s="2" t="s">
        <v>39</v>
      </c>
      <c r="V79" s="2" t="s">
        <v>4898</v>
      </c>
      <c r="W79" s="2" t="s">
        <v>4982</v>
      </c>
      <c r="X79" s="2" t="s">
        <v>4925</v>
      </c>
      <c r="Y79" s="2" t="s">
        <v>4051</v>
      </c>
      <c r="Z79" s="2" t="s">
        <v>5462</v>
      </c>
      <c r="AA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9" s="6" t="str">
        <f>IF(_xlfn.IFNA(INDEX(configuracoes!$A$2:$A$10,MATCH(base_tc_geral[[#This Row],[TIPO]],configuracoes!$A$2:$A$10,0)),"NÃO")="NÃO","NÃO","SIM")</f>
        <v>SIM</v>
      </c>
    </row>
    <row r="80" spans="1:31" x14ac:dyDescent="0.25">
      <c r="A80" s="2" t="s">
        <v>3460</v>
      </c>
      <c r="B80" s="2">
        <v>109505819</v>
      </c>
      <c r="C80" s="2" t="s">
        <v>15</v>
      </c>
      <c r="D80" s="2" t="s">
        <v>4515</v>
      </c>
      <c r="E80" s="2" t="s">
        <v>86</v>
      </c>
      <c r="F80" s="2" t="s">
        <v>165</v>
      </c>
      <c r="G80" s="2" t="s">
        <v>711</v>
      </c>
      <c r="H80" s="2" t="s">
        <v>164</v>
      </c>
      <c r="I80" s="2" t="s">
        <v>33</v>
      </c>
      <c r="J80" s="2" t="s">
        <v>124</v>
      </c>
      <c r="K80" s="2" t="s">
        <v>13</v>
      </c>
      <c r="L80" s="2" t="s">
        <v>126</v>
      </c>
      <c r="M80" s="2" t="s">
        <v>22</v>
      </c>
      <c r="N80" s="2" t="s">
        <v>15</v>
      </c>
      <c r="O80" s="2" t="s">
        <v>169</v>
      </c>
      <c r="P80" s="2" t="s">
        <v>3462</v>
      </c>
      <c r="Q80" s="2" t="s">
        <v>4926</v>
      </c>
      <c r="R80" s="2" t="s">
        <v>3459</v>
      </c>
      <c r="S80" s="2" t="s">
        <v>93</v>
      </c>
      <c r="T80" s="2" t="s">
        <v>4696</v>
      </c>
      <c r="U80" s="2" t="s">
        <v>12</v>
      </c>
      <c r="V80" s="2" t="s">
        <v>4794</v>
      </c>
      <c r="W80" s="2" t="s">
        <v>4982</v>
      </c>
      <c r="X80" s="2" t="s">
        <v>4925</v>
      </c>
      <c r="Y80" s="2" t="s">
        <v>3461</v>
      </c>
      <c r="Z80" s="2" t="s">
        <v>5463</v>
      </c>
      <c r="AA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" s="6" t="str">
        <f>IF(_xlfn.IFNA(INDEX(configuracoes!$A$2:$A$10,MATCH(base_tc_geral[[#This Row],[TIPO]],configuracoes!$A$2:$A$10,0)),"NÃO")="NÃO","NÃO","SIM")</f>
        <v>SIM</v>
      </c>
    </row>
    <row r="81" spans="1:31" x14ac:dyDescent="0.25">
      <c r="A81" s="2" t="s">
        <v>2628</v>
      </c>
      <c r="B81" s="2">
        <v>101005989</v>
      </c>
      <c r="C81" s="2" t="s">
        <v>15</v>
      </c>
      <c r="D81" s="2" t="s">
        <v>4481</v>
      </c>
      <c r="E81" s="2" t="s">
        <v>47</v>
      </c>
      <c r="F81" s="2" t="s">
        <v>433</v>
      </c>
      <c r="G81" s="2" t="s">
        <v>4780</v>
      </c>
      <c r="H81" s="2" t="s">
        <v>56</v>
      </c>
      <c r="I81" s="2" t="s">
        <v>16</v>
      </c>
      <c r="J81" s="2" t="s">
        <v>60</v>
      </c>
      <c r="K81" s="2" t="s">
        <v>20</v>
      </c>
      <c r="L81" s="2" t="s">
        <v>21</v>
      </c>
      <c r="M81" s="2" t="s">
        <v>22</v>
      </c>
      <c r="N81" s="2" t="s">
        <v>15</v>
      </c>
      <c r="O81" s="2" t="s">
        <v>63</v>
      </c>
      <c r="P81" s="2" t="s">
        <v>2630</v>
      </c>
      <c r="Q81" s="2" t="s">
        <v>4926</v>
      </c>
      <c r="R81" s="2" t="s">
        <v>59</v>
      </c>
      <c r="S81" s="2" t="s">
        <v>51</v>
      </c>
      <c r="T81" s="2" t="s">
        <v>4697</v>
      </c>
      <c r="U81" s="2" t="s">
        <v>12</v>
      </c>
      <c r="V81" s="2" t="s">
        <v>4810</v>
      </c>
      <c r="W81" s="2" t="s">
        <v>4982</v>
      </c>
      <c r="X81" s="2" t="s">
        <v>4925</v>
      </c>
      <c r="Y81" s="2" t="s">
        <v>2629</v>
      </c>
      <c r="Z81" s="2" t="s">
        <v>5464</v>
      </c>
      <c r="AA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1" s="6" t="str">
        <f>IF(_xlfn.IFNA(INDEX(configuracoes!$A$2:$A$10,MATCH(base_tc_geral[[#This Row],[TIPO]],configuracoes!$A$2:$A$10,0)),"NÃO")="NÃO","NÃO","SIM")</f>
        <v>SIM</v>
      </c>
    </row>
    <row r="82" spans="1:31" x14ac:dyDescent="0.25">
      <c r="A82" s="2" t="s">
        <v>2905</v>
      </c>
      <c r="B82" s="2">
        <v>101001782</v>
      </c>
      <c r="C82" s="2" t="s">
        <v>15</v>
      </c>
      <c r="D82" s="2" t="s">
        <v>4571</v>
      </c>
      <c r="E82" s="2" t="s">
        <v>47</v>
      </c>
      <c r="F82" s="2" t="s">
        <v>464</v>
      </c>
      <c r="G82" s="2" t="s">
        <v>364</v>
      </c>
      <c r="H82" s="2" t="s">
        <v>48</v>
      </c>
      <c r="I82" s="2" t="s">
        <v>16</v>
      </c>
      <c r="J82" s="2" t="s">
        <v>48</v>
      </c>
      <c r="K82" s="2" t="s">
        <v>13</v>
      </c>
      <c r="L82" s="2" t="s">
        <v>37</v>
      </c>
      <c r="M82" s="2" t="s">
        <v>44</v>
      </c>
      <c r="N82" s="2" t="s">
        <v>15</v>
      </c>
      <c r="O82" s="2" t="s">
        <v>53</v>
      </c>
      <c r="P82" s="2" t="s">
        <v>2907</v>
      </c>
      <c r="Q82" s="2" t="s">
        <v>4926</v>
      </c>
      <c r="R82" s="2" t="s">
        <v>512</v>
      </c>
      <c r="S82" s="2" t="s">
        <v>51</v>
      </c>
      <c r="T82" s="2" t="s">
        <v>4697</v>
      </c>
      <c r="U82" s="2" t="s">
        <v>12</v>
      </c>
      <c r="V82" s="2" t="s">
        <v>4861</v>
      </c>
      <c r="W82" s="2" t="s">
        <v>4999</v>
      </c>
      <c r="X82" s="2" t="s">
        <v>44</v>
      </c>
      <c r="Y82" s="2" t="s">
        <v>2906</v>
      </c>
      <c r="Z82" s="2" t="s">
        <v>5465</v>
      </c>
      <c r="AA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2" s="6" t="str">
        <f>IF(_xlfn.IFNA(INDEX(configuracoes!$A$2:$A$10,MATCH(base_tc_geral[[#This Row],[TIPO]],configuracoes!$A$2:$A$10,0)),"NÃO")="NÃO","NÃO","SIM")</f>
        <v>NÃO</v>
      </c>
    </row>
    <row r="83" spans="1:31" x14ac:dyDescent="0.25">
      <c r="A83" s="2" t="s">
        <v>2172</v>
      </c>
      <c r="B83" s="2">
        <v>101007963</v>
      </c>
      <c r="C83" s="2" t="s">
        <v>24</v>
      </c>
      <c r="D83" s="2" t="s">
        <v>4482</v>
      </c>
      <c r="E83" s="2" t="s">
        <v>47</v>
      </c>
      <c r="F83" s="2" t="s">
        <v>601</v>
      </c>
      <c r="G83" s="2" t="s">
        <v>883</v>
      </c>
      <c r="H83" s="2" t="s">
        <v>60</v>
      </c>
      <c r="I83" s="2" t="s">
        <v>16</v>
      </c>
      <c r="J83" s="2" t="s">
        <v>60</v>
      </c>
      <c r="K83" s="2" t="s">
        <v>20</v>
      </c>
      <c r="L83" s="2" t="s">
        <v>21</v>
      </c>
      <c r="M83" s="2" t="s">
        <v>22</v>
      </c>
      <c r="N83" s="2" t="s">
        <v>24</v>
      </c>
      <c r="O83" s="2" t="s">
        <v>161</v>
      </c>
      <c r="P83" s="2" t="s">
        <v>2174</v>
      </c>
      <c r="Q83" s="2" t="s">
        <v>4926</v>
      </c>
      <c r="R83" s="2" t="s">
        <v>246</v>
      </c>
      <c r="S83" s="2" t="s">
        <v>51</v>
      </c>
      <c r="T83" s="2" t="s">
        <v>4697</v>
      </c>
      <c r="U83" s="2" t="s">
        <v>39</v>
      </c>
      <c r="V83" s="2" t="s">
        <v>4778</v>
      </c>
      <c r="W83" s="2" t="s">
        <v>4982</v>
      </c>
      <c r="X83" s="2" t="s">
        <v>4925</v>
      </c>
      <c r="Y83" s="2" t="s">
        <v>2173</v>
      </c>
      <c r="Z83" s="2" t="s">
        <v>5466</v>
      </c>
      <c r="AA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3" s="6" t="str">
        <f>IF(_xlfn.IFNA(INDEX(configuracoes!$A$2:$A$10,MATCH(base_tc_geral[[#This Row],[TIPO]],configuracoes!$A$2:$A$10,0)),"NÃO")="NÃO","NÃO","SIM")</f>
        <v>SIM</v>
      </c>
    </row>
    <row r="84" spans="1:31" x14ac:dyDescent="0.25">
      <c r="A84" s="2" t="s">
        <v>425</v>
      </c>
      <c r="B84" s="2">
        <v>102101220</v>
      </c>
      <c r="C84" s="2" t="s">
        <v>15</v>
      </c>
      <c r="D84" s="2" t="s">
        <v>4514</v>
      </c>
      <c r="E84" s="2" t="s">
        <v>106</v>
      </c>
      <c r="F84" s="2" t="s">
        <v>428</v>
      </c>
      <c r="G84" s="2" t="s">
        <v>245</v>
      </c>
      <c r="H84" s="2" t="s">
        <v>427</v>
      </c>
      <c r="I84" s="2" t="s">
        <v>33</v>
      </c>
      <c r="J84" s="2" t="s">
        <v>109</v>
      </c>
      <c r="K84" s="2" t="s">
        <v>20</v>
      </c>
      <c r="L84" s="2" t="s">
        <v>21</v>
      </c>
      <c r="M84" s="2" t="s">
        <v>22</v>
      </c>
      <c r="N84" s="2" t="s">
        <v>15</v>
      </c>
      <c r="O84" s="2" t="s">
        <v>430</v>
      </c>
      <c r="P84" s="2" t="s">
        <v>429</v>
      </c>
      <c r="Q84" s="2" t="s">
        <v>4926</v>
      </c>
      <c r="R84" s="2" t="s">
        <v>625</v>
      </c>
      <c r="S84" s="2" t="s">
        <v>736</v>
      </c>
      <c r="T84" s="2" t="s">
        <v>167</v>
      </c>
      <c r="U84" s="2" t="s">
        <v>12</v>
      </c>
      <c r="V84" s="2" t="s">
        <v>4895</v>
      </c>
      <c r="W84" s="2" t="s">
        <v>4982</v>
      </c>
      <c r="X84" s="2" t="s">
        <v>4925</v>
      </c>
      <c r="Y84" s="2" t="s">
        <v>426</v>
      </c>
      <c r="Z84" s="2" t="s">
        <v>5467</v>
      </c>
      <c r="AA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" s="6" t="str">
        <f>IF(_xlfn.IFNA(INDEX(configuracoes!$A$2:$A$10,MATCH(base_tc_geral[[#This Row],[TIPO]],configuracoes!$A$2:$A$10,0)),"NÃO")="NÃO","NÃO","SIM")</f>
        <v>SIM</v>
      </c>
    </row>
    <row r="85" spans="1:31" x14ac:dyDescent="0.25">
      <c r="A85" s="2" t="s">
        <v>2998</v>
      </c>
      <c r="B85" s="2">
        <v>109000499</v>
      </c>
      <c r="C85" s="2" t="s">
        <v>15</v>
      </c>
      <c r="D85" s="2" t="s">
        <v>4528</v>
      </c>
      <c r="E85" s="2" t="s">
        <v>86</v>
      </c>
      <c r="F85" s="2" t="s">
        <v>274</v>
      </c>
      <c r="G85" s="2" t="s">
        <v>136</v>
      </c>
      <c r="H85" s="2" t="s">
        <v>210</v>
      </c>
      <c r="I85" s="2" t="s">
        <v>33</v>
      </c>
      <c r="J85" s="2" t="s">
        <v>124</v>
      </c>
      <c r="K85" s="2" t="s">
        <v>13</v>
      </c>
      <c r="L85" s="2" t="s">
        <v>72</v>
      </c>
      <c r="M85" s="2" t="s">
        <v>73</v>
      </c>
      <c r="N85" s="2" t="s">
        <v>15</v>
      </c>
      <c r="O85" s="2" t="s">
        <v>214</v>
      </c>
      <c r="P85" s="2" t="s">
        <v>3000</v>
      </c>
      <c r="Q85" s="2" t="s">
        <v>4926</v>
      </c>
      <c r="R85" s="2" t="s">
        <v>321</v>
      </c>
      <c r="S85" s="2" t="s">
        <v>93</v>
      </c>
      <c r="T85" s="2" t="s">
        <v>4696</v>
      </c>
      <c r="U85" s="2" t="s">
        <v>12</v>
      </c>
      <c r="V85" s="2" t="s">
        <v>4783</v>
      </c>
      <c r="W85" s="2" t="s">
        <v>72</v>
      </c>
      <c r="X85" s="2" t="s">
        <v>5011</v>
      </c>
      <c r="Y85" s="2" t="s">
        <v>2999</v>
      </c>
      <c r="Z85" s="2" t="s">
        <v>5468</v>
      </c>
      <c r="AA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" s="6" t="str">
        <f>IF(_xlfn.IFNA(INDEX(configuracoes!$A$2:$A$10,MATCH(base_tc_geral[[#This Row],[TIPO]],configuracoes!$A$2:$A$10,0)),"NÃO")="NÃO","NÃO","SIM")</f>
        <v>NÃO</v>
      </c>
    </row>
    <row r="86" spans="1:31" x14ac:dyDescent="0.25">
      <c r="A86" s="2" t="s">
        <v>3935</v>
      </c>
      <c r="B86" s="2">
        <v>105303134</v>
      </c>
      <c r="C86" s="2" t="s">
        <v>15</v>
      </c>
      <c r="D86" s="2" t="s">
        <v>4507</v>
      </c>
      <c r="E86" s="2" t="s">
        <v>28</v>
      </c>
      <c r="F86" s="2" t="s">
        <v>290</v>
      </c>
      <c r="G86" s="2" t="s">
        <v>317</v>
      </c>
      <c r="H86" s="2" t="s">
        <v>34</v>
      </c>
      <c r="I86" s="2" t="s">
        <v>33</v>
      </c>
      <c r="J86" s="2" t="s">
        <v>34</v>
      </c>
      <c r="K86" s="2" t="s">
        <v>13</v>
      </c>
      <c r="L86" s="2" t="s">
        <v>42</v>
      </c>
      <c r="M86" s="2" t="s">
        <v>75</v>
      </c>
      <c r="N86" s="2" t="s">
        <v>15</v>
      </c>
      <c r="O86" s="2" t="s">
        <v>156</v>
      </c>
      <c r="P86" s="2" t="s">
        <v>3937</v>
      </c>
      <c r="Q86" s="2" t="s">
        <v>4926</v>
      </c>
      <c r="R86" s="2" t="s">
        <v>442</v>
      </c>
      <c r="S86" s="2" t="s">
        <v>167</v>
      </c>
      <c r="T86" s="2" t="s">
        <v>167</v>
      </c>
      <c r="U86" s="2" t="s">
        <v>12</v>
      </c>
      <c r="V86" s="2" t="s">
        <v>4763</v>
      </c>
      <c r="W86" s="2" t="s">
        <v>42</v>
      </c>
      <c r="X86" s="2" t="s">
        <v>75</v>
      </c>
      <c r="Y86" s="2" t="s">
        <v>3936</v>
      </c>
      <c r="Z86" s="2" t="s">
        <v>5469</v>
      </c>
      <c r="AA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6" s="6" t="str">
        <f>IF(_xlfn.IFNA(INDEX(configuracoes!$A$2:$A$10,MATCH(base_tc_geral[[#This Row],[TIPO]],configuracoes!$A$2:$A$10,0)),"NÃO")="NÃO","NÃO","SIM")</f>
        <v>SIM</v>
      </c>
    </row>
    <row r="87" spans="1:31" x14ac:dyDescent="0.25">
      <c r="A87" s="2" t="s">
        <v>3388</v>
      </c>
      <c r="B87" s="2">
        <v>101006811</v>
      </c>
      <c r="C87" s="2" t="s">
        <v>24</v>
      </c>
      <c r="D87" s="2" t="s">
        <v>4768</v>
      </c>
      <c r="E87" s="2" t="s">
        <v>47</v>
      </c>
      <c r="F87" s="2" t="s">
        <v>49</v>
      </c>
      <c r="G87" s="2" t="s">
        <v>630</v>
      </c>
      <c r="H87" s="2" t="s">
        <v>48</v>
      </c>
      <c r="I87" s="2" t="s">
        <v>16</v>
      </c>
      <c r="J87" s="2" t="s">
        <v>48</v>
      </c>
      <c r="K87" s="2" t="s">
        <v>20</v>
      </c>
      <c r="L87" s="2" t="s">
        <v>21</v>
      </c>
      <c r="M87" s="2" t="s">
        <v>22</v>
      </c>
      <c r="N87" s="2" t="s">
        <v>24</v>
      </c>
      <c r="O87" s="2" t="s">
        <v>53</v>
      </c>
      <c r="P87" s="2" t="s">
        <v>3390</v>
      </c>
      <c r="Q87" s="2" t="s">
        <v>4926</v>
      </c>
      <c r="R87" s="2" t="s">
        <v>50</v>
      </c>
      <c r="S87" s="2" t="s">
        <v>51</v>
      </c>
      <c r="T87" s="2" t="s">
        <v>4697</v>
      </c>
      <c r="U87" s="2" t="s">
        <v>39</v>
      </c>
      <c r="V87" s="2" t="s">
        <v>4860</v>
      </c>
      <c r="W87" s="2" t="s">
        <v>4982</v>
      </c>
      <c r="X87" s="2" t="s">
        <v>4925</v>
      </c>
      <c r="Y87" s="2" t="s">
        <v>3389</v>
      </c>
      <c r="Z87" s="2" t="s">
        <v>5470</v>
      </c>
      <c r="AA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7" s="6" t="str">
        <f>IF(_xlfn.IFNA(INDEX(configuracoes!$A$2:$A$10,MATCH(base_tc_geral[[#This Row],[TIPO]],configuracoes!$A$2:$A$10,0)),"NÃO")="NÃO","NÃO","SIM")</f>
        <v>SIM</v>
      </c>
    </row>
    <row r="88" spans="1:31" x14ac:dyDescent="0.25">
      <c r="A88" s="2" t="s">
        <v>1107</v>
      </c>
      <c r="B88" s="2">
        <v>109000926</v>
      </c>
      <c r="C88" s="2" t="s">
        <v>15</v>
      </c>
      <c r="D88" s="2" t="s">
        <v>4487</v>
      </c>
      <c r="E88" s="2" t="s">
        <v>86</v>
      </c>
      <c r="F88" s="2" t="s">
        <v>284</v>
      </c>
      <c r="G88" s="2" t="s">
        <v>245</v>
      </c>
      <c r="H88" s="2" t="s">
        <v>283</v>
      </c>
      <c r="I88" s="2" t="s">
        <v>33</v>
      </c>
      <c r="J88" s="2" t="s">
        <v>124</v>
      </c>
      <c r="K88" s="2" t="s">
        <v>20</v>
      </c>
      <c r="L88" s="2" t="s">
        <v>21</v>
      </c>
      <c r="M88" s="2" t="s">
        <v>22</v>
      </c>
      <c r="N88" s="2" t="s">
        <v>15</v>
      </c>
      <c r="O88" s="2" t="s">
        <v>287</v>
      </c>
      <c r="P88" s="2" t="s">
        <v>1109</v>
      </c>
      <c r="Q88" s="2" t="s">
        <v>4926</v>
      </c>
      <c r="R88" s="2" t="s">
        <v>285</v>
      </c>
      <c r="S88" s="2" t="s">
        <v>125</v>
      </c>
      <c r="T88" s="2" t="s">
        <v>4696</v>
      </c>
      <c r="U88" s="2" t="s">
        <v>12</v>
      </c>
      <c r="V88" s="2" t="s">
        <v>4777</v>
      </c>
      <c r="W88" s="2" t="s">
        <v>4982</v>
      </c>
      <c r="X88" s="2" t="s">
        <v>4925</v>
      </c>
      <c r="Y88" s="2" t="s">
        <v>1108</v>
      </c>
      <c r="Z88" s="2" t="s">
        <v>5471</v>
      </c>
      <c r="AA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" s="6" t="str">
        <f>IF(_xlfn.IFNA(INDEX(configuracoes!$A$2:$A$10,MATCH(base_tc_geral[[#This Row],[TIPO]],configuracoes!$A$2:$A$10,0)),"NÃO")="NÃO","NÃO","SIM")</f>
        <v>SIM</v>
      </c>
    </row>
    <row r="89" spans="1:31" x14ac:dyDescent="0.25">
      <c r="A89" s="2" t="s">
        <v>3418</v>
      </c>
      <c r="B89" s="2">
        <v>101001488</v>
      </c>
      <c r="C89" s="2" t="s">
        <v>15</v>
      </c>
      <c r="D89" s="2" t="s">
        <v>4493</v>
      </c>
      <c r="E89" s="2" t="s">
        <v>47</v>
      </c>
      <c r="F89" s="2" t="s">
        <v>251</v>
      </c>
      <c r="G89" s="2" t="s">
        <v>648</v>
      </c>
      <c r="H89" s="2" t="s">
        <v>224</v>
      </c>
      <c r="I89" s="2" t="s">
        <v>16</v>
      </c>
      <c r="J89" s="2" t="s">
        <v>227</v>
      </c>
      <c r="K89" s="2" t="s">
        <v>13</v>
      </c>
      <c r="L89" s="2" t="s">
        <v>25</v>
      </c>
      <c r="M89" s="2" t="s">
        <v>22</v>
      </c>
      <c r="N89" s="2" t="s">
        <v>15</v>
      </c>
      <c r="O89" s="2" t="s">
        <v>229</v>
      </c>
      <c r="P89" s="2" t="s">
        <v>3420</v>
      </c>
      <c r="Q89" s="2" t="s">
        <v>4926</v>
      </c>
      <c r="R89" s="2" t="s">
        <v>252</v>
      </c>
      <c r="S89" s="2" t="s">
        <v>101</v>
      </c>
      <c r="T89" s="2" t="s">
        <v>4697</v>
      </c>
      <c r="U89" s="2" t="s">
        <v>12</v>
      </c>
      <c r="V89" s="2" t="s">
        <v>4838</v>
      </c>
      <c r="W89" s="2" t="s">
        <v>4931</v>
      </c>
      <c r="X89" s="2" t="s">
        <v>4925</v>
      </c>
      <c r="Y89" s="2" t="s">
        <v>3419</v>
      </c>
      <c r="Z89" s="2" t="s">
        <v>5472</v>
      </c>
      <c r="AA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" s="6" t="str">
        <f>IF(_xlfn.IFNA(INDEX(configuracoes!$A$2:$A$10,MATCH(base_tc_geral[[#This Row],[TIPO]],configuracoes!$A$2:$A$10,0)),"NÃO")="NÃO","NÃO","SIM")</f>
        <v>SIM</v>
      </c>
    </row>
    <row r="90" spans="1:31" x14ac:dyDescent="0.25">
      <c r="A90" s="2" t="s">
        <v>3667</v>
      </c>
      <c r="B90" s="2">
        <v>109500315</v>
      </c>
      <c r="C90" s="2" t="s">
        <v>15</v>
      </c>
      <c r="D90" s="2" t="s">
        <v>4576</v>
      </c>
      <c r="E90" s="2" t="s">
        <v>86</v>
      </c>
      <c r="F90" s="2" t="s">
        <v>325</v>
      </c>
      <c r="G90" s="2" t="s">
        <v>172</v>
      </c>
      <c r="H90" s="2" t="s">
        <v>283</v>
      </c>
      <c r="I90" s="2" t="s">
        <v>33</v>
      </c>
      <c r="J90" s="2" t="s">
        <v>124</v>
      </c>
      <c r="K90" s="2" t="s">
        <v>13</v>
      </c>
      <c r="L90" s="2" t="s">
        <v>17</v>
      </c>
      <c r="M90" s="2" t="s">
        <v>23</v>
      </c>
      <c r="N90" s="2" t="s">
        <v>15</v>
      </c>
      <c r="O90" s="2" t="s">
        <v>287</v>
      </c>
      <c r="P90" s="2" t="s">
        <v>3669</v>
      </c>
      <c r="Q90" s="2" t="s">
        <v>4926</v>
      </c>
      <c r="R90" s="2" t="s">
        <v>173</v>
      </c>
      <c r="S90" s="2" t="s">
        <v>93</v>
      </c>
      <c r="T90" s="2" t="s">
        <v>4696</v>
      </c>
      <c r="U90" s="2" t="s">
        <v>12</v>
      </c>
      <c r="V90" s="2" t="s">
        <v>4887</v>
      </c>
      <c r="W90" s="2" t="s">
        <v>17</v>
      </c>
      <c r="X90" s="2" t="s">
        <v>4998</v>
      </c>
      <c r="Y90" s="2" t="s">
        <v>3668</v>
      </c>
      <c r="Z90" s="2" t="s">
        <v>5473</v>
      </c>
      <c r="AA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" s="6" t="str">
        <f>IF(_xlfn.IFNA(INDEX(configuracoes!$A$2:$A$10,MATCH(base_tc_geral[[#This Row],[TIPO]],configuracoes!$A$2:$A$10,0)),"NÃO")="NÃO","NÃO","SIM")</f>
        <v>NÃO</v>
      </c>
    </row>
    <row r="91" spans="1:31" x14ac:dyDescent="0.25">
      <c r="A91" s="2" t="s">
        <v>1276</v>
      </c>
      <c r="B91" s="2">
        <v>102100390</v>
      </c>
      <c r="C91" s="2" t="s">
        <v>15</v>
      </c>
      <c r="D91" s="2" t="s">
        <v>4603</v>
      </c>
      <c r="E91" s="2" t="s">
        <v>106</v>
      </c>
      <c r="F91" s="2" t="s">
        <v>405</v>
      </c>
      <c r="G91" s="2" t="s">
        <v>245</v>
      </c>
      <c r="H91" s="2" t="s">
        <v>130</v>
      </c>
      <c r="I91" s="2" t="s">
        <v>33</v>
      </c>
      <c r="J91" s="2" t="s">
        <v>109</v>
      </c>
      <c r="K91" s="2" t="s">
        <v>20</v>
      </c>
      <c r="L91" s="2" t="s">
        <v>21</v>
      </c>
      <c r="M91" s="2" t="s">
        <v>22</v>
      </c>
      <c r="N91" s="2" t="s">
        <v>15</v>
      </c>
      <c r="O91" s="2" t="s">
        <v>132</v>
      </c>
      <c r="P91" s="2" t="s">
        <v>1278</v>
      </c>
      <c r="Q91" s="2" t="s">
        <v>4926</v>
      </c>
      <c r="R91" s="2" t="s">
        <v>1092</v>
      </c>
      <c r="S91" s="2" t="s">
        <v>736</v>
      </c>
      <c r="T91" s="2" t="s">
        <v>167</v>
      </c>
      <c r="U91" s="2" t="s">
        <v>12</v>
      </c>
      <c r="V91" s="2" t="s">
        <v>4901</v>
      </c>
      <c r="W91" s="2" t="s">
        <v>42</v>
      </c>
      <c r="X91" s="2" t="s">
        <v>4925</v>
      </c>
      <c r="Y91" s="2" t="s">
        <v>1277</v>
      </c>
      <c r="Z91" s="2" t="s">
        <v>5474</v>
      </c>
      <c r="AA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" s="6" t="str">
        <f>IF(_xlfn.IFNA(INDEX(configuracoes!$A$2:$A$10,MATCH(base_tc_geral[[#This Row],[TIPO]],configuracoes!$A$2:$A$10,0)),"NÃO")="NÃO","NÃO","SIM")</f>
        <v>SIM</v>
      </c>
    </row>
    <row r="92" spans="1:31" x14ac:dyDescent="0.25">
      <c r="A92" s="2" t="s">
        <v>2233</v>
      </c>
      <c r="B92" s="2">
        <v>105303134</v>
      </c>
      <c r="C92" s="2" t="s">
        <v>15</v>
      </c>
      <c r="D92" s="2" t="s">
        <v>4530</v>
      </c>
      <c r="E92" s="2" t="s">
        <v>28</v>
      </c>
      <c r="F92" s="2" t="s">
        <v>290</v>
      </c>
      <c r="G92" s="2" t="s">
        <v>883</v>
      </c>
      <c r="H92" s="2" t="s">
        <v>34</v>
      </c>
      <c r="I92" s="2" t="s">
        <v>33</v>
      </c>
      <c r="J92" s="2" t="s">
        <v>34</v>
      </c>
      <c r="K92" s="2" t="s">
        <v>20</v>
      </c>
      <c r="L92" s="2" t="s">
        <v>21</v>
      </c>
      <c r="M92" s="2" t="s">
        <v>22</v>
      </c>
      <c r="N92" s="2" t="s">
        <v>15</v>
      </c>
      <c r="O92" s="2" t="s">
        <v>156</v>
      </c>
      <c r="P92" s="2" t="s">
        <v>2235</v>
      </c>
      <c r="Q92" s="2" t="s">
        <v>4926</v>
      </c>
      <c r="R92" s="2" t="s">
        <v>442</v>
      </c>
      <c r="S92" s="2" t="s">
        <v>167</v>
      </c>
      <c r="T92" s="2" t="s">
        <v>167</v>
      </c>
      <c r="U92" s="2" t="s">
        <v>12</v>
      </c>
      <c r="V92" s="2" t="s">
        <v>4763</v>
      </c>
      <c r="W92" s="2" t="s">
        <v>4982</v>
      </c>
      <c r="X92" s="2" t="s">
        <v>4925</v>
      </c>
      <c r="Y92" s="2" t="s">
        <v>2234</v>
      </c>
      <c r="Z92" s="2" t="s">
        <v>5475</v>
      </c>
      <c r="AA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" s="6" t="str">
        <f>IF(_xlfn.IFNA(INDEX(configuracoes!$A$2:$A$10,MATCH(base_tc_geral[[#This Row],[TIPO]],configuracoes!$A$2:$A$10,0)),"NÃO")="NÃO","NÃO","SIM")</f>
        <v>SIM</v>
      </c>
    </row>
    <row r="93" spans="1:31" x14ac:dyDescent="0.25">
      <c r="A93" s="2" t="s">
        <v>2348</v>
      </c>
      <c r="B93" s="2">
        <v>105000986</v>
      </c>
      <c r="C93" s="2" t="s">
        <v>15</v>
      </c>
      <c r="D93" s="2" t="s">
        <v>4514</v>
      </c>
      <c r="E93" s="2" t="s">
        <v>28</v>
      </c>
      <c r="F93" s="2" t="s">
        <v>586</v>
      </c>
      <c r="G93" s="2" t="s">
        <v>637</v>
      </c>
      <c r="H93" s="2" t="s">
        <v>79</v>
      </c>
      <c r="I93" s="2" t="s">
        <v>33</v>
      </c>
      <c r="J93" s="2" t="s">
        <v>34</v>
      </c>
      <c r="K93" s="2" t="s">
        <v>20</v>
      </c>
      <c r="L93" s="2" t="s">
        <v>19</v>
      </c>
      <c r="M93" s="2" t="s">
        <v>22</v>
      </c>
      <c r="N93" s="2" t="s">
        <v>15</v>
      </c>
      <c r="O93" s="2" t="s">
        <v>83</v>
      </c>
      <c r="P93" s="2" t="s">
        <v>2350</v>
      </c>
      <c r="Q93" s="2" t="s">
        <v>4926</v>
      </c>
      <c r="R93" s="2" t="s">
        <v>81</v>
      </c>
      <c r="S93" s="2" t="s">
        <v>167</v>
      </c>
      <c r="T93" s="2" t="s">
        <v>167</v>
      </c>
      <c r="U93" s="2" t="s">
        <v>12</v>
      </c>
      <c r="V93" s="2" t="s">
        <v>4767</v>
      </c>
      <c r="W93" s="2" t="s">
        <v>4982</v>
      </c>
      <c r="X93" s="2" t="s">
        <v>4925</v>
      </c>
      <c r="Y93" s="2" t="s">
        <v>2349</v>
      </c>
      <c r="Z93" s="2" t="s">
        <v>5476</v>
      </c>
      <c r="AA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" s="6" t="str">
        <f>IF(_xlfn.IFNA(INDEX(configuracoes!$A$2:$A$10,MATCH(base_tc_geral[[#This Row],[TIPO]],configuracoes!$A$2:$A$10,0)),"NÃO")="NÃO","NÃO","SIM")</f>
        <v>SIM</v>
      </c>
    </row>
    <row r="94" spans="1:31" x14ac:dyDescent="0.25">
      <c r="A94" s="2" t="s">
        <v>3968</v>
      </c>
      <c r="B94" s="2">
        <v>105303207</v>
      </c>
      <c r="C94" s="2" t="s">
        <v>15</v>
      </c>
      <c r="D94" s="2" t="s">
        <v>4484</v>
      </c>
      <c r="E94" s="2" t="s">
        <v>28</v>
      </c>
      <c r="F94" s="2" t="s">
        <v>423</v>
      </c>
      <c r="G94" s="2" t="s">
        <v>245</v>
      </c>
      <c r="H94" s="2" t="s">
        <v>34</v>
      </c>
      <c r="I94" s="2" t="s">
        <v>33</v>
      </c>
      <c r="J94" s="2" t="s">
        <v>34</v>
      </c>
      <c r="K94" s="2" t="s">
        <v>20</v>
      </c>
      <c r="L94" s="2" t="s">
        <v>21</v>
      </c>
      <c r="M94" s="2" t="s">
        <v>22</v>
      </c>
      <c r="N94" s="2" t="s">
        <v>15</v>
      </c>
      <c r="O94" s="2" t="s">
        <v>156</v>
      </c>
      <c r="P94" s="2" t="s">
        <v>3970</v>
      </c>
      <c r="Q94" s="2" t="s">
        <v>4926</v>
      </c>
      <c r="R94" s="2" t="s">
        <v>2243</v>
      </c>
      <c r="S94" s="2" t="s">
        <v>167</v>
      </c>
      <c r="T94" s="2" t="s">
        <v>167</v>
      </c>
      <c r="U94" s="2" t="s">
        <v>12</v>
      </c>
      <c r="V94" s="2" t="s">
        <v>4852</v>
      </c>
      <c r="W94" s="2" t="s">
        <v>4982</v>
      </c>
      <c r="X94" s="2" t="s">
        <v>4925</v>
      </c>
      <c r="Y94" s="2" t="s">
        <v>3969</v>
      </c>
      <c r="Z94" s="2" t="s">
        <v>5477</v>
      </c>
      <c r="AA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" s="6" t="str">
        <f>IF(_xlfn.IFNA(INDEX(configuracoes!$A$2:$A$10,MATCH(base_tc_geral[[#This Row],[TIPO]],configuracoes!$A$2:$A$10,0)),"NÃO")="NÃO","NÃO","SIM")</f>
        <v>SIM</v>
      </c>
    </row>
    <row r="95" spans="1:31" x14ac:dyDescent="0.25">
      <c r="A95" s="2" t="s">
        <v>2598</v>
      </c>
      <c r="B95" s="2">
        <v>109505858</v>
      </c>
      <c r="C95" s="2" t="s">
        <v>15</v>
      </c>
      <c r="D95" s="2" t="s">
        <v>4529</v>
      </c>
      <c r="E95" s="2" t="s">
        <v>86</v>
      </c>
      <c r="F95" s="2" t="s">
        <v>218</v>
      </c>
      <c r="G95" s="2" t="s">
        <v>630</v>
      </c>
      <c r="H95" s="2" t="s">
        <v>217</v>
      </c>
      <c r="I95" s="2" t="s">
        <v>33</v>
      </c>
      <c r="J95" s="2" t="s">
        <v>91</v>
      </c>
      <c r="K95" s="2" t="s">
        <v>20</v>
      </c>
      <c r="L95" s="2" t="s">
        <v>21</v>
      </c>
      <c r="M95" s="2" t="s">
        <v>22</v>
      </c>
      <c r="N95" s="2" t="s">
        <v>15</v>
      </c>
      <c r="O95" s="2" t="s">
        <v>221</v>
      </c>
      <c r="P95" s="2" t="s">
        <v>2600</v>
      </c>
      <c r="Q95" s="2" t="s">
        <v>4926</v>
      </c>
      <c r="R95" s="2" t="s">
        <v>1466</v>
      </c>
      <c r="S95" s="2" t="s">
        <v>93</v>
      </c>
      <c r="T95" s="2" t="s">
        <v>4696</v>
      </c>
      <c r="U95" s="2" t="s">
        <v>12</v>
      </c>
      <c r="V95" s="2" t="s">
        <v>4802</v>
      </c>
      <c r="W95" s="2" t="s">
        <v>4982</v>
      </c>
      <c r="X95" s="2" t="s">
        <v>4925</v>
      </c>
      <c r="Y95" s="2" t="s">
        <v>2599</v>
      </c>
      <c r="Z95" s="2" t="s">
        <v>5478</v>
      </c>
      <c r="AA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" s="6" t="str">
        <f>IF(_xlfn.IFNA(INDEX(configuracoes!$A$2:$A$10,MATCH(base_tc_geral[[#This Row],[TIPO]],configuracoes!$A$2:$A$10,0)),"NÃO")="NÃO","NÃO","SIM")</f>
        <v>SIM</v>
      </c>
    </row>
    <row r="96" spans="1:31" x14ac:dyDescent="0.25">
      <c r="A96" s="2" t="s">
        <v>3337</v>
      </c>
      <c r="B96" s="2">
        <v>101001488</v>
      </c>
      <c r="C96" s="2" t="s">
        <v>15</v>
      </c>
      <c r="D96" s="2" t="s">
        <v>4490</v>
      </c>
      <c r="E96" s="2" t="s">
        <v>47</v>
      </c>
      <c r="F96" s="2" t="s">
        <v>98</v>
      </c>
      <c r="G96" s="2" t="s">
        <v>613</v>
      </c>
      <c r="H96" s="2" t="s">
        <v>56</v>
      </c>
      <c r="I96" s="2" t="s">
        <v>16</v>
      </c>
      <c r="J96" s="2" t="s">
        <v>60</v>
      </c>
      <c r="K96" s="2" t="s">
        <v>20</v>
      </c>
      <c r="L96" s="2" t="s">
        <v>25</v>
      </c>
      <c r="M96" s="2" t="s">
        <v>22</v>
      </c>
      <c r="N96" s="2" t="s">
        <v>15</v>
      </c>
      <c r="O96" s="2" t="s">
        <v>63</v>
      </c>
      <c r="P96" s="2" t="s">
        <v>3339</v>
      </c>
      <c r="Q96" s="2" t="s">
        <v>4926</v>
      </c>
      <c r="R96" s="2" t="s">
        <v>252</v>
      </c>
      <c r="S96" s="2" t="s">
        <v>101</v>
      </c>
      <c r="T96" s="2" t="s">
        <v>4697</v>
      </c>
      <c r="U96" s="2" t="s">
        <v>12</v>
      </c>
      <c r="V96" s="2" t="s">
        <v>4811</v>
      </c>
      <c r="W96" s="2" t="s">
        <v>4931</v>
      </c>
      <c r="X96" s="2" t="s">
        <v>4925</v>
      </c>
      <c r="Y96" s="2" t="s">
        <v>3338</v>
      </c>
      <c r="Z96" s="2" t="s">
        <v>5479</v>
      </c>
      <c r="AA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6" s="6" t="str">
        <f>IF(_xlfn.IFNA(INDEX(configuracoes!$A$2:$A$10,MATCH(base_tc_geral[[#This Row],[TIPO]],configuracoes!$A$2:$A$10,0)),"NÃO")="NÃO","NÃO","SIM")</f>
        <v>SIM</v>
      </c>
    </row>
    <row r="97" spans="1:31" x14ac:dyDescent="0.25">
      <c r="A97" s="2" t="s">
        <v>519</v>
      </c>
      <c r="B97" s="2">
        <v>102100390</v>
      </c>
      <c r="C97" s="2" t="s">
        <v>15</v>
      </c>
      <c r="D97" s="2" t="s">
        <v>4603</v>
      </c>
      <c r="E97" s="2" t="s">
        <v>106</v>
      </c>
      <c r="F97" s="2" t="s">
        <v>405</v>
      </c>
      <c r="G97" s="2" t="s">
        <v>245</v>
      </c>
      <c r="H97" s="2" t="s">
        <v>130</v>
      </c>
      <c r="I97" s="2" t="s">
        <v>33</v>
      </c>
      <c r="J97" s="2" t="s">
        <v>109</v>
      </c>
      <c r="K97" s="2" t="s">
        <v>20</v>
      </c>
      <c r="L97" s="2" t="s">
        <v>21</v>
      </c>
      <c r="M97" s="2" t="s">
        <v>22</v>
      </c>
      <c r="N97" s="2" t="s">
        <v>15</v>
      </c>
      <c r="O97" s="2" t="s">
        <v>132</v>
      </c>
      <c r="P97" s="2" t="s">
        <v>521</v>
      </c>
      <c r="Q97" s="2" t="s">
        <v>4926</v>
      </c>
      <c r="R97" s="2" t="s">
        <v>1092</v>
      </c>
      <c r="S97" s="2" t="s">
        <v>736</v>
      </c>
      <c r="T97" s="2" t="s">
        <v>167</v>
      </c>
      <c r="U97" s="2" t="s">
        <v>12</v>
      </c>
      <c r="V97" s="2" t="s">
        <v>4901</v>
      </c>
      <c r="W97" s="2" t="s">
        <v>4982</v>
      </c>
      <c r="X97" s="2" t="s">
        <v>4925</v>
      </c>
      <c r="Y97" s="2" t="s">
        <v>520</v>
      </c>
      <c r="Z97" s="2" t="s">
        <v>5480</v>
      </c>
      <c r="AA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" s="6" t="str">
        <f>IF(_xlfn.IFNA(INDEX(configuracoes!$A$2:$A$10,MATCH(base_tc_geral[[#This Row],[TIPO]],configuracoes!$A$2:$A$10,0)),"NÃO")="NÃO","NÃO","SIM")</f>
        <v>SIM</v>
      </c>
    </row>
    <row r="98" spans="1:31" x14ac:dyDescent="0.25">
      <c r="A98" s="2" t="s">
        <v>2048</v>
      </c>
      <c r="B98" s="2">
        <v>102101642</v>
      </c>
      <c r="C98" s="2" t="s">
        <v>15</v>
      </c>
      <c r="D98" s="2" t="s">
        <v>4526</v>
      </c>
      <c r="E98" s="2" t="s">
        <v>106</v>
      </c>
      <c r="F98" s="2" t="s">
        <v>509</v>
      </c>
      <c r="G98" s="2" t="s">
        <v>245</v>
      </c>
      <c r="H98" s="2" t="s">
        <v>130</v>
      </c>
      <c r="I98" s="2" t="s">
        <v>33</v>
      </c>
      <c r="J98" s="2" t="s">
        <v>109</v>
      </c>
      <c r="K98" s="2" t="s">
        <v>13</v>
      </c>
      <c r="L98" s="2" t="s">
        <v>21</v>
      </c>
      <c r="M98" s="2" t="s">
        <v>22</v>
      </c>
      <c r="N98" s="2" t="s">
        <v>15</v>
      </c>
      <c r="O98" s="2" t="s">
        <v>132</v>
      </c>
      <c r="P98" s="2" t="s">
        <v>2050</v>
      </c>
      <c r="Q98" s="2" t="s">
        <v>4926</v>
      </c>
      <c r="R98" s="2" t="s">
        <v>187</v>
      </c>
      <c r="S98" s="2" t="s">
        <v>736</v>
      </c>
      <c r="T98" s="2" t="s">
        <v>167</v>
      </c>
      <c r="U98" s="2" t="s">
        <v>12</v>
      </c>
      <c r="V98" s="2" t="s">
        <v>4772</v>
      </c>
      <c r="W98" s="2" t="s">
        <v>4982</v>
      </c>
      <c r="X98" s="2" t="s">
        <v>4925</v>
      </c>
      <c r="Y98" s="2" t="s">
        <v>2049</v>
      </c>
      <c r="Z98" s="2" t="s">
        <v>5481</v>
      </c>
      <c r="AA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" s="6" t="str">
        <f>IF(_xlfn.IFNA(INDEX(configuracoes!$A$2:$A$10,MATCH(base_tc_geral[[#This Row],[TIPO]],configuracoes!$A$2:$A$10,0)),"NÃO")="NÃO","NÃO","SIM")</f>
        <v>SIM</v>
      </c>
    </row>
    <row r="99" spans="1:31" x14ac:dyDescent="0.25">
      <c r="A99" s="2" t="s">
        <v>2148</v>
      </c>
      <c r="B99" s="2">
        <v>101007963</v>
      </c>
      <c r="C99" s="2" t="s">
        <v>40</v>
      </c>
      <c r="D99" s="2" t="s">
        <v>4667</v>
      </c>
      <c r="E99" s="2" t="s">
        <v>47</v>
      </c>
      <c r="F99" s="2" t="s">
        <v>244</v>
      </c>
      <c r="G99" s="2" t="s">
        <v>883</v>
      </c>
      <c r="H99" s="2" t="s">
        <v>60</v>
      </c>
      <c r="I99" s="2" t="s">
        <v>16</v>
      </c>
      <c r="J99" s="2" t="s">
        <v>60</v>
      </c>
      <c r="K99" s="2" t="s">
        <v>20</v>
      </c>
      <c r="L99" s="2" t="s">
        <v>21</v>
      </c>
      <c r="M99" s="2" t="s">
        <v>22</v>
      </c>
      <c r="N99" s="2" t="s">
        <v>40</v>
      </c>
      <c r="O99" s="2" t="s">
        <v>161</v>
      </c>
      <c r="P99" s="2" t="s">
        <v>2150</v>
      </c>
      <c r="Q99" s="2" t="s">
        <v>4926</v>
      </c>
      <c r="R99" s="2" t="s">
        <v>246</v>
      </c>
      <c r="S99" s="2" t="s">
        <v>51</v>
      </c>
      <c r="T99" s="2" t="s">
        <v>4697</v>
      </c>
      <c r="U99" s="2" t="s">
        <v>39</v>
      </c>
      <c r="V99" s="2" t="s">
        <v>4778</v>
      </c>
      <c r="W99" s="2" t="s">
        <v>4982</v>
      </c>
      <c r="X99" s="2" t="s">
        <v>4925</v>
      </c>
      <c r="Y99" s="2" t="s">
        <v>2149</v>
      </c>
      <c r="Z99" s="2" t="s">
        <v>5482</v>
      </c>
      <c r="AA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99" s="6" t="str">
        <f>IF(_xlfn.IFNA(INDEX(configuracoes!$A$2:$A$10,MATCH(base_tc_geral[[#This Row],[TIPO]],configuracoes!$A$2:$A$10,0)),"NÃO")="NÃO","NÃO","SIM")</f>
        <v>SIM</v>
      </c>
    </row>
    <row r="100" spans="1:31" x14ac:dyDescent="0.25">
      <c r="A100" s="2" t="s">
        <v>785</v>
      </c>
      <c r="B100" s="2">
        <v>101010210</v>
      </c>
      <c r="C100" s="2" t="s">
        <v>15</v>
      </c>
      <c r="D100" s="2" t="s">
        <v>4493</v>
      </c>
      <c r="E100" s="2" t="s">
        <v>47</v>
      </c>
      <c r="F100" s="2" t="s">
        <v>159</v>
      </c>
      <c r="G100" s="2" t="s">
        <v>99</v>
      </c>
      <c r="H100" s="2" t="s">
        <v>60</v>
      </c>
      <c r="I100" s="2" t="s">
        <v>16</v>
      </c>
      <c r="J100" s="2" t="s">
        <v>60</v>
      </c>
      <c r="K100" s="2" t="s">
        <v>13</v>
      </c>
      <c r="L100" s="2" t="s">
        <v>25</v>
      </c>
      <c r="M100" s="2" t="s">
        <v>22</v>
      </c>
      <c r="N100" s="2" t="s">
        <v>15</v>
      </c>
      <c r="O100" s="2" t="s">
        <v>161</v>
      </c>
      <c r="P100" s="2" t="s">
        <v>787</v>
      </c>
      <c r="Q100" s="2" t="s">
        <v>4926</v>
      </c>
      <c r="R100" s="2" t="s">
        <v>294</v>
      </c>
      <c r="S100" s="2" t="s">
        <v>101</v>
      </c>
      <c r="T100" s="2" t="s">
        <v>4697</v>
      </c>
      <c r="U100" s="2" t="s">
        <v>12</v>
      </c>
      <c r="V100" s="2" t="s">
        <v>4870</v>
      </c>
      <c r="W100" s="2" t="s">
        <v>4931</v>
      </c>
      <c r="X100" s="2" t="s">
        <v>4925</v>
      </c>
      <c r="Y100" s="2" t="s">
        <v>786</v>
      </c>
      <c r="Z100" s="2" t="s">
        <v>5483</v>
      </c>
      <c r="AA1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" s="6" t="str">
        <f>IF(_xlfn.IFNA(INDEX(configuracoes!$A$2:$A$10,MATCH(base_tc_geral[[#This Row],[TIPO]],configuracoes!$A$2:$A$10,0)),"NÃO")="NÃO","NÃO","SIM")</f>
        <v>SIM</v>
      </c>
    </row>
    <row r="101" spans="1:31" x14ac:dyDescent="0.25">
      <c r="A101" s="2" t="s">
        <v>1407</v>
      </c>
      <c r="B101" s="2">
        <v>101008134</v>
      </c>
      <c r="C101" s="2" t="s">
        <v>15</v>
      </c>
      <c r="D101" s="2" t="s">
        <v>4484</v>
      </c>
      <c r="E101" s="2" t="s">
        <v>47</v>
      </c>
      <c r="F101" s="2" t="s">
        <v>368</v>
      </c>
      <c r="G101" s="2" t="s">
        <v>245</v>
      </c>
      <c r="H101" s="2" t="s">
        <v>227</v>
      </c>
      <c r="I101" s="2" t="s">
        <v>16</v>
      </c>
      <c r="J101" s="2" t="s">
        <v>227</v>
      </c>
      <c r="K101" s="2" t="s">
        <v>20</v>
      </c>
      <c r="L101" s="2" t="s">
        <v>21</v>
      </c>
      <c r="M101" s="2" t="s">
        <v>22</v>
      </c>
      <c r="N101" s="2" t="s">
        <v>15</v>
      </c>
      <c r="O101" s="2" t="s">
        <v>271</v>
      </c>
      <c r="P101" s="2" t="s">
        <v>1409</v>
      </c>
      <c r="Q101" s="2" t="s">
        <v>4926</v>
      </c>
      <c r="R101" s="2" t="s">
        <v>351</v>
      </c>
      <c r="S101" s="2" t="s">
        <v>101</v>
      </c>
      <c r="T101" s="2" t="s">
        <v>4697</v>
      </c>
      <c r="U101" s="2" t="s">
        <v>12</v>
      </c>
      <c r="V101" s="2" t="s">
        <v>4834</v>
      </c>
      <c r="W101" s="2" t="s">
        <v>4982</v>
      </c>
      <c r="X101" s="2" t="s">
        <v>4925</v>
      </c>
      <c r="Y101" s="2" t="s">
        <v>1408</v>
      </c>
      <c r="Z101" s="2" t="s">
        <v>5484</v>
      </c>
      <c r="AA1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" s="6" t="str">
        <f>IF(_xlfn.IFNA(INDEX(configuracoes!$A$2:$A$10,MATCH(base_tc_geral[[#This Row],[TIPO]],configuracoes!$A$2:$A$10,0)),"NÃO")="NÃO","NÃO","SIM")</f>
        <v>SIM</v>
      </c>
    </row>
    <row r="102" spans="1:31" x14ac:dyDescent="0.25">
      <c r="A102" s="2" t="s">
        <v>3165</v>
      </c>
      <c r="B102" s="2">
        <v>109505858</v>
      </c>
      <c r="C102" s="2" t="s">
        <v>15</v>
      </c>
      <c r="D102" s="2" t="s">
        <v>4501</v>
      </c>
      <c r="E102" s="2" t="s">
        <v>86</v>
      </c>
      <c r="F102" s="2" t="s">
        <v>559</v>
      </c>
      <c r="G102" s="2" t="s">
        <v>172</v>
      </c>
      <c r="H102" s="2" t="s">
        <v>558</v>
      </c>
      <c r="I102" s="2" t="s">
        <v>33</v>
      </c>
      <c r="J102" s="2" t="s">
        <v>91</v>
      </c>
      <c r="K102" s="2" t="s">
        <v>13</v>
      </c>
      <c r="L102" s="2" t="s">
        <v>17</v>
      </c>
      <c r="M102" s="2" t="s">
        <v>18</v>
      </c>
      <c r="N102" s="2" t="s">
        <v>15</v>
      </c>
      <c r="O102" s="2" t="s">
        <v>561</v>
      </c>
      <c r="P102" s="2" t="s">
        <v>3167</v>
      </c>
      <c r="Q102" s="2" t="s">
        <v>4926</v>
      </c>
      <c r="R102" s="2" t="s">
        <v>1466</v>
      </c>
      <c r="S102" s="2" t="s">
        <v>93</v>
      </c>
      <c r="T102" s="2" t="s">
        <v>4696</v>
      </c>
      <c r="U102" s="2" t="s">
        <v>12</v>
      </c>
      <c r="V102" s="2" t="s">
        <v>4802</v>
      </c>
      <c r="W102" s="2" t="s">
        <v>17</v>
      </c>
      <c r="X102" s="2" t="s">
        <v>4998</v>
      </c>
      <c r="Y102" s="2" t="s">
        <v>3166</v>
      </c>
      <c r="Z102" s="2" t="s">
        <v>5485</v>
      </c>
      <c r="AA1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2" s="6" t="str">
        <f>IF(_xlfn.IFNA(INDEX(configuracoes!$A$2:$A$10,MATCH(base_tc_geral[[#This Row],[TIPO]],configuracoes!$A$2:$A$10,0)),"NÃO")="NÃO","NÃO","SIM")</f>
        <v>NÃO</v>
      </c>
    </row>
    <row r="103" spans="1:31" x14ac:dyDescent="0.25">
      <c r="A103" s="2" t="s">
        <v>3030</v>
      </c>
      <c r="B103" s="2">
        <v>109000499</v>
      </c>
      <c r="C103" s="2" t="s">
        <v>15</v>
      </c>
      <c r="D103" s="2" t="s">
        <v>4489</v>
      </c>
      <c r="E103" s="2" t="s">
        <v>86</v>
      </c>
      <c r="F103" s="2" t="s">
        <v>284</v>
      </c>
      <c r="G103" s="2" t="s">
        <v>136</v>
      </c>
      <c r="H103" s="2" t="s">
        <v>283</v>
      </c>
      <c r="I103" s="2" t="s">
        <v>33</v>
      </c>
      <c r="J103" s="2" t="s">
        <v>124</v>
      </c>
      <c r="K103" s="2" t="s">
        <v>13</v>
      </c>
      <c r="L103" s="2" t="s">
        <v>72</v>
      </c>
      <c r="M103" s="2" t="s">
        <v>14</v>
      </c>
      <c r="N103" s="2" t="s">
        <v>15</v>
      </c>
      <c r="O103" s="2" t="s">
        <v>287</v>
      </c>
      <c r="P103" s="2" t="s">
        <v>3032</v>
      </c>
      <c r="Q103" s="2" t="s">
        <v>4926</v>
      </c>
      <c r="R103" s="2" t="s">
        <v>321</v>
      </c>
      <c r="S103" s="2" t="s">
        <v>93</v>
      </c>
      <c r="T103" s="2" t="s">
        <v>4696</v>
      </c>
      <c r="U103" s="2" t="s">
        <v>12</v>
      </c>
      <c r="V103" s="2" t="s">
        <v>4783</v>
      </c>
      <c r="W103" s="2" t="s">
        <v>4931</v>
      </c>
      <c r="X103" s="2" t="s">
        <v>5011</v>
      </c>
      <c r="Y103" s="2" t="s">
        <v>3031</v>
      </c>
      <c r="Z103" s="2" t="s">
        <v>5486</v>
      </c>
      <c r="AA1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" s="6" t="str">
        <f>IF(_xlfn.IFNA(INDEX(configuracoes!$A$2:$A$10,MATCH(base_tc_geral[[#This Row],[TIPO]],configuracoes!$A$2:$A$10,0)),"NÃO")="NÃO","NÃO","SIM")</f>
        <v>NÃO</v>
      </c>
    </row>
    <row r="104" spans="1:31" x14ac:dyDescent="0.25">
      <c r="A104" s="2" t="s">
        <v>3670</v>
      </c>
      <c r="B104" s="2">
        <v>109500315</v>
      </c>
      <c r="C104" s="2" t="s">
        <v>24</v>
      </c>
      <c r="D104" s="2" t="s">
        <v>4503</v>
      </c>
      <c r="E104" s="2" t="s">
        <v>86</v>
      </c>
      <c r="F104" s="2" t="s">
        <v>497</v>
      </c>
      <c r="G104" s="2" t="s">
        <v>172</v>
      </c>
      <c r="H104" s="2" t="s">
        <v>164</v>
      </c>
      <c r="I104" s="2" t="s">
        <v>33</v>
      </c>
      <c r="J104" s="2" t="s">
        <v>124</v>
      </c>
      <c r="K104" s="2" t="s">
        <v>13</v>
      </c>
      <c r="L104" s="2" t="s">
        <v>17</v>
      </c>
      <c r="M104" s="2" t="s">
        <v>23</v>
      </c>
      <c r="N104" s="2" t="s">
        <v>24</v>
      </c>
      <c r="O104" s="2" t="s">
        <v>169</v>
      </c>
      <c r="P104" s="2" t="s">
        <v>3672</v>
      </c>
      <c r="Q104" s="2" t="s">
        <v>4926</v>
      </c>
      <c r="R104" s="2" t="s">
        <v>173</v>
      </c>
      <c r="S104" s="2" t="s">
        <v>93</v>
      </c>
      <c r="T104" s="2" t="s">
        <v>4696</v>
      </c>
      <c r="U104" s="2" t="s">
        <v>39</v>
      </c>
      <c r="V104" s="2" t="s">
        <v>4887</v>
      </c>
      <c r="W104" s="2" t="s">
        <v>17</v>
      </c>
      <c r="X104" s="2" t="s">
        <v>4998</v>
      </c>
      <c r="Y104" s="2" t="s">
        <v>3671</v>
      </c>
      <c r="Z104" s="2" t="s">
        <v>5487</v>
      </c>
      <c r="AA1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4" s="6" t="str">
        <f>IF(_xlfn.IFNA(INDEX(configuracoes!$A$2:$A$10,MATCH(base_tc_geral[[#This Row],[TIPO]],configuracoes!$A$2:$A$10,0)),"NÃO")="NÃO","NÃO","SIM")</f>
        <v>NÃO</v>
      </c>
    </row>
    <row r="105" spans="1:31" x14ac:dyDescent="0.25">
      <c r="A105" s="2" t="s">
        <v>4805</v>
      </c>
      <c r="B105" s="2">
        <v>109000926</v>
      </c>
      <c r="C105" s="2" t="s">
        <v>15</v>
      </c>
      <c r="D105" s="2" t="s">
        <v>4484</v>
      </c>
      <c r="E105" s="2" t="s">
        <v>86</v>
      </c>
      <c r="F105" s="2" t="s">
        <v>325</v>
      </c>
      <c r="G105" s="2" t="s">
        <v>149</v>
      </c>
      <c r="H105" s="2" t="s">
        <v>283</v>
      </c>
      <c r="I105" s="2" t="s">
        <v>33</v>
      </c>
      <c r="J105" s="2" t="s">
        <v>124</v>
      </c>
      <c r="K105" s="2" t="s">
        <v>13</v>
      </c>
      <c r="L105" s="2" t="s">
        <v>61</v>
      </c>
      <c r="M105" s="2" t="s">
        <v>22</v>
      </c>
      <c r="N105" s="2" t="s">
        <v>15</v>
      </c>
      <c r="O105" s="2" t="s">
        <v>287</v>
      </c>
      <c r="P105" s="2" t="s">
        <v>1124</v>
      </c>
      <c r="Q105" s="2" t="s">
        <v>4926</v>
      </c>
      <c r="R105" s="2" t="s">
        <v>285</v>
      </c>
      <c r="S105" s="2" t="s">
        <v>125</v>
      </c>
      <c r="T105" s="2" t="s">
        <v>4696</v>
      </c>
      <c r="U105" s="2" t="s">
        <v>12</v>
      </c>
      <c r="V105" s="2" t="s">
        <v>4777</v>
      </c>
      <c r="W105" s="2" t="s">
        <v>4982</v>
      </c>
      <c r="X105" s="2" t="s">
        <v>4925</v>
      </c>
      <c r="Y105" s="2" t="s">
        <v>1123</v>
      </c>
      <c r="Z105" s="2" t="s">
        <v>5488</v>
      </c>
      <c r="AA1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" s="6" t="str">
        <f>IF(_xlfn.IFNA(INDEX(configuracoes!$A$2:$A$10,MATCH(base_tc_geral[[#This Row],[TIPO]],configuracoes!$A$2:$A$10,0)),"NÃO")="NÃO","NÃO","SIM")</f>
        <v>NÃO</v>
      </c>
    </row>
    <row r="106" spans="1:31" x14ac:dyDescent="0.25">
      <c r="A106" s="2" t="s">
        <v>3292</v>
      </c>
      <c r="B106" s="2">
        <v>101008003</v>
      </c>
      <c r="C106" s="2" t="s">
        <v>15</v>
      </c>
      <c r="D106" s="2" t="s">
        <v>4488</v>
      </c>
      <c r="E106" s="2" t="s">
        <v>47</v>
      </c>
      <c r="F106" s="2" t="s">
        <v>159</v>
      </c>
      <c r="G106" s="2" t="s">
        <v>99</v>
      </c>
      <c r="H106" s="2" t="s">
        <v>60</v>
      </c>
      <c r="I106" s="2" t="s">
        <v>16</v>
      </c>
      <c r="J106" s="2" t="s">
        <v>60</v>
      </c>
      <c r="K106" s="2" t="s">
        <v>13</v>
      </c>
      <c r="L106" s="2" t="s">
        <v>25</v>
      </c>
      <c r="M106" s="2" t="s">
        <v>22</v>
      </c>
      <c r="N106" s="2" t="s">
        <v>15</v>
      </c>
      <c r="O106" s="2" t="s">
        <v>161</v>
      </c>
      <c r="P106" s="2" t="s">
        <v>3294</v>
      </c>
      <c r="Q106" s="2" t="s">
        <v>4926</v>
      </c>
      <c r="R106" s="2" t="s">
        <v>100</v>
      </c>
      <c r="S106" s="2" t="s">
        <v>101</v>
      </c>
      <c r="T106" s="2" t="s">
        <v>4697</v>
      </c>
      <c r="U106" s="2" t="s">
        <v>12</v>
      </c>
      <c r="V106" s="2" t="s">
        <v>4806</v>
      </c>
      <c r="W106" s="2" t="s">
        <v>4931</v>
      </c>
      <c r="X106" s="2" t="s">
        <v>4925</v>
      </c>
      <c r="Y106" s="2" t="s">
        <v>3293</v>
      </c>
      <c r="Z106" s="2" t="s">
        <v>5489</v>
      </c>
      <c r="AA1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" s="6" t="str">
        <f>IF(_xlfn.IFNA(INDEX(configuracoes!$A$2:$A$10,MATCH(base_tc_geral[[#This Row],[TIPO]],configuracoes!$A$2:$A$10,0)),"NÃO")="NÃO","NÃO","SIM")</f>
        <v>SIM</v>
      </c>
    </row>
    <row r="107" spans="1:31" x14ac:dyDescent="0.25">
      <c r="A107" s="2" t="s">
        <v>4326</v>
      </c>
      <c r="B107" s="2">
        <v>109000499</v>
      </c>
      <c r="C107" s="2" t="s">
        <v>24</v>
      </c>
      <c r="D107" s="2" t="s">
        <v>4482</v>
      </c>
      <c r="E107" s="2" t="s">
        <v>86</v>
      </c>
      <c r="F107" s="2" t="s">
        <v>445</v>
      </c>
      <c r="G107" s="2" t="s">
        <v>136</v>
      </c>
      <c r="H107" s="2" t="s">
        <v>122</v>
      </c>
      <c r="I107" s="2" t="s">
        <v>33</v>
      </c>
      <c r="J107" s="2" t="s">
        <v>124</v>
      </c>
      <c r="K107" s="2" t="s">
        <v>13</v>
      </c>
      <c r="L107" s="2" t="s">
        <v>72</v>
      </c>
      <c r="M107" s="2" t="s">
        <v>73</v>
      </c>
      <c r="N107" s="2" t="s">
        <v>24</v>
      </c>
      <c r="O107" s="2" t="s">
        <v>129</v>
      </c>
      <c r="P107" s="2" t="s">
        <v>4328</v>
      </c>
      <c r="Q107" s="2" t="s">
        <v>4926</v>
      </c>
      <c r="R107" s="2" t="s">
        <v>321</v>
      </c>
      <c r="S107" s="2" t="s">
        <v>93</v>
      </c>
      <c r="T107" s="2" t="s">
        <v>4696</v>
      </c>
      <c r="U107" s="2" t="s">
        <v>39</v>
      </c>
      <c r="V107" s="2" t="s">
        <v>4783</v>
      </c>
      <c r="W107" s="2" t="s">
        <v>72</v>
      </c>
      <c r="X107" s="2" t="s">
        <v>5011</v>
      </c>
      <c r="Y107" s="2" t="s">
        <v>4327</v>
      </c>
      <c r="Z107" s="2" t="s">
        <v>5490</v>
      </c>
      <c r="AA1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7" s="6" t="str">
        <f>IF(_xlfn.IFNA(INDEX(configuracoes!$A$2:$A$10,MATCH(base_tc_geral[[#This Row],[TIPO]],configuracoes!$A$2:$A$10,0)),"NÃO")="NÃO","NÃO","SIM")</f>
        <v>NÃO</v>
      </c>
    </row>
    <row r="108" spans="1:31" x14ac:dyDescent="0.25">
      <c r="A108" s="2" t="s">
        <v>2124</v>
      </c>
      <c r="B108" s="2">
        <v>101007665</v>
      </c>
      <c r="C108" s="2" t="s">
        <v>15</v>
      </c>
      <c r="D108" s="2" t="s">
        <v>4489</v>
      </c>
      <c r="E108" s="2" t="s">
        <v>47</v>
      </c>
      <c r="F108" s="2" t="s">
        <v>2104</v>
      </c>
      <c r="G108" s="2" t="s">
        <v>883</v>
      </c>
      <c r="H108" s="2" t="s">
        <v>56</v>
      </c>
      <c r="I108" s="2" t="s">
        <v>16</v>
      </c>
      <c r="J108" s="2" t="s">
        <v>60</v>
      </c>
      <c r="K108" s="2" t="s">
        <v>20</v>
      </c>
      <c r="L108" s="2" t="s">
        <v>21</v>
      </c>
      <c r="M108" s="2" t="s">
        <v>22</v>
      </c>
      <c r="N108" s="2" t="s">
        <v>15</v>
      </c>
      <c r="O108" s="2" t="s">
        <v>63</v>
      </c>
      <c r="P108" s="2" t="s">
        <v>2126</v>
      </c>
      <c r="Q108" s="2" t="s">
        <v>4926</v>
      </c>
      <c r="R108" s="2" t="s">
        <v>342</v>
      </c>
      <c r="S108" s="2" t="s">
        <v>51</v>
      </c>
      <c r="T108" s="2" t="s">
        <v>4697</v>
      </c>
      <c r="U108" s="2" t="s">
        <v>12</v>
      </c>
      <c r="V108" s="2" t="s">
        <v>4866</v>
      </c>
      <c r="W108" s="2" t="s">
        <v>4982</v>
      </c>
      <c r="X108" s="2" t="s">
        <v>4925</v>
      </c>
      <c r="Y108" s="2" t="s">
        <v>2125</v>
      </c>
      <c r="Z108" s="2" t="s">
        <v>5491</v>
      </c>
      <c r="AA1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8" s="6" t="str">
        <f>IF(_xlfn.IFNA(INDEX(configuracoes!$A$2:$A$10,MATCH(base_tc_geral[[#This Row],[TIPO]],configuracoes!$A$2:$A$10,0)),"NÃO")="NÃO","NÃO","SIM")</f>
        <v>SIM</v>
      </c>
    </row>
    <row r="109" spans="1:31" x14ac:dyDescent="0.25">
      <c r="A109" s="2" t="s">
        <v>4317</v>
      </c>
      <c r="B109" s="2">
        <v>101001782</v>
      </c>
      <c r="C109" s="2" t="s">
        <v>15</v>
      </c>
      <c r="D109" s="2" t="s">
        <v>4516</v>
      </c>
      <c r="E109" s="2" t="s">
        <v>47</v>
      </c>
      <c r="F109" s="2" t="s">
        <v>511</v>
      </c>
      <c r="G109" s="2" t="s">
        <v>136</v>
      </c>
      <c r="H109" s="2" t="s">
        <v>48</v>
      </c>
      <c r="I109" s="2" t="s">
        <v>16</v>
      </c>
      <c r="J109" s="2" t="s">
        <v>48</v>
      </c>
      <c r="K109" s="2" t="s">
        <v>13</v>
      </c>
      <c r="L109" s="2" t="s">
        <v>72</v>
      </c>
      <c r="M109" s="2" t="s">
        <v>73</v>
      </c>
      <c r="N109" s="2" t="s">
        <v>15</v>
      </c>
      <c r="O109" s="2" t="s">
        <v>53</v>
      </c>
      <c r="P109" s="2" t="s">
        <v>4319</v>
      </c>
      <c r="Q109" s="2" t="s">
        <v>4926</v>
      </c>
      <c r="R109" s="2" t="s">
        <v>512</v>
      </c>
      <c r="S109" s="2" t="s">
        <v>51</v>
      </c>
      <c r="T109" s="2" t="s">
        <v>4697</v>
      </c>
      <c r="U109" s="2" t="s">
        <v>39</v>
      </c>
      <c r="V109" s="2" t="s">
        <v>4861</v>
      </c>
      <c r="W109" s="2" t="s">
        <v>4982</v>
      </c>
      <c r="X109" s="2" t="s">
        <v>5011</v>
      </c>
      <c r="Y109" s="2" t="s">
        <v>4318</v>
      </c>
      <c r="Z109" s="2" t="s">
        <v>5492</v>
      </c>
      <c r="AA1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" s="6" t="str">
        <f>IF(_xlfn.IFNA(INDEX(configuracoes!$A$2:$A$10,MATCH(base_tc_geral[[#This Row],[TIPO]],configuracoes!$A$2:$A$10,0)),"NÃO")="NÃO","NÃO","SIM")</f>
        <v>NÃO</v>
      </c>
    </row>
    <row r="110" spans="1:31" x14ac:dyDescent="0.25">
      <c r="A110" s="2" t="s">
        <v>2935</v>
      </c>
      <c r="B110" s="2">
        <v>109506032</v>
      </c>
      <c r="C110" s="2" t="s">
        <v>24</v>
      </c>
      <c r="D110" s="2" t="s">
        <v>4482</v>
      </c>
      <c r="E110" s="2" t="s">
        <v>86</v>
      </c>
      <c r="F110" s="2" t="s">
        <v>505</v>
      </c>
      <c r="G110" s="2" t="s">
        <v>245</v>
      </c>
      <c r="H110" s="2" t="s">
        <v>164</v>
      </c>
      <c r="I110" s="2" t="s">
        <v>33</v>
      </c>
      <c r="J110" s="2" t="s">
        <v>124</v>
      </c>
      <c r="K110" s="2" t="s">
        <v>20</v>
      </c>
      <c r="L110" s="2" t="s">
        <v>21</v>
      </c>
      <c r="M110" s="2" t="s">
        <v>22</v>
      </c>
      <c r="N110" s="2" t="s">
        <v>24</v>
      </c>
      <c r="O110" s="2" t="s">
        <v>169</v>
      </c>
      <c r="P110" s="2" t="s">
        <v>2937</v>
      </c>
      <c r="Q110" s="2" t="s">
        <v>4926</v>
      </c>
      <c r="R110" s="2" t="s">
        <v>2892</v>
      </c>
      <c r="S110" s="2" t="s">
        <v>93</v>
      </c>
      <c r="T110" s="2" t="s">
        <v>4696</v>
      </c>
      <c r="U110" s="2" t="s">
        <v>39</v>
      </c>
      <c r="V110" s="2" t="s">
        <v>4785</v>
      </c>
      <c r="W110" s="2" t="s">
        <v>4982</v>
      </c>
      <c r="X110" s="2" t="s">
        <v>4925</v>
      </c>
      <c r="Y110" s="2" t="s">
        <v>2936</v>
      </c>
      <c r="Z110" s="2" t="s">
        <v>5493</v>
      </c>
      <c r="AA1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0" s="6" t="str">
        <f>IF(_xlfn.IFNA(INDEX(configuracoes!$A$2:$A$10,MATCH(base_tc_geral[[#This Row],[TIPO]],configuracoes!$A$2:$A$10,0)),"NÃO")="NÃO","NÃO","SIM")</f>
        <v>SIM</v>
      </c>
    </row>
    <row r="111" spans="1:31" x14ac:dyDescent="0.25">
      <c r="A111" s="2" t="s">
        <v>1587</v>
      </c>
      <c r="B111" s="2">
        <v>109000017</v>
      </c>
      <c r="C111" s="2" t="s">
        <v>24</v>
      </c>
      <c r="D111" s="2" t="s">
        <v>4768</v>
      </c>
      <c r="E111" s="2" t="s">
        <v>86</v>
      </c>
      <c r="F111" s="2" t="s">
        <v>298</v>
      </c>
      <c r="G111" s="2" t="s">
        <v>41</v>
      </c>
      <c r="H111" s="2" t="s">
        <v>210</v>
      </c>
      <c r="I111" s="2" t="s">
        <v>33</v>
      </c>
      <c r="J111" s="2" t="s">
        <v>124</v>
      </c>
      <c r="K111" s="2" t="s">
        <v>13</v>
      </c>
      <c r="L111" s="2" t="s">
        <v>42</v>
      </c>
      <c r="M111" s="2" t="s">
        <v>75</v>
      </c>
      <c r="N111" s="2" t="s">
        <v>24</v>
      </c>
      <c r="O111" s="2" t="s">
        <v>214</v>
      </c>
      <c r="P111" s="2" t="s">
        <v>1589</v>
      </c>
      <c r="Q111" s="2" t="s">
        <v>4926</v>
      </c>
      <c r="R111" s="2" t="s">
        <v>212</v>
      </c>
      <c r="S111" s="2" t="s">
        <v>93</v>
      </c>
      <c r="T111" s="2" t="s">
        <v>4696</v>
      </c>
      <c r="U111" s="2" t="s">
        <v>39</v>
      </c>
      <c r="V111" s="2" t="s">
        <v>4846</v>
      </c>
      <c r="W111" s="2" t="s">
        <v>42</v>
      </c>
      <c r="X111" s="2" t="s">
        <v>75</v>
      </c>
      <c r="Y111" s="2" t="s">
        <v>1588</v>
      </c>
      <c r="Z111" s="2" t="s">
        <v>5494</v>
      </c>
      <c r="AA1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1" s="6" t="str">
        <f>IF(_xlfn.IFNA(INDEX(configuracoes!$A$2:$A$10,MATCH(base_tc_geral[[#This Row],[TIPO]],configuracoes!$A$2:$A$10,0)),"NÃO")="NÃO","NÃO","SIM")</f>
        <v>SIM</v>
      </c>
    </row>
    <row r="112" spans="1:31" x14ac:dyDescent="0.25">
      <c r="A112" s="2" t="s">
        <v>2424</v>
      </c>
      <c r="B112" s="2">
        <v>105000986</v>
      </c>
      <c r="C112" s="2" t="s">
        <v>15</v>
      </c>
      <c r="D112" s="2" t="s">
        <v>4516</v>
      </c>
      <c r="E112" s="2" t="s">
        <v>28</v>
      </c>
      <c r="F112" s="2" t="s">
        <v>586</v>
      </c>
      <c r="G112" s="2" t="s">
        <v>883</v>
      </c>
      <c r="H112" s="2" t="s">
        <v>79</v>
      </c>
      <c r="I112" s="2" t="s">
        <v>33</v>
      </c>
      <c r="J112" s="2" t="s">
        <v>34</v>
      </c>
      <c r="K112" s="2" t="s">
        <v>20</v>
      </c>
      <c r="L112" s="2" t="s">
        <v>21</v>
      </c>
      <c r="M112" s="2" t="s">
        <v>22</v>
      </c>
      <c r="N112" s="2" t="s">
        <v>15</v>
      </c>
      <c r="O112" s="2" t="s">
        <v>83</v>
      </c>
      <c r="P112" s="2" t="s">
        <v>2426</v>
      </c>
      <c r="Q112" s="2" t="s">
        <v>4926</v>
      </c>
      <c r="R112" s="2" t="s">
        <v>81</v>
      </c>
      <c r="S112" s="2" t="s">
        <v>167</v>
      </c>
      <c r="T112" s="2" t="s">
        <v>167</v>
      </c>
      <c r="U112" s="2" t="s">
        <v>12</v>
      </c>
      <c r="V112" s="2" t="s">
        <v>4767</v>
      </c>
      <c r="W112" s="2" t="s">
        <v>4982</v>
      </c>
      <c r="X112" s="2" t="s">
        <v>4925</v>
      </c>
      <c r="Y112" s="2" t="s">
        <v>2425</v>
      </c>
      <c r="Z112" s="2" t="s">
        <v>5495</v>
      </c>
      <c r="AA1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2" s="6" t="str">
        <f>IF(_xlfn.IFNA(INDEX(configuracoes!$A$2:$A$10,MATCH(base_tc_geral[[#This Row],[TIPO]],configuracoes!$A$2:$A$10,0)),"NÃO")="NÃO","NÃO","SIM")</f>
        <v>SIM</v>
      </c>
    </row>
    <row r="113" spans="1:31" x14ac:dyDescent="0.25">
      <c r="A113" s="2" t="s">
        <v>838</v>
      </c>
      <c r="B113" s="2">
        <v>109504369</v>
      </c>
      <c r="C113" s="2" t="s">
        <v>15</v>
      </c>
      <c r="D113" s="2" t="s">
        <v>4523</v>
      </c>
      <c r="E113" s="2" t="s">
        <v>86</v>
      </c>
      <c r="F113" s="2" t="s">
        <v>840</v>
      </c>
      <c r="G113" s="2" t="s">
        <v>58</v>
      </c>
      <c r="H113" s="2" t="s">
        <v>198</v>
      </c>
      <c r="I113" s="2" t="s">
        <v>33</v>
      </c>
      <c r="J113" s="2" t="s">
        <v>91</v>
      </c>
      <c r="K113" s="2" t="s">
        <v>13</v>
      </c>
      <c r="L113" s="2" t="s">
        <v>61</v>
      </c>
      <c r="M113" s="2" t="s">
        <v>18</v>
      </c>
      <c r="N113" s="2" t="s">
        <v>15</v>
      </c>
      <c r="O113" s="2" t="s">
        <v>201</v>
      </c>
      <c r="P113" s="2" t="s">
        <v>841</v>
      </c>
      <c r="Q113" s="2" t="s">
        <v>4926</v>
      </c>
      <c r="R113" s="2" t="s">
        <v>829</v>
      </c>
      <c r="S113" s="2" t="s">
        <v>4699</v>
      </c>
      <c r="T113" s="2" t="s">
        <v>4696</v>
      </c>
      <c r="U113" s="2" t="s">
        <v>12</v>
      </c>
      <c r="V113" s="2" t="s">
        <v>4904</v>
      </c>
      <c r="W113" s="2" t="s">
        <v>4984</v>
      </c>
      <c r="X113" s="2" t="s">
        <v>4998</v>
      </c>
      <c r="Y113" s="2" t="s">
        <v>839</v>
      </c>
      <c r="Z113" s="2" t="s">
        <v>5496</v>
      </c>
      <c r="AA1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1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" s="6" t="str">
        <f>IF(_xlfn.IFNA(INDEX(configuracoes!$A$2:$A$10,MATCH(base_tc_geral[[#This Row],[TIPO]],configuracoes!$A$2:$A$10,0)),"NÃO")="NÃO","NÃO","SIM")</f>
        <v>NÃO</v>
      </c>
    </row>
    <row r="114" spans="1:31" x14ac:dyDescent="0.25">
      <c r="A114" s="2" t="s">
        <v>3479</v>
      </c>
      <c r="B114" s="2">
        <v>109505154</v>
      </c>
      <c r="C114" s="2" t="s">
        <v>15</v>
      </c>
      <c r="D114" s="2" t="s">
        <v>4657</v>
      </c>
      <c r="E114" s="2" t="s">
        <v>86</v>
      </c>
      <c r="F114" s="2" t="s">
        <v>445</v>
      </c>
      <c r="G114" s="2" t="s">
        <v>58</v>
      </c>
      <c r="H114" s="2" t="s">
        <v>122</v>
      </c>
      <c r="I114" s="2" t="s">
        <v>33</v>
      </c>
      <c r="J114" s="2" t="s">
        <v>124</v>
      </c>
      <c r="K114" s="2" t="s">
        <v>13</v>
      </c>
      <c r="L114" s="2" t="s">
        <v>61</v>
      </c>
      <c r="M114" s="2" t="s">
        <v>22</v>
      </c>
      <c r="N114" s="2" t="s">
        <v>15</v>
      </c>
      <c r="O114" s="2" t="s">
        <v>129</v>
      </c>
      <c r="P114" s="2" t="s">
        <v>3481</v>
      </c>
      <c r="Q114" s="2" t="s">
        <v>4926</v>
      </c>
      <c r="R114" s="2" t="s">
        <v>3476</v>
      </c>
      <c r="S114" s="2" t="s">
        <v>4699</v>
      </c>
      <c r="T114" s="2" t="s">
        <v>4696</v>
      </c>
      <c r="U114" s="2" t="s">
        <v>39</v>
      </c>
      <c r="V114" s="2" t="s">
        <v>4800</v>
      </c>
      <c r="W114" s="2" t="s">
        <v>5006</v>
      </c>
      <c r="X114" s="2" t="s">
        <v>4925</v>
      </c>
      <c r="Y114" s="2" t="s">
        <v>3480</v>
      </c>
      <c r="Z114" s="2" t="s">
        <v>5497</v>
      </c>
      <c r="AA1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LUIZ </v>
      </c>
      <c r="AB1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4" s="6" t="str">
        <f>IF(_xlfn.IFNA(INDEX(configuracoes!$A$2:$A$10,MATCH(base_tc_geral[[#This Row],[TIPO]],configuracoes!$A$2:$A$10,0)),"NÃO")="NÃO","NÃO","SIM")</f>
        <v>NÃO</v>
      </c>
    </row>
    <row r="115" spans="1:31" x14ac:dyDescent="0.25">
      <c r="A115" s="2" t="s">
        <v>3042</v>
      </c>
      <c r="B115" s="2">
        <v>428271</v>
      </c>
      <c r="C115" s="2" t="s">
        <v>15</v>
      </c>
      <c r="D115" s="2" t="s">
        <v>4564</v>
      </c>
      <c r="E115" s="2" t="s">
        <v>47</v>
      </c>
      <c r="F115" s="2" t="s">
        <v>269</v>
      </c>
      <c r="G115" s="2" t="s">
        <v>245</v>
      </c>
      <c r="H115" s="2" t="s">
        <v>227</v>
      </c>
      <c r="I115" s="2" t="s">
        <v>16</v>
      </c>
      <c r="J115" s="2" t="s">
        <v>227</v>
      </c>
      <c r="K115" s="2" t="s">
        <v>20</v>
      </c>
      <c r="L115" s="2" t="s">
        <v>21</v>
      </c>
      <c r="M115" s="2" t="s">
        <v>22</v>
      </c>
      <c r="N115" s="2" t="s">
        <v>15</v>
      </c>
      <c r="O115" s="2" t="s">
        <v>271</v>
      </c>
      <c r="P115" s="2" t="s">
        <v>3044</v>
      </c>
      <c r="Q115" s="2" t="s">
        <v>4926</v>
      </c>
      <c r="R115" s="2" t="s">
        <v>4828</v>
      </c>
      <c r="S115" s="2" t="s">
        <v>4698</v>
      </c>
      <c r="T115" s="2" t="s">
        <v>4697</v>
      </c>
      <c r="U115" s="2" t="s">
        <v>12</v>
      </c>
      <c r="V115" s="2" t="s">
        <v>4829</v>
      </c>
      <c r="W115" s="2" t="s">
        <v>4982</v>
      </c>
      <c r="X115" s="2" t="s">
        <v>4925</v>
      </c>
      <c r="Y115" s="2" t="s">
        <v>3043</v>
      </c>
      <c r="Z115" s="2" t="s">
        <v>5498</v>
      </c>
      <c r="AA1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" s="6" t="str">
        <f>IF(_xlfn.IFNA(INDEX(configuracoes!$A$2:$A$10,MATCH(base_tc_geral[[#This Row],[TIPO]],configuracoes!$A$2:$A$10,0)),"NÃO")="NÃO","NÃO","SIM")</f>
        <v>SIM</v>
      </c>
    </row>
    <row r="116" spans="1:31" x14ac:dyDescent="0.25">
      <c r="A116" s="2" t="s">
        <v>4856</v>
      </c>
      <c r="B116" s="2">
        <v>101001670</v>
      </c>
      <c r="C116" s="2" t="s">
        <v>15</v>
      </c>
      <c r="D116" s="2" t="s">
        <v>4484</v>
      </c>
      <c r="E116" s="2" t="s">
        <v>47</v>
      </c>
      <c r="F116" s="2" t="s">
        <v>225</v>
      </c>
      <c r="G116" s="2" t="s">
        <v>136</v>
      </c>
      <c r="H116" s="2" t="s">
        <v>224</v>
      </c>
      <c r="I116" s="2" t="s">
        <v>16</v>
      </c>
      <c r="J116" s="2" t="s">
        <v>227</v>
      </c>
      <c r="K116" s="2" t="s">
        <v>13</v>
      </c>
      <c r="L116" s="2" t="s">
        <v>72</v>
      </c>
      <c r="M116" s="2" t="s">
        <v>73</v>
      </c>
      <c r="N116" s="2" t="s">
        <v>15</v>
      </c>
      <c r="O116" s="2" t="s">
        <v>229</v>
      </c>
      <c r="P116" s="2" t="s">
        <v>4858</v>
      </c>
      <c r="Q116" s="2" t="s">
        <v>4926</v>
      </c>
      <c r="R116" s="2" t="s">
        <v>226</v>
      </c>
      <c r="S116" s="2" t="s">
        <v>4698</v>
      </c>
      <c r="T116" s="2" t="s">
        <v>4697</v>
      </c>
      <c r="U116" s="2" t="s">
        <v>39</v>
      </c>
      <c r="V116" s="2" t="s">
        <v>4844</v>
      </c>
      <c r="W116" s="2" t="s">
        <v>72</v>
      </c>
      <c r="X116" s="2" t="s">
        <v>5011</v>
      </c>
      <c r="Y116" s="2" t="s">
        <v>4857</v>
      </c>
      <c r="Z116" s="2" t="s">
        <v>5499</v>
      </c>
      <c r="AA1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" s="6" t="str">
        <f>IF(_xlfn.IFNA(INDEX(configuracoes!$A$2:$A$10,MATCH(base_tc_geral[[#This Row],[TIPO]],configuracoes!$A$2:$A$10,0)),"NÃO")="NÃO","NÃO","SIM")</f>
        <v>NÃO</v>
      </c>
    </row>
    <row r="117" spans="1:31" x14ac:dyDescent="0.25">
      <c r="A117" s="2" t="s">
        <v>3084</v>
      </c>
      <c r="B117" s="2">
        <v>109505049</v>
      </c>
      <c r="C117" s="2" t="s">
        <v>15</v>
      </c>
      <c r="D117" s="2" t="s">
        <v>4616</v>
      </c>
      <c r="E117" s="2" t="s">
        <v>86</v>
      </c>
      <c r="F117" s="2" t="s">
        <v>594</v>
      </c>
      <c r="G117" s="2" t="s">
        <v>99</v>
      </c>
      <c r="H117" s="2" t="s">
        <v>122</v>
      </c>
      <c r="I117" s="2" t="s">
        <v>33</v>
      </c>
      <c r="J117" s="2" t="s">
        <v>124</v>
      </c>
      <c r="K117" s="2" t="s">
        <v>20</v>
      </c>
      <c r="L117" s="2" t="s">
        <v>25</v>
      </c>
      <c r="M117" s="2" t="s">
        <v>22</v>
      </c>
      <c r="N117" s="2" t="s">
        <v>15</v>
      </c>
      <c r="O117" s="2" t="s">
        <v>129</v>
      </c>
      <c r="P117" s="2" t="s">
        <v>3086</v>
      </c>
      <c r="Q117" s="2" t="s">
        <v>4926</v>
      </c>
      <c r="R117" s="2" t="s">
        <v>541</v>
      </c>
      <c r="S117" s="2" t="s">
        <v>125</v>
      </c>
      <c r="T117" s="2" t="s">
        <v>4696</v>
      </c>
      <c r="U117" s="2" t="s">
        <v>12</v>
      </c>
      <c r="V117" s="2" t="s">
        <v>4765</v>
      </c>
      <c r="W117" s="2" t="s">
        <v>4931</v>
      </c>
      <c r="X117" s="2" t="s">
        <v>4925</v>
      </c>
      <c r="Y117" s="2" t="s">
        <v>3085</v>
      </c>
      <c r="Z117" s="2" t="s">
        <v>5500</v>
      </c>
      <c r="AA1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" s="6" t="str">
        <f>IF(_xlfn.IFNA(INDEX(configuracoes!$A$2:$A$10,MATCH(base_tc_geral[[#This Row],[TIPO]],configuracoes!$A$2:$A$10,0)),"NÃO")="NÃO","NÃO","SIM")</f>
        <v>SIM</v>
      </c>
    </row>
    <row r="118" spans="1:31" x14ac:dyDescent="0.25">
      <c r="A118" s="2" t="s">
        <v>309</v>
      </c>
      <c r="B118" s="2">
        <v>101005241</v>
      </c>
      <c r="C118" s="2" t="s">
        <v>24</v>
      </c>
      <c r="D118" s="2" t="s">
        <v>4768</v>
      </c>
      <c r="E118" s="2" t="s">
        <v>47</v>
      </c>
      <c r="F118" s="2" t="s">
        <v>312</v>
      </c>
      <c r="G118" s="2" t="s">
        <v>89</v>
      </c>
      <c r="H118" s="2" t="s">
        <v>311</v>
      </c>
      <c r="I118" s="2" t="s">
        <v>16</v>
      </c>
      <c r="J118" s="2" t="s">
        <v>141</v>
      </c>
      <c r="K118" s="2" t="s">
        <v>13</v>
      </c>
      <c r="L118" s="2" t="s">
        <v>37</v>
      </c>
      <c r="M118" s="2" t="s">
        <v>44</v>
      </c>
      <c r="N118" s="2" t="s">
        <v>24</v>
      </c>
      <c r="O118" s="2" t="s">
        <v>314</v>
      </c>
      <c r="P118" s="2" t="s">
        <v>313</v>
      </c>
      <c r="Q118" s="2" t="s">
        <v>4926</v>
      </c>
      <c r="R118" s="2" t="s">
        <v>143</v>
      </c>
      <c r="S118" s="2" t="s">
        <v>4698</v>
      </c>
      <c r="T118" s="2" t="s">
        <v>4697</v>
      </c>
      <c r="U118" s="2" t="s">
        <v>39</v>
      </c>
      <c r="V118" s="2" t="s">
        <v>4845</v>
      </c>
      <c r="W118" s="2" t="s">
        <v>5013</v>
      </c>
      <c r="X118" s="2" t="s">
        <v>44</v>
      </c>
      <c r="Y118" s="2" t="s">
        <v>310</v>
      </c>
      <c r="Z118" s="2" t="s">
        <v>5501</v>
      </c>
      <c r="AA1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8" s="6" t="str">
        <f>IF(_xlfn.IFNA(INDEX(configuracoes!$A$2:$A$10,MATCH(base_tc_geral[[#This Row],[TIPO]],configuracoes!$A$2:$A$10,0)),"NÃO")="NÃO","NÃO","SIM")</f>
        <v>NÃO</v>
      </c>
    </row>
    <row r="119" spans="1:31" x14ac:dyDescent="0.25">
      <c r="A119" s="2" t="s">
        <v>1834</v>
      </c>
      <c r="B119" s="2">
        <v>109505049</v>
      </c>
      <c r="C119" s="2" t="s">
        <v>15</v>
      </c>
      <c r="D119" s="2" t="s">
        <v>4493</v>
      </c>
      <c r="E119" s="2" t="s">
        <v>86</v>
      </c>
      <c r="F119" s="2" t="s">
        <v>540</v>
      </c>
      <c r="G119" s="2" t="s">
        <v>99</v>
      </c>
      <c r="H119" s="2" t="s">
        <v>283</v>
      </c>
      <c r="I119" s="2" t="s">
        <v>33</v>
      </c>
      <c r="J119" s="2" t="s">
        <v>124</v>
      </c>
      <c r="K119" s="2" t="s">
        <v>13</v>
      </c>
      <c r="L119" s="2" t="s">
        <v>25</v>
      </c>
      <c r="M119" s="2" t="s">
        <v>22</v>
      </c>
      <c r="N119" s="2" t="s">
        <v>15</v>
      </c>
      <c r="O119" s="2" t="s">
        <v>287</v>
      </c>
      <c r="P119" s="2" t="s">
        <v>1836</v>
      </c>
      <c r="Q119" s="2" t="s">
        <v>4926</v>
      </c>
      <c r="R119" s="2" t="s">
        <v>541</v>
      </c>
      <c r="S119" s="2" t="s">
        <v>125</v>
      </c>
      <c r="T119" s="2" t="s">
        <v>4696</v>
      </c>
      <c r="U119" s="2" t="s">
        <v>12</v>
      </c>
      <c r="V119" s="2" t="s">
        <v>4765</v>
      </c>
      <c r="W119" s="2" t="s">
        <v>4931</v>
      </c>
      <c r="X119" s="2" t="s">
        <v>4925</v>
      </c>
      <c r="Y119" s="2" t="s">
        <v>1835</v>
      </c>
      <c r="Z119" s="2" t="s">
        <v>5502</v>
      </c>
      <c r="AA1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" s="6" t="str">
        <f>IF(_xlfn.IFNA(INDEX(configuracoes!$A$2:$A$10,MATCH(base_tc_geral[[#This Row],[TIPO]],configuracoes!$A$2:$A$10,0)),"NÃO")="NÃO","NÃO","SIM")</f>
        <v>SIM</v>
      </c>
    </row>
    <row r="120" spans="1:31" x14ac:dyDescent="0.25">
      <c r="A120" s="2" t="s">
        <v>2667</v>
      </c>
      <c r="B120" s="2">
        <v>109000340</v>
      </c>
      <c r="C120" s="2" t="s">
        <v>15</v>
      </c>
      <c r="D120" s="2" t="s">
        <v>4509</v>
      </c>
      <c r="E120" s="2" t="s">
        <v>86</v>
      </c>
      <c r="F120" s="2" t="s">
        <v>199</v>
      </c>
      <c r="G120" s="2" t="s">
        <v>637</v>
      </c>
      <c r="H120" s="2" t="s">
        <v>198</v>
      </c>
      <c r="I120" s="2" t="s">
        <v>33</v>
      </c>
      <c r="J120" s="2" t="s">
        <v>91</v>
      </c>
      <c r="K120" s="2" t="s">
        <v>20</v>
      </c>
      <c r="L120" s="2" t="s">
        <v>19</v>
      </c>
      <c r="M120" s="2" t="s">
        <v>22</v>
      </c>
      <c r="N120" s="2" t="s">
        <v>15</v>
      </c>
      <c r="O120" s="2" t="s">
        <v>201</v>
      </c>
      <c r="P120" s="2" t="s">
        <v>2669</v>
      </c>
      <c r="Q120" s="2" t="s">
        <v>4926</v>
      </c>
      <c r="R120" s="2" t="s">
        <v>90</v>
      </c>
      <c r="S120" s="2" t="s">
        <v>93</v>
      </c>
      <c r="T120" s="2" t="s">
        <v>4696</v>
      </c>
      <c r="U120" s="2" t="s">
        <v>12</v>
      </c>
      <c r="V120" s="2" t="s">
        <v>4796</v>
      </c>
      <c r="W120" s="2" t="s">
        <v>4982</v>
      </c>
      <c r="X120" s="2" t="s">
        <v>4925</v>
      </c>
      <c r="Y120" s="2" t="s">
        <v>2668</v>
      </c>
      <c r="Z120" s="2" t="s">
        <v>5503</v>
      </c>
      <c r="AA1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0" s="6" t="str">
        <f>IF(_xlfn.IFNA(INDEX(configuracoes!$A$2:$A$10,MATCH(base_tc_geral[[#This Row],[TIPO]],configuracoes!$A$2:$A$10,0)),"NÃO")="NÃO","NÃO","SIM")</f>
        <v>SIM</v>
      </c>
    </row>
    <row r="121" spans="1:31" x14ac:dyDescent="0.25">
      <c r="A121" s="2" t="s">
        <v>2741</v>
      </c>
      <c r="B121" s="2">
        <v>108401409</v>
      </c>
      <c r="C121" s="2" t="s">
        <v>15</v>
      </c>
      <c r="D121" s="2" t="s">
        <v>4484</v>
      </c>
      <c r="E121" s="2" t="s">
        <v>47</v>
      </c>
      <c r="F121" s="2" t="s">
        <v>278</v>
      </c>
      <c r="G121" s="2" t="s">
        <v>41</v>
      </c>
      <c r="H121" s="2" t="s">
        <v>60</v>
      </c>
      <c r="I121" s="2" t="s">
        <v>16</v>
      </c>
      <c r="J121" s="2" t="s">
        <v>60</v>
      </c>
      <c r="K121" s="2" t="s">
        <v>13</v>
      </c>
      <c r="L121" s="2" t="s">
        <v>42</v>
      </c>
      <c r="M121" s="2" t="s">
        <v>75</v>
      </c>
      <c r="N121" s="2" t="s">
        <v>15</v>
      </c>
      <c r="O121" s="2" t="s">
        <v>161</v>
      </c>
      <c r="P121" s="2" t="s">
        <v>2743</v>
      </c>
      <c r="Q121" s="2" t="s">
        <v>4926</v>
      </c>
      <c r="R121" s="2" t="s">
        <v>2738</v>
      </c>
      <c r="S121" s="2" t="s">
        <v>359</v>
      </c>
      <c r="T121" s="2" t="s">
        <v>4697</v>
      </c>
      <c r="U121" s="2" t="s">
        <v>12</v>
      </c>
      <c r="V121" s="2" t="s">
        <v>4778</v>
      </c>
      <c r="W121" s="2" t="s">
        <v>42</v>
      </c>
      <c r="X121" s="2" t="s">
        <v>75</v>
      </c>
      <c r="Y121" s="2" t="s">
        <v>2742</v>
      </c>
      <c r="Z121" s="2" t="s">
        <v>5504</v>
      </c>
      <c r="AA1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" s="6" t="str">
        <f>IF(_xlfn.IFNA(INDEX(configuracoes!$A$2:$A$10,MATCH(base_tc_geral[[#This Row],[TIPO]],configuracoes!$A$2:$A$10,0)),"NÃO")="NÃO","NÃO","SIM")</f>
        <v>SIM</v>
      </c>
    </row>
    <row r="122" spans="1:31" x14ac:dyDescent="0.25">
      <c r="A122" s="2" t="s">
        <v>3715</v>
      </c>
      <c r="B122" s="2">
        <v>102100917</v>
      </c>
      <c r="C122" s="2" t="s">
        <v>24</v>
      </c>
      <c r="D122" s="2" t="s">
        <v>4482</v>
      </c>
      <c r="E122" s="2" t="s">
        <v>106</v>
      </c>
      <c r="F122" s="2" t="s">
        <v>116</v>
      </c>
      <c r="G122" s="2" t="s">
        <v>245</v>
      </c>
      <c r="H122" s="2" t="s">
        <v>115</v>
      </c>
      <c r="I122" s="2" t="s">
        <v>33</v>
      </c>
      <c r="J122" s="2" t="s">
        <v>109</v>
      </c>
      <c r="K122" s="2" t="s">
        <v>20</v>
      </c>
      <c r="L122" s="2" t="s">
        <v>21</v>
      </c>
      <c r="M122" s="2" t="s">
        <v>22</v>
      </c>
      <c r="N122" s="2" t="s">
        <v>24</v>
      </c>
      <c r="O122" s="2" t="s">
        <v>119</v>
      </c>
      <c r="P122" s="2" t="s">
        <v>3717</v>
      </c>
      <c r="Q122" s="2" t="s">
        <v>4926</v>
      </c>
      <c r="R122" s="2" t="s">
        <v>117</v>
      </c>
      <c r="S122" s="2" t="s">
        <v>736</v>
      </c>
      <c r="T122" s="2" t="s">
        <v>167</v>
      </c>
      <c r="U122" s="2" t="s">
        <v>39</v>
      </c>
      <c r="V122" s="2" t="s">
        <v>4902</v>
      </c>
      <c r="W122" s="2" t="s">
        <v>4982</v>
      </c>
      <c r="X122" s="2" t="s">
        <v>4925</v>
      </c>
      <c r="Y122" s="2" t="s">
        <v>3716</v>
      </c>
      <c r="Z122" s="2" t="s">
        <v>5505</v>
      </c>
      <c r="AA1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1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2" s="6" t="str">
        <f>IF(_xlfn.IFNA(INDEX(configuracoes!$A$2:$A$10,MATCH(base_tc_geral[[#This Row],[TIPO]],configuracoes!$A$2:$A$10,0)),"NÃO")="NÃO","NÃO","SIM")</f>
        <v>SIM</v>
      </c>
    </row>
    <row r="123" spans="1:31" x14ac:dyDescent="0.25">
      <c r="A123" s="2" t="s">
        <v>3917</v>
      </c>
      <c r="B123" s="2">
        <v>101007963</v>
      </c>
      <c r="C123" s="2" t="s">
        <v>15</v>
      </c>
      <c r="D123" s="2" t="s">
        <v>4481</v>
      </c>
      <c r="E123" s="2" t="s">
        <v>47</v>
      </c>
      <c r="F123" s="2" t="s">
        <v>244</v>
      </c>
      <c r="G123" s="2" t="s">
        <v>364</v>
      </c>
      <c r="H123" s="2" t="s">
        <v>60</v>
      </c>
      <c r="I123" s="2" t="s">
        <v>16</v>
      </c>
      <c r="J123" s="2" t="s">
        <v>60</v>
      </c>
      <c r="K123" s="2" t="s">
        <v>13</v>
      </c>
      <c r="L123" s="2" t="s">
        <v>37</v>
      </c>
      <c r="M123" s="2" t="s">
        <v>44</v>
      </c>
      <c r="N123" s="2" t="s">
        <v>15</v>
      </c>
      <c r="O123" s="2" t="s">
        <v>161</v>
      </c>
      <c r="P123" s="2" t="s">
        <v>3919</v>
      </c>
      <c r="Q123" s="2" t="s">
        <v>4926</v>
      </c>
      <c r="R123" s="2" t="s">
        <v>246</v>
      </c>
      <c r="S123" s="2" t="s">
        <v>51</v>
      </c>
      <c r="T123" s="2" t="s">
        <v>4697</v>
      </c>
      <c r="U123" s="2" t="s">
        <v>12</v>
      </c>
      <c r="V123" s="2" t="s">
        <v>4778</v>
      </c>
      <c r="W123" s="2" t="s">
        <v>4999</v>
      </c>
      <c r="X123" s="2" t="s">
        <v>44</v>
      </c>
      <c r="Y123" s="2" t="s">
        <v>3918</v>
      </c>
      <c r="Z123" s="2" t="s">
        <v>5506</v>
      </c>
      <c r="AA1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" s="6" t="str">
        <f>IF(_xlfn.IFNA(INDEX(configuracoes!$A$2:$A$10,MATCH(base_tc_geral[[#This Row],[TIPO]],configuracoes!$A$2:$A$10,0)),"NÃO")="NÃO","NÃO","SIM")</f>
        <v>NÃO</v>
      </c>
    </row>
    <row r="124" spans="1:31" x14ac:dyDescent="0.25">
      <c r="A124" s="2" t="s">
        <v>578</v>
      </c>
      <c r="B124" s="2">
        <v>109506091</v>
      </c>
      <c r="C124" s="2" t="s">
        <v>15</v>
      </c>
      <c r="D124" s="2" t="s">
        <v>4481</v>
      </c>
      <c r="E124" s="2" t="s">
        <v>86</v>
      </c>
      <c r="F124" s="2" t="s">
        <v>123</v>
      </c>
      <c r="G124" s="2" t="s">
        <v>89</v>
      </c>
      <c r="H124" s="2" t="s">
        <v>122</v>
      </c>
      <c r="I124" s="2" t="s">
        <v>33</v>
      </c>
      <c r="J124" s="2" t="s">
        <v>124</v>
      </c>
      <c r="K124" s="2" t="s">
        <v>13</v>
      </c>
      <c r="L124" s="2" t="s">
        <v>37</v>
      </c>
      <c r="M124" s="2" t="s">
        <v>44</v>
      </c>
      <c r="N124" s="2" t="s">
        <v>15</v>
      </c>
      <c r="O124" s="2" t="s">
        <v>129</v>
      </c>
      <c r="P124" s="2" t="s">
        <v>580</v>
      </c>
      <c r="Q124" s="2" t="s">
        <v>4926</v>
      </c>
      <c r="R124" s="2" t="s">
        <v>2683</v>
      </c>
      <c r="S124" s="2" t="s">
        <v>125</v>
      </c>
      <c r="T124" s="2" t="s">
        <v>4696</v>
      </c>
      <c r="U124" s="2" t="s">
        <v>12</v>
      </c>
      <c r="V124" s="2" t="s">
        <v>4771</v>
      </c>
      <c r="W124" s="2" t="s">
        <v>4999</v>
      </c>
      <c r="X124" s="2" t="s">
        <v>44</v>
      </c>
      <c r="Y124" s="2" t="s">
        <v>579</v>
      </c>
      <c r="Z124" s="2" t="s">
        <v>5507</v>
      </c>
      <c r="AA1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" s="6" t="str">
        <f>IF(_xlfn.IFNA(INDEX(configuracoes!$A$2:$A$10,MATCH(base_tc_geral[[#This Row],[TIPO]],configuracoes!$A$2:$A$10,0)),"NÃO")="NÃO","NÃO","SIM")</f>
        <v>NÃO</v>
      </c>
    </row>
    <row r="125" spans="1:31" x14ac:dyDescent="0.25">
      <c r="A125" s="2" t="s">
        <v>1176</v>
      </c>
      <c r="B125" s="2">
        <v>109000017</v>
      </c>
      <c r="C125" s="2" t="s">
        <v>24</v>
      </c>
      <c r="D125" s="2" t="s">
        <v>4768</v>
      </c>
      <c r="E125" s="2" t="s">
        <v>86</v>
      </c>
      <c r="F125" s="2" t="s">
        <v>274</v>
      </c>
      <c r="G125" s="2" t="s">
        <v>245</v>
      </c>
      <c r="H125" s="2" t="s">
        <v>210</v>
      </c>
      <c r="I125" s="2" t="s">
        <v>33</v>
      </c>
      <c r="J125" s="2" t="s">
        <v>124</v>
      </c>
      <c r="K125" s="2" t="s">
        <v>20</v>
      </c>
      <c r="L125" s="2" t="s">
        <v>21</v>
      </c>
      <c r="M125" s="2" t="s">
        <v>22</v>
      </c>
      <c r="N125" s="2" t="s">
        <v>24</v>
      </c>
      <c r="O125" s="2" t="s">
        <v>214</v>
      </c>
      <c r="P125" s="2" t="s">
        <v>1178</v>
      </c>
      <c r="Q125" s="2" t="s">
        <v>4926</v>
      </c>
      <c r="R125" s="2" t="s">
        <v>212</v>
      </c>
      <c r="S125" s="2" t="s">
        <v>93</v>
      </c>
      <c r="T125" s="2" t="s">
        <v>4696</v>
      </c>
      <c r="U125" s="2" t="s">
        <v>39</v>
      </c>
      <c r="V125" s="2" t="s">
        <v>4846</v>
      </c>
      <c r="W125" s="2" t="s">
        <v>4982</v>
      </c>
      <c r="X125" s="2" t="s">
        <v>4925</v>
      </c>
      <c r="Y125" s="2" t="s">
        <v>1177</v>
      </c>
      <c r="Z125" s="2" t="s">
        <v>5508</v>
      </c>
      <c r="AA1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5" s="6" t="str">
        <f>IF(_xlfn.IFNA(INDEX(configuracoes!$A$2:$A$10,MATCH(base_tc_geral[[#This Row],[TIPO]],configuracoes!$A$2:$A$10,0)),"NÃO")="NÃO","NÃO","SIM")</f>
        <v>SIM</v>
      </c>
    </row>
    <row r="126" spans="1:31" x14ac:dyDescent="0.25">
      <c r="A126" s="2" t="s">
        <v>2309</v>
      </c>
      <c r="B126" s="2">
        <v>109000340</v>
      </c>
      <c r="C126" s="2" t="s">
        <v>15</v>
      </c>
      <c r="D126" s="2" t="s">
        <v>4484</v>
      </c>
      <c r="E126" s="2" t="s">
        <v>86</v>
      </c>
      <c r="F126" s="2" t="s">
        <v>1320</v>
      </c>
      <c r="G126" s="2" t="s">
        <v>637</v>
      </c>
      <c r="H126" s="2" t="s">
        <v>1321</v>
      </c>
      <c r="I126" s="2" t="s">
        <v>33</v>
      </c>
      <c r="J126" s="2" t="s">
        <v>91</v>
      </c>
      <c r="K126" s="2" t="s">
        <v>20</v>
      </c>
      <c r="L126" s="2" t="s">
        <v>19</v>
      </c>
      <c r="M126" s="2" t="s">
        <v>22</v>
      </c>
      <c r="N126" s="2" t="s">
        <v>15</v>
      </c>
      <c r="O126" s="2" t="s">
        <v>1322</v>
      </c>
      <c r="P126" s="2" t="s">
        <v>2311</v>
      </c>
      <c r="Q126" s="2" t="s">
        <v>4926</v>
      </c>
      <c r="R126" s="2" t="s">
        <v>90</v>
      </c>
      <c r="S126" s="2" t="s">
        <v>93</v>
      </c>
      <c r="T126" s="2" t="s">
        <v>4696</v>
      </c>
      <c r="U126" s="2" t="s">
        <v>12</v>
      </c>
      <c r="V126" s="2" t="s">
        <v>4898</v>
      </c>
      <c r="W126" s="2" t="s">
        <v>4982</v>
      </c>
      <c r="X126" s="2" t="s">
        <v>4925</v>
      </c>
      <c r="Y126" s="2" t="s">
        <v>2310</v>
      </c>
      <c r="Z126" s="2" t="s">
        <v>5509</v>
      </c>
      <c r="AA1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6" s="6" t="str">
        <f>IF(_xlfn.IFNA(INDEX(configuracoes!$A$2:$A$10,MATCH(base_tc_geral[[#This Row],[TIPO]],configuracoes!$A$2:$A$10,0)),"NÃO")="NÃO","NÃO","SIM")</f>
        <v>SIM</v>
      </c>
    </row>
    <row r="127" spans="1:31" x14ac:dyDescent="0.25">
      <c r="A127" s="2" t="s">
        <v>3180</v>
      </c>
      <c r="B127" s="2">
        <v>109505858</v>
      </c>
      <c r="C127" s="2" t="s">
        <v>15</v>
      </c>
      <c r="D127" s="2" t="s">
        <v>4548</v>
      </c>
      <c r="E127" s="2" t="s">
        <v>86</v>
      </c>
      <c r="F127" s="2" t="s">
        <v>817</v>
      </c>
      <c r="G127" s="2" t="s">
        <v>630</v>
      </c>
      <c r="H127" s="2" t="s">
        <v>217</v>
      </c>
      <c r="I127" s="2" t="s">
        <v>33</v>
      </c>
      <c r="J127" s="2" t="s">
        <v>91</v>
      </c>
      <c r="K127" s="2" t="s">
        <v>20</v>
      </c>
      <c r="L127" s="2" t="s">
        <v>21</v>
      </c>
      <c r="M127" s="2" t="s">
        <v>22</v>
      </c>
      <c r="N127" s="2" t="s">
        <v>15</v>
      </c>
      <c r="O127" s="2" t="s">
        <v>221</v>
      </c>
      <c r="P127" s="2" t="s">
        <v>3182</v>
      </c>
      <c r="Q127" s="2" t="s">
        <v>4926</v>
      </c>
      <c r="R127" s="2" t="s">
        <v>1466</v>
      </c>
      <c r="S127" s="2" t="s">
        <v>93</v>
      </c>
      <c r="T127" s="2" t="s">
        <v>4696</v>
      </c>
      <c r="U127" s="2" t="s">
        <v>12</v>
      </c>
      <c r="V127" s="2" t="s">
        <v>4802</v>
      </c>
      <c r="W127" s="2" t="s">
        <v>4982</v>
      </c>
      <c r="X127" s="2" t="s">
        <v>4925</v>
      </c>
      <c r="Y127" s="2" t="s">
        <v>3181</v>
      </c>
      <c r="Z127" s="2" t="s">
        <v>5510</v>
      </c>
      <c r="AA1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7" s="6" t="str">
        <f>IF(_xlfn.IFNA(INDEX(configuracoes!$A$2:$A$10,MATCH(base_tc_geral[[#This Row],[TIPO]],configuracoes!$A$2:$A$10,0)),"NÃO")="NÃO","NÃO","SIM")</f>
        <v>SIM</v>
      </c>
    </row>
    <row r="128" spans="1:31" x14ac:dyDescent="0.25">
      <c r="A128" s="2" t="s">
        <v>4269</v>
      </c>
      <c r="B128" s="2">
        <v>101001782</v>
      </c>
      <c r="C128" s="2" t="s">
        <v>15</v>
      </c>
      <c r="D128" s="2" t="s">
        <v>4541</v>
      </c>
      <c r="E128" s="2" t="s">
        <v>47</v>
      </c>
      <c r="F128" s="2" t="s">
        <v>464</v>
      </c>
      <c r="G128" s="2" t="s">
        <v>136</v>
      </c>
      <c r="H128" s="2" t="s">
        <v>48</v>
      </c>
      <c r="I128" s="2" t="s">
        <v>16</v>
      </c>
      <c r="J128" s="2" t="s">
        <v>48</v>
      </c>
      <c r="K128" s="2" t="s">
        <v>13</v>
      </c>
      <c r="L128" s="2" t="s">
        <v>72</v>
      </c>
      <c r="M128" s="2" t="s">
        <v>73</v>
      </c>
      <c r="N128" s="2" t="s">
        <v>15</v>
      </c>
      <c r="O128" s="2" t="s">
        <v>53</v>
      </c>
      <c r="P128" s="2" t="s">
        <v>4271</v>
      </c>
      <c r="Q128" s="2" t="s">
        <v>4926</v>
      </c>
      <c r="R128" s="2" t="s">
        <v>512</v>
      </c>
      <c r="S128" s="2" t="s">
        <v>51</v>
      </c>
      <c r="T128" s="2" t="s">
        <v>4697</v>
      </c>
      <c r="U128" s="2" t="s">
        <v>12</v>
      </c>
      <c r="V128" s="2" t="s">
        <v>4861</v>
      </c>
      <c r="W128" s="2" t="s">
        <v>72</v>
      </c>
      <c r="X128" s="2" t="s">
        <v>5011</v>
      </c>
      <c r="Y128" s="2" t="s">
        <v>4270</v>
      </c>
      <c r="Z128" s="2" t="s">
        <v>5511</v>
      </c>
      <c r="AA1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8" s="6" t="str">
        <f>IF(_xlfn.IFNA(INDEX(configuracoes!$A$2:$A$10,MATCH(base_tc_geral[[#This Row],[TIPO]],configuracoes!$A$2:$A$10,0)),"NÃO")="NÃO","NÃO","SIM")</f>
        <v>NÃO</v>
      </c>
    </row>
    <row r="129" spans="1:31" x14ac:dyDescent="0.25">
      <c r="A129" s="2" t="s">
        <v>1632</v>
      </c>
      <c r="B129" s="2">
        <v>109500177</v>
      </c>
      <c r="C129" s="2" t="s">
        <v>15</v>
      </c>
      <c r="D129" s="2" t="s">
        <v>4523</v>
      </c>
      <c r="E129" s="2" t="s">
        <v>86</v>
      </c>
      <c r="F129" s="2" t="s">
        <v>590</v>
      </c>
      <c r="G129" s="2" t="s">
        <v>41</v>
      </c>
      <c r="H129" s="2" t="s">
        <v>122</v>
      </c>
      <c r="I129" s="2" t="s">
        <v>33</v>
      </c>
      <c r="J129" s="2" t="s">
        <v>124</v>
      </c>
      <c r="K129" s="2" t="s">
        <v>13</v>
      </c>
      <c r="L129" s="2" t="s">
        <v>42</v>
      </c>
      <c r="M129" s="2" t="s">
        <v>75</v>
      </c>
      <c r="N129" s="2" t="s">
        <v>15</v>
      </c>
      <c r="O129" s="2" t="s">
        <v>129</v>
      </c>
      <c r="P129" s="2" t="s">
        <v>1634</v>
      </c>
      <c r="Q129" s="2" t="s">
        <v>4926</v>
      </c>
      <c r="R129" s="2" t="s">
        <v>447</v>
      </c>
      <c r="S129" s="2" t="s">
        <v>125</v>
      </c>
      <c r="T129" s="2" t="s">
        <v>4696</v>
      </c>
      <c r="U129" s="2" t="s">
        <v>12</v>
      </c>
      <c r="V129" s="2" t="s">
        <v>4913</v>
      </c>
      <c r="W129" s="2" t="s">
        <v>42</v>
      </c>
      <c r="X129" s="2" t="s">
        <v>75</v>
      </c>
      <c r="Y129" s="2" t="s">
        <v>1633</v>
      </c>
      <c r="Z129" s="2" t="s">
        <v>5512</v>
      </c>
      <c r="AA1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1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9" s="6" t="str">
        <f>IF(_xlfn.IFNA(INDEX(configuracoes!$A$2:$A$10,MATCH(base_tc_geral[[#This Row],[TIPO]],configuracoes!$A$2:$A$10,0)),"NÃO")="NÃO","NÃO","SIM")</f>
        <v>SIM</v>
      </c>
    </row>
    <row r="130" spans="1:31" x14ac:dyDescent="0.25">
      <c r="A130" s="2" t="s">
        <v>2236</v>
      </c>
      <c r="B130" s="2">
        <v>105303134</v>
      </c>
      <c r="C130" s="2" t="s">
        <v>15</v>
      </c>
      <c r="D130" s="2" t="s">
        <v>4515</v>
      </c>
      <c r="E130" s="2" t="s">
        <v>28</v>
      </c>
      <c r="F130" s="2" t="s">
        <v>290</v>
      </c>
      <c r="G130" s="2" t="s">
        <v>245</v>
      </c>
      <c r="H130" s="2" t="s">
        <v>34</v>
      </c>
      <c r="I130" s="2" t="s">
        <v>33</v>
      </c>
      <c r="J130" s="2" t="s">
        <v>34</v>
      </c>
      <c r="K130" s="2" t="s">
        <v>20</v>
      </c>
      <c r="L130" s="2" t="s">
        <v>21</v>
      </c>
      <c r="M130" s="2" t="s">
        <v>22</v>
      </c>
      <c r="N130" s="2" t="s">
        <v>15</v>
      </c>
      <c r="O130" s="2" t="s">
        <v>156</v>
      </c>
      <c r="P130" s="2" t="s">
        <v>2238</v>
      </c>
      <c r="Q130" s="2" t="s">
        <v>4926</v>
      </c>
      <c r="R130" s="2" t="s">
        <v>442</v>
      </c>
      <c r="S130" s="2" t="s">
        <v>167</v>
      </c>
      <c r="T130" s="2" t="s">
        <v>167</v>
      </c>
      <c r="U130" s="2" t="s">
        <v>12</v>
      </c>
      <c r="V130" s="2" t="s">
        <v>4763</v>
      </c>
      <c r="W130" s="2" t="s">
        <v>4982</v>
      </c>
      <c r="X130" s="2" t="s">
        <v>4925</v>
      </c>
      <c r="Y130" s="2" t="s">
        <v>2237</v>
      </c>
      <c r="Z130" s="2" t="s">
        <v>5513</v>
      </c>
      <c r="AA1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1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0" s="6" t="str">
        <f>IF(_xlfn.IFNA(INDEX(configuracoes!$A$2:$A$10,MATCH(base_tc_geral[[#This Row],[TIPO]],configuracoes!$A$2:$A$10,0)),"NÃO")="NÃO","NÃO","SIM")</f>
        <v>SIM</v>
      </c>
    </row>
    <row r="131" spans="1:31" x14ac:dyDescent="0.25">
      <c r="A131" s="2" t="s">
        <v>2950</v>
      </c>
      <c r="B131" s="2">
        <v>101001782</v>
      </c>
      <c r="C131" s="2" t="s">
        <v>15</v>
      </c>
      <c r="D131" s="2" t="s">
        <v>4516</v>
      </c>
      <c r="E131" s="2" t="s">
        <v>47</v>
      </c>
      <c r="F131" s="2" t="s">
        <v>464</v>
      </c>
      <c r="G131" s="2" t="s">
        <v>245</v>
      </c>
      <c r="H131" s="2" t="s">
        <v>48</v>
      </c>
      <c r="I131" s="2" t="s">
        <v>16</v>
      </c>
      <c r="J131" s="2" t="s">
        <v>48</v>
      </c>
      <c r="K131" s="2" t="s">
        <v>20</v>
      </c>
      <c r="L131" s="2" t="s">
        <v>21</v>
      </c>
      <c r="M131" s="2" t="s">
        <v>22</v>
      </c>
      <c r="N131" s="2" t="s">
        <v>15</v>
      </c>
      <c r="O131" s="2" t="s">
        <v>53</v>
      </c>
      <c r="P131" s="2" t="s">
        <v>2952</v>
      </c>
      <c r="Q131" s="2" t="s">
        <v>4926</v>
      </c>
      <c r="R131" s="2" t="s">
        <v>512</v>
      </c>
      <c r="S131" s="2" t="s">
        <v>51</v>
      </c>
      <c r="T131" s="2" t="s">
        <v>4697</v>
      </c>
      <c r="U131" s="2" t="s">
        <v>12</v>
      </c>
      <c r="V131" s="2" t="s">
        <v>4861</v>
      </c>
      <c r="W131" s="2" t="s">
        <v>4987</v>
      </c>
      <c r="X131" s="2" t="s">
        <v>4925</v>
      </c>
      <c r="Y131" s="2" t="s">
        <v>2951</v>
      </c>
      <c r="Z131" s="2" t="s">
        <v>5514</v>
      </c>
      <c r="AA1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1" s="6" t="str">
        <f>IF(_xlfn.IFNA(INDEX(configuracoes!$A$2:$A$10,MATCH(base_tc_geral[[#This Row],[TIPO]],configuracoes!$A$2:$A$10,0)),"NÃO")="NÃO","NÃO","SIM")</f>
        <v>SIM</v>
      </c>
    </row>
    <row r="132" spans="1:31" x14ac:dyDescent="0.25">
      <c r="A132" s="2" t="s">
        <v>832</v>
      </c>
      <c r="B132" s="2">
        <v>109504369</v>
      </c>
      <c r="C132" s="2" t="s">
        <v>15</v>
      </c>
      <c r="D132" s="2" t="s">
        <v>4781</v>
      </c>
      <c r="E132" s="2" t="s">
        <v>86</v>
      </c>
      <c r="F132" s="2" t="s">
        <v>459</v>
      </c>
      <c r="G132" s="2" t="s">
        <v>58</v>
      </c>
      <c r="H132" s="2" t="s">
        <v>458</v>
      </c>
      <c r="I132" s="2" t="s">
        <v>33</v>
      </c>
      <c r="J132" s="2" t="s">
        <v>91</v>
      </c>
      <c r="K132" s="2" t="s">
        <v>13</v>
      </c>
      <c r="L132" s="2" t="s">
        <v>61</v>
      </c>
      <c r="M132" s="2" t="s">
        <v>44</v>
      </c>
      <c r="N132" s="2" t="s">
        <v>15</v>
      </c>
      <c r="O132" s="2" t="s">
        <v>461</v>
      </c>
      <c r="P132" s="2" t="s">
        <v>834</v>
      </c>
      <c r="Q132" s="2" t="s">
        <v>4926</v>
      </c>
      <c r="R132" s="2" t="s">
        <v>829</v>
      </c>
      <c r="S132" s="2" t="s">
        <v>4699</v>
      </c>
      <c r="T132" s="2" t="s">
        <v>4696</v>
      </c>
      <c r="U132" s="2" t="s">
        <v>12</v>
      </c>
      <c r="V132" s="2" t="s">
        <v>4904</v>
      </c>
      <c r="W132" s="2" t="s">
        <v>4984</v>
      </c>
      <c r="X132" s="2" t="s">
        <v>44</v>
      </c>
      <c r="Y132" s="2" t="s">
        <v>833</v>
      </c>
      <c r="Z132" s="2" t="s">
        <v>5515</v>
      </c>
      <c r="AA1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1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" s="6" t="str">
        <f>IF(_xlfn.IFNA(INDEX(configuracoes!$A$2:$A$10,MATCH(base_tc_geral[[#This Row],[TIPO]],configuracoes!$A$2:$A$10,0)),"NÃO")="NÃO","NÃO","SIM")</f>
        <v>NÃO</v>
      </c>
    </row>
    <row r="133" spans="1:31" x14ac:dyDescent="0.25">
      <c r="A133" s="2" t="s">
        <v>2929</v>
      </c>
      <c r="B133" s="2">
        <v>109506032</v>
      </c>
      <c r="C133" s="2" t="s">
        <v>146</v>
      </c>
      <c r="D133" s="2" t="s">
        <v>4543</v>
      </c>
      <c r="E133" s="2" t="s">
        <v>86</v>
      </c>
      <c r="F133" s="2" t="s">
        <v>505</v>
      </c>
      <c r="G133" s="2" t="s">
        <v>245</v>
      </c>
      <c r="H133" s="2" t="s">
        <v>164</v>
      </c>
      <c r="I133" s="2" t="s">
        <v>33</v>
      </c>
      <c r="J133" s="2" t="s">
        <v>124</v>
      </c>
      <c r="K133" s="2" t="s">
        <v>20</v>
      </c>
      <c r="L133" s="2" t="s">
        <v>21</v>
      </c>
      <c r="M133" s="2" t="s">
        <v>22</v>
      </c>
      <c r="N133" s="2" t="s">
        <v>146</v>
      </c>
      <c r="O133" s="2" t="s">
        <v>169</v>
      </c>
      <c r="P133" s="2" t="s">
        <v>2931</v>
      </c>
      <c r="Q133" s="2" t="s">
        <v>4926</v>
      </c>
      <c r="R133" s="2" t="s">
        <v>2892</v>
      </c>
      <c r="S133" s="2" t="s">
        <v>93</v>
      </c>
      <c r="T133" s="2" t="s">
        <v>4696</v>
      </c>
      <c r="U133" s="2" t="s">
        <v>39</v>
      </c>
      <c r="V133" s="2" t="s">
        <v>4785</v>
      </c>
      <c r="W133" s="2" t="s">
        <v>4982</v>
      </c>
      <c r="X133" s="2" t="s">
        <v>4925</v>
      </c>
      <c r="Y133" s="2" t="s">
        <v>2930</v>
      </c>
      <c r="Z133" s="2" t="s">
        <v>5043</v>
      </c>
      <c r="AA1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133" s="6" t="str">
        <f>IF(_xlfn.IFNA(INDEX(configuracoes!$A$2:$A$10,MATCH(base_tc_geral[[#This Row],[TIPO]],configuracoes!$A$2:$A$10,0)),"NÃO")="NÃO","NÃO","SIM")</f>
        <v>SIM</v>
      </c>
    </row>
    <row r="134" spans="1:31" x14ac:dyDescent="0.25">
      <c r="A134" s="2" t="s">
        <v>2475</v>
      </c>
      <c r="B134" s="2">
        <v>105000986</v>
      </c>
      <c r="C134" s="2" t="s">
        <v>15</v>
      </c>
      <c r="D134" s="2" t="s">
        <v>4524</v>
      </c>
      <c r="E134" s="2" t="s">
        <v>28</v>
      </c>
      <c r="F134" s="2" t="s">
        <v>586</v>
      </c>
      <c r="G134" s="2" t="s">
        <v>245</v>
      </c>
      <c r="H134" s="2" t="s">
        <v>79</v>
      </c>
      <c r="I134" s="2" t="s">
        <v>33</v>
      </c>
      <c r="J134" s="2" t="s">
        <v>34</v>
      </c>
      <c r="K134" s="2" t="s">
        <v>20</v>
      </c>
      <c r="L134" s="2" t="s">
        <v>21</v>
      </c>
      <c r="M134" s="2" t="s">
        <v>22</v>
      </c>
      <c r="N134" s="2" t="s">
        <v>15</v>
      </c>
      <c r="O134" s="2" t="s">
        <v>83</v>
      </c>
      <c r="P134" s="2" t="s">
        <v>2477</v>
      </c>
      <c r="Q134" s="2" t="s">
        <v>4926</v>
      </c>
      <c r="R134" s="2" t="s">
        <v>81</v>
      </c>
      <c r="S134" s="2" t="s">
        <v>167</v>
      </c>
      <c r="T134" s="2" t="s">
        <v>167</v>
      </c>
      <c r="U134" s="2" t="s">
        <v>12</v>
      </c>
      <c r="V134" s="2" t="s">
        <v>4767</v>
      </c>
      <c r="W134" s="2" t="s">
        <v>4982</v>
      </c>
      <c r="X134" s="2" t="s">
        <v>4925</v>
      </c>
      <c r="Y134" s="2" t="s">
        <v>2476</v>
      </c>
      <c r="Z134" s="2" t="s">
        <v>5044</v>
      </c>
      <c r="AA1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" s="6" t="str">
        <f>IF(_xlfn.IFNA(INDEX(configuracoes!$A$2:$A$10,MATCH(base_tc_geral[[#This Row],[TIPO]],configuracoes!$A$2:$A$10,0)),"NÃO")="NÃO","NÃO","SIM")</f>
        <v>SIM</v>
      </c>
    </row>
    <row r="135" spans="1:31" x14ac:dyDescent="0.25">
      <c r="A135" s="2" t="s">
        <v>1764</v>
      </c>
      <c r="B135" s="2">
        <v>109504012</v>
      </c>
      <c r="C135" s="2" t="s">
        <v>15</v>
      </c>
      <c r="D135" s="2" t="s">
        <v>4493</v>
      </c>
      <c r="E135" s="2" t="s">
        <v>28</v>
      </c>
      <c r="F135" s="2" t="s">
        <v>570</v>
      </c>
      <c r="G135" s="2" t="s">
        <v>172</v>
      </c>
      <c r="H135" s="2" t="s">
        <v>34</v>
      </c>
      <c r="I135" s="2" t="s">
        <v>33</v>
      </c>
      <c r="J135" s="2" t="s">
        <v>34</v>
      </c>
      <c r="K135" s="2" t="s">
        <v>13</v>
      </c>
      <c r="L135" s="2" t="s">
        <v>17</v>
      </c>
      <c r="M135" s="2" t="s">
        <v>22</v>
      </c>
      <c r="N135" s="2" t="s">
        <v>15</v>
      </c>
      <c r="O135" s="2" t="s">
        <v>156</v>
      </c>
      <c r="P135" s="2" t="s">
        <v>1766</v>
      </c>
      <c r="Q135" s="2" t="s">
        <v>4926</v>
      </c>
      <c r="R135" s="2" t="s">
        <v>166</v>
      </c>
      <c r="S135" s="2" t="s">
        <v>167</v>
      </c>
      <c r="T135" s="2" t="s">
        <v>167</v>
      </c>
      <c r="U135" s="2" t="s">
        <v>12</v>
      </c>
      <c r="V135" s="2" t="s">
        <v>4776</v>
      </c>
      <c r="W135" s="2" t="s">
        <v>4982</v>
      </c>
      <c r="X135" s="2" t="s">
        <v>4925</v>
      </c>
      <c r="Y135" s="2" t="s">
        <v>1765</v>
      </c>
      <c r="Z135" s="2" t="s">
        <v>5045</v>
      </c>
      <c r="AA1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5" s="6" t="str">
        <f>IF(_xlfn.IFNA(INDEX(configuracoes!$A$2:$A$10,MATCH(base_tc_geral[[#This Row],[TIPO]],configuracoes!$A$2:$A$10,0)),"NÃO")="NÃO","NÃO","SIM")</f>
        <v>NÃO</v>
      </c>
    </row>
    <row r="136" spans="1:31" x14ac:dyDescent="0.25">
      <c r="A136" s="2" t="s">
        <v>2777</v>
      </c>
      <c r="B136" s="2">
        <v>101010175</v>
      </c>
      <c r="C136" s="2" t="s">
        <v>15</v>
      </c>
      <c r="D136" s="2" t="s">
        <v>4543</v>
      </c>
      <c r="E136" s="2" t="s">
        <v>47</v>
      </c>
      <c r="F136" s="2" t="s">
        <v>244</v>
      </c>
      <c r="G136" s="2" t="s">
        <v>149</v>
      </c>
      <c r="H136" s="2" t="s">
        <v>60</v>
      </c>
      <c r="I136" s="2" t="s">
        <v>16</v>
      </c>
      <c r="J136" s="2" t="s">
        <v>60</v>
      </c>
      <c r="K136" s="2" t="s">
        <v>13</v>
      </c>
      <c r="L136" s="2" t="s">
        <v>61</v>
      </c>
      <c r="M136" s="2" t="s">
        <v>338</v>
      </c>
      <c r="N136" s="2" t="s">
        <v>15</v>
      </c>
      <c r="O136" s="2" t="s">
        <v>161</v>
      </c>
      <c r="P136" s="2" t="s">
        <v>2780</v>
      </c>
      <c r="Q136" s="2" t="s">
        <v>4926</v>
      </c>
      <c r="R136" s="2" t="s">
        <v>4917</v>
      </c>
      <c r="S136" s="2" t="s">
        <v>1925</v>
      </c>
      <c r="T136" s="2" t="s">
        <v>110</v>
      </c>
      <c r="U136" s="2" t="s">
        <v>39</v>
      </c>
      <c r="V136" s="2" t="s">
        <v>4907</v>
      </c>
      <c r="W136" s="2" t="s">
        <v>4993</v>
      </c>
      <c r="X136" s="2" t="s">
        <v>338</v>
      </c>
      <c r="Y136" s="2" t="s">
        <v>2779</v>
      </c>
      <c r="Z136" s="2" t="s">
        <v>5046</v>
      </c>
      <c r="AA1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GILSON </v>
      </c>
      <c r="AB1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ADOLFO </v>
      </c>
      <c r="AC1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1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6" s="6" t="str">
        <f>IF(_xlfn.IFNA(INDEX(configuracoes!$A$2:$A$10,MATCH(base_tc_geral[[#This Row],[TIPO]],configuracoes!$A$2:$A$10,0)),"NÃO")="NÃO","NÃO","SIM")</f>
        <v>NÃO</v>
      </c>
    </row>
    <row r="137" spans="1:31" x14ac:dyDescent="0.25">
      <c r="A137" s="2" t="s">
        <v>3730</v>
      </c>
      <c r="B137" s="2">
        <v>102100917</v>
      </c>
      <c r="C137" s="2" t="s">
        <v>15</v>
      </c>
      <c r="D137" s="2" t="s">
        <v>4489</v>
      </c>
      <c r="E137" s="2" t="s">
        <v>106</v>
      </c>
      <c r="F137" s="2" t="s">
        <v>116</v>
      </c>
      <c r="G137" s="2" t="s">
        <v>58</v>
      </c>
      <c r="H137" s="2" t="s">
        <v>115</v>
      </c>
      <c r="I137" s="2" t="s">
        <v>33</v>
      </c>
      <c r="J137" s="2" t="s">
        <v>109</v>
      </c>
      <c r="K137" s="2" t="s">
        <v>13</v>
      </c>
      <c r="L137" s="2" t="s">
        <v>61</v>
      </c>
      <c r="M137" s="2" t="s">
        <v>44</v>
      </c>
      <c r="N137" s="2" t="s">
        <v>15</v>
      </c>
      <c r="O137" s="2" t="s">
        <v>119</v>
      </c>
      <c r="P137" s="2" t="s">
        <v>3732</v>
      </c>
      <c r="Q137" s="2" t="s">
        <v>4926</v>
      </c>
      <c r="R137" s="2" t="s">
        <v>117</v>
      </c>
      <c r="S137" s="2" t="s">
        <v>736</v>
      </c>
      <c r="T137" s="2" t="s">
        <v>167</v>
      </c>
      <c r="U137" s="2" t="s">
        <v>12</v>
      </c>
      <c r="V137" s="2" t="s">
        <v>4902</v>
      </c>
      <c r="W137" s="2" t="s">
        <v>4999</v>
      </c>
      <c r="X137" s="2" t="s">
        <v>44</v>
      </c>
      <c r="Y137" s="2" t="s">
        <v>3731</v>
      </c>
      <c r="Z137" s="2" t="s">
        <v>5047</v>
      </c>
      <c r="AA1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1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" s="6" t="str">
        <f>IF(_xlfn.IFNA(INDEX(configuracoes!$A$2:$A$10,MATCH(base_tc_geral[[#This Row],[TIPO]],configuracoes!$A$2:$A$10,0)),"NÃO")="NÃO","NÃO","SIM")</f>
        <v>NÃO</v>
      </c>
    </row>
    <row r="138" spans="1:31" x14ac:dyDescent="0.25">
      <c r="A138" s="2" t="s">
        <v>4113</v>
      </c>
      <c r="B138" s="2">
        <v>108401409</v>
      </c>
      <c r="C138" s="2" t="s">
        <v>15</v>
      </c>
      <c r="D138" s="2" t="s">
        <v>4559</v>
      </c>
      <c r="E138" s="2" t="s">
        <v>47</v>
      </c>
      <c r="F138" s="2" t="s">
        <v>350</v>
      </c>
      <c r="G138" s="2" t="s">
        <v>41</v>
      </c>
      <c r="H138" s="2" t="s">
        <v>227</v>
      </c>
      <c r="I138" s="2" t="s">
        <v>16</v>
      </c>
      <c r="J138" s="2" t="s">
        <v>227</v>
      </c>
      <c r="K138" s="2" t="s">
        <v>13</v>
      </c>
      <c r="L138" s="2" t="s">
        <v>42</v>
      </c>
      <c r="M138" s="2" t="s">
        <v>75</v>
      </c>
      <c r="N138" s="2" t="s">
        <v>15</v>
      </c>
      <c r="O138" s="2" t="s">
        <v>271</v>
      </c>
      <c r="P138" s="2" t="s">
        <v>4115</v>
      </c>
      <c r="Q138" s="2" t="s">
        <v>4926</v>
      </c>
      <c r="R138" s="2" t="s">
        <v>2738</v>
      </c>
      <c r="S138" s="2" t="s">
        <v>359</v>
      </c>
      <c r="T138" s="2" t="s">
        <v>4697</v>
      </c>
      <c r="U138" s="2" t="s">
        <v>12</v>
      </c>
      <c r="V138" s="2" t="s">
        <v>4844</v>
      </c>
      <c r="W138" s="2" t="s">
        <v>42</v>
      </c>
      <c r="X138" s="2" t="s">
        <v>75</v>
      </c>
      <c r="Y138" s="2" t="s">
        <v>4114</v>
      </c>
      <c r="Z138" s="2" t="s">
        <v>5048</v>
      </c>
      <c r="AA1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" s="6" t="str">
        <f>IF(_xlfn.IFNA(INDEX(configuracoes!$A$2:$A$10,MATCH(base_tc_geral[[#This Row],[TIPO]],configuracoes!$A$2:$A$10,0)),"NÃO")="NÃO","NÃO","SIM")</f>
        <v>SIM</v>
      </c>
    </row>
    <row r="139" spans="1:31" x14ac:dyDescent="0.25">
      <c r="A139" s="2" t="s">
        <v>2833</v>
      </c>
      <c r="B139" s="2">
        <v>101005241</v>
      </c>
      <c r="C139" s="2" t="s">
        <v>15</v>
      </c>
      <c r="D139" s="2" t="s">
        <v>4487</v>
      </c>
      <c r="E139" s="2" t="s">
        <v>47</v>
      </c>
      <c r="F139" s="2" t="s">
        <v>312</v>
      </c>
      <c r="G139" s="2" t="s">
        <v>883</v>
      </c>
      <c r="H139" s="2" t="s">
        <v>311</v>
      </c>
      <c r="I139" s="2" t="s">
        <v>16</v>
      </c>
      <c r="J139" s="2" t="s">
        <v>141</v>
      </c>
      <c r="K139" s="2" t="s">
        <v>20</v>
      </c>
      <c r="L139" s="2" t="s">
        <v>21</v>
      </c>
      <c r="M139" s="2" t="s">
        <v>22</v>
      </c>
      <c r="N139" s="2" t="s">
        <v>15</v>
      </c>
      <c r="O139" s="2" t="s">
        <v>314</v>
      </c>
      <c r="P139" s="2" t="s">
        <v>2835</v>
      </c>
      <c r="Q139" s="2" t="s">
        <v>4926</v>
      </c>
      <c r="R139" s="2" t="s">
        <v>143</v>
      </c>
      <c r="S139" s="2" t="s">
        <v>4698</v>
      </c>
      <c r="T139" s="2" t="s">
        <v>4697</v>
      </c>
      <c r="U139" s="2" t="s">
        <v>12</v>
      </c>
      <c r="V139" s="2" t="s">
        <v>4845</v>
      </c>
      <c r="W139" s="2" t="s">
        <v>4982</v>
      </c>
      <c r="X139" s="2" t="s">
        <v>4925</v>
      </c>
      <c r="Y139" s="2" t="s">
        <v>2834</v>
      </c>
      <c r="Z139" s="2" t="s">
        <v>5049</v>
      </c>
      <c r="AA1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9" s="6" t="str">
        <f>IF(_xlfn.IFNA(INDEX(configuracoes!$A$2:$A$10,MATCH(base_tc_geral[[#This Row],[TIPO]],configuracoes!$A$2:$A$10,0)),"NÃO")="NÃO","NÃO","SIM")</f>
        <v>SIM</v>
      </c>
    </row>
    <row r="140" spans="1:31" x14ac:dyDescent="0.25">
      <c r="A140" s="2" t="s">
        <v>449</v>
      </c>
      <c r="B140" s="2">
        <v>108401409</v>
      </c>
      <c r="C140" s="2" t="s">
        <v>15</v>
      </c>
      <c r="D140" s="2" t="s">
        <v>4691</v>
      </c>
      <c r="E140" s="2" t="s">
        <v>47</v>
      </c>
      <c r="F140" s="2" t="s">
        <v>49</v>
      </c>
      <c r="G140" s="2" t="s">
        <v>41</v>
      </c>
      <c r="H140" s="2" t="s">
        <v>48</v>
      </c>
      <c r="I140" s="2" t="s">
        <v>16</v>
      </c>
      <c r="J140" s="2" t="s">
        <v>48</v>
      </c>
      <c r="K140" s="2" t="s">
        <v>13</v>
      </c>
      <c r="L140" s="2" t="s">
        <v>42</v>
      </c>
      <c r="M140" s="2" t="s">
        <v>75</v>
      </c>
      <c r="N140" s="2" t="s">
        <v>15</v>
      </c>
      <c r="O140" s="2" t="s">
        <v>53</v>
      </c>
      <c r="P140" s="2" t="s">
        <v>451</v>
      </c>
      <c r="Q140" s="2" t="s">
        <v>4926</v>
      </c>
      <c r="R140" s="2" t="s">
        <v>2738</v>
      </c>
      <c r="S140" s="2" t="s">
        <v>359</v>
      </c>
      <c r="T140" s="2" t="s">
        <v>4697</v>
      </c>
      <c r="U140" s="2" t="s">
        <v>12</v>
      </c>
      <c r="V140" s="2" t="s">
        <v>4860</v>
      </c>
      <c r="W140" s="2" t="s">
        <v>42</v>
      </c>
      <c r="X140" s="2" t="s">
        <v>75</v>
      </c>
      <c r="Y140" s="2" t="s">
        <v>450</v>
      </c>
      <c r="Z140" s="2" t="s">
        <v>5050</v>
      </c>
      <c r="AA1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0" s="6" t="str">
        <f>IF(_xlfn.IFNA(INDEX(configuracoes!$A$2:$A$10,MATCH(base_tc_geral[[#This Row],[TIPO]],configuracoes!$A$2:$A$10,0)),"NÃO")="NÃO","NÃO","SIM")</f>
        <v>SIM</v>
      </c>
    </row>
    <row r="141" spans="1:31" x14ac:dyDescent="0.25">
      <c r="A141" s="2" t="s">
        <v>3307</v>
      </c>
      <c r="B141" s="2">
        <v>101006811</v>
      </c>
      <c r="C141" s="2" t="s">
        <v>15</v>
      </c>
      <c r="D141" s="2" t="s">
        <v>4640</v>
      </c>
      <c r="E141" s="2" t="s">
        <v>47</v>
      </c>
      <c r="F141" s="2" t="s">
        <v>49</v>
      </c>
      <c r="G141" s="2" t="s">
        <v>637</v>
      </c>
      <c r="H141" s="2" t="s">
        <v>48</v>
      </c>
      <c r="I141" s="2" t="s">
        <v>16</v>
      </c>
      <c r="J141" s="2" t="s">
        <v>48</v>
      </c>
      <c r="K141" s="2" t="s">
        <v>20</v>
      </c>
      <c r="L141" s="2" t="s">
        <v>19</v>
      </c>
      <c r="M141" s="2" t="s">
        <v>22</v>
      </c>
      <c r="N141" s="2" t="s">
        <v>15</v>
      </c>
      <c r="O141" s="2" t="s">
        <v>53</v>
      </c>
      <c r="P141" s="2" t="s">
        <v>3309</v>
      </c>
      <c r="Q141" s="2" t="s">
        <v>4926</v>
      </c>
      <c r="R141" s="2" t="s">
        <v>50</v>
      </c>
      <c r="S141" s="2" t="s">
        <v>51</v>
      </c>
      <c r="T141" s="2" t="s">
        <v>4697</v>
      </c>
      <c r="U141" s="2" t="s">
        <v>12</v>
      </c>
      <c r="V141" s="2" t="s">
        <v>4860</v>
      </c>
      <c r="W141" s="2" t="s">
        <v>4982</v>
      </c>
      <c r="X141" s="2" t="s">
        <v>4925</v>
      </c>
      <c r="Y141" s="2" t="s">
        <v>3308</v>
      </c>
      <c r="Z141" s="2" t="s">
        <v>5051</v>
      </c>
      <c r="AA1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1" s="6" t="str">
        <f>IF(_xlfn.IFNA(INDEX(configuracoes!$A$2:$A$10,MATCH(base_tc_geral[[#This Row],[TIPO]],configuracoes!$A$2:$A$10,0)),"NÃO")="NÃO","NÃO","SIM")</f>
        <v>SIM</v>
      </c>
    </row>
    <row r="142" spans="1:31" x14ac:dyDescent="0.25">
      <c r="A142" s="2" t="s">
        <v>2084</v>
      </c>
      <c r="B142" s="2">
        <v>102101642</v>
      </c>
      <c r="C142" s="2" t="s">
        <v>15</v>
      </c>
      <c r="D142" s="2" t="s">
        <v>4603</v>
      </c>
      <c r="E142" s="2" t="s">
        <v>106</v>
      </c>
      <c r="F142" s="2" t="s">
        <v>329</v>
      </c>
      <c r="G142" s="2" t="s">
        <v>245</v>
      </c>
      <c r="H142" s="2" t="s">
        <v>107</v>
      </c>
      <c r="I142" s="2" t="s">
        <v>33</v>
      </c>
      <c r="J142" s="2" t="s">
        <v>109</v>
      </c>
      <c r="K142" s="2" t="s">
        <v>20</v>
      </c>
      <c r="L142" s="2" t="s">
        <v>21</v>
      </c>
      <c r="M142" s="2" t="s">
        <v>22</v>
      </c>
      <c r="N142" s="2" t="s">
        <v>15</v>
      </c>
      <c r="O142" s="2" t="s">
        <v>112</v>
      </c>
      <c r="P142" s="2" t="s">
        <v>2086</v>
      </c>
      <c r="Q142" s="2" t="s">
        <v>4926</v>
      </c>
      <c r="R142" s="2" t="s">
        <v>187</v>
      </c>
      <c r="S142" s="2" t="s">
        <v>736</v>
      </c>
      <c r="T142" s="2" t="s">
        <v>167</v>
      </c>
      <c r="U142" s="2" t="s">
        <v>12</v>
      </c>
      <c r="V142" s="2" t="s">
        <v>4772</v>
      </c>
      <c r="W142" s="2" t="s">
        <v>4982</v>
      </c>
      <c r="X142" s="2" t="s">
        <v>4925</v>
      </c>
      <c r="Y142" s="2" t="s">
        <v>2085</v>
      </c>
      <c r="Z142" s="2" t="s">
        <v>5052</v>
      </c>
      <c r="AA1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1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2" s="6" t="str">
        <f>IF(_xlfn.IFNA(INDEX(configuracoes!$A$2:$A$10,MATCH(base_tc_geral[[#This Row],[TIPO]],configuracoes!$A$2:$A$10,0)),"NÃO")="NÃO","NÃO","SIM")</f>
        <v>SIM</v>
      </c>
    </row>
    <row r="143" spans="1:31" x14ac:dyDescent="0.25">
      <c r="A143" s="2" t="s">
        <v>682</v>
      </c>
      <c r="B143" s="2">
        <v>101010210</v>
      </c>
      <c r="C143" s="2" t="s">
        <v>15</v>
      </c>
      <c r="D143" s="2" t="s">
        <v>4490</v>
      </c>
      <c r="E143" s="2" t="s">
        <v>47</v>
      </c>
      <c r="F143" s="2" t="s">
        <v>98</v>
      </c>
      <c r="G143" s="2" t="s">
        <v>613</v>
      </c>
      <c r="H143" s="2" t="s">
        <v>56</v>
      </c>
      <c r="I143" s="2" t="s">
        <v>16</v>
      </c>
      <c r="J143" s="2" t="s">
        <v>60</v>
      </c>
      <c r="K143" s="2" t="s">
        <v>20</v>
      </c>
      <c r="L143" s="2" t="s">
        <v>25</v>
      </c>
      <c r="M143" s="2" t="s">
        <v>22</v>
      </c>
      <c r="N143" s="2" t="s">
        <v>15</v>
      </c>
      <c r="O143" s="2" t="s">
        <v>63</v>
      </c>
      <c r="P143" s="2" t="s">
        <v>684</v>
      </c>
      <c r="Q143" s="2" t="s">
        <v>4926</v>
      </c>
      <c r="R143" s="2" t="s">
        <v>294</v>
      </c>
      <c r="S143" s="2" t="s">
        <v>101</v>
      </c>
      <c r="T143" s="2" t="s">
        <v>4697</v>
      </c>
      <c r="U143" s="2" t="s">
        <v>12</v>
      </c>
      <c r="V143" s="2" t="s">
        <v>4809</v>
      </c>
      <c r="W143" s="2" t="s">
        <v>4931</v>
      </c>
      <c r="X143" s="2" t="s">
        <v>4925</v>
      </c>
      <c r="Y143" s="2" t="s">
        <v>683</v>
      </c>
      <c r="Z143" s="2" t="s">
        <v>5053</v>
      </c>
      <c r="AA1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3" s="6" t="str">
        <f>IF(_xlfn.IFNA(INDEX(configuracoes!$A$2:$A$10,MATCH(base_tc_geral[[#This Row],[TIPO]],configuracoes!$A$2:$A$10,0)),"NÃO")="NÃO","NÃO","SIM")</f>
        <v>SIM</v>
      </c>
    </row>
    <row r="144" spans="1:31" x14ac:dyDescent="0.25">
      <c r="A144" s="2" t="s">
        <v>2109</v>
      </c>
      <c r="B144" s="2">
        <v>101007665</v>
      </c>
      <c r="C144" s="2" t="s">
        <v>15</v>
      </c>
      <c r="D144" s="2" t="s">
        <v>4499</v>
      </c>
      <c r="E144" s="2" t="s">
        <v>47</v>
      </c>
      <c r="F144" s="2" t="s">
        <v>2104</v>
      </c>
      <c r="G144" s="2" t="s">
        <v>58</v>
      </c>
      <c r="H144" s="2" t="s">
        <v>56</v>
      </c>
      <c r="I144" s="2" t="s">
        <v>16</v>
      </c>
      <c r="J144" s="2" t="s">
        <v>60</v>
      </c>
      <c r="K144" s="2" t="s">
        <v>13</v>
      </c>
      <c r="L144" s="2" t="s">
        <v>61</v>
      </c>
      <c r="M144" s="2" t="s">
        <v>44</v>
      </c>
      <c r="N144" s="2" t="s">
        <v>15</v>
      </c>
      <c r="O144" s="2" t="s">
        <v>63</v>
      </c>
      <c r="P144" s="2" t="s">
        <v>2111</v>
      </c>
      <c r="Q144" s="2" t="s">
        <v>4926</v>
      </c>
      <c r="R144" s="2" t="s">
        <v>342</v>
      </c>
      <c r="S144" s="2" t="s">
        <v>51</v>
      </c>
      <c r="T144" s="2" t="s">
        <v>4697</v>
      </c>
      <c r="U144" s="2" t="s">
        <v>12</v>
      </c>
      <c r="V144" s="2" t="s">
        <v>4866</v>
      </c>
      <c r="W144" s="2" t="s">
        <v>5013</v>
      </c>
      <c r="X144" s="2" t="s">
        <v>44</v>
      </c>
      <c r="Y144" s="2" t="s">
        <v>2110</v>
      </c>
      <c r="Z144" s="2" t="s">
        <v>5054</v>
      </c>
      <c r="AA1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4" s="6" t="str">
        <f>IF(_xlfn.IFNA(INDEX(configuracoes!$A$2:$A$10,MATCH(base_tc_geral[[#This Row],[TIPO]],configuracoes!$A$2:$A$10,0)),"NÃO")="NÃO","NÃO","SIM")</f>
        <v>NÃO</v>
      </c>
    </row>
    <row r="145" spans="1:31" x14ac:dyDescent="0.25">
      <c r="A145" s="2" t="s">
        <v>262</v>
      </c>
      <c r="B145" s="2">
        <v>101010210</v>
      </c>
      <c r="C145" s="2" t="s">
        <v>15</v>
      </c>
      <c r="D145" s="2" t="s">
        <v>4489</v>
      </c>
      <c r="E145" s="2" t="s">
        <v>47</v>
      </c>
      <c r="F145" s="2" t="s">
        <v>264</v>
      </c>
      <c r="G145" s="2" t="s">
        <v>648</v>
      </c>
      <c r="H145" s="2" t="s">
        <v>227</v>
      </c>
      <c r="I145" s="2" t="s">
        <v>16</v>
      </c>
      <c r="J145" s="2" t="s">
        <v>227</v>
      </c>
      <c r="K145" s="2" t="s">
        <v>13</v>
      </c>
      <c r="L145" s="2" t="s">
        <v>25</v>
      </c>
      <c r="M145" s="2" t="s">
        <v>22</v>
      </c>
      <c r="N145" s="2" t="s">
        <v>15</v>
      </c>
      <c r="O145" s="2" t="s">
        <v>266</v>
      </c>
      <c r="P145" s="2" t="s">
        <v>265</v>
      </c>
      <c r="Q145" s="2" t="s">
        <v>4926</v>
      </c>
      <c r="R145" s="2" t="s">
        <v>294</v>
      </c>
      <c r="S145" s="2" t="s">
        <v>101</v>
      </c>
      <c r="T145" s="2" t="s">
        <v>4697</v>
      </c>
      <c r="U145" s="2" t="s">
        <v>12</v>
      </c>
      <c r="V145" s="2" t="s">
        <v>4806</v>
      </c>
      <c r="W145" s="2" t="s">
        <v>4931</v>
      </c>
      <c r="X145" s="2" t="s">
        <v>4925</v>
      </c>
      <c r="Y145" s="2" t="s">
        <v>263</v>
      </c>
      <c r="Z145" s="2" t="s">
        <v>5055</v>
      </c>
      <c r="AA1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5" s="6" t="str">
        <f>IF(_xlfn.IFNA(INDEX(configuracoes!$A$2:$A$10,MATCH(base_tc_geral[[#This Row],[TIPO]],configuracoes!$A$2:$A$10,0)),"NÃO")="NÃO","NÃO","SIM")</f>
        <v>SIM</v>
      </c>
    </row>
    <row r="146" spans="1:31" x14ac:dyDescent="0.25">
      <c r="A146" s="2" t="s">
        <v>996</v>
      </c>
      <c r="B146" s="2">
        <v>102101393</v>
      </c>
      <c r="C146" s="2" t="s">
        <v>15</v>
      </c>
      <c r="D146" s="2" t="s">
        <v>4481</v>
      </c>
      <c r="E146" s="2" t="s">
        <v>106</v>
      </c>
      <c r="F146" s="2" t="s">
        <v>428</v>
      </c>
      <c r="G146" s="2" t="s">
        <v>172</v>
      </c>
      <c r="H146" s="2" t="s">
        <v>427</v>
      </c>
      <c r="I146" s="2" t="s">
        <v>33</v>
      </c>
      <c r="J146" s="2" t="s">
        <v>109</v>
      </c>
      <c r="K146" s="2" t="s">
        <v>13</v>
      </c>
      <c r="L146" s="2" t="s">
        <v>17</v>
      </c>
      <c r="M146" s="2" t="s">
        <v>23</v>
      </c>
      <c r="N146" s="2" t="s">
        <v>15</v>
      </c>
      <c r="O146" s="2" t="s">
        <v>430</v>
      </c>
      <c r="P146" s="2" t="s">
        <v>998</v>
      </c>
      <c r="Q146" s="2" t="s">
        <v>4926</v>
      </c>
      <c r="R146" s="2" t="s">
        <v>735</v>
      </c>
      <c r="S146" s="2" t="s">
        <v>736</v>
      </c>
      <c r="T146" s="2" t="s">
        <v>167</v>
      </c>
      <c r="U146" s="2" t="s">
        <v>12</v>
      </c>
      <c r="V146" s="2" t="s">
        <v>4803</v>
      </c>
      <c r="W146" s="2" t="s">
        <v>17</v>
      </c>
      <c r="X146" s="2" t="s">
        <v>4998</v>
      </c>
      <c r="Y146" s="2" t="s">
        <v>997</v>
      </c>
      <c r="Z146" s="2" t="s">
        <v>5056</v>
      </c>
      <c r="AA1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6" s="6" t="str">
        <f>IF(_xlfn.IFNA(INDEX(configuracoes!$A$2:$A$10,MATCH(base_tc_geral[[#This Row],[TIPO]],configuracoes!$A$2:$A$10,0)),"NÃO")="NÃO","NÃO","SIM")</f>
        <v>NÃO</v>
      </c>
    </row>
    <row r="147" spans="1:31" x14ac:dyDescent="0.25">
      <c r="A147" s="2" t="s">
        <v>3265</v>
      </c>
      <c r="B147" s="2">
        <v>428271</v>
      </c>
      <c r="C147" s="2" t="s">
        <v>15</v>
      </c>
      <c r="D147" s="2" t="s">
        <v>4584</v>
      </c>
      <c r="E147" s="2" t="s">
        <v>47</v>
      </c>
      <c r="F147" s="2" t="s">
        <v>269</v>
      </c>
      <c r="G147" s="2" t="s">
        <v>58</v>
      </c>
      <c r="H147" s="2" t="s">
        <v>227</v>
      </c>
      <c r="I147" s="2" t="s">
        <v>16</v>
      </c>
      <c r="J147" s="2" t="s">
        <v>227</v>
      </c>
      <c r="K147" s="2" t="s">
        <v>92</v>
      </c>
      <c r="L147" s="2" t="s">
        <v>61</v>
      </c>
      <c r="M147" s="2" t="s">
        <v>44</v>
      </c>
      <c r="N147" s="2" t="s">
        <v>15</v>
      </c>
      <c r="O147" s="2" t="s">
        <v>271</v>
      </c>
      <c r="P147" s="2" t="s">
        <v>3267</v>
      </c>
      <c r="Q147" s="2" t="s">
        <v>4926</v>
      </c>
      <c r="R147" s="2" t="s">
        <v>4828</v>
      </c>
      <c r="S147" s="2" t="s">
        <v>4698</v>
      </c>
      <c r="T147" s="2" t="s">
        <v>4697</v>
      </c>
      <c r="U147" s="2" t="s">
        <v>12</v>
      </c>
      <c r="V147" s="2" t="s">
        <v>4829</v>
      </c>
      <c r="W147" s="2" t="s">
        <v>5013</v>
      </c>
      <c r="X147" s="2" t="s">
        <v>44</v>
      </c>
      <c r="Y147" s="2" t="s">
        <v>3266</v>
      </c>
      <c r="Z147" s="2" t="s">
        <v>5057</v>
      </c>
      <c r="AA1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7" s="6" t="str">
        <f>IF(_xlfn.IFNA(INDEX(configuracoes!$A$2:$A$10,MATCH(base_tc_geral[[#This Row],[TIPO]],configuracoes!$A$2:$A$10,0)),"NÃO")="NÃO","NÃO","SIM")</f>
        <v>NÃO</v>
      </c>
    </row>
    <row r="148" spans="1:31" x14ac:dyDescent="0.25">
      <c r="A148" s="2" t="s">
        <v>2472</v>
      </c>
      <c r="B148" s="2">
        <v>105000986</v>
      </c>
      <c r="C148" s="2" t="s">
        <v>15</v>
      </c>
      <c r="D148" s="2" t="s">
        <v>4541</v>
      </c>
      <c r="E148" s="2" t="s">
        <v>28</v>
      </c>
      <c r="F148" s="2" t="s">
        <v>586</v>
      </c>
      <c r="G148" s="2" t="s">
        <v>89</v>
      </c>
      <c r="H148" s="2" t="s">
        <v>79</v>
      </c>
      <c r="I148" s="2" t="s">
        <v>33</v>
      </c>
      <c r="J148" s="2" t="s">
        <v>34</v>
      </c>
      <c r="K148" s="2" t="s">
        <v>13</v>
      </c>
      <c r="L148" s="2" t="s">
        <v>37</v>
      </c>
      <c r="M148" s="2" t="s">
        <v>74</v>
      </c>
      <c r="N148" s="2" t="s">
        <v>15</v>
      </c>
      <c r="O148" s="2" t="s">
        <v>83</v>
      </c>
      <c r="P148" s="2" t="s">
        <v>2474</v>
      </c>
      <c r="Q148" s="2" t="s">
        <v>4926</v>
      </c>
      <c r="R148" s="2" t="s">
        <v>81</v>
      </c>
      <c r="S148" s="2" t="s">
        <v>167</v>
      </c>
      <c r="T148" s="2" t="s">
        <v>167</v>
      </c>
      <c r="U148" s="2" t="s">
        <v>12</v>
      </c>
      <c r="V148" s="2" t="s">
        <v>4767</v>
      </c>
      <c r="W148" s="2" t="s">
        <v>4999</v>
      </c>
      <c r="X148" s="2" t="s">
        <v>74</v>
      </c>
      <c r="Y148" s="2" t="s">
        <v>2473</v>
      </c>
      <c r="Z148" s="2" t="s">
        <v>5058</v>
      </c>
      <c r="AA1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8" s="6" t="str">
        <f>IF(_xlfn.IFNA(INDEX(configuracoes!$A$2:$A$10,MATCH(base_tc_geral[[#This Row],[TIPO]],configuracoes!$A$2:$A$10,0)),"NÃO")="NÃO","NÃO","SIM")</f>
        <v>NÃO</v>
      </c>
    </row>
    <row r="149" spans="1:31" x14ac:dyDescent="0.25">
      <c r="A149" s="2" t="s">
        <v>3352</v>
      </c>
      <c r="B149" s="2">
        <v>101001488</v>
      </c>
      <c r="C149" s="2" t="s">
        <v>15</v>
      </c>
      <c r="D149" s="2" t="s">
        <v>4493</v>
      </c>
      <c r="E149" s="2" t="s">
        <v>47</v>
      </c>
      <c r="F149" s="2" t="s">
        <v>251</v>
      </c>
      <c r="G149" s="2" t="s">
        <v>648</v>
      </c>
      <c r="H149" s="2" t="s">
        <v>224</v>
      </c>
      <c r="I149" s="2" t="s">
        <v>16</v>
      </c>
      <c r="J149" s="2" t="s">
        <v>227</v>
      </c>
      <c r="K149" s="2" t="s">
        <v>13</v>
      </c>
      <c r="L149" s="2" t="s">
        <v>25</v>
      </c>
      <c r="M149" s="2" t="s">
        <v>22</v>
      </c>
      <c r="N149" s="2" t="s">
        <v>15</v>
      </c>
      <c r="O149" s="2" t="s">
        <v>229</v>
      </c>
      <c r="P149" s="2" t="s">
        <v>3354</v>
      </c>
      <c r="Q149" s="2" t="s">
        <v>4926</v>
      </c>
      <c r="R149" s="2" t="s">
        <v>252</v>
      </c>
      <c r="S149" s="2" t="s">
        <v>101</v>
      </c>
      <c r="T149" s="2" t="s">
        <v>4697</v>
      </c>
      <c r="U149" s="2" t="s">
        <v>12</v>
      </c>
      <c r="V149" s="2" t="s">
        <v>4838</v>
      </c>
      <c r="W149" s="2" t="s">
        <v>4931</v>
      </c>
      <c r="X149" s="2" t="s">
        <v>4925</v>
      </c>
      <c r="Y149" s="2" t="s">
        <v>3353</v>
      </c>
      <c r="Z149" s="2" t="s">
        <v>5059</v>
      </c>
      <c r="AA1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49" s="6" t="str">
        <f>IF(_xlfn.IFNA(INDEX(configuracoes!$A$2:$A$10,MATCH(base_tc_geral[[#This Row],[TIPO]],configuracoes!$A$2:$A$10,0)),"NÃO")="NÃO","NÃO","SIM")</f>
        <v>SIM</v>
      </c>
    </row>
    <row r="150" spans="1:31" x14ac:dyDescent="0.25">
      <c r="A150" s="2" t="s">
        <v>4169</v>
      </c>
      <c r="B150" s="2">
        <v>101008134</v>
      </c>
      <c r="C150" s="2" t="s">
        <v>15</v>
      </c>
      <c r="D150" s="2" t="s">
        <v>4679</v>
      </c>
      <c r="E150" s="2" t="s">
        <v>47</v>
      </c>
      <c r="F150" s="2" t="s">
        <v>368</v>
      </c>
      <c r="G150" s="2" t="s">
        <v>446</v>
      </c>
      <c r="H150" s="2" t="s">
        <v>227</v>
      </c>
      <c r="I150" s="2" t="s">
        <v>16</v>
      </c>
      <c r="J150" s="2" t="s">
        <v>227</v>
      </c>
      <c r="K150" s="2" t="s">
        <v>20</v>
      </c>
      <c r="L150" s="2" t="s">
        <v>72</v>
      </c>
      <c r="M150" s="2" t="s">
        <v>128</v>
      </c>
      <c r="N150" s="2" t="s">
        <v>15</v>
      </c>
      <c r="O150" s="2" t="s">
        <v>271</v>
      </c>
      <c r="P150" s="2" t="s">
        <v>4171</v>
      </c>
      <c r="Q150" s="2" t="s">
        <v>4926</v>
      </c>
      <c r="R150" s="2" t="s">
        <v>351</v>
      </c>
      <c r="S150" s="2" t="s">
        <v>101</v>
      </c>
      <c r="T150" s="2" t="s">
        <v>4697</v>
      </c>
      <c r="U150" s="2" t="s">
        <v>12</v>
      </c>
      <c r="V150" s="2" t="s">
        <v>4885</v>
      </c>
      <c r="W150" s="2" t="s">
        <v>4987</v>
      </c>
      <c r="X150" s="2" t="s">
        <v>4989</v>
      </c>
      <c r="Y150" s="2" t="s">
        <v>4170</v>
      </c>
      <c r="Z150" s="2" t="s">
        <v>5060</v>
      </c>
      <c r="AA1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50" s="6" t="str">
        <f>IF(_xlfn.IFNA(INDEX(configuracoes!$A$2:$A$10,MATCH(base_tc_geral[[#This Row],[TIPO]],configuracoes!$A$2:$A$10,0)),"NÃO")="NÃO","NÃO","SIM")</f>
        <v>NÃO</v>
      </c>
    </row>
    <row r="151" spans="1:31" x14ac:dyDescent="0.25">
      <c r="A151" s="2" t="s">
        <v>3908</v>
      </c>
      <c r="B151" s="2">
        <v>101007963</v>
      </c>
      <c r="C151" s="2" t="s">
        <v>15</v>
      </c>
      <c r="D151" s="2" t="s">
        <v>4499</v>
      </c>
      <c r="E151" s="2" t="s">
        <v>47</v>
      </c>
      <c r="F151" s="2" t="s">
        <v>601</v>
      </c>
      <c r="G151" s="2" t="s">
        <v>58</v>
      </c>
      <c r="H151" s="2" t="s">
        <v>60</v>
      </c>
      <c r="I151" s="2" t="s">
        <v>16</v>
      </c>
      <c r="J151" s="2" t="s">
        <v>60</v>
      </c>
      <c r="K151" s="2" t="s">
        <v>92</v>
      </c>
      <c r="L151" s="2" t="s">
        <v>61</v>
      </c>
      <c r="M151" s="2" t="s">
        <v>44</v>
      </c>
      <c r="N151" s="2" t="s">
        <v>15</v>
      </c>
      <c r="O151" s="2" t="s">
        <v>161</v>
      </c>
      <c r="P151" s="2" t="s">
        <v>3910</v>
      </c>
      <c r="Q151" s="2" t="s">
        <v>4926</v>
      </c>
      <c r="R151" s="2" t="s">
        <v>246</v>
      </c>
      <c r="S151" s="2" t="s">
        <v>51</v>
      </c>
      <c r="T151" s="2" t="s">
        <v>4697</v>
      </c>
      <c r="U151" s="2" t="s">
        <v>12</v>
      </c>
      <c r="V151" s="2" t="s">
        <v>4778</v>
      </c>
      <c r="W151" s="2" t="s">
        <v>5013</v>
      </c>
      <c r="X151" s="2" t="s">
        <v>44</v>
      </c>
      <c r="Y151" s="2" t="s">
        <v>3909</v>
      </c>
      <c r="Z151" s="2" t="s">
        <v>5061</v>
      </c>
      <c r="AA1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51" s="6" t="str">
        <f>IF(_xlfn.IFNA(INDEX(configuracoes!$A$2:$A$10,MATCH(base_tc_geral[[#This Row],[TIPO]],configuracoes!$A$2:$A$10,0)),"NÃO")="NÃO","NÃO","SIM")</f>
        <v>NÃO</v>
      </c>
    </row>
    <row r="152" spans="1:31" x14ac:dyDescent="0.25">
      <c r="A152" s="2" t="s">
        <v>3637</v>
      </c>
      <c r="B152" s="2">
        <v>101003771</v>
      </c>
      <c r="C152" s="2" t="s">
        <v>15</v>
      </c>
      <c r="D152" s="2" t="s">
        <v>4507</v>
      </c>
      <c r="E152" s="2" t="s">
        <v>47</v>
      </c>
      <c r="F152" s="2" t="s">
        <v>225</v>
      </c>
      <c r="G152" s="2" t="s">
        <v>172</v>
      </c>
      <c r="H152" s="2" t="s">
        <v>224</v>
      </c>
      <c r="I152" s="2" t="s">
        <v>16</v>
      </c>
      <c r="J152" s="2" t="s">
        <v>227</v>
      </c>
      <c r="K152" s="2" t="s">
        <v>13</v>
      </c>
      <c r="L152" s="2" t="s">
        <v>17</v>
      </c>
      <c r="M152" s="2" t="s">
        <v>23</v>
      </c>
      <c r="N152" s="2" t="s">
        <v>15</v>
      </c>
      <c r="O152" s="2" t="s">
        <v>229</v>
      </c>
      <c r="P152" s="2" t="s">
        <v>3639</v>
      </c>
      <c r="Q152" s="2" t="s">
        <v>4926</v>
      </c>
      <c r="R152" s="2" t="s">
        <v>465</v>
      </c>
      <c r="S152" s="2" t="s">
        <v>51</v>
      </c>
      <c r="T152" s="2" t="s">
        <v>4697</v>
      </c>
      <c r="U152" s="2" t="s">
        <v>12</v>
      </c>
      <c r="V152" s="2" t="s">
        <v>4810</v>
      </c>
      <c r="W152" s="2" t="s">
        <v>17</v>
      </c>
      <c r="X152" s="2" t="s">
        <v>4998</v>
      </c>
      <c r="Y152" s="2" t="s">
        <v>3638</v>
      </c>
      <c r="Z152" s="2" t="s">
        <v>5062</v>
      </c>
      <c r="AA1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52" s="6" t="str">
        <f>IF(_xlfn.IFNA(INDEX(configuracoes!$A$2:$A$10,MATCH(base_tc_geral[[#This Row],[TIPO]],configuracoes!$A$2:$A$10,0)),"NÃO")="NÃO","NÃO","SIM")</f>
        <v>NÃO</v>
      </c>
    </row>
    <row r="153" spans="1:31" x14ac:dyDescent="0.25">
      <c r="A153" s="2" t="s">
        <v>3772</v>
      </c>
      <c r="B153" s="2">
        <v>102101634</v>
      </c>
      <c r="C153" s="2" t="s">
        <v>24</v>
      </c>
      <c r="D153" s="2" t="s">
        <v>4482</v>
      </c>
      <c r="E153" s="2" t="s">
        <v>106</v>
      </c>
      <c r="F153" s="2" t="s">
        <v>186</v>
      </c>
      <c r="G153" s="2" t="s">
        <v>58</v>
      </c>
      <c r="H153" s="2" t="s">
        <v>107</v>
      </c>
      <c r="I153" s="2" t="s">
        <v>33</v>
      </c>
      <c r="J153" s="2" t="s">
        <v>109</v>
      </c>
      <c r="K153" s="2" t="s">
        <v>13</v>
      </c>
      <c r="L153" s="2" t="s">
        <v>61</v>
      </c>
      <c r="M153" s="2" t="s">
        <v>38</v>
      </c>
      <c r="N153" s="2" t="s">
        <v>24</v>
      </c>
      <c r="O153" s="2" t="s">
        <v>112</v>
      </c>
      <c r="P153" s="2" t="s">
        <v>3774</v>
      </c>
      <c r="Q153" s="2" t="s">
        <v>4926</v>
      </c>
      <c r="R153" s="2" t="s">
        <v>406</v>
      </c>
      <c r="S153" s="2" t="s">
        <v>736</v>
      </c>
      <c r="T153" s="2" t="s">
        <v>167</v>
      </c>
      <c r="U153" s="2" t="s">
        <v>39</v>
      </c>
      <c r="V153" s="2" t="s">
        <v>4853</v>
      </c>
      <c r="W153" s="2" t="s">
        <v>4999</v>
      </c>
      <c r="X153" s="2" t="s">
        <v>38</v>
      </c>
      <c r="Y153" s="2" t="s">
        <v>3773</v>
      </c>
      <c r="Z153" s="2" t="s">
        <v>5063</v>
      </c>
      <c r="AA1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1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53" s="6" t="str">
        <f>IF(_xlfn.IFNA(INDEX(configuracoes!$A$2:$A$10,MATCH(base_tc_geral[[#This Row],[TIPO]],configuracoes!$A$2:$A$10,0)),"NÃO")="NÃO","NÃO","SIM")</f>
        <v>NÃO</v>
      </c>
    </row>
    <row r="154" spans="1:31" x14ac:dyDescent="0.25">
      <c r="A154" s="2" t="s">
        <v>236</v>
      </c>
      <c r="B154" s="2">
        <v>109500315</v>
      </c>
      <c r="C154" s="2" t="s">
        <v>15</v>
      </c>
      <c r="D154" s="2" t="s">
        <v>4781</v>
      </c>
      <c r="E154" s="2" t="s">
        <v>86</v>
      </c>
      <c r="F154" s="2" t="s">
        <v>590</v>
      </c>
      <c r="G154" s="2" t="s">
        <v>172</v>
      </c>
      <c r="H154" s="2" t="s">
        <v>122</v>
      </c>
      <c r="I154" s="2" t="s">
        <v>33</v>
      </c>
      <c r="J154" s="2" t="s">
        <v>124</v>
      </c>
      <c r="K154" s="2" t="s">
        <v>13</v>
      </c>
      <c r="L154" s="2" t="s">
        <v>17</v>
      </c>
      <c r="M154" s="2" t="s">
        <v>23</v>
      </c>
      <c r="N154" s="2" t="s">
        <v>15</v>
      </c>
      <c r="O154" s="2" t="s">
        <v>129</v>
      </c>
      <c r="P154" s="2" t="s">
        <v>238</v>
      </c>
      <c r="Q154" s="2" t="s">
        <v>4926</v>
      </c>
      <c r="R154" s="2" t="s">
        <v>173</v>
      </c>
      <c r="S154" s="2" t="s">
        <v>93</v>
      </c>
      <c r="T154" s="2" t="s">
        <v>4696</v>
      </c>
      <c r="U154" s="2" t="s">
        <v>12</v>
      </c>
      <c r="V154" s="2" t="s">
        <v>4887</v>
      </c>
      <c r="W154" s="2" t="s">
        <v>17</v>
      </c>
      <c r="X154" s="2" t="s">
        <v>4998</v>
      </c>
      <c r="Y154" s="2" t="s">
        <v>237</v>
      </c>
      <c r="Z154" s="2" t="s">
        <v>5064</v>
      </c>
      <c r="AA1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54" s="6" t="str">
        <f>IF(_xlfn.IFNA(INDEX(configuracoes!$A$2:$A$10,MATCH(base_tc_geral[[#This Row],[TIPO]],configuracoes!$A$2:$A$10,0)),"NÃO")="NÃO","NÃO","SIM")</f>
        <v>NÃO</v>
      </c>
    </row>
    <row r="155" spans="1:31" x14ac:dyDescent="0.25">
      <c r="A155" s="2" t="s">
        <v>2876</v>
      </c>
      <c r="B155" s="2">
        <v>101005241</v>
      </c>
      <c r="C155" s="2" t="s">
        <v>24</v>
      </c>
      <c r="D155" s="2" t="s">
        <v>4482</v>
      </c>
      <c r="E155" s="2" t="s">
        <v>47</v>
      </c>
      <c r="F155" s="2" t="s">
        <v>312</v>
      </c>
      <c r="G155" s="2" t="s">
        <v>58</v>
      </c>
      <c r="H155" s="2" t="s">
        <v>311</v>
      </c>
      <c r="I155" s="2" t="s">
        <v>16</v>
      </c>
      <c r="J155" s="2" t="s">
        <v>141</v>
      </c>
      <c r="K155" s="2" t="s">
        <v>20</v>
      </c>
      <c r="L155" s="2" t="s">
        <v>61</v>
      </c>
      <c r="M155" s="2" t="s">
        <v>22</v>
      </c>
      <c r="N155" s="2" t="s">
        <v>24</v>
      </c>
      <c r="O155" s="2" t="s">
        <v>314</v>
      </c>
      <c r="P155" s="2" t="s">
        <v>2878</v>
      </c>
      <c r="Q155" s="2" t="s">
        <v>4926</v>
      </c>
      <c r="R155" s="2" t="s">
        <v>143</v>
      </c>
      <c r="S155" s="2" t="s">
        <v>4698</v>
      </c>
      <c r="T155" s="2" t="s">
        <v>4697</v>
      </c>
      <c r="U155" s="2" t="s">
        <v>39</v>
      </c>
      <c r="V155" s="2" t="s">
        <v>4844</v>
      </c>
      <c r="W155" s="2" t="s">
        <v>4982</v>
      </c>
      <c r="X155" s="2" t="s">
        <v>4925</v>
      </c>
      <c r="Y155" s="2" t="s">
        <v>2877</v>
      </c>
      <c r="Z155" s="2" t="s">
        <v>5065</v>
      </c>
      <c r="AA1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55" s="6" t="str">
        <f>IF(_xlfn.IFNA(INDEX(configuracoes!$A$2:$A$10,MATCH(base_tc_geral[[#This Row],[TIPO]],configuracoes!$A$2:$A$10,0)),"NÃO")="NÃO","NÃO","SIM")</f>
        <v>NÃO</v>
      </c>
    </row>
    <row r="156" spans="1:31" x14ac:dyDescent="0.25">
      <c r="A156" s="2" t="s">
        <v>4004</v>
      </c>
      <c r="B156" s="2">
        <v>109000340</v>
      </c>
      <c r="C156" s="2" t="s">
        <v>24</v>
      </c>
      <c r="D156" s="2" t="s">
        <v>4482</v>
      </c>
      <c r="E156" s="2" t="s">
        <v>86</v>
      </c>
      <c r="F156" s="2" t="s">
        <v>1320</v>
      </c>
      <c r="G156" s="2" t="s">
        <v>630</v>
      </c>
      <c r="H156" s="2" t="s">
        <v>1321</v>
      </c>
      <c r="I156" s="2" t="s">
        <v>33</v>
      </c>
      <c r="J156" s="2" t="s">
        <v>91</v>
      </c>
      <c r="K156" s="2" t="s">
        <v>20</v>
      </c>
      <c r="L156" s="2" t="s">
        <v>21</v>
      </c>
      <c r="M156" s="2" t="s">
        <v>22</v>
      </c>
      <c r="N156" s="2" t="s">
        <v>24</v>
      </c>
      <c r="O156" s="2" t="s">
        <v>1322</v>
      </c>
      <c r="P156" s="2" t="s">
        <v>4006</v>
      </c>
      <c r="Q156" s="2" t="s">
        <v>4926</v>
      </c>
      <c r="R156" s="2" t="s">
        <v>90</v>
      </c>
      <c r="S156" s="2" t="s">
        <v>93</v>
      </c>
      <c r="T156" s="2" t="s">
        <v>4696</v>
      </c>
      <c r="U156" s="2" t="s">
        <v>39</v>
      </c>
      <c r="V156" s="2" t="s">
        <v>4898</v>
      </c>
      <c r="W156" s="2" t="s">
        <v>4982</v>
      </c>
      <c r="X156" s="2" t="s">
        <v>4925</v>
      </c>
      <c r="Y156" s="2" t="s">
        <v>4005</v>
      </c>
      <c r="Z156" s="2" t="s">
        <v>5066</v>
      </c>
      <c r="AA1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56" s="6" t="str">
        <f>IF(_xlfn.IFNA(INDEX(configuracoes!$A$2:$A$10,MATCH(base_tc_geral[[#This Row],[TIPO]],configuracoes!$A$2:$A$10,0)),"NÃO")="NÃO","NÃO","SIM")</f>
        <v>SIM</v>
      </c>
    </row>
    <row r="157" spans="1:31" x14ac:dyDescent="0.25">
      <c r="A157" s="2" t="s">
        <v>927</v>
      </c>
      <c r="B157" s="2">
        <v>109000017</v>
      </c>
      <c r="C157" s="2" t="s">
        <v>24</v>
      </c>
      <c r="D157" s="2" t="s">
        <v>4768</v>
      </c>
      <c r="E157" s="2" t="s">
        <v>86</v>
      </c>
      <c r="F157" s="2" t="s">
        <v>211</v>
      </c>
      <c r="G157" s="2" t="s">
        <v>245</v>
      </c>
      <c r="H157" s="2" t="s">
        <v>210</v>
      </c>
      <c r="I157" s="2" t="s">
        <v>33</v>
      </c>
      <c r="J157" s="2" t="s">
        <v>124</v>
      </c>
      <c r="K157" s="2" t="s">
        <v>20</v>
      </c>
      <c r="L157" s="2" t="s">
        <v>21</v>
      </c>
      <c r="M157" s="2" t="s">
        <v>22</v>
      </c>
      <c r="N157" s="2" t="s">
        <v>24</v>
      </c>
      <c r="O157" s="2" t="s">
        <v>214</v>
      </c>
      <c r="P157" s="2" t="s">
        <v>929</v>
      </c>
      <c r="Q157" s="2" t="s">
        <v>4926</v>
      </c>
      <c r="R157" s="2" t="s">
        <v>212</v>
      </c>
      <c r="S157" s="2" t="s">
        <v>93</v>
      </c>
      <c r="T157" s="2" t="s">
        <v>4696</v>
      </c>
      <c r="U157" s="2" t="s">
        <v>39</v>
      </c>
      <c r="V157" s="2" t="s">
        <v>4846</v>
      </c>
      <c r="W157" s="2" t="s">
        <v>4982</v>
      </c>
      <c r="X157" s="2" t="s">
        <v>4925</v>
      </c>
      <c r="Y157" s="2" t="s">
        <v>928</v>
      </c>
      <c r="Z157" s="2" t="s">
        <v>5067</v>
      </c>
      <c r="AA1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57" s="6" t="str">
        <f>IF(_xlfn.IFNA(INDEX(configuracoes!$A$2:$A$10,MATCH(base_tc_geral[[#This Row],[TIPO]],configuracoes!$A$2:$A$10,0)),"NÃO")="NÃO","NÃO","SIM")</f>
        <v>SIM</v>
      </c>
    </row>
    <row r="158" spans="1:31" x14ac:dyDescent="0.25">
      <c r="A158" s="2" t="s">
        <v>2154</v>
      </c>
      <c r="B158" s="2">
        <v>101007963</v>
      </c>
      <c r="C158" s="2" t="s">
        <v>15</v>
      </c>
      <c r="D158" s="2" t="s">
        <v>4481</v>
      </c>
      <c r="E158" s="2" t="s">
        <v>47</v>
      </c>
      <c r="F158" s="2" t="s">
        <v>601</v>
      </c>
      <c r="G158" s="2" t="s">
        <v>630</v>
      </c>
      <c r="H158" s="2" t="s">
        <v>60</v>
      </c>
      <c r="I158" s="2" t="s">
        <v>16</v>
      </c>
      <c r="J158" s="2" t="s">
        <v>60</v>
      </c>
      <c r="K158" s="2" t="s">
        <v>20</v>
      </c>
      <c r="L158" s="2" t="s">
        <v>21</v>
      </c>
      <c r="M158" s="2" t="s">
        <v>22</v>
      </c>
      <c r="N158" s="2" t="s">
        <v>15</v>
      </c>
      <c r="O158" s="2" t="s">
        <v>161</v>
      </c>
      <c r="P158" s="2" t="s">
        <v>2156</v>
      </c>
      <c r="Q158" s="2" t="s">
        <v>4926</v>
      </c>
      <c r="R158" s="2" t="s">
        <v>246</v>
      </c>
      <c r="S158" s="2" t="s">
        <v>51</v>
      </c>
      <c r="T158" s="2" t="s">
        <v>4697</v>
      </c>
      <c r="U158" s="2" t="s">
        <v>12</v>
      </c>
      <c r="V158" s="2" t="s">
        <v>4779</v>
      </c>
      <c r="W158" s="2" t="s">
        <v>4982</v>
      </c>
      <c r="X158" s="2" t="s">
        <v>4925</v>
      </c>
      <c r="Y158" s="2" t="s">
        <v>2155</v>
      </c>
      <c r="Z158" s="2" t="s">
        <v>5068</v>
      </c>
      <c r="AA1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58" s="6" t="str">
        <f>IF(_xlfn.IFNA(INDEX(configuracoes!$A$2:$A$10,MATCH(base_tc_geral[[#This Row],[TIPO]],configuracoes!$A$2:$A$10,0)),"NÃO")="NÃO","NÃO","SIM")</f>
        <v>SIM</v>
      </c>
    </row>
    <row r="159" spans="1:31" x14ac:dyDescent="0.25">
      <c r="A159" s="2" t="s">
        <v>868</v>
      </c>
      <c r="B159" s="2">
        <v>102002917</v>
      </c>
      <c r="C159" s="2" t="s">
        <v>15</v>
      </c>
      <c r="D159" s="2" t="s">
        <v>4526</v>
      </c>
      <c r="E159" s="2" t="s">
        <v>106</v>
      </c>
      <c r="F159" s="2" t="s">
        <v>863</v>
      </c>
      <c r="G159" s="2" t="s">
        <v>870</v>
      </c>
      <c r="H159" s="2" t="s">
        <v>427</v>
      </c>
      <c r="I159" s="2" t="s">
        <v>33</v>
      </c>
      <c r="J159" s="2" t="s">
        <v>109</v>
      </c>
      <c r="K159" s="2" t="s">
        <v>13</v>
      </c>
      <c r="L159" s="2" t="s">
        <v>76</v>
      </c>
      <c r="M159" s="2" t="s">
        <v>22</v>
      </c>
      <c r="N159" s="2" t="s">
        <v>15</v>
      </c>
      <c r="O159" s="2" t="s">
        <v>430</v>
      </c>
      <c r="P159" s="2" t="s">
        <v>871</v>
      </c>
      <c r="Q159" s="2" t="s">
        <v>4926</v>
      </c>
      <c r="R159" s="2" t="s">
        <v>5069</v>
      </c>
      <c r="S159" s="2" t="s">
        <v>736</v>
      </c>
      <c r="T159" s="2" t="s">
        <v>167</v>
      </c>
      <c r="U159" s="2" t="s">
        <v>12</v>
      </c>
      <c r="V159" s="2" t="s">
        <v>4773</v>
      </c>
      <c r="W159" s="2" t="s">
        <v>4982</v>
      </c>
      <c r="X159" s="2" t="s">
        <v>4925</v>
      </c>
      <c r="Y159" s="2" t="s">
        <v>869</v>
      </c>
      <c r="Z159" s="2" t="s">
        <v>5070</v>
      </c>
      <c r="AA1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1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59" s="6" t="str">
        <f>IF(_xlfn.IFNA(INDEX(configuracoes!$A$2:$A$10,MATCH(base_tc_geral[[#This Row],[TIPO]],configuracoes!$A$2:$A$10,0)),"NÃO")="NÃO","NÃO","SIM")</f>
        <v>SIM</v>
      </c>
    </row>
    <row r="160" spans="1:31" x14ac:dyDescent="0.25">
      <c r="A160" s="2" t="s">
        <v>2381</v>
      </c>
      <c r="B160" s="2">
        <v>102101393</v>
      </c>
      <c r="C160" s="2" t="s">
        <v>15</v>
      </c>
      <c r="D160" s="2" t="s">
        <v>4566</v>
      </c>
      <c r="E160" s="2" t="s">
        <v>106</v>
      </c>
      <c r="F160" s="2" t="s">
        <v>863</v>
      </c>
      <c r="G160" s="2" t="s">
        <v>172</v>
      </c>
      <c r="H160" s="2" t="s">
        <v>427</v>
      </c>
      <c r="I160" s="2" t="s">
        <v>33</v>
      </c>
      <c r="J160" s="2" t="s">
        <v>109</v>
      </c>
      <c r="K160" s="2" t="s">
        <v>13</v>
      </c>
      <c r="L160" s="2" t="s">
        <v>17</v>
      </c>
      <c r="M160" s="2" t="s">
        <v>23</v>
      </c>
      <c r="N160" s="2" t="s">
        <v>15</v>
      </c>
      <c r="O160" s="2" t="s">
        <v>430</v>
      </c>
      <c r="P160" s="2" t="s">
        <v>2383</v>
      </c>
      <c r="Q160" s="2" t="s">
        <v>4926</v>
      </c>
      <c r="R160" s="2" t="s">
        <v>735</v>
      </c>
      <c r="S160" s="2" t="s">
        <v>736</v>
      </c>
      <c r="T160" s="2" t="s">
        <v>167</v>
      </c>
      <c r="U160" s="2" t="s">
        <v>12</v>
      </c>
      <c r="V160" s="2" t="s">
        <v>4886</v>
      </c>
      <c r="W160" s="2" t="s">
        <v>17</v>
      </c>
      <c r="X160" s="2" t="s">
        <v>4998</v>
      </c>
      <c r="Y160" s="2" t="s">
        <v>2382</v>
      </c>
      <c r="Z160" s="2" t="s">
        <v>5071</v>
      </c>
      <c r="AA1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0" s="6" t="str">
        <f>IF(_xlfn.IFNA(INDEX(configuracoes!$A$2:$A$10,MATCH(base_tc_geral[[#This Row],[TIPO]],configuracoes!$A$2:$A$10,0)),"NÃO")="NÃO","NÃO","SIM")</f>
        <v>NÃO</v>
      </c>
    </row>
    <row r="161" spans="1:31" x14ac:dyDescent="0.25">
      <c r="A161" s="2" t="s">
        <v>3634</v>
      </c>
      <c r="B161" s="2">
        <v>101003771</v>
      </c>
      <c r="C161" s="2" t="s">
        <v>15</v>
      </c>
      <c r="D161" s="2" t="s">
        <v>4527</v>
      </c>
      <c r="E161" s="2" t="s">
        <v>47</v>
      </c>
      <c r="F161" s="2" t="s">
        <v>511</v>
      </c>
      <c r="G161" s="2" t="s">
        <v>172</v>
      </c>
      <c r="H161" s="2" t="s">
        <v>48</v>
      </c>
      <c r="I161" s="2" t="s">
        <v>16</v>
      </c>
      <c r="J161" s="2" t="s">
        <v>48</v>
      </c>
      <c r="K161" s="2" t="s">
        <v>13</v>
      </c>
      <c r="L161" s="2" t="s">
        <v>17</v>
      </c>
      <c r="M161" s="2" t="s">
        <v>23</v>
      </c>
      <c r="N161" s="2" t="s">
        <v>15</v>
      </c>
      <c r="O161" s="2" t="s">
        <v>53</v>
      </c>
      <c r="P161" s="2" t="s">
        <v>3636</v>
      </c>
      <c r="Q161" s="2" t="s">
        <v>4926</v>
      </c>
      <c r="R161" s="2" t="s">
        <v>465</v>
      </c>
      <c r="S161" s="2" t="s">
        <v>51</v>
      </c>
      <c r="T161" s="2" t="s">
        <v>4697</v>
      </c>
      <c r="U161" s="2" t="s">
        <v>12</v>
      </c>
      <c r="V161" s="2" t="s">
        <v>4810</v>
      </c>
      <c r="W161" s="2" t="s">
        <v>17</v>
      </c>
      <c r="X161" s="2" t="s">
        <v>4998</v>
      </c>
      <c r="Y161" s="2" t="s">
        <v>3635</v>
      </c>
      <c r="Z161" s="2" t="s">
        <v>5072</v>
      </c>
      <c r="AA1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1" s="6" t="str">
        <f>IF(_xlfn.IFNA(INDEX(configuracoes!$A$2:$A$10,MATCH(base_tc_geral[[#This Row],[TIPO]],configuracoes!$A$2:$A$10,0)),"NÃO")="NÃO","NÃO","SIM")</f>
        <v>NÃO</v>
      </c>
    </row>
    <row r="162" spans="1:31" x14ac:dyDescent="0.25">
      <c r="A162" s="2" t="s">
        <v>1216</v>
      </c>
      <c r="B162" s="2">
        <v>105000986</v>
      </c>
      <c r="C162" s="2" t="s">
        <v>15</v>
      </c>
      <c r="D162" s="2" t="s">
        <v>4516</v>
      </c>
      <c r="E162" s="2" t="s">
        <v>28</v>
      </c>
      <c r="F162" s="2" t="s">
        <v>80</v>
      </c>
      <c r="G162" s="2" t="s">
        <v>245</v>
      </c>
      <c r="H162" s="2" t="s">
        <v>79</v>
      </c>
      <c r="I162" s="2" t="s">
        <v>33</v>
      </c>
      <c r="J162" s="2" t="s">
        <v>34</v>
      </c>
      <c r="K162" s="2" t="s">
        <v>20</v>
      </c>
      <c r="L162" s="2" t="s">
        <v>21</v>
      </c>
      <c r="M162" s="2" t="s">
        <v>22</v>
      </c>
      <c r="N162" s="2" t="s">
        <v>15</v>
      </c>
      <c r="O162" s="2" t="s">
        <v>83</v>
      </c>
      <c r="P162" s="2" t="s">
        <v>1218</v>
      </c>
      <c r="Q162" s="2" t="s">
        <v>4926</v>
      </c>
      <c r="R162" s="2" t="s">
        <v>81</v>
      </c>
      <c r="S162" s="2" t="s">
        <v>167</v>
      </c>
      <c r="T162" s="2" t="s">
        <v>167</v>
      </c>
      <c r="U162" s="2" t="s">
        <v>12</v>
      </c>
      <c r="V162" s="2" t="s">
        <v>4767</v>
      </c>
      <c r="W162" s="2" t="s">
        <v>4982</v>
      </c>
      <c r="X162" s="2" t="s">
        <v>4925</v>
      </c>
      <c r="Y162" s="2" t="s">
        <v>1217</v>
      </c>
      <c r="Z162" s="2" t="s">
        <v>5073</v>
      </c>
      <c r="AA1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2" s="6" t="str">
        <f>IF(_xlfn.IFNA(INDEX(configuracoes!$A$2:$A$10,MATCH(base_tc_geral[[#This Row],[TIPO]],configuracoes!$A$2:$A$10,0)),"NÃO")="NÃO","NÃO","SIM")</f>
        <v>SIM</v>
      </c>
    </row>
    <row r="163" spans="1:31" x14ac:dyDescent="0.25">
      <c r="A163" s="2" t="s">
        <v>4053</v>
      </c>
      <c r="B163" s="2">
        <v>109000340</v>
      </c>
      <c r="C163" s="2" t="s">
        <v>15</v>
      </c>
      <c r="D163" s="2" t="s">
        <v>4501</v>
      </c>
      <c r="E163" s="2" t="s">
        <v>86</v>
      </c>
      <c r="F163" s="2" t="s">
        <v>88</v>
      </c>
      <c r="G163" s="2" t="s">
        <v>630</v>
      </c>
      <c r="H163" s="2" t="s">
        <v>87</v>
      </c>
      <c r="I163" s="2" t="s">
        <v>33</v>
      </c>
      <c r="J163" s="2" t="s">
        <v>91</v>
      </c>
      <c r="K163" s="2" t="s">
        <v>20</v>
      </c>
      <c r="L163" s="2" t="s">
        <v>21</v>
      </c>
      <c r="M163" s="2" t="s">
        <v>22</v>
      </c>
      <c r="N163" s="2" t="s">
        <v>15</v>
      </c>
      <c r="O163" s="2" t="s">
        <v>95</v>
      </c>
      <c r="P163" s="2" t="s">
        <v>4055</v>
      </c>
      <c r="Q163" s="2" t="s">
        <v>4926</v>
      </c>
      <c r="R163" s="2" t="s">
        <v>90</v>
      </c>
      <c r="S163" s="2" t="s">
        <v>93</v>
      </c>
      <c r="T163" s="2" t="s">
        <v>4696</v>
      </c>
      <c r="U163" s="2" t="s">
        <v>12</v>
      </c>
      <c r="V163" s="2" t="s">
        <v>4796</v>
      </c>
      <c r="W163" s="2" t="s">
        <v>4982</v>
      </c>
      <c r="X163" s="2" t="s">
        <v>4925</v>
      </c>
      <c r="Y163" s="2" t="s">
        <v>4054</v>
      </c>
      <c r="Z163" s="2" t="s">
        <v>5074</v>
      </c>
      <c r="AA1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3" s="6" t="str">
        <f>IF(_xlfn.IFNA(INDEX(configuracoes!$A$2:$A$10,MATCH(base_tc_geral[[#This Row],[TIPO]],configuracoes!$A$2:$A$10,0)),"NÃO")="NÃO","NÃO","SIM")</f>
        <v>SIM</v>
      </c>
    </row>
    <row r="164" spans="1:31" x14ac:dyDescent="0.25">
      <c r="A164" s="2" t="s">
        <v>1819</v>
      </c>
      <c r="B164" s="2">
        <v>109505049</v>
      </c>
      <c r="C164" s="2" t="s">
        <v>15</v>
      </c>
      <c r="D164" s="2" t="s">
        <v>4616</v>
      </c>
      <c r="E164" s="2" t="s">
        <v>86</v>
      </c>
      <c r="F164" s="2" t="s">
        <v>540</v>
      </c>
      <c r="G164" s="2" t="s">
        <v>99</v>
      </c>
      <c r="H164" s="2" t="s">
        <v>283</v>
      </c>
      <c r="I164" s="2" t="s">
        <v>33</v>
      </c>
      <c r="J164" s="2" t="s">
        <v>124</v>
      </c>
      <c r="K164" s="2" t="s">
        <v>13</v>
      </c>
      <c r="L164" s="2" t="s">
        <v>25</v>
      </c>
      <c r="M164" s="2" t="s">
        <v>22</v>
      </c>
      <c r="N164" s="2" t="s">
        <v>15</v>
      </c>
      <c r="O164" s="2" t="s">
        <v>287</v>
      </c>
      <c r="P164" s="2" t="s">
        <v>1821</v>
      </c>
      <c r="Q164" s="2" t="s">
        <v>4926</v>
      </c>
      <c r="R164" s="2" t="s">
        <v>541</v>
      </c>
      <c r="S164" s="2" t="s">
        <v>125</v>
      </c>
      <c r="T164" s="2" t="s">
        <v>4696</v>
      </c>
      <c r="U164" s="2" t="s">
        <v>12</v>
      </c>
      <c r="V164" s="2" t="s">
        <v>4765</v>
      </c>
      <c r="W164" s="2" t="s">
        <v>4931</v>
      </c>
      <c r="X164" s="2" t="s">
        <v>4925</v>
      </c>
      <c r="Y164" s="2" t="s">
        <v>1820</v>
      </c>
      <c r="Z164" s="2" t="s">
        <v>5075</v>
      </c>
      <c r="AA1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4" s="6" t="str">
        <f>IF(_xlfn.IFNA(INDEX(configuracoes!$A$2:$A$10,MATCH(base_tc_geral[[#This Row],[TIPO]],configuracoes!$A$2:$A$10,0)),"NÃO")="NÃO","NÃO","SIM")</f>
        <v>SIM</v>
      </c>
    </row>
    <row r="165" spans="1:31" x14ac:dyDescent="0.25">
      <c r="A165" s="2" t="s">
        <v>3929</v>
      </c>
      <c r="B165" s="2">
        <v>105303134</v>
      </c>
      <c r="C165" s="2" t="s">
        <v>15</v>
      </c>
      <c r="D165" s="2" t="s">
        <v>4524</v>
      </c>
      <c r="E165" s="2" t="s">
        <v>28</v>
      </c>
      <c r="F165" s="2" t="s">
        <v>290</v>
      </c>
      <c r="G165" s="2" t="s">
        <v>58</v>
      </c>
      <c r="H165" s="2" t="s">
        <v>34</v>
      </c>
      <c r="I165" s="2" t="s">
        <v>33</v>
      </c>
      <c r="J165" s="2" t="s">
        <v>34</v>
      </c>
      <c r="K165" s="2" t="s">
        <v>13</v>
      </c>
      <c r="L165" s="2" t="s">
        <v>61</v>
      </c>
      <c r="M165" s="2" t="s">
        <v>44</v>
      </c>
      <c r="N165" s="2" t="s">
        <v>15</v>
      </c>
      <c r="O165" s="2" t="s">
        <v>156</v>
      </c>
      <c r="P165" s="2" t="s">
        <v>3931</v>
      </c>
      <c r="Q165" s="2" t="s">
        <v>4926</v>
      </c>
      <c r="R165" s="2" t="s">
        <v>442</v>
      </c>
      <c r="S165" s="2" t="s">
        <v>167</v>
      </c>
      <c r="T165" s="2" t="s">
        <v>167</v>
      </c>
      <c r="U165" s="2" t="s">
        <v>12</v>
      </c>
      <c r="V165" s="2" t="s">
        <v>4763</v>
      </c>
      <c r="W165" s="2" t="s">
        <v>4982</v>
      </c>
      <c r="X165" s="2" t="s">
        <v>44</v>
      </c>
      <c r="Y165" s="2" t="s">
        <v>3930</v>
      </c>
      <c r="Z165" s="2" t="s">
        <v>5076</v>
      </c>
      <c r="AA1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1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5" s="6" t="str">
        <f>IF(_xlfn.IFNA(INDEX(configuracoes!$A$2:$A$10,MATCH(base_tc_geral[[#This Row],[TIPO]],configuracoes!$A$2:$A$10,0)),"NÃO")="NÃO","NÃO","SIM")</f>
        <v>NÃO</v>
      </c>
    </row>
    <row r="166" spans="1:31" x14ac:dyDescent="0.25">
      <c r="A166" s="2" t="s">
        <v>2511</v>
      </c>
      <c r="B166" s="2">
        <v>101010209</v>
      </c>
      <c r="C166" s="2" t="s">
        <v>24</v>
      </c>
      <c r="D166" s="2" t="s">
        <v>4482</v>
      </c>
      <c r="E166" s="2" t="s">
        <v>47</v>
      </c>
      <c r="F166" s="2" t="s">
        <v>278</v>
      </c>
      <c r="G166" s="2" t="s">
        <v>245</v>
      </c>
      <c r="H166" s="2" t="s">
        <v>60</v>
      </c>
      <c r="I166" s="2" t="s">
        <v>16</v>
      </c>
      <c r="J166" s="2" t="s">
        <v>60</v>
      </c>
      <c r="K166" s="2" t="s">
        <v>20</v>
      </c>
      <c r="L166" s="2" t="s">
        <v>21</v>
      </c>
      <c r="M166" s="2" t="s">
        <v>22</v>
      </c>
      <c r="N166" s="2" t="s">
        <v>24</v>
      </c>
      <c r="O166" s="2" t="s">
        <v>161</v>
      </c>
      <c r="P166" s="2" t="s">
        <v>2513</v>
      </c>
      <c r="Q166" s="2" t="s">
        <v>4926</v>
      </c>
      <c r="R166" s="2" t="s">
        <v>279</v>
      </c>
      <c r="S166" s="2" t="s">
        <v>51</v>
      </c>
      <c r="T166" s="2" t="s">
        <v>4697</v>
      </c>
      <c r="U166" s="2" t="s">
        <v>39</v>
      </c>
      <c r="V166" s="2" t="s">
        <v>4821</v>
      </c>
      <c r="W166" s="2" t="s">
        <v>4982</v>
      </c>
      <c r="X166" s="2" t="s">
        <v>4925</v>
      </c>
      <c r="Y166" s="2" t="s">
        <v>2512</v>
      </c>
      <c r="Z166" s="2" t="s">
        <v>5077</v>
      </c>
      <c r="AA1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1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66" s="6" t="str">
        <f>IF(_xlfn.IFNA(INDEX(configuracoes!$A$2:$A$10,MATCH(base_tc_geral[[#This Row],[TIPO]],configuracoes!$A$2:$A$10,0)),"NÃO")="NÃO","NÃO","SIM")</f>
        <v>SIM</v>
      </c>
    </row>
    <row r="167" spans="1:31" x14ac:dyDescent="0.25">
      <c r="A167" s="2" t="s">
        <v>825</v>
      </c>
      <c r="B167" s="2">
        <v>109000427</v>
      </c>
      <c r="C167" s="2" t="s">
        <v>24</v>
      </c>
      <c r="D167" s="2" t="s">
        <v>4503</v>
      </c>
      <c r="E167" s="2" t="s">
        <v>86</v>
      </c>
      <c r="F167" s="2" t="s">
        <v>817</v>
      </c>
      <c r="G167" s="2" t="s">
        <v>58</v>
      </c>
      <c r="H167" s="2" t="s">
        <v>217</v>
      </c>
      <c r="I167" s="2" t="s">
        <v>33</v>
      </c>
      <c r="J167" s="2" t="s">
        <v>91</v>
      </c>
      <c r="K167" s="2" t="s">
        <v>13</v>
      </c>
      <c r="L167" s="2" t="s">
        <v>61</v>
      </c>
      <c r="M167" s="2" t="s">
        <v>44</v>
      </c>
      <c r="N167" s="2" t="s">
        <v>24</v>
      </c>
      <c r="O167" s="2" t="s">
        <v>221</v>
      </c>
      <c r="P167" s="2" t="s">
        <v>827</v>
      </c>
      <c r="Q167" s="2" t="s">
        <v>4926</v>
      </c>
      <c r="R167" s="2" t="s">
        <v>259</v>
      </c>
      <c r="S167" s="2" t="s">
        <v>4699</v>
      </c>
      <c r="T167" s="2" t="s">
        <v>4696</v>
      </c>
      <c r="U167" s="2" t="s">
        <v>39</v>
      </c>
      <c r="V167" s="2" t="s">
        <v>4795</v>
      </c>
      <c r="W167" s="2" t="s">
        <v>4984</v>
      </c>
      <c r="X167" s="2" t="s">
        <v>44</v>
      </c>
      <c r="Y167" s="2" t="s">
        <v>826</v>
      </c>
      <c r="Z167" s="2" t="s">
        <v>5078</v>
      </c>
      <c r="AA1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1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67" s="6" t="str">
        <f>IF(_xlfn.IFNA(INDEX(configuracoes!$A$2:$A$10,MATCH(base_tc_geral[[#This Row],[TIPO]],configuracoes!$A$2:$A$10,0)),"NÃO")="NÃO","NÃO","SIM")</f>
        <v>NÃO</v>
      </c>
    </row>
    <row r="168" spans="1:31" x14ac:dyDescent="0.25">
      <c r="A168" s="2" t="s">
        <v>4452</v>
      </c>
      <c r="B168" s="2">
        <v>101008003</v>
      </c>
      <c r="C168" s="2" t="s">
        <v>15</v>
      </c>
      <c r="D168" s="2" t="s">
        <v>4648</v>
      </c>
      <c r="E168" s="2" t="s">
        <v>47</v>
      </c>
      <c r="F168" s="2" t="s">
        <v>251</v>
      </c>
      <c r="G168" s="2" t="s">
        <v>648</v>
      </c>
      <c r="H168" s="2" t="s">
        <v>224</v>
      </c>
      <c r="I168" s="2" t="s">
        <v>16</v>
      </c>
      <c r="J168" s="2" t="s">
        <v>227</v>
      </c>
      <c r="K168" s="2" t="s">
        <v>13</v>
      </c>
      <c r="L168" s="2" t="s">
        <v>25</v>
      </c>
      <c r="M168" s="2" t="s">
        <v>75</v>
      </c>
      <c r="N168" s="2" t="s">
        <v>15</v>
      </c>
      <c r="O168" s="2" t="s">
        <v>229</v>
      </c>
      <c r="P168" s="2" t="s">
        <v>4454</v>
      </c>
      <c r="Q168" s="2" t="s">
        <v>4926</v>
      </c>
      <c r="R168" s="2" t="s">
        <v>100</v>
      </c>
      <c r="S168" s="2" t="s">
        <v>101</v>
      </c>
      <c r="T168" s="2" t="s">
        <v>4697</v>
      </c>
      <c r="U168" s="2" t="s">
        <v>12</v>
      </c>
      <c r="V168" s="2" t="s">
        <v>4806</v>
      </c>
      <c r="W168" s="2" t="s">
        <v>4931</v>
      </c>
      <c r="X168" s="2" t="s">
        <v>75</v>
      </c>
      <c r="Y168" s="2" t="s">
        <v>4453</v>
      </c>
      <c r="Z168" s="2" t="s">
        <v>5079</v>
      </c>
      <c r="AA1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8" s="6" t="str">
        <f>IF(_xlfn.IFNA(INDEX(configuracoes!$A$2:$A$10,MATCH(base_tc_geral[[#This Row],[TIPO]],configuracoes!$A$2:$A$10,0)),"NÃO")="NÃO","NÃO","SIM")</f>
        <v>SIM</v>
      </c>
    </row>
    <row r="169" spans="1:31" x14ac:dyDescent="0.25">
      <c r="A169" s="2" t="s">
        <v>1076</v>
      </c>
      <c r="B169" s="2">
        <v>109504012</v>
      </c>
      <c r="C169" s="2" t="s">
        <v>15</v>
      </c>
      <c r="D169" s="2" t="s">
        <v>4515</v>
      </c>
      <c r="E169" s="2" t="s">
        <v>28</v>
      </c>
      <c r="F169" s="2" t="s">
        <v>570</v>
      </c>
      <c r="G169" s="2" t="s">
        <v>245</v>
      </c>
      <c r="H169" s="2" t="s">
        <v>34</v>
      </c>
      <c r="I169" s="2" t="s">
        <v>33</v>
      </c>
      <c r="J169" s="2" t="s">
        <v>34</v>
      </c>
      <c r="K169" s="2" t="s">
        <v>20</v>
      </c>
      <c r="L169" s="2" t="s">
        <v>21</v>
      </c>
      <c r="M169" s="2" t="s">
        <v>22</v>
      </c>
      <c r="N169" s="2" t="s">
        <v>15</v>
      </c>
      <c r="O169" s="2" t="s">
        <v>156</v>
      </c>
      <c r="P169" s="2" t="s">
        <v>1078</v>
      </c>
      <c r="Q169" s="2" t="s">
        <v>4926</v>
      </c>
      <c r="R169" s="2" t="s">
        <v>166</v>
      </c>
      <c r="S169" s="2" t="s">
        <v>167</v>
      </c>
      <c r="T169" s="2" t="s">
        <v>167</v>
      </c>
      <c r="U169" s="2" t="s">
        <v>12</v>
      </c>
      <c r="V169" s="2" t="s">
        <v>4775</v>
      </c>
      <c r="W169" s="2" t="s">
        <v>4987</v>
      </c>
      <c r="X169" s="2" t="s">
        <v>4925</v>
      </c>
      <c r="Y169" s="2" t="s">
        <v>1077</v>
      </c>
      <c r="Z169" s="2" t="s">
        <v>5080</v>
      </c>
      <c r="AA1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69" s="6" t="str">
        <f>IF(_xlfn.IFNA(INDEX(configuracoes!$A$2:$A$10,MATCH(base_tc_geral[[#This Row],[TIPO]],configuracoes!$A$2:$A$10,0)),"NÃO")="NÃO","NÃO","SIM")</f>
        <v>SIM</v>
      </c>
    </row>
    <row r="170" spans="1:31" x14ac:dyDescent="0.25">
      <c r="A170" s="2" t="s">
        <v>4254</v>
      </c>
      <c r="B170" s="2">
        <v>101004033</v>
      </c>
      <c r="C170" s="2" t="s">
        <v>15</v>
      </c>
      <c r="D170" s="2" t="s">
        <v>4631</v>
      </c>
      <c r="E170" s="2" t="s">
        <v>47</v>
      </c>
      <c r="F170" s="2" t="s">
        <v>398</v>
      </c>
      <c r="G170" s="2" t="s">
        <v>89</v>
      </c>
      <c r="H170" s="2" t="s">
        <v>60</v>
      </c>
      <c r="I170" s="2" t="s">
        <v>16</v>
      </c>
      <c r="J170" s="2" t="s">
        <v>60</v>
      </c>
      <c r="K170" s="2" t="s">
        <v>13</v>
      </c>
      <c r="L170" s="2" t="s">
        <v>37</v>
      </c>
      <c r="M170" s="2" t="s">
        <v>44</v>
      </c>
      <c r="N170" s="2" t="s">
        <v>15</v>
      </c>
      <c r="O170" s="2" t="s">
        <v>161</v>
      </c>
      <c r="P170" s="2" t="s">
        <v>4256</v>
      </c>
      <c r="Q170" s="2" t="s">
        <v>4926</v>
      </c>
      <c r="R170" s="2" t="s">
        <v>304</v>
      </c>
      <c r="S170" s="2" t="s">
        <v>51</v>
      </c>
      <c r="T170" s="2" t="s">
        <v>4697</v>
      </c>
      <c r="U170" s="2" t="s">
        <v>12</v>
      </c>
      <c r="V170" s="2" t="s">
        <v>4813</v>
      </c>
      <c r="W170" s="2" t="s">
        <v>4999</v>
      </c>
      <c r="X170" s="2" t="s">
        <v>44</v>
      </c>
      <c r="Y170" s="2" t="s">
        <v>4255</v>
      </c>
      <c r="Z170" s="2" t="s">
        <v>5081</v>
      </c>
      <c r="AA1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70" s="6" t="str">
        <f>IF(_xlfn.IFNA(INDEX(configuracoes!$A$2:$A$10,MATCH(base_tc_geral[[#This Row],[TIPO]],configuracoes!$A$2:$A$10,0)),"NÃO")="NÃO","NÃO","SIM")</f>
        <v>NÃO</v>
      </c>
    </row>
    <row r="171" spans="1:31" x14ac:dyDescent="0.25">
      <c r="A171" s="2" t="s">
        <v>615</v>
      </c>
      <c r="B171" s="2">
        <v>109505149</v>
      </c>
      <c r="C171" s="2" t="s">
        <v>15</v>
      </c>
      <c r="D171" s="2" t="s">
        <v>4544</v>
      </c>
      <c r="E171" s="2" t="s">
        <v>86</v>
      </c>
      <c r="F171" s="2" t="s">
        <v>594</v>
      </c>
      <c r="G171" s="2" t="s">
        <v>99</v>
      </c>
      <c r="H171" s="2" t="s">
        <v>122</v>
      </c>
      <c r="I171" s="2" t="s">
        <v>33</v>
      </c>
      <c r="J171" s="2" t="s">
        <v>124</v>
      </c>
      <c r="K171" s="2" t="s">
        <v>13</v>
      </c>
      <c r="L171" s="2" t="s">
        <v>25</v>
      </c>
      <c r="M171" s="2" t="s">
        <v>22</v>
      </c>
      <c r="N171" s="2" t="s">
        <v>15</v>
      </c>
      <c r="O171" s="2" t="s">
        <v>129</v>
      </c>
      <c r="P171" s="2" t="s">
        <v>617</v>
      </c>
      <c r="Q171" s="2" t="s">
        <v>4926</v>
      </c>
      <c r="R171" s="2" t="s">
        <v>125</v>
      </c>
      <c r="S171" s="2" t="s">
        <v>125</v>
      </c>
      <c r="T171" s="2" t="s">
        <v>4696</v>
      </c>
      <c r="U171" s="2" t="s">
        <v>12</v>
      </c>
      <c r="V171" s="2" t="s">
        <v>4765</v>
      </c>
      <c r="W171" s="2" t="s">
        <v>4931</v>
      </c>
      <c r="X171" s="2" t="s">
        <v>4925</v>
      </c>
      <c r="Y171" s="2" t="s">
        <v>616</v>
      </c>
      <c r="Z171" s="2" t="s">
        <v>5082</v>
      </c>
      <c r="AA1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VINICIUS </v>
      </c>
      <c r="AB1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71" s="6" t="str">
        <f>IF(_xlfn.IFNA(INDEX(configuracoes!$A$2:$A$10,MATCH(base_tc_geral[[#This Row],[TIPO]],configuracoes!$A$2:$A$10,0)),"NÃO")="NÃO","NÃO","SIM")</f>
        <v>SIM</v>
      </c>
    </row>
    <row r="172" spans="1:31" x14ac:dyDescent="0.25">
      <c r="A172" s="2" t="s">
        <v>3905</v>
      </c>
      <c r="B172" s="2">
        <v>101007963</v>
      </c>
      <c r="C172" s="2" t="s">
        <v>24</v>
      </c>
      <c r="D172" s="2" t="s">
        <v>4768</v>
      </c>
      <c r="E172" s="2" t="s">
        <v>47</v>
      </c>
      <c r="F172" s="2" t="s">
        <v>244</v>
      </c>
      <c r="G172" s="2" t="s">
        <v>4780</v>
      </c>
      <c r="H172" s="2" t="s">
        <v>60</v>
      </c>
      <c r="I172" s="2" t="s">
        <v>16</v>
      </c>
      <c r="J172" s="2" t="s">
        <v>60</v>
      </c>
      <c r="K172" s="2" t="s">
        <v>20</v>
      </c>
      <c r="L172" s="2" t="s">
        <v>21</v>
      </c>
      <c r="M172" s="2" t="s">
        <v>22</v>
      </c>
      <c r="N172" s="2" t="s">
        <v>24</v>
      </c>
      <c r="O172" s="2" t="s">
        <v>161</v>
      </c>
      <c r="P172" s="2" t="s">
        <v>3907</v>
      </c>
      <c r="Q172" s="2" t="s">
        <v>4926</v>
      </c>
      <c r="R172" s="2" t="s">
        <v>246</v>
      </c>
      <c r="S172" s="2" t="s">
        <v>51</v>
      </c>
      <c r="T172" s="2" t="s">
        <v>4697</v>
      </c>
      <c r="U172" s="2" t="s">
        <v>39</v>
      </c>
      <c r="V172" s="2" t="s">
        <v>4778</v>
      </c>
      <c r="W172" s="2" t="s">
        <v>4982</v>
      </c>
      <c r="X172" s="2" t="s">
        <v>4925</v>
      </c>
      <c r="Y172" s="2" t="s">
        <v>3906</v>
      </c>
      <c r="Z172" s="2" t="s">
        <v>5083</v>
      </c>
      <c r="AA1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72" s="6" t="str">
        <f>IF(_xlfn.IFNA(INDEX(configuracoes!$A$2:$A$10,MATCH(base_tc_geral[[#This Row],[TIPO]],configuracoes!$A$2:$A$10,0)),"NÃO")="NÃO","NÃO","SIM")</f>
        <v>SIM</v>
      </c>
    </row>
    <row r="173" spans="1:31" x14ac:dyDescent="0.25">
      <c r="A173" s="2" t="s">
        <v>4193</v>
      </c>
      <c r="B173" s="2">
        <v>101004033</v>
      </c>
      <c r="C173" s="2" t="s">
        <v>15</v>
      </c>
      <c r="D173" s="2" t="s">
        <v>4584</v>
      </c>
      <c r="E173" s="2" t="s">
        <v>47</v>
      </c>
      <c r="F173" s="2" t="s">
        <v>303</v>
      </c>
      <c r="G173" s="2" t="s">
        <v>58</v>
      </c>
      <c r="H173" s="2" t="s">
        <v>60</v>
      </c>
      <c r="I173" s="2" t="s">
        <v>16</v>
      </c>
      <c r="J173" s="2" t="s">
        <v>60</v>
      </c>
      <c r="K173" s="2" t="s">
        <v>92</v>
      </c>
      <c r="L173" s="2" t="s">
        <v>61</v>
      </c>
      <c r="M173" s="2" t="s">
        <v>44</v>
      </c>
      <c r="N173" s="2" t="s">
        <v>15</v>
      </c>
      <c r="O173" s="2" t="s">
        <v>161</v>
      </c>
      <c r="P173" s="2" t="s">
        <v>4195</v>
      </c>
      <c r="Q173" s="2" t="s">
        <v>4926</v>
      </c>
      <c r="R173" s="2" t="s">
        <v>304</v>
      </c>
      <c r="S173" s="2" t="s">
        <v>51</v>
      </c>
      <c r="T173" s="2" t="s">
        <v>4697</v>
      </c>
      <c r="U173" s="2" t="s">
        <v>12</v>
      </c>
      <c r="V173" s="2" t="s">
        <v>4813</v>
      </c>
      <c r="W173" s="2" t="s">
        <v>5013</v>
      </c>
      <c r="X173" s="2" t="s">
        <v>44</v>
      </c>
      <c r="Y173" s="2" t="s">
        <v>4194</v>
      </c>
      <c r="Z173" s="2" t="s">
        <v>5084</v>
      </c>
      <c r="AA1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73" s="6" t="str">
        <f>IF(_xlfn.IFNA(INDEX(configuracoes!$A$2:$A$10,MATCH(base_tc_geral[[#This Row],[TIPO]],configuracoes!$A$2:$A$10,0)),"NÃO")="NÃO","NÃO","SIM")</f>
        <v>NÃO</v>
      </c>
    </row>
    <row r="174" spans="1:31" x14ac:dyDescent="0.25">
      <c r="A174" s="2" t="s">
        <v>2756</v>
      </c>
      <c r="B174" s="2">
        <v>108401409</v>
      </c>
      <c r="C174" s="2" t="s">
        <v>15</v>
      </c>
      <c r="D174" s="2" t="s">
        <v>4535</v>
      </c>
      <c r="E174" s="2" t="s">
        <v>47</v>
      </c>
      <c r="F174" s="2" t="s">
        <v>225</v>
      </c>
      <c r="G174" s="2" t="s">
        <v>41</v>
      </c>
      <c r="H174" s="2" t="s">
        <v>224</v>
      </c>
      <c r="I174" s="2" t="s">
        <v>16</v>
      </c>
      <c r="J174" s="2" t="s">
        <v>227</v>
      </c>
      <c r="K174" s="2" t="s">
        <v>13</v>
      </c>
      <c r="L174" s="2" t="s">
        <v>42</v>
      </c>
      <c r="M174" s="2" t="s">
        <v>75</v>
      </c>
      <c r="N174" s="2" t="s">
        <v>15</v>
      </c>
      <c r="O174" s="2" t="s">
        <v>229</v>
      </c>
      <c r="P174" s="2" t="s">
        <v>2758</v>
      </c>
      <c r="Q174" s="2" t="s">
        <v>4926</v>
      </c>
      <c r="R174" s="2" t="s">
        <v>2738</v>
      </c>
      <c r="S174" s="2" t="s">
        <v>359</v>
      </c>
      <c r="T174" s="2" t="s">
        <v>4697</v>
      </c>
      <c r="U174" s="2" t="s">
        <v>12</v>
      </c>
      <c r="V174" s="2" t="s">
        <v>4817</v>
      </c>
      <c r="W174" s="2" t="s">
        <v>42</v>
      </c>
      <c r="X174" s="2" t="s">
        <v>75</v>
      </c>
      <c r="Y174" s="2" t="s">
        <v>2757</v>
      </c>
      <c r="Z174" s="2" t="s">
        <v>5085</v>
      </c>
      <c r="AA1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74" s="6" t="str">
        <f>IF(_xlfn.IFNA(INDEX(configuracoes!$A$2:$A$10,MATCH(base_tc_geral[[#This Row],[TIPO]],configuracoes!$A$2:$A$10,0)),"NÃO")="NÃO","NÃO","SIM")</f>
        <v>SIM</v>
      </c>
    </row>
    <row r="175" spans="1:31" x14ac:dyDescent="0.25">
      <c r="A175" s="2" t="s">
        <v>3403</v>
      </c>
      <c r="B175" s="2">
        <v>101006811</v>
      </c>
      <c r="C175" s="2" t="s">
        <v>24</v>
      </c>
      <c r="D175" s="2" t="s">
        <v>4482</v>
      </c>
      <c r="E175" s="2" t="s">
        <v>47</v>
      </c>
      <c r="F175" s="2" t="s">
        <v>49</v>
      </c>
      <c r="G175" s="2" t="s">
        <v>883</v>
      </c>
      <c r="H175" s="2" t="s">
        <v>48</v>
      </c>
      <c r="I175" s="2" t="s">
        <v>16</v>
      </c>
      <c r="J175" s="2" t="s">
        <v>48</v>
      </c>
      <c r="K175" s="2" t="s">
        <v>20</v>
      </c>
      <c r="L175" s="2" t="s">
        <v>21</v>
      </c>
      <c r="M175" s="2" t="s">
        <v>22</v>
      </c>
      <c r="N175" s="2" t="s">
        <v>24</v>
      </c>
      <c r="O175" s="2" t="s">
        <v>53</v>
      </c>
      <c r="P175" s="2" t="s">
        <v>3405</v>
      </c>
      <c r="Q175" s="2" t="s">
        <v>4926</v>
      </c>
      <c r="R175" s="2" t="s">
        <v>50</v>
      </c>
      <c r="S175" s="2" t="s">
        <v>51</v>
      </c>
      <c r="T175" s="2" t="s">
        <v>4697</v>
      </c>
      <c r="U175" s="2" t="s">
        <v>39</v>
      </c>
      <c r="V175" s="2" t="s">
        <v>4860</v>
      </c>
      <c r="W175" s="2" t="s">
        <v>4982</v>
      </c>
      <c r="X175" s="2" t="s">
        <v>4925</v>
      </c>
      <c r="Y175" s="2" t="s">
        <v>3404</v>
      </c>
      <c r="Z175" s="2" t="s">
        <v>5086</v>
      </c>
      <c r="AA1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75" s="6" t="str">
        <f>IF(_xlfn.IFNA(INDEX(configuracoes!$A$2:$A$10,MATCH(base_tc_geral[[#This Row],[TIPO]],configuracoes!$A$2:$A$10,0)),"NÃO")="NÃO","NÃO","SIM")</f>
        <v>SIM</v>
      </c>
    </row>
    <row r="176" spans="1:31" x14ac:dyDescent="0.25">
      <c r="A176" s="2" t="s">
        <v>2661</v>
      </c>
      <c r="B176" s="2">
        <v>109000340</v>
      </c>
      <c r="C176" s="2" t="s">
        <v>24</v>
      </c>
      <c r="D176" s="2" t="s">
        <v>4503</v>
      </c>
      <c r="E176" s="2" t="s">
        <v>86</v>
      </c>
      <c r="F176" s="2" t="s">
        <v>1320</v>
      </c>
      <c r="G176" s="2" t="s">
        <v>172</v>
      </c>
      <c r="H176" s="2" t="s">
        <v>1321</v>
      </c>
      <c r="I176" s="2" t="s">
        <v>33</v>
      </c>
      <c r="J176" s="2" t="s">
        <v>91</v>
      </c>
      <c r="K176" s="2" t="s">
        <v>13</v>
      </c>
      <c r="L176" s="2" t="s">
        <v>17</v>
      </c>
      <c r="M176" s="2" t="s">
        <v>23</v>
      </c>
      <c r="N176" s="2" t="s">
        <v>24</v>
      </c>
      <c r="O176" s="2" t="s">
        <v>1322</v>
      </c>
      <c r="P176" s="2" t="s">
        <v>2663</v>
      </c>
      <c r="Q176" s="2" t="s">
        <v>4926</v>
      </c>
      <c r="R176" s="2" t="s">
        <v>90</v>
      </c>
      <c r="S176" s="2" t="s">
        <v>93</v>
      </c>
      <c r="T176" s="2" t="s">
        <v>4696</v>
      </c>
      <c r="U176" s="2" t="s">
        <v>39</v>
      </c>
      <c r="V176" s="2" t="s">
        <v>4898</v>
      </c>
      <c r="W176" s="2" t="s">
        <v>17</v>
      </c>
      <c r="X176" s="2" t="s">
        <v>4998</v>
      </c>
      <c r="Y176" s="2" t="s">
        <v>2662</v>
      </c>
      <c r="Z176" s="2" t="s">
        <v>5087</v>
      </c>
      <c r="AA1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76" s="6" t="str">
        <f>IF(_xlfn.IFNA(INDEX(configuracoes!$A$2:$A$10,MATCH(base_tc_geral[[#This Row],[TIPO]],configuracoes!$A$2:$A$10,0)),"NÃO")="NÃO","NÃO","SIM")</f>
        <v>NÃO</v>
      </c>
    </row>
    <row r="177" spans="1:31" x14ac:dyDescent="0.25">
      <c r="A177" s="2" t="s">
        <v>3087</v>
      </c>
      <c r="B177" s="2">
        <v>109505049</v>
      </c>
      <c r="C177" s="2" t="s">
        <v>15</v>
      </c>
      <c r="D177" s="2" t="s">
        <v>4493</v>
      </c>
      <c r="E177" s="2" t="s">
        <v>86</v>
      </c>
      <c r="F177" s="2" t="s">
        <v>594</v>
      </c>
      <c r="G177" s="2" t="s">
        <v>99</v>
      </c>
      <c r="H177" s="2" t="s">
        <v>122</v>
      </c>
      <c r="I177" s="2" t="s">
        <v>33</v>
      </c>
      <c r="J177" s="2" t="s">
        <v>124</v>
      </c>
      <c r="K177" s="2" t="s">
        <v>13</v>
      </c>
      <c r="L177" s="2" t="s">
        <v>25</v>
      </c>
      <c r="M177" s="2" t="s">
        <v>22</v>
      </c>
      <c r="N177" s="2" t="s">
        <v>15</v>
      </c>
      <c r="O177" s="2" t="s">
        <v>129</v>
      </c>
      <c r="P177" s="2" t="s">
        <v>3089</v>
      </c>
      <c r="Q177" s="2" t="s">
        <v>4926</v>
      </c>
      <c r="R177" s="2" t="s">
        <v>541</v>
      </c>
      <c r="S177" s="2" t="s">
        <v>125</v>
      </c>
      <c r="T177" s="2" t="s">
        <v>4696</v>
      </c>
      <c r="U177" s="2" t="s">
        <v>12</v>
      </c>
      <c r="V177" s="2" t="s">
        <v>4765</v>
      </c>
      <c r="W177" s="2" t="s">
        <v>4931</v>
      </c>
      <c r="X177" s="2" t="s">
        <v>4925</v>
      </c>
      <c r="Y177" s="2" t="s">
        <v>3088</v>
      </c>
      <c r="Z177" s="2" t="s">
        <v>5088</v>
      </c>
      <c r="AA1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77" s="6" t="str">
        <f>IF(_xlfn.IFNA(INDEX(configuracoes!$A$2:$A$10,MATCH(base_tc_geral[[#This Row],[TIPO]],configuracoes!$A$2:$A$10,0)),"NÃO")="NÃO","NÃO","SIM")</f>
        <v>SIM</v>
      </c>
    </row>
    <row r="178" spans="1:31" x14ac:dyDescent="0.25">
      <c r="A178" s="2" t="s">
        <v>1058</v>
      </c>
      <c r="B178" s="2">
        <v>109504012</v>
      </c>
      <c r="C178" s="2" t="s">
        <v>15</v>
      </c>
      <c r="D178" s="2" t="s">
        <v>4486</v>
      </c>
      <c r="E178" s="2" t="s">
        <v>28</v>
      </c>
      <c r="F178" s="2" t="s">
        <v>570</v>
      </c>
      <c r="G178" s="2" t="s">
        <v>317</v>
      </c>
      <c r="H178" s="2" t="s">
        <v>34</v>
      </c>
      <c r="I178" s="2" t="s">
        <v>33</v>
      </c>
      <c r="J178" s="2" t="s">
        <v>34</v>
      </c>
      <c r="K178" s="2" t="s">
        <v>13</v>
      </c>
      <c r="L178" s="2" t="s">
        <v>42</v>
      </c>
      <c r="M178" s="2" t="s">
        <v>75</v>
      </c>
      <c r="N178" s="2" t="s">
        <v>15</v>
      </c>
      <c r="O178" s="2" t="s">
        <v>156</v>
      </c>
      <c r="P178" s="2" t="s">
        <v>1060</v>
      </c>
      <c r="Q178" s="2" t="s">
        <v>4926</v>
      </c>
      <c r="R178" s="2" t="s">
        <v>166</v>
      </c>
      <c r="S178" s="2" t="s">
        <v>167</v>
      </c>
      <c r="T178" s="2" t="s">
        <v>167</v>
      </c>
      <c r="U178" s="2" t="s">
        <v>12</v>
      </c>
      <c r="V178" s="2" t="s">
        <v>4775</v>
      </c>
      <c r="W178" s="2" t="s">
        <v>42</v>
      </c>
      <c r="X178" s="2" t="s">
        <v>75</v>
      </c>
      <c r="Y178" s="2" t="s">
        <v>1059</v>
      </c>
      <c r="Z178" s="2" t="s">
        <v>5089</v>
      </c>
      <c r="AA1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78" s="6" t="str">
        <f>IF(_xlfn.IFNA(INDEX(configuracoes!$A$2:$A$10,MATCH(base_tc_geral[[#This Row],[TIPO]],configuracoes!$A$2:$A$10,0)),"NÃO")="NÃO","NÃO","SIM")</f>
        <v>SIM</v>
      </c>
    </row>
    <row r="179" spans="1:31" x14ac:dyDescent="0.25">
      <c r="A179" s="2" t="s">
        <v>1499</v>
      </c>
      <c r="B179" s="2">
        <v>109505858</v>
      </c>
      <c r="C179" s="2" t="s">
        <v>15</v>
      </c>
      <c r="D179" s="2" t="s">
        <v>4519</v>
      </c>
      <c r="E179" s="2" t="s">
        <v>86</v>
      </c>
      <c r="F179" s="2" t="s">
        <v>559</v>
      </c>
      <c r="G179" s="2" t="s">
        <v>630</v>
      </c>
      <c r="H179" s="2" t="s">
        <v>558</v>
      </c>
      <c r="I179" s="2" t="s">
        <v>33</v>
      </c>
      <c r="J179" s="2" t="s">
        <v>91</v>
      </c>
      <c r="K179" s="2" t="s">
        <v>20</v>
      </c>
      <c r="L179" s="2" t="s">
        <v>21</v>
      </c>
      <c r="M179" s="2" t="s">
        <v>22</v>
      </c>
      <c r="N179" s="2" t="s">
        <v>15</v>
      </c>
      <c r="O179" s="2" t="s">
        <v>561</v>
      </c>
      <c r="P179" s="2" t="s">
        <v>1501</v>
      </c>
      <c r="Q179" s="2" t="s">
        <v>4926</v>
      </c>
      <c r="R179" s="2" t="s">
        <v>1466</v>
      </c>
      <c r="S179" s="2" t="s">
        <v>93</v>
      </c>
      <c r="T179" s="2" t="s">
        <v>4696</v>
      </c>
      <c r="U179" s="2" t="s">
        <v>12</v>
      </c>
      <c r="V179" s="2" t="s">
        <v>4802</v>
      </c>
      <c r="W179" s="2" t="s">
        <v>4982</v>
      </c>
      <c r="X179" s="2" t="s">
        <v>4925</v>
      </c>
      <c r="Y179" s="2" t="s">
        <v>1500</v>
      </c>
      <c r="Z179" s="2" t="s">
        <v>5090</v>
      </c>
      <c r="AA1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79" s="6" t="str">
        <f>IF(_xlfn.IFNA(INDEX(configuracoes!$A$2:$A$10,MATCH(base_tc_geral[[#This Row],[TIPO]],configuracoes!$A$2:$A$10,0)),"NÃO")="NÃO","NÃO","SIM")</f>
        <v>SIM</v>
      </c>
    </row>
    <row r="180" spans="1:31" x14ac:dyDescent="0.25">
      <c r="A180" s="2" t="s">
        <v>3863</v>
      </c>
      <c r="B180" s="2">
        <v>102101642</v>
      </c>
      <c r="C180" s="2" t="s">
        <v>15</v>
      </c>
      <c r="D180" s="2" t="s">
        <v>4630</v>
      </c>
      <c r="E180" s="2" t="s">
        <v>106</v>
      </c>
      <c r="F180" s="2" t="s">
        <v>509</v>
      </c>
      <c r="G180" s="2" t="s">
        <v>245</v>
      </c>
      <c r="H180" s="2" t="s">
        <v>130</v>
      </c>
      <c r="I180" s="2" t="s">
        <v>33</v>
      </c>
      <c r="J180" s="2" t="s">
        <v>109</v>
      </c>
      <c r="K180" s="2" t="s">
        <v>20</v>
      </c>
      <c r="L180" s="2" t="s">
        <v>21</v>
      </c>
      <c r="M180" s="2" t="s">
        <v>22</v>
      </c>
      <c r="N180" s="2" t="s">
        <v>15</v>
      </c>
      <c r="O180" s="2" t="s">
        <v>132</v>
      </c>
      <c r="P180" s="2" t="s">
        <v>3865</v>
      </c>
      <c r="Q180" s="2" t="s">
        <v>4926</v>
      </c>
      <c r="R180" s="2" t="s">
        <v>187</v>
      </c>
      <c r="S180" s="2" t="s">
        <v>736</v>
      </c>
      <c r="T180" s="2" t="s">
        <v>167</v>
      </c>
      <c r="U180" s="2" t="s">
        <v>12</v>
      </c>
      <c r="V180" s="2" t="s">
        <v>4772</v>
      </c>
      <c r="W180" s="2" t="s">
        <v>4982</v>
      </c>
      <c r="X180" s="2" t="s">
        <v>4925</v>
      </c>
      <c r="Y180" s="2" t="s">
        <v>3864</v>
      </c>
      <c r="Z180" s="2" t="s">
        <v>5091</v>
      </c>
      <c r="AA1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1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0" s="6" t="str">
        <f>IF(_xlfn.IFNA(INDEX(configuracoes!$A$2:$A$10,MATCH(base_tc_geral[[#This Row],[TIPO]],configuracoes!$A$2:$A$10,0)),"NÃO")="NÃO","NÃO","SIM")</f>
        <v>SIM</v>
      </c>
    </row>
    <row r="181" spans="1:31" x14ac:dyDescent="0.25">
      <c r="A181" s="2" t="s">
        <v>3600</v>
      </c>
      <c r="B181" s="2">
        <v>109506172</v>
      </c>
      <c r="C181" s="2" t="s">
        <v>15</v>
      </c>
      <c r="D181" s="2" t="s">
        <v>4548</v>
      </c>
      <c r="E181" s="2" t="s">
        <v>86</v>
      </c>
      <c r="F181" s="2" t="s">
        <v>177</v>
      </c>
      <c r="G181" s="2" t="s">
        <v>711</v>
      </c>
      <c r="H181" s="2" t="s">
        <v>164</v>
      </c>
      <c r="I181" s="2" t="s">
        <v>33</v>
      </c>
      <c r="J181" s="2" t="s">
        <v>124</v>
      </c>
      <c r="K181" s="2" t="s">
        <v>13</v>
      </c>
      <c r="L181" s="2" t="s">
        <v>126</v>
      </c>
      <c r="M181" s="2" t="s">
        <v>22</v>
      </c>
      <c r="N181" s="2" t="s">
        <v>15</v>
      </c>
      <c r="O181" s="2" t="s">
        <v>169</v>
      </c>
      <c r="P181" s="2" t="s">
        <v>3602</v>
      </c>
      <c r="Q181" s="2" t="s">
        <v>4926</v>
      </c>
      <c r="R181" s="2" t="s">
        <v>3588</v>
      </c>
      <c r="S181" s="2" t="s">
        <v>93</v>
      </c>
      <c r="T181" s="2" t="s">
        <v>4696</v>
      </c>
      <c r="U181" s="2" t="s">
        <v>12</v>
      </c>
      <c r="V181" s="2" t="s">
        <v>4798</v>
      </c>
      <c r="W181" s="2" t="s">
        <v>4982</v>
      </c>
      <c r="X181" s="2" t="s">
        <v>4925</v>
      </c>
      <c r="Y181" s="2" t="s">
        <v>3601</v>
      </c>
      <c r="Z181" s="2" t="s">
        <v>5092</v>
      </c>
      <c r="AA1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1" s="6" t="str">
        <f>IF(_xlfn.IFNA(INDEX(configuracoes!$A$2:$A$10,MATCH(base_tc_geral[[#This Row],[TIPO]],configuracoes!$A$2:$A$10,0)),"NÃO")="NÃO","NÃO","SIM")</f>
        <v>SIM</v>
      </c>
    </row>
    <row r="182" spans="1:31" x14ac:dyDescent="0.25">
      <c r="A182" s="2" t="s">
        <v>3081</v>
      </c>
      <c r="B182" s="2">
        <v>109505049</v>
      </c>
      <c r="C182" s="2" t="s">
        <v>15</v>
      </c>
      <c r="D182" s="2" t="s">
        <v>4616</v>
      </c>
      <c r="E182" s="2" t="s">
        <v>86</v>
      </c>
      <c r="F182" s="2" t="s">
        <v>540</v>
      </c>
      <c r="G182" s="2" t="s">
        <v>99</v>
      </c>
      <c r="H182" s="2" t="s">
        <v>283</v>
      </c>
      <c r="I182" s="2" t="s">
        <v>33</v>
      </c>
      <c r="J182" s="2" t="s">
        <v>124</v>
      </c>
      <c r="K182" s="2" t="s">
        <v>20</v>
      </c>
      <c r="L182" s="2" t="s">
        <v>25</v>
      </c>
      <c r="M182" s="2" t="s">
        <v>22</v>
      </c>
      <c r="N182" s="2" t="s">
        <v>15</v>
      </c>
      <c r="O182" s="2" t="s">
        <v>287</v>
      </c>
      <c r="P182" s="2" t="s">
        <v>3083</v>
      </c>
      <c r="Q182" s="2" t="s">
        <v>4926</v>
      </c>
      <c r="R182" s="2" t="s">
        <v>541</v>
      </c>
      <c r="S182" s="2" t="s">
        <v>125</v>
      </c>
      <c r="T182" s="2" t="s">
        <v>4696</v>
      </c>
      <c r="U182" s="2" t="s">
        <v>12</v>
      </c>
      <c r="V182" s="2" t="s">
        <v>4765</v>
      </c>
      <c r="W182" s="2" t="s">
        <v>4931</v>
      </c>
      <c r="X182" s="2" t="s">
        <v>4925</v>
      </c>
      <c r="Y182" s="2" t="s">
        <v>3082</v>
      </c>
      <c r="Z182" s="2" t="s">
        <v>5209</v>
      </c>
      <c r="AA1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2" s="6" t="str">
        <f>IF(_xlfn.IFNA(INDEX(configuracoes!$A$2:$A$10,MATCH(base_tc_geral[[#This Row],[TIPO]],configuracoes!$A$2:$A$10,0)),"NÃO")="NÃO","NÃO","SIM")</f>
        <v>SIM</v>
      </c>
    </row>
    <row r="183" spans="1:31" x14ac:dyDescent="0.25">
      <c r="A183" s="2" t="s">
        <v>2995</v>
      </c>
      <c r="B183" s="2">
        <v>101010062</v>
      </c>
      <c r="C183" s="2" t="s">
        <v>15</v>
      </c>
      <c r="D183" s="2" t="s">
        <v>4516</v>
      </c>
      <c r="E183" s="2" t="s">
        <v>47</v>
      </c>
      <c r="F183" s="2" t="s">
        <v>398</v>
      </c>
      <c r="G183" s="2" t="s">
        <v>883</v>
      </c>
      <c r="H183" s="2" t="s">
        <v>60</v>
      </c>
      <c r="I183" s="2" t="s">
        <v>16</v>
      </c>
      <c r="J183" s="2" t="s">
        <v>60</v>
      </c>
      <c r="K183" s="2" t="s">
        <v>20</v>
      </c>
      <c r="L183" s="2" t="s">
        <v>21</v>
      </c>
      <c r="M183" s="2" t="s">
        <v>22</v>
      </c>
      <c r="N183" s="2" t="s">
        <v>15</v>
      </c>
      <c r="O183" s="2" t="s">
        <v>161</v>
      </c>
      <c r="P183" s="2" t="s">
        <v>2997</v>
      </c>
      <c r="Q183" s="2" t="s">
        <v>4926</v>
      </c>
      <c r="R183" s="2" t="s">
        <v>1699</v>
      </c>
      <c r="S183" s="2" t="s">
        <v>4698</v>
      </c>
      <c r="T183" s="2" t="s">
        <v>4697</v>
      </c>
      <c r="U183" s="2" t="s">
        <v>12</v>
      </c>
      <c r="V183" s="2" t="s">
        <v>4786</v>
      </c>
      <c r="W183" s="2" t="s">
        <v>4982</v>
      </c>
      <c r="X183" s="2" t="s">
        <v>4925</v>
      </c>
      <c r="Y183" s="2" t="s">
        <v>2996</v>
      </c>
      <c r="Z183" s="2" t="s">
        <v>5210</v>
      </c>
      <c r="AA1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3" s="6" t="str">
        <f>IF(_xlfn.IFNA(INDEX(configuracoes!$A$2:$A$10,MATCH(base_tc_geral[[#This Row],[TIPO]],configuracoes!$A$2:$A$10,0)),"NÃO")="NÃO","NÃO","SIM")</f>
        <v>SIM</v>
      </c>
    </row>
    <row r="184" spans="1:31" x14ac:dyDescent="0.25">
      <c r="A184" s="2" t="s">
        <v>2803</v>
      </c>
      <c r="B184" s="2">
        <v>109506174</v>
      </c>
      <c r="C184" s="2" t="s">
        <v>15</v>
      </c>
      <c r="D184" s="2" t="s">
        <v>4484</v>
      </c>
      <c r="E184" s="2" t="s">
        <v>86</v>
      </c>
      <c r="F184" s="2" t="s">
        <v>459</v>
      </c>
      <c r="G184" s="2" t="s">
        <v>637</v>
      </c>
      <c r="H184" s="2" t="s">
        <v>458</v>
      </c>
      <c r="I184" s="2" t="s">
        <v>33</v>
      </c>
      <c r="J184" s="2" t="s">
        <v>91</v>
      </c>
      <c r="K184" s="2" t="s">
        <v>20</v>
      </c>
      <c r="L184" s="2" t="s">
        <v>19</v>
      </c>
      <c r="M184" s="2" t="s">
        <v>22</v>
      </c>
      <c r="N184" s="2" t="s">
        <v>15</v>
      </c>
      <c r="O184" s="2" t="s">
        <v>461</v>
      </c>
      <c r="P184" s="2" t="s">
        <v>2805</v>
      </c>
      <c r="Q184" s="2" t="s">
        <v>4926</v>
      </c>
      <c r="R184" s="2" t="s">
        <v>2782</v>
      </c>
      <c r="S184" s="2" t="s">
        <v>93</v>
      </c>
      <c r="T184" s="2" t="s">
        <v>4696</v>
      </c>
      <c r="U184" s="2" t="s">
        <v>12</v>
      </c>
      <c r="V184" s="2" t="s">
        <v>4796</v>
      </c>
      <c r="W184" s="2" t="s">
        <v>4982</v>
      </c>
      <c r="X184" s="2" t="s">
        <v>4925</v>
      </c>
      <c r="Y184" s="2" t="s">
        <v>2804</v>
      </c>
      <c r="Z184" s="2" t="s">
        <v>5211</v>
      </c>
      <c r="AA1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1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4" s="6" t="str">
        <f>IF(_xlfn.IFNA(INDEX(configuracoes!$A$2:$A$10,MATCH(base_tc_geral[[#This Row],[TIPO]],configuracoes!$A$2:$A$10,0)),"NÃO")="NÃO","NÃO","SIM")</f>
        <v>SIM</v>
      </c>
    </row>
    <row r="185" spans="1:31" x14ac:dyDescent="0.25">
      <c r="A185" s="2" t="s">
        <v>2318</v>
      </c>
      <c r="B185" s="2">
        <v>109000340</v>
      </c>
      <c r="C185" s="2" t="s">
        <v>24</v>
      </c>
      <c r="D185" s="2" t="s">
        <v>4503</v>
      </c>
      <c r="E185" s="2" t="s">
        <v>86</v>
      </c>
      <c r="F185" s="2" t="s">
        <v>199</v>
      </c>
      <c r="G185" s="2" t="s">
        <v>172</v>
      </c>
      <c r="H185" s="2" t="s">
        <v>198</v>
      </c>
      <c r="I185" s="2" t="s">
        <v>33</v>
      </c>
      <c r="J185" s="2" t="s">
        <v>91</v>
      </c>
      <c r="K185" s="2" t="s">
        <v>92</v>
      </c>
      <c r="L185" s="2" t="s">
        <v>17</v>
      </c>
      <c r="M185" s="2" t="s">
        <v>22</v>
      </c>
      <c r="N185" s="2" t="s">
        <v>24</v>
      </c>
      <c r="O185" s="2" t="s">
        <v>201</v>
      </c>
      <c r="P185" s="2" t="s">
        <v>2320</v>
      </c>
      <c r="Q185" s="2" t="s">
        <v>4926</v>
      </c>
      <c r="R185" s="2" t="s">
        <v>90</v>
      </c>
      <c r="S185" s="2" t="s">
        <v>93</v>
      </c>
      <c r="T185" s="2" t="s">
        <v>4696</v>
      </c>
      <c r="U185" s="2" t="s">
        <v>39</v>
      </c>
      <c r="V185" s="2" t="s">
        <v>4796</v>
      </c>
      <c r="W185" s="2" t="s">
        <v>17</v>
      </c>
      <c r="X185" s="2" t="s">
        <v>4925</v>
      </c>
      <c r="Y185" s="2" t="s">
        <v>2319</v>
      </c>
      <c r="Z185" s="2" t="s">
        <v>5212</v>
      </c>
      <c r="AA1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85" s="6" t="str">
        <f>IF(_xlfn.IFNA(INDEX(configuracoes!$A$2:$A$10,MATCH(base_tc_geral[[#This Row],[TIPO]],configuracoes!$A$2:$A$10,0)),"NÃO")="NÃO","NÃO","SIM")</f>
        <v>NÃO</v>
      </c>
    </row>
    <row r="186" spans="1:31" x14ac:dyDescent="0.25">
      <c r="A186" s="2" t="s">
        <v>1950</v>
      </c>
      <c r="B186" s="2">
        <v>109000943</v>
      </c>
      <c r="C186" s="2" t="s">
        <v>15</v>
      </c>
      <c r="D186" s="2" t="s">
        <v>4619</v>
      </c>
      <c r="E186" s="2" t="s">
        <v>86</v>
      </c>
      <c r="F186" s="2" t="s">
        <v>205</v>
      </c>
      <c r="G186" s="2" t="s">
        <v>89</v>
      </c>
      <c r="H186" s="2" t="s">
        <v>122</v>
      </c>
      <c r="I186" s="2" t="s">
        <v>33</v>
      </c>
      <c r="J186" s="2" t="s">
        <v>124</v>
      </c>
      <c r="K186" s="2" t="s">
        <v>13</v>
      </c>
      <c r="L186" s="2" t="s">
        <v>37</v>
      </c>
      <c r="M186" s="2" t="s">
        <v>44</v>
      </c>
      <c r="N186" s="2" t="s">
        <v>15</v>
      </c>
      <c r="O186" s="2" t="s">
        <v>129</v>
      </c>
      <c r="P186" s="2" t="s">
        <v>1952</v>
      </c>
      <c r="Q186" s="2" t="s">
        <v>4926</v>
      </c>
      <c r="R186" s="2" t="s">
        <v>206</v>
      </c>
      <c r="S186" s="2" t="s">
        <v>125</v>
      </c>
      <c r="T186" s="2" t="s">
        <v>4696</v>
      </c>
      <c r="U186" s="2" t="s">
        <v>12</v>
      </c>
      <c r="V186" s="2" t="s">
        <v>4771</v>
      </c>
      <c r="W186" s="2" t="s">
        <v>4999</v>
      </c>
      <c r="X186" s="2" t="s">
        <v>44</v>
      </c>
      <c r="Y186" s="2" t="s">
        <v>1951</v>
      </c>
      <c r="Z186" s="2" t="s">
        <v>5213</v>
      </c>
      <c r="AA1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6" s="6" t="str">
        <f>IF(_xlfn.IFNA(INDEX(configuracoes!$A$2:$A$10,MATCH(base_tc_geral[[#This Row],[TIPO]],configuracoes!$A$2:$A$10,0)),"NÃO")="NÃO","NÃO","SIM")</f>
        <v>NÃO</v>
      </c>
    </row>
    <row r="187" spans="1:31" x14ac:dyDescent="0.25">
      <c r="A187" s="2" t="s">
        <v>2354</v>
      </c>
      <c r="B187" s="2">
        <v>105302862</v>
      </c>
      <c r="C187" s="2" t="s">
        <v>15</v>
      </c>
      <c r="D187" s="2" t="s">
        <v>4543</v>
      </c>
      <c r="E187" s="2" t="s">
        <v>28</v>
      </c>
      <c r="F187" s="2" t="s">
        <v>290</v>
      </c>
      <c r="G187" s="2" t="s">
        <v>58</v>
      </c>
      <c r="H187" s="2" t="s">
        <v>34</v>
      </c>
      <c r="I187" s="2" t="s">
        <v>33</v>
      </c>
      <c r="J187" s="2" t="s">
        <v>34</v>
      </c>
      <c r="K187" s="2" t="s">
        <v>13</v>
      </c>
      <c r="L187" s="2" t="s">
        <v>61</v>
      </c>
      <c r="M187" s="2" t="s">
        <v>44</v>
      </c>
      <c r="N187" s="2" t="s">
        <v>15</v>
      </c>
      <c r="O187" s="2" t="s">
        <v>156</v>
      </c>
      <c r="P187" s="2" t="s">
        <v>2356</v>
      </c>
      <c r="Q187" s="2" t="s">
        <v>4926</v>
      </c>
      <c r="R187" s="2" t="s">
        <v>963</v>
      </c>
      <c r="S187" s="2" t="s">
        <v>260</v>
      </c>
      <c r="T187" s="2" t="s">
        <v>167</v>
      </c>
      <c r="U187" s="2" t="s">
        <v>12</v>
      </c>
      <c r="V187" s="2" t="s">
        <v>4804</v>
      </c>
      <c r="W187" s="2" t="s">
        <v>4984</v>
      </c>
      <c r="X187" s="2" t="s">
        <v>44</v>
      </c>
      <c r="Y187" s="2" t="s">
        <v>2355</v>
      </c>
      <c r="Z187" s="2" t="s">
        <v>5214</v>
      </c>
      <c r="AA1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PEREIRA </v>
      </c>
      <c r="AB1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1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7" s="6" t="str">
        <f>IF(_xlfn.IFNA(INDEX(configuracoes!$A$2:$A$10,MATCH(base_tc_geral[[#This Row],[TIPO]],configuracoes!$A$2:$A$10,0)),"NÃO")="NÃO","NÃO","SIM")</f>
        <v>NÃO</v>
      </c>
    </row>
    <row r="188" spans="1:31" x14ac:dyDescent="0.25">
      <c r="A188" s="2" t="s">
        <v>1698</v>
      </c>
      <c r="B188" s="2">
        <v>101010062</v>
      </c>
      <c r="C188" s="2" t="s">
        <v>24</v>
      </c>
      <c r="D188" s="2" t="s">
        <v>4482</v>
      </c>
      <c r="E188" s="2" t="s">
        <v>47</v>
      </c>
      <c r="F188" s="2" t="s">
        <v>181</v>
      </c>
      <c r="G188" s="2" t="s">
        <v>630</v>
      </c>
      <c r="H188" s="2" t="s">
        <v>66</v>
      </c>
      <c r="I188" s="2" t="s">
        <v>16</v>
      </c>
      <c r="J188" s="2" t="s">
        <v>66</v>
      </c>
      <c r="K188" s="2" t="s">
        <v>20</v>
      </c>
      <c r="L188" s="2" t="s">
        <v>21</v>
      </c>
      <c r="M188" s="2" t="s">
        <v>22</v>
      </c>
      <c r="N188" s="2" t="s">
        <v>24</v>
      </c>
      <c r="O188" s="2" t="s">
        <v>71</v>
      </c>
      <c r="P188" s="2" t="s">
        <v>1701</v>
      </c>
      <c r="Q188" s="2" t="s">
        <v>4926</v>
      </c>
      <c r="R188" s="2" t="s">
        <v>1699</v>
      </c>
      <c r="S188" s="2" t="s">
        <v>4698</v>
      </c>
      <c r="T188" s="2" t="s">
        <v>4697</v>
      </c>
      <c r="U188" s="2" t="s">
        <v>39</v>
      </c>
      <c r="V188" s="2" t="s">
        <v>4792</v>
      </c>
      <c r="W188" s="2" t="s">
        <v>4982</v>
      </c>
      <c r="X188" s="2" t="s">
        <v>4925</v>
      </c>
      <c r="Y188" s="2" t="s">
        <v>1700</v>
      </c>
      <c r="Z188" s="2" t="s">
        <v>5215</v>
      </c>
      <c r="AA1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88" s="6" t="str">
        <f>IF(_xlfn.IFNA(INDEX(configuracoes!$A$2:$A$10,MATCH(base_tc_geral[[#This Row],[TIPO]],configuracoes!$A$2:$A$10,0)),"NÃO")="NÃO","NÃO","SIM")</f>
        <v>SIM</v>
      </c>
    </row>
    <row r="189" spans="1:31" x14ac:dyDescent="0.25">
      <c r="A189" s="2" t="s">
        <v>5133</v>
      </c>
      <c r="B189" s="2">
        <v>101008134</v>
      </c>
      <c r="C189" s="2" t="s">
        <v>15</v>
      </c>
      <c r="D189" s="2" t="s">
        <v>4669</v>
      </c>
      <c r="E189" s="2" t="s">
        <v>47</v>
      </c>
      <c r="F189" s="2" t="s">
        <v>98</v>
      </c>
      <c r="G189" s="2" t="s">
        <v>613</v>
      </c>
      <c r="H189" s="2" t="s">
        <v>56</v>
      </c>
      <c r="I189" s="2" t="s">
        <v>16</v>
      </c>
      <c r="J189" s="2" t="s">
        <v>60</v>
      </c>
      <c r="K189" s="2" t="s">
        <v>13</v>
      </c>
      <c r="L189" s="2" t="s">
        <v>25</v>
      </c>
      <c r="M189" s="2" t="s">
        <v>22</v>
      </c>
      <c r="N189" s="2" t="s">
        <v>15</v>
      </c>
      <c r="O189" s="2" t="s">
        <v>63</v>
      </c>
      <c r="P189" s="2" t="s">
        <v>5135</v>
      </c>
      <c r="Q189" s="2" t="s">
        <v>4926</v>
      </c>
      <c r="R189" s="2" t="s">
        <v>351</v>
      </c>
      <c r="S189" s="2" t="s">
        <v>101</v>
      </c>
      <c r="T189" s="2" t="s">
        <v>4697</v>
      </c>
      <c r="U189" s="2" t="s">
        <v>12</v>
      </c>
      <c r="V189" s="2" t="s">
        <v>4808</v>
      </c>
      <c r="W189" s="2" t="s">
        <v>4931</v>
      </c>
      <c r="X189" s="2" t="s">
        <v>4925</v>
      </c>
      <c r="Y189" s="2" t="s">
        <v>5134</v>
      </c>
      <c r="Z189" s="2" t="s">
        <v>5136</v>
      </c>
      <c r="AA1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89" s="6" t="str">
        <f>IF(_xlfn.IFNA(INDEX(configuracoes!$A$2:$A$10,MATCH(base_tc_geral[[#This Row],[TIPO]],configuracoes!$A$2:$A$10,0)),"NÃO")="NÃO","NÃO","SIM")</f>
        <v>SIM</v>
      </c>
    </row>
    <row r="190" spans="1:31" x14ac:dyDescent="0.25">
      <c r="A190" s="2" t="s">
        <v>5137</v>
      </c>
      <c r="B190" s="2">
        <v>101010210</v>
      </c>
      <c r="C190" s="2" t="s">
        <v>15</v>
      </c>
      <c r="D190" s="2" t="s">
        <v>4669</v>
      </c>
      <c r="E190" s="2" t="s">
        <v>47</v>
      </c>
      <c r="F190" s="2" t="s">
        <v>264</v>
      </c>
      <c r="G190" s="2" t="s">
        <v>613</v>
      </c>
      <c r="H190" s="2" t="s">
        <v>227</v>
      </c>
      <c r="I190" s="2" t="s">
        <v>16</v>
      </c>
      <c r="J190" s="2" t="s">
        <v>227</v>
      </c>
      <c r="K190" s="2" t="s">
        <v>13</v>
      </c>
      <c r="L190" s="2" t="s">
        <v>25</v>
      </c>
      <c r="M190" s="2" t="s">
        <v>22</v>
      </c>
      <c r="N190" s="2" t="s">
        <v>15</v>
      </c>
      <c r="O190" s="2" t="s">
        <v>266</v>
      </c>
      <c r="P190" s="2" t="s">
        <v>5139</v>
      </c>
      <c r="Q190" s="2" t="s">
        <v>4926</v>
      </c>
      <c r="R190" s="2" t="s">
        <v>294</v>
      </c>
      <c r="S190" s="2" t="s">
        <v>101</v>
      </c>
      <c r="T190" s="2" t="s">
        <v>4697</v>
      </c>
      <c r="U190" s="2" t="s">
        <v>12</v>
      </c>
      <c r="V190" s="2" t="s">
        <v>4903</v>
      </c>
      <c r="W190" s="2" t="s">
        <v>4931</v>
      </c>
      <c r="X190" s="2" t="s">
        <v>4925</v>
      </c>
      <c r="Y190" s="2" t="s">
        <v>5138</v>
      </c>
      <c r="Z190" s="2" t="s">
        <v>5140</v>
      </c>
      <c r="AA1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0" s="6" t="str">
        <f>IF(_xlfn.IFNA(INDEX(configuracoes!$A$2:$A$10,MATCH(base_tc_geral[[#This Row],[TIPO]],configuracoes!$A$2:$A$10,0)),"NÃO")="NÃO","NÃO","SIM")</f>
        <v>SIM</v>
      </c>
    </row>
    <row r="191" spans="1:31" x14ac:dyDescent="0.25">
      <c r="A191" s="2" t="s">
        <v>5141</v>
      </c>
      <c r="B191" s="2">
        <v>101010210</v>
      </c>
      <c r="C191" s="2" t="s">
        <v>15</v>
      </c>
      <c r="D191" s="2" t="s">
        <v>4669</v>
      </c>
      <c r="E191" s="2" t="s">
        <v>47</v>
      </c>
      <c r="F191" s="2" t="s">
        <v>264</v>
      </c>
      <c r="G191" s="2" t="s">
        <v>613</v>
      </c>
      <c r="H191" s="2" t="s">
        <v>227</v>
      </c>
      <c r="I191" s="2" t="s">
        <v>16</v>
      </c>
      <c r="J191" s="2" t="s">
        <v>227</v>
      </c>
      <c r="K191" s="2" t="s">
        <v>13</v>
      </c>
      <c r="L191" s="2" t="s">
        <v>25</v>
      </c>
      <c r="M191" s="2" t="s">
        <v>22</v>
      </c>
      <c r="N191" s="2" t="s">
        <v>15</v>
      </c>
      <c r="O191" s="2" t="s">
        <v>266</v>
      </c>
      <c r="P191" s="2" t="s">
        <v>5143</v>
      </c>
      <c r="Q191" s="2" t="s">
        <v>4926</v>
      </c>
      <c r="R191" s="2" t="s">
        <v>294</v>
      </c>
      <c r="S191" s="2" t="s">
        <v>101</v>
      </c>
      <c r="T191" s="2" t="s">
        <v>4697</v>
      </c>
      <c r="U191" s="2" t="s">
        <v>12</v>
      </c>
      <c r="V191" s="2" t="s">
        <v>4903</v>
      </c>
      <c r="W191" s="2" t="s">
        <v>4931</v>
      </c>
      <c r="X191" s="2" t="s">
        <v>4925</v>
      </c>
      <c r="Y191" s="2" t="s">
        <v>5142</v>
      </c>
      <c r="Z191" s="2" t="s">
        <v>5144</v>
      </c>
      <c r="AA1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1" s="6" t="str">
        <f>IF(_xlfn.IFNA(INDEX(configuracoes!$A$2:$A$10,MATCH(base_tc_geral[[#This Row],[TIPO]],configuracoes!$A$2:$A$10,0)),"NÃO")="NÃO","NÃO","SIM")</f>
        <v>SIM</v>
      </c>
    </row>
    <row r="192" spans="1:31" x14ac:dyDescent="0.25">
      <c r="A192" s="2" t="s">
        <v>5145</v>
      </c>
      <c r="B192" s="2">
        <v>101010821</v>
      </c>
      <c r="C192" s="2" t="s">
        <v>15</v>
      </c>
      <c r="D192" s="2" t="s">
        <v>4669</v>
      </c>
      <c r="E192" s="2" t="s">
        <v>47</v>
      </c>
      <c r="F192" s="2" t="s">
        <v>251</v>
      </c>
      <c r="G192" s="2" t="s">
        <v>613</v>
      </c>
      <c r="H192" s="2" t="s">
        <v>224</v>
      </c>
      <c r="I192" s="2" t="s">
        <v>16</v>
      </c>
      <c r="J192" s="2" t="s">
        <v>227</v>
      </c>
      <c r="K192" s="2" t="s">
        <v>13</v>
      </c>
      <c r="L192" s="2" t="s">
        <v>25</v>
      </c>
      <c r="M192" s="2" t="s">
        <v>22</v>
      </c>
      <c r="N192" s="2" t="s">
        <v>15</v>
      </c>
      <c r="O192" s="2" t="s">
        <v>229</v>
      </c>
      <c r="P192" s="2" t="s">
        <v>5147</v>
      </c>
      <c r="Q192" s="2" t="s">
        <v>4926</v>
      </c>
      <c r="R192" s="2" t="s">
        <v>4894</v>
      </c>
      <c r="S192" s="2" t="s">
        <v>101</v>
      </c>
      <c r="T192" s="2" t="s">
        <v>4697</v>
      </c>
      <c r="U192" s="2" t="s">
        <v>12</v>
      </c>
      <c r="V192" s="2" t="s">
        <v>4839</v>
      </c>
      <c r="W192" s="2" t="s">
        <v>4931</v>
      </c>
      <c r="X192" s="2" t="s">
        <v>4925</v>
      </c>
      <c r="Y192" s="2" t="s">
        <v>5146</v>
      </c>
      <c r="Z192" s="2" t="s">
        <v>5148</v>
      </c>
      <c r="AA1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SILVA </v>
      </c>
      <c r="AB1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2" s="6" t="str">
        <f>IF(_xlfn.IFNA(INDEX(configuracoes!$A$2:$A$10,MATCH(base_tc_geral[[#This Row],[TIPO]],configuracoes!$A$2:$A$10,0)),"NÃO")="NÃO","NÃO","SIM")</f>
        <v>SIM</v>
      </c>
    </row>
    <row r="193" spans="1:31" x14ac:dyDescent="0.25">
      <c r="A193" s="2" t="s">
        <v>5149</v>
      </c>
      <c r="B193" s="2">
        <v>101010821</v>
      </c>
      <c r="C193" s="2" t="s">
        <v>15</v>
      </c>
      <c r="D193" s="2" t="s">
        <v>4669</v>
      </c>
      <c r="E193" s="2" t="s">
        <v>47</v>
      </c>
      <c r="F193" s="2" t="s">
        <v>264</v>
      </c>
      <c r="G193" s="2" t="s">
        <v>613</v>
      </c>
      <c r="H193" s="2" t="s">
        <v>227</v>
      </c>
      <c r="I193" s="2" t="s">
        <v>16</v>
      </c>
      <c r="J193" s="2" t="s">
        <v>227</v>
      </c>
      <c r="K193" s="2" t="s">
        <v>13</v>
      </c>
      <c r="L193" s="2" t="s">
        <v>25</v>
      </c>
      <c r="M193" s="2" t="s">
        <v>22</v>
      </c>
      <c r="N193" s="2" t="s">
        <v>15</v>
      </c>
      <c r="O193" s="2" t="s">
        <v>266</v>
      </c>
      <c r="P193" s="2" t="s">
        <v>5151</v>
      </c>
      <c r="Q193" s="2" t="s">
        <v>4926</v>
      </c>
      <c r="R193" s="2" t="s">
        <v>4894</v>
      </c>
      <c r="S193" s="2" t="s">
        <v>101</v>
      </c>
      <c r="T193" s="2" t="s">
        <v>4697</v>
      </c>
      <c r="U193" s="2" t="s">
        <v>12</v>
      </c>
      <c r="V193" s="2" t="s">
        <v>4903</v>
      </c>
      <c r="W193" s="2" t="s">
        <v>4931</v>
      </c>
      <c r="X193" s="2" t="s">
        <v>4925</v>
      </c>
      <c r="Y193" s="2" t="s">
        <v>5150</v>
      </c>
      <c r="Z193" s="2" t="s">
        <v>5152</v>
      </c>
      <c r="AA1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SILVA </v>
      </c>
      <c r="AB1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3" s="6" t="str">
        <f>IF(_xlfn.IFNA(INDEX(configuracoes!$A$2:$A$10,MATCH(base_tc_geral[[#This Row],[TIPO]],configuracoes!$A$2:$A$10,0)),"NÃO")="NÃO","NÃO","SIM")</f>
        <v>SIM</v>
      </c>
    </row>
    <row r="194" spans="1:31" x14ac:dyDescent="0.25">
      <c r="A194" s="2" t="s">
        <v>5153</v>
      </c>
      <c r="B194" s="2">
        <v>101008134</v>
      </c>
      <c r="C194" s="2" t="s">
        <v>15</v>
      </c>
      <c r="D194" s="2" t="s">
        <v>4669</v>
      </c>
      <c r="E194" s="2" t="s">
        <v>47</v>
      </c>
      <c r="F194" s="2" t="s">
        <v>98</v>
      </c>
      <c r="G194" s="2" t="s">
        <v>613</v>
      </c>
      <c r="H194" s="2" t="s">
        <v>56</v>
      </c>
      <c r="I194" s="2" t="s">
        <v>16</v>
      </c>
      <c r="J194" s="2" t="s">
        <v>60</v>
      </c>
      <c r="K194" s="2" t="s">
        <v>13</v>
      </c>
      <c r="L194" s="2" t="s">
        <v>25</v>
      </c>
      <c r="M194" s="2" t="s">
        <v>22</v>
      </c>
      <c r="N194" s="2" t="s">
        <v>15</v>
      </c>
      <c r="O194" s="2" t="s">
        <v>63</v>
      </c>
      <c r="P194" s="2" t="s">
        <v>5155</v>
      </c>
      <c r="Q194" s="2" t="s">
        <v>4926</v>
      </c>
      <c r="R194" s="2" t="s">
        <v>351</v>
      </c>
      <c r="S194" s="2" t="s">
        <v>101</v>
      </c>
      <c r="T194" s="2" t="s">
        <v>4697</v>
      </c>
      <c r="U194" s="2" t="s">
        <v>12</v>
      </c>
      <c r="V194" s="2" t="s">
        <v>4808</v>
      </c>
      <c r="W194" s="2" t="s">
        <v>4931</v>
      </c>
      <c r="X194" s="2" t="s">
        <v>4925</v>
      </c>
      <c r="Y194" s="2" t="s">
        <v>5154</v>
      </c>
      <c r="Z194" s="2" t="s">
        <v>5156</v>
      </c>
      <c r="AA1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4" s="6" t="str">
        <f>IF(_xlfn.IFNA(INDEX(configuracoes!$A$2:$A$10,MATCH(base_tc_geral[[#This Row],[TIPO]],configuracoes!$A$2:$A$10,0)),"NÃO")="NÃO","NÃO","SIM")</f>
        <v>SIM</v>
      </c>
    </row>
    <row r="195" spans="1:31" x14ac:dyDescent="0.25">
      <c r="A195" s="2" t="s">
        <v>5157</v>
      </c>
      <c r="B195" s="2">
        <v>101008134</v>
      </c>
      <c r="C195" s="2" t="s">
        <v>15</v>
      </c>
      <c r="D195" s="2" t="s">
        <v>4669</v>
      </c>
      <c r="E195" s="2" t="s">
        <v>47</v>
      </c>
      <c r="F195" s="2" t="s">
        <v>159</v>
      </c>
      <c r="G195" s="2" t="s">
        <v>613</v>
      </c>
      <c r="H195" s="2" t="s">
        <v>60</v>
      </c>
      <c r="I195" s="2" t="s">
        <v>16</v>
      </c>
      <c r="J195" s="2" t="s">
        <v>60</v>
      </c>
      <c r="K195" s="2" t="s">
        <v>13</v>
      </c>
      <c r="L195" s="2" t="s">
        <v>25</v>
      </c>
      <c r="M195" s="2" t="s">
        <v>22</v>
      </c>
      <c r="N195" s="2" t="s">
        <v>15</v>
      </c>
      <c r="O195" s="2" t="s">
        <v>161</v>
      </c>
      <c r="P195" s="2" t="s">
        <v>5159</v>
      </c>
      <c r="Q195" s="2" t="s">
        <v>4926</v>
      </c>
      <c r="R195" s="2" t="s">
        <v>351</v>
      </c>
      <c r="S195" s="2" t="s">
        <v>101</v>
      </c>
      <c r="T195" s="2" t="s">
        <v>4697</v>
      </c>
      <c r="U195" s="2" t="s">
        <v>12</v>
      </c>
      <c r="V195" s="2" t="s">
        <v>4885</v>
      </c>
      <c r="W195" s="2" t="s">
        <v>4931</v>
      </c>
      <c r="X195" s="2" t="s">
        <v>4925</v>
      </c>
      <c r="Y195" s="2" t="s">
        <v>5158</v>
      </c>
      <c r="Z195" s="2" t="s">
        <v>5160</v>
      </c>
      <c r="AA1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5" s="6" t="str">
        <f>IF(_xlfn.IFNA(INDEX(configuracoes!$A$2:$A$10,MATCH(base_tc_geral[[#This Row],[TIPO]],configuracoes!$A$2:$A$10,0)),"NÃO")="NÃO","NÃO","SIM")</f>
        <v>SIM</v>
      </c>
    </row>
    <row r="196" spans="1:31" x14ac:dyDescent="0.25">
      <c r="A196" s="2" t="s">
        <v>1161</v>
      </c>
      <c r="B196" s="2">
        <v>101010062</v>
      </c>
      <c r="C196" s="2" t="s">
        <v>15</v>
      </c>
      <c r="D196" s="2" t="s">
        <v>4541</v>
      </c>
      <c r="E196" s="2" t="s">
        <v>47</v>
      </c>
      <c r="F196" s="2" t="s">
        <v>181</v>
      </c>
      <c r="G196" s="2" t="s">
        <v>245</v>
      </c>
      <c r="H196" s="2" t="s">
        <v>66</v>
      </c>
      <c r="I196" s="2" t="s">
        <v>16</v>
      </c>
      <c r="J196" s="2" t="s">
        <v>66</v>
      </c>
      <c r="K196" s="2" t="s">
        <v>20</v>
      </c>
      <c r="L196" s="2" t="s">
        <v>21</v>
      </c>
      <c r="M196" s="2" t="s">
        <v>22</v>
      </c>
      <c r="N196" s="2" t="s">
        <v>15</v>
      </c>
      <c r="O196" s="2" t="s">
        <v>71</v>
      </c>
      <c r="P196" s="2" t="s">
        <v>1724</v>
      </c>
      <c r="Q196" s="2" t="s">
        <v>4926</v>
      </c>
      <c r="R196" s="2" t="s">
        <v>1699</v>
      </c>
      <c r="S196" s="2" t="s">
        <v>4698</v>
      </c>
      <c r="T196" s="2" t="s">
        <v>4697</v>
      </c>
      <c r="U196" s="2" t="s">
        <v>12</v>
      </c>
      <c r="V196" s="2" t="s">
        <v>4792</v>
      </c>
      <c r="W196" s="2" t="s">
        <v>4982</v>
      </c>
      <c r="X196" s="2" t="s">
        <v>4925</v>
      </c>
      <c r="Y196" s="2" t="s">
        <v>1723</v>
      </c>
      <c r="Z196" s="2" t="s">
        <v>5161</v>
      </c>
      <c r="AA1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6" s="6" t="str">
        <f>IF(_xlfn.IFNA(INDEX(configuracoes!$A$2:$A$10,MATCH(base_tc_geral[[#This Row],[TIPO]],configuracoes!$A$2:$A$10,0)),"NÃO")="NÃO","NÃO","SIM")</f>
        <v>SIM</v>
      </c>
    </row>
    <row r="197" spans="1:31" x14ac:dyDescent="0.25">
      <c r="A197" s="2" t="s">
        <v>1382</v>
      </c>
      <c r="B197" s="2">
        <v>105000985</v>
      </c>
      <c r="C197" s="2" t="s">
        <v>15</v>
      </c>
      <c r="D197" s="2" t="s">
        <v>4553</v>
      </c>
      <c r="E197" s="2" t="s">
        <v>28</v>
      </c>
      <c r="F197" s="2" t="s">
        <v>30</v>
      </c>
      <c r="G197" s="2" t="s">
        <v>883</v>
      </c>
      <c r="H197" s="2" t="s">
        <v>29</v>
      </c>
      <c r="I197" s="2" t="s">
        <v>33</v>
      </c>
      <c r="J197" s="2" t="s">
        <v>34</v>
      </c>
      <c r="K197" s="2" t="s">
        <v>20</v>
      </c>
      <c r="L197" s="2" t="s">
        <v>21</v>
      </c>
      <c r="M197" s="2" t="s">
        <v>22</v>
      </c>
      <c r="N197" s="2" t="s">
        <v>15</v>
      </c>
      <c r="O197" s="2" t="s">
        <v>36</v>
      </c>
      <c r="P197" s="2" t="s">
        <v>1384</v>
      </c>
      <c r="Q197" s="2" t="s">
        <v>4926</v>
      </c>
      <c r="R197" s="2" t="s">
        <v>32</v>
      </c>
      <c r="S197" s="2" t="s">
        <v>167</v>
      </c>
      <c r="T197" s="2" t="s">
        <v>167</v>
      </c>
      <c r="U197" s="2" t="s">
        <v>12</v>
      </c>
      <c r="V197" s="2" t="s">
        <v>4851</v>
      </c>
      <c r="W197" s="2" t="s">
        <v>4982</v>
      </c>
      <c r="X197" s="2" t="s">
        <v>4925</v>
      </c>
      <c r="Y197" s="2" t="s">
        <v>1383</v>
      </c>
      <c r="Z197" s="2" t="s">
        <v>5162</v>
      </c>
      <c r="AA1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1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7" s="6" t="str">
        <f>IF(_xlfn.IFNA(INDEX(configuracoes!$A$2:$A$10,MATCH(base_tc_geral[[#This Row],[TIPO]],configuracoes!$A$2:$A$10,0)),"NÃO")="NÃO","NÃO","SIM")</f>
        <v>SIM</v>
      </c>
    </row>
    <row r="198" spans="1:31" x14ac:dyDescent="0.25">
      <c r="A198" s="2" t="s">
        <v>4178</v>
      </c>
      <c r="B198" s="2">
        <v>101004033</v>
      </c>
      <c r="C198" s="2" t="s">
        <v>15</v>
      </c>
      <c r="D198" s="2" t="s">
        <v>4481</v>
      </c>
      <c r="E198" s="2" t="s">
        <v>47</v>
      </c>
      <c r="F198" s="2" t="s">
        <v>398</v>
      </c>
      <c r="G198" s="2" t="s">
        <v>245</v>
      </c>
      <c r="H198" s="2" t="s">
        <v>60</v>
      </c>
      <c r="I198" s="2" t="s">
        <v>16</v>
      </c>
      <c r="J198" s="2" t="s">
        <v>60</v>
      </c>
      <c r="K198" s="2" t="s">
        <v>20</v>
      </c>
      <c r="L198" s="2" t="s">
        <v>21</v>
      </c>
      <c r="M198" s="2" t="s">
        <v>22</v>
      </c>
      <c r="N198" s="2" t="s">
        <v>15</v>
      </c>
      <c r="O198" s="2" t="s">
        <v>161</v>
      </c>
      <c r="P198" s="2" t="s">
        <v>4180</v>
      </c>
      <c r="Q198" s="2" t="s">
        <v>4926</v>
      </c>
      <c r="R198" s="2" t="s">
        <v>304</v>
      </c>
      <c r="S198" s="2" t="s">
        <v>51</v>
      </c>
      <c r="T198" s="2" t="s">
        <v>4697</v>
      </c>
      <c r="U198" s="2" t="s">
        <v>12</v>
      </c>
      <c r="V198" s="2" t="s">
        <v>4813</v>
      </c>
      <c r="W198" s="2" t="s">
        <v>4982</v>
      </c>
      <c r="X198" s="2" t="s">
        <v>4925</v>
      </c>
      <c r="Y198" s="2" t="s">
        <v>4179</v>
      </c>
      <c r="Z198" s="2" t="s">
        <v>5163</v>
      </c>
      <c r="AA1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8" s="6" t="str">
        <f>IF(_xlfn.IFNA(INDEX(configuracoes!$A$2:$A$10,MATCH(base_tc_geral[[#This Row],[TIPO]],configuracoes!$A$2:$A$10,0)),"NÃO")="NÃO","NÃO","SIM")</f>
        <v>SIM</v>
      </c>
    </row>
    <row r="199" spans="1:31" x14ac:dyDescent="0.25">
      <c r="A199" s="2" t="s">
        <v>2619</v>
      </c>
      <c r="B199" s="2">
        <v>105000986</v>
      </c>
      <c r="C199" s="2" t="s">
        <v>15</v>
      </c>
      <c r="D199" s="2" t="s">
        <v>4486</v>
      </c>
      <c r="E199" s="2" t="s">
        <v>28</v>
      </c>
      <c r="F199" s="2" t="s">
        <v>586</v>
      </c>
      <c r="G199" s="2" t="s">
        <v>630</v>
      </c>
      <c r="H199" s="2" t="s">
        <v>79</v>
      </c>
      <c r="I199" s="2" t="s">
        <v>33</v>
      </c>
      <c r="J199" s="2" t="s">
        <v>34</v>
      </c>
      <c r="K199" s="2" t="s">
        <v>20</v>
      </c>
      <c r="L199" s="2" t="s">
        <v>21</v>
      </c>
      <c r="M199" s="2" t="s">
        <v>22</v>
      </c>
      <c r="N199" s="2" t="s">
        <v>15</v>
      </c>
      <c r="O199" s="2" t="s">
        <v>83</v>
      </c>
      <c r="P199" s="2" t="s">
        <v>2621</v>
      </c>
      <c r="Q199" s="2" t="s">
        <v>4926</v>
      </c>
      <c r="R199" s="2" t="s">
        <v>81</v>
      </c>
      <c r="S199" s="2" t="s">
        <v>167</v>
      </c>
      <c r="T199" s="2" t="s">
        <v>167</v>
      </c>
      <c r="U199" s="2" t="s">
        <v>12</v>
      </c>
      <c r="V199" s="2" t="s">
        <v>4767</v>
      </c>
      <c r="W199" s="2" t="s">
        <v>4982</v>
      </c>
      <c r="X199" s="2" t="s">
        <v>4925</v>
      </c>
      <c r="Y199" s="2" t="s">
        <v>2620</v>
      </c>
      <c r="Z199" s="2" t="s">
        <v>5164</v>
      </c>
      <c r="AA1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99" s="6" t="str">
        <f>IF(_xlfn.IFNA(INDEX(configuracoes!$A$2:$A$10,MATCH(base_tc_geral[[#This Row],[TIPO]],configuracoes!$A$2:$A$10,0)),"NÃO")="NÃO","NÃO","SIM")</f>
        <v>SIM</v>
      </c>
    </row>
    <row r="200" spans="1:31" x14ac:dyDescent="0.25">
      <c r="A200" s="2" t="s">
        <v>4293</v>
      </c>
      <c r="B200" s="2">
        <v>101001782</v>
      </c>
      <c r="C200" s="2" t="s">
        <v>15</v>
      </c>
      <c r="D200" s="2" t="s">
        <v>4515</v>
      </c>
      <c r="E200" s="2" t="s">
        <v>47</v>
      </c>
      <c r="F200" s="2" t="s">
        <v>511</v>
      </c>
      <c r="G200" s="2" t="s">
        <v>630</v>
      </c>
      <c r="H200" s="2" t="s">
        <v>48</v>
      </c>
      <c r="I200" s="2" t="s">
        <v>16</v>
      </c>
      <c r="J200" s="2" t="s">
        <v>48</v>
      </c>
      <c r="K200" s="2" t="s">
        <v>20</v>
      </c>
      <c r="L200" s="2" t="s">
        <v>21</v>
      </c>
      <c r="M200" s="2" t="s">
        <v>22</v>
      </c>
      <c r="N200" s="2" t="s">
        <v>15</v>
      </c>
      <c r="O200" s="2" t="s">
        <v>53</v>
      </c>
      <c r="P200" s="2" t="s">
        <v>4295</v>
      </c>
      <c r="Q200" s="2" t="s">
        <v>4926</v>
      </c>
      <c r="R200" s="2" t="s">
        <v>512</v>
      </c>
      <c r="S200" s="2" t="s">
        <v>51</v>
      </c>
      <c r="T200" s="2" t="s">
        <v>4697</v>
      </c>
      <c r="U200" s="2" t="s">
        <v>12</v>
      </c>
      <c r="V200" s="2" t="s">
        <v>4861</v>
      </c>
      <c r="W200" s="2" t="s">
        <v>4982</v>
      </c>
      <c r="X200" s="2" t="s">
        <v>4925</v>
      </c>
      <c r="Y200" s="2" t="s">
        <v>4294</v>
      </c>
      <c r="Z200" s="2" t="s">
        <v>5165</v>
      </c>
      <c r="AA2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2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0" s="6" t="str">
        <f>IF(_xlfn.IFNA(INDEX(configuracoes!$A$2:$A$10,MATCH(base_tc_geral[[#This Row],[TIPO]],configuracoes!$A$2:$A$10,0)),"NÃO")="NÃO","NÃO","SIM")</f>
        <v>SIM</v>
      </c>
    </row>
    <row r="201" spans="1:31" x14ac:dyDescent="0.25">
      <c r="A201" s="2" t="s">
        <v>3950</v>
      </c>
      <c r="B201" s="2">
        <v>105303134</v>
      </c>
      <c r="C201" s="2" t="s">
        <v>15</v>
      </c>
      <c r="D201" s="2" t="s">
        <v>4502</v>
      </c>
      <c r="E201" s="2" t="s">
        <v>28</v>
      </c>
      <c r="F201" s="2" t="s">
        <v>290</v>
      </c>
      <c r="G201" s="2" t="s">
        <v>883</v>
      </c>
      <c r="H201" s="2" t="s">
        <v>34</v>
      </c>
      <c r="I201" s="2" t="s">
        <v>33</v>
      </c>
      <c r="J201" s="2" t="s">
        <v>34</v>
      </c>
      <c r="K201" s="2" t="s">
        <v>20</v>
      </c>
      <c r="L201" s="2" t="s">
        <v>21</v>
      </c>
      <c r="M201" s="2" t="s">
        <v>22</v>
      </c>
      <c r="N201" s="2" t="s">
        <v>15</v>
      </c>
      <c r="O201" s="2" t="s">
        <v>156</v>
      </c>
      <c r="P201" s="2" t="s">
        <v>3952</v>
      </c>
      <c r="Q201" s="2" t="s">
        <v>4926</v>
      </c>
      <c r="R201" s="2" t="s">
        <v>442</v>
      </c>
      <c r="S201" s="2" t="s">
        <v>167</v>
      </c>
      <c r="T201" s="2" t="s">
        <v>167</v>
      </c>
      <c r="U201" s="2" t="s">
        <v>12</v>
      </c>
      <c r="V201" s="2" t="s">
        <v>4763</v>
      </c>
      <c r="W201" s="2" t="s">
        <v>4982</v>
      </c>
      <c r="X201" s="2" t="s">
        <v>4925</v>
      </c>
      <c r="Y201" s="2" t="s">
        <v>3951</v>
      </c>
      <c r="Z201" s="2" t="s">
        <v>5166</v>
      </c>
      <c r="AA2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2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1" s="6" t="str">
        <f>IF(_xlfn.IFNA(INDEX(configuracoes!$A$2:$A$10,MATCH(base_tc_geral[[#This Row],[TIPO]],configuracoes!$A$2:$A$10,0)),"NÃO")="NÃO","NÃO","SIM")</f>
        <v>SIM</v>
      </c>
    </row>
    <row r="202" spans="1:31" x14ac:dyDescent="0.25">
      <c r="A202" s="2" t="s">
        <v>1891</v>
      </c>
      <c r="B202" s="2">
        <v>102002917</v>
      </c>
      <c r="C202" s="2" t="s">
        <v>15</v>
      </c>
      <c r="D202" s="2" t="s">
        <v>4486</v>
      </c>
      <c r="E202" s="2" t="s">
        <v>106</v>
      </c>
      <c r="F202" s="2" t="s">
        <v>863</v>
      </c>
      <c r="G202" s="2" t="s">
        <v>630</v>
      </c>
      <c r="H202" s="2" t="s">
        <v>427</v>
      </c>
      <c r="I202" s="2" t="s">
        <v>33</v>
      </c>
      <c r="J202" s="2" t="s">
        <v>109</v>
      </c>
      <c r="K202" s="2" t="s">
        <v>20</v>
      </c>
      <c r="L202" s="2" t="s">
        <v>21</v>
      </c>
      <c r="M202" s="2" t="s">
        <v>22</v>
      </c>
      <c r="N202" s="2" t="s">
        <v>15</v>
      </c>
      <c r="O202" s="2" t="s">
        <v>430</v>
      </c>
      <c r="P202" s="2" t="s">
        <v>1893</v>
      </c>
      <c r="Q202" s="2" t="s">
        <v>4926</v>
      </c>
      <c r="R202" s="2" t="s">
        <v>5069</v>
      </c>
      <c r="S202" s="2" t="s">
        <v>736</v>
      </c>
      <c r="T202" s="2" t="s">
        <v>167</v>
      </c>
      <c r="U202" s="2" t="s">
        <v>12</v>
      </c>
      <c r="V202" s="2" t="s">
        <v>4773</v>
      </c>
      <c r="W202" s="2" t="s">
        <v>4982</v>
      </c>
      <c r="X202" s="2" t="s">
        <v>4925</v>
      </c>
      <c r="Y202" s="2" t="s">
        <v>1892</v>
      </c>
      <c r="Z202" s="2" t="s">
        <v>5216</v>
      </c>
      <c r="AA2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2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2" s="6" t="str">
        <f>IF(_xlfn.IFNA(INDEX(configuracoes!$A$2:$A$10,MATCH(base_tc_geral[[#This Row],[TIPO]],configuracoes!$A$2:$A$10,0)),"NÃO")="NÃO","NÃO","SIM")</f>
        <v>SIM</v>
      </c>
    </row>
    <row r="203" spans="1:31" x14ac:dyDescent="0.25">
      <c r="A203" s="2" t="s">
        <v>3376</v>
      </c>
      <c r="B203" s="2">
        <v>101006811</v>
      </c>
      <c r="C203" s="2" t="s">
        <v>15</v>
      </c>
      <c r="D203" s="2" t="s">
        <v>4564</v>
      </c>
      <c r="E203" s="2" t="s">
        <v>47</v>
      </c>
      <c r="F203" s="2" t="s">
        <v>433</v>
      </c>
      <c r="G203" s="2" t="s">
        <v>883</v>
      </c>
      <c r="H203" s="2" t="s">
        <v>56</v>
      </c>
      <c r="I203" s="2" t="s">
        <v>16</v>
      </c>
      <c r="J203" s="2" t="s">
        <v>60</v>
      </c>
      <c r="K203" s="2" t="s">
        <v>20</v>
      </c>
      <c r="L203" s="2" t="s">
        <v>21</v>
      </c>
      <c r="M203" s="2" t="s">
        <v>22</v>
      </c>
      <c r="N203" s="2" t="s">
        <v>15</v>
      </c>
      <c r="O203" s="2" t="s">
        <v>63</v>
      </c>
      <c r="P203" s="2" t="s">
        <v>3378</v>
      </c>
      <c r="Q203" s="2" t="s">
        <v>4926</v>
      </c>
      <c r="R203" s="2" t="s">
        <v>50</v>
      </c>
      <c r="S203" s="2" t="s">
        <v>51</v>
      </c>
      <c r="T203" s="2" t="s">
        <v>4697</v>
      </c>
      <c r="U203" s="2" t="s">
        <v>12</v>
      </c>
      <c r="V203" s="2" t="s">
        <v>4860</v>
      </c>
      <c r="W203" s="2" t="s">
        <v>4982</v>
      </c>
      <c r="X203" s="2" t="s">
        <v>4925</v>
      </c>
      <c r="Y203" s="2" t="s">
        <v>3377</v>
      </c>
      <c r="Z203" s="2" t="s">
        <v>5217</v>
      </c>
      <c r="AA2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2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3" s="6" t="str">
        <f>IF(_xlfn.IFNA(INDEX(configuracoes!$A$2:$A$10,MATCH(base_tc_geral[[#This Row],[TIPO]],configuracoes!$A$2:$A$10,0)),"NÃO")="NÃO","NÃO","SIM")</f>
        <v>SIM</v>
      </c>
    </row>
    <row r="204" spans="1:31" x14ac:dyDescent="0.25">
      <c r="A204" s="2" t="s">
        <v>4220</v>
      </c>
      <c r="B204" s="2">
        <v>101005241</v>
      </c>
      <c r="C204" s="2" t="s">
        <v>15</v>
      </c>
      <c r="D204" s="2" t="s">
        <v>4681</v>
      </c>
      <c r="E204" s="2" t="s">
        <v>47</v>
      </c>
      <c r="F204" s="2" t="s">
        <v>142</v>
      </c>
      <c r="G204" s="2" t="s">
        <v>637</v>
      </c>
      <c r="H204" s="2" t="s">
        <v>141</v>
      </c>
      <c r="I204" s="2" t="s">
        <v>16</v>
      </c>
      <c r="J204" s="2" t="s">
        <v>141</v>
      </c>
      <c r="K204" s="2" t="s">
        <v>20</v>
      </c>
      <c r="L204" s="2" t="s">
        <v>19</v>
      </c>
      <c r="M204" s="2" t="s">
        <v>22</v>
      </c>
      <c r="N204" s="2" t="s">
        <v>15</v>
      </c>
      <c r="O204" s="2" t="s">
        <v>145</v>
      </c>
      <c r="P204" s="2" t="s">
        <v>4222</v>
      </c>
      <c r="Q204" s="2" t="s">
        <v>4926</v>
      </c>
      <c r="R204" s="2" t="s">
        <v>143</v>
      </c>
      <c r="S204" s="2" t="s">
        <v>4698</v>
      </c>
      <c r="T204" s="2" t="s">
        <v>4697</v>
      </c>
      <c r="U204" s="2" t="s">
        <v>12</v>
      </c>
      <c r="V204" s="2" t="s">
        <v>4845</v>
      </c>
      <c r="W204" s="2" t="s">
        <v>4982</v>
      </c>
      <c r="X204" s="2" t="s">
        <v>4925</v>
      </c>
      <c r="Y204" s="2" t="s">
        <v>4221</v>
      </c>
      <c r="Z204" s="2" t="s">
        <v>5218</v>
      </c>
      <c r="AA2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2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4" s="6" t="str">
        <f>IF(_xlfn.IFNA(INDEX(configuracoes!$A$2:$A$10,MATCH(base_tc_geral[[#This Row],[TIPO]],configuracoes!$A$2:$A$10,0)),"NÃO")="NÃO","NÃO","SIM")</f>
        <v>SIM</v>
      </c>
    </row>
    <row r="205" spans="1:31" x14ac:dyDescent="0.25">
      <c r="A205" s="2" t="s">
        <v>4068</v>
      </c>
      <c r="B205" s="2">
        <v>109506091</v>
      </c>
      <c r="C205" s="2" t="s">
        <v>15</v>
      </c>
      <c r="D205" s="2" t="s">
        <v>4527</v>
      </c>
      <c r="E205" s="2" t="s">
        <v>86</v>
      </c>
      <c r="F205" s="2" t="s">
        <v>205</v>
      </c>
      <c r="G205" s="2" t="s">
        <v>58</v>
      </c>
      <c r="H205" s="2" t="s">
        <v>122</v>
      </c>
      <c r="I205" s="2" t="s">
        <v>33</v>
      </c>
      <c r="J205" s="2" t="s">
        <v>124</v>
      </c>
      <c r="K205" s="2" t="s">
        <v>13</v>
      </c>
      <c r="L205" s="2" t="s">
        <v>61</v>
      </c>
      <c r="M205" s="2" t="s">
        <v>38</v>
      </c>
      <c r="N205" s="2" t="s">
        <v>15</v>
      </c>
      <c r="O205" s="2" t="s">
        <v>129</v>
      </c>
      <c r="P205" s="2" t="s">
        <v>4070</v>
      </c>
      <c r="Q205" s="2" t="s">
        <v>4926</v>
      </c>
      <c r="R205" s="2" t="s">
        <v>2683</v>
      </c>
      <c r="S205" s="2" t="s">
        <v>125</v>
      </c>
      <c r="T205" s="2" t="s">
        <v>4696</v>
      </c>
      <c r="U205" s="2" t="s">
        <v>12</v>
      </c>
      <c r="V205" s="2" t="s">
        <v>4782</v>
      </c>
      <c r="W205" s="2" t="s">
        <v>4999</v>
      </c>
      <c r="X205" s="2" t="s">
        <v>38</v>
      </c>
      <c r="Y205" s="2" t="s">
        <v>4069</v>
      </c>
      <c r="Z205" s="2" t="s">
        <v>5219</v>
      </c>
      <c r="AA2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2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2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5" s="6" t="str">
        <f>IF(_xlfn.IFNA(INDEX(configuracoes!$A$2:$A$10,MATCH(base_tc_geral[[#This Row],[TIPO]],configuracoes!$A$2:$A$10,0)),"NÃO")="NÃO","NÃO","SIM")</f>
        <v>NÃO</v>
      </c>
    </row>
    <row r="206" spans="1:31" x14ac:dyDescent="0.25">
      <c r="A206" s="2" t="s">
        <v>4160</v>
      </c>
      <c r="B206" s="2">
        <v>109506174</v>
      </c>
      <c r="C206" s="2" t="s">
        <v>24</v>
      </c>
      <c r="D206" s="2" t="s">
        <v>4482</v>
      </c>
      <c r="E206" s="2" t="s">
        <v>86</v>
      </c>
      <c r="F206" s="2" t="s">
        <v>459</v>
      </c>
      <c r="G206" s="2" t="s">
        <v>630</v>
      </c>
      <c r="H206" s="2" t="s">
        <v>458</v>
      </c>
      <c r="I206" s="2" t="s">
        <v>33</v>
      </c>
      <c r="J206" s="2" t="s">
        <v>91</v>
      </c>
      <c r="K206" s="2" t="s">
        <v>20</v>
      </c>
      <c r="L206" s="2" t="s">
        <v>21</v>
      </c>
      <c r="M206" s="2" t="s">
        <v>22</v>
      </c>
      <c r="N206" s="2" t="s">
        <v>24</v>
      </c>
      <c r="O206" s="2" t="s">
        <v>461</v>
      </c>
      <c r="P206" s="2" t="s">
        <v>4162</v>
      </c>
      <c r="Q206" s="2" t="s">
        <v>4926</v>
      </c>
      <c r="R206" s="2" t="s">
        <v>2782</v>
      </c>
      <c r="S206" s="2" t="s">
        <v>93</v>
      </c>
      <c r="T206" s="2" t="s">
        <v>4696</v>
      </c>
      <c r="U206" s="2" t="s">
        <v>39</v>
      </c>
      <c r="V206" s="2" t="s">
        <v>4796</v>
      </c>
      <c r="W206" s="2" t="s">
        <v>4982</v>
      </c>
      <c r="X206" s="2" t="s">
        <v>4925</v>
      </c>
      <c r="Y206" s="2" t="s">
        <v>4161</v>
      </c>
      <c r="Z206" s="2" t="s">
        <v>5220</v>
      </c>
      <c r="AA2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2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06" s="6" t="str">
        <f>IF(_xlfn.IFNA(INDEX(configuracoes!$A$2:$A$10,MATCH(base_tc_geral[[#This Row],[TIPO]],configuracoes!$A$2:$A$10,0)),"NÃO")="NÃO","NÃO","SIM")</f>
        <v>SIM</v>
      </c>
    </row>
    <row r="207" spans="1:31" x14ac:dyDescent="0.25">
      <c r="A207" s="2" t="s">
        <v>2559</v>
      </c>
      <c r="B207" s="2">
        <v>109505858</v>
      </c>
      <c r="C207" s="2" t="s">
        <v>15</v>
      </c>
      <c r="D207" s="2" t="s">
        <v>4509</v>
      </c>
      <c r="E207" s="2" t="s">
        <v>86</v>
      </c>
      <c r="F207" s="2" t="s">
        <v>559</v>
      </c>
      <c r="G207" s="2" t="s">
        <v>149</v>
      </c>
      <c r="H207" s="2" t="s">
        <v>558</v>
      </c>
      <c r="I207" s="2" t="s">
        <v>33</v>
      </c>
      <c r="J207" s="2" t="s">
        <v>91</v>
      </c>
      <c r="K207" s="2" t="s">
        <v>20</v>
      </c>
      <c r="L207" s="2" t="s">
        <v>61</v>
      </c>
      <c r="M207" s="2" t="s">
        <v>22</v>
      </c>
      <c r="N207" s="2" t="s">
        <v>15</v>
      </c>
      <c r="O207" s="2" t="s">
        <v>561</v>
      </c>
      <c r="P207" s="2" t="s">
        <v>2561</v>
      </c>
      <c r="Q207" s="2" t="s">
        <v>4926</v>
      </c>
      <c r="R207" s="2" t="s">
        <v>1466</v>
      </c>
      <c r="S207" s="2" t="s">
        <v>93</v>
      </c>
      <c r="T207" s="2" t="s">
        <v>4696</v>
      </c>
      <c r="U207" s="2" t="s">
        <v>12</v>
      </c>
      <c r="V207" s="2" t="s">
        <v>4802</v>
      </c>
      <c r="W207" s="2" t="s">
        <v>4982</v>
      </c>
      <c r="X207" s="2" t="s">
        <v>4925</v>
      </c>
      <c r="Y207" s="2" t="s">
        <v>2560</v>
      </c>
      <c r="Z207" s="2" t="s">
        <v>5221</v>
      </c>
      <c r="AA2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2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7" s="6" t="str">
        <f>IF(_xlfn.IFNA(INDEX(configuracoes!$A$2:$A$10,MATCH(base_tc_geral[[#This Row],[TIPO]],configuracoes!$A$2:$A$10,0)),"NÃO")="NÃO","NÃO","SIM")</f>
        <v>NÃO</v>
      </c>
    </row>
    <row r="208" spans="1:31" x14ac:dyDescent="0.25">
      <c r="A208" s="2" t="s">
        <v>1674</v>
      </c>
      <c r="B208" s="2">
        <v>105000985</v>
      </c>
      <c r="C208" s="2" t="s">
        <v>15</v>
      </c>
      <c r="D208" s="2" t="s">
        <v>4637</v>
      </c>
      <c r="E208" s="2" t="s">
        <v>28</v>
      </c>
      <c r="F208" s="2" t="s">
        <v>30</v>
      </c>
      <c r="G208" s="2" t="s">
        <v>172</v>
      </c>
      <c r="H208" s="2" t="s">
        <v>29</v>
      </c>
      <c r="I208" s="2" t="s">
        <v>33</v>
      </c>
      <c r="J208" s="2" t="s">
        <v>34</v>
      </c>
      <c r="K208" s="2" t="s">
        <v>20</v>
      </c>
      <c r="L208" s="2" t="s">
        <v>17</v>
      </c>
      <c r="M208" s="2" t="s">
        <v>22</v>
      </c>
      <c r="N208" s="2" t="s">
        <v>15</v>
      </c>
      <c r="O208" s="2" t="s">
        <v>36</v>
      </c>
      <c r="P208" s="2" t="s">
        <v>1676</v>
      </c>
      <c r="Q208" s="2" t="s">
        <v>4926</v>
      </c>
      <c r="R208" s="2" t="s">
        <v>32</v>
      </c>
      <c r="S208" s="2" t="s">
        <v>167</v>
      </c>
      <c r="T208" s="2" t="s">
        <v>167</v>
      </c>
      <c r="U208" s="2" t="s">
        <v>12</v>
      </c>
      <c r="V208" s="2" t="s">
        <v>4851</v>
      </c>
      <c r="W208" s="2" t="s">
        <v>4982</v>
      </c>
      <c r="X208" s="2" t="s">
        <v>4925</v>
      </c>
      <c r="Y208" s="2" t="s">
        <v>1675</v>
      </c>
      <c r="Z208" s="2" t="s">
        <v>5222</v>
      </c>
      <c r="AA2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2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08" s="6" t="str">
        <f>IF(_xlfn.IFNA(INDEX(configuracoes!$A$2:$A$10,MATCH(base_tc_geral[[#This Row],[TIPO]],configuracoes!$A$2:$A$10,0)),"NÃO")="NÃO","NÃO","SIM")</f>
        <v>NÃO</v>
      </c>
    </row>
    <row r="209" spans="1:31" x14ac:dyDescent="0.25">
      <c r="A209" s="2" t="s">
        <v>1918</v>
      </c>
      <c r="B209" s="2">
        <v>109505858</v>
      </c>
      <c r="C209" s="2" t="s">
        <v>40</v>
      </c>
      <c r="D209" s="2" t="s">
        <v>4646</v>
      </c>
      <c r="E209" s="2" t="s">
        <v>86</v>
      </c>
      <c r="F209" s="2" t="s">
        <v>817</v>
      </c>
      <c r="G209" s="2" t="s">
        <v>202</v>
      </c>
      <c r="H209" s="2" t="s">
        <v>217</v>
      </c>
      <c r="I209" s="2" t="s">
        <v>33</v>
      </c>
      <c r="J209" s="2" t="s">
        <v>91</v>
      </c>
      <c r="K209" s="2" t="s">
        <v>13</v>
      </c>
      <c r="L209" s="2" t="s">
        <v>76</v>
      </c>
      <c r="M209" s="2" t="s">
        <v>18</v>
      </c>
      <c r="N209" s="2" t="s">
        <v>40</v>
      </c>
      <c r="O209" s="2" t="s">
        <v>221</v>
      </c>
      <c r="P209" s="2" t="s">
        <v>1920</v>
      </c>
      <c r="Q209" s="2" t="s">
        <v>4926</v>
      </c>
      <c r="R209" s="2" t="s">
        <v>1466</v>
      </c>
      <c r="S209" s="2" t="s">
        <v>93</v>
      </c>
      <c r="T209" s="2" t="s">
        <v>4696</v>
      </c>
      <c r="U209" s="2" t="s">
        <v>39</v>
      </c>
      <c r="V209" s="2" t="s">
        <v>4802</v>
      </c>
      <c r="W209" s="2" t="s">
        <v>4982</v>
      </c>
      <c r="X209" s="2" t="s">
        <v>4998</v>
      </c>
      <c r="Y209" s="2" t="s">
        <v>1919</v>
      </c>
      <c r="Z209" s="2" t="s">
        <v>5223</v>
      </c>
      <c r="AA2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2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209" s="6" t="str">
        <f>IF(_xlfn.IFNA(INDEX(configuracoes!$A$2:$A$10,MATCH(base_tc_geral[[#This Row],[TIPO]],configuracoes!$A$2:$A$10,0)),"NÃO")="NÃO","NÃO","SIM")</f>
        <v>SIM</v>
      </c>
    </row>
    <row r="210" spans="1:31" x14ac:dyDescent="0.25">
      <c r="A210" s="2" t="s">
        <v>1376</v>
      </c>
      <c r="B210" s="2">
        <v>105000985</v>
      </c>
      <c r="C210" s="2" t="s">
        <v>15</v>
      </c>
      <c r="D210" s="2" t="s">
        <v>4509</v>
      </c>
      <c r="E210" s="2" t="s">
        <v>28</v>
      </c>
      <c r="F210" s="2" t="s">
        <v>30</v>
      </c>
      <c r="G210" s="2" t="s">
        <v>172</v>
      </c>
      <c r="H210" s="2" t="s">
        <v>29</v>
      </c>
      <c r="I210" s="2" t="s">
        <v>33</v>
      </c>
      <c r="J210" s="2" t="s">
        <v>34</v>
      </c>
      <c r="K210" s="2" t="s">
        <v>20</v>
      </c>
      <c r="L210" s="2" t="s">
        <v>17</v>
      </c>
      <c r="M210" s="2" t="s">
        <v>22</v>
      </c>
      <c r="N210" s="2" t="s">
        <v>15</v>
      </c>
      <c r="O210" s="2" t="s">
        <v>36</v>
      </c>
      <c r="P210" s="2" t="s">
        <v>1378</v>
      </c>
      <c r="Q210" s="2" t="s">
        <v>4926</v>
      </c>
      <c r="R210" s="2" t="s">
        <v>32</v>
      </c>
      <c r="S210" s="2" t="s">
        <v>167</v>
      </c>
      <c r="T210" s="2" t="s">
        <v>167</v>
      </c>
      <c r="U210" s="2" t="s">
        <v>12</v>
      </c>
      <c r="V210" s="2" t="s">
        <v>4851</v>
      </c>
      <c r="W210" s="2" t="s">
        <v>4982</v>
      </c>
      <c r="X210" s="2" t="s">
        <v>4925</v>
      </c>
      <c r="Y210" s="2" t="s">
        <v>1377</v>
      </c>
      <c r="Z210" s="2" t="s">
        <v>5224</v>
      </c>
      <c r="AA2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2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0" s="6" t="str">
        <f>IF(_xlfn.IFNA(INDEX(configuracoes!$A$2:$A$10,MATCH(base_tc_geral[[#This Row],[TIPO]],configuracoes!$A$2:$A$10,0)),"NÃO")="NÃO","NÃO","SIM")</f>
        <v>NÃO</v>
      </c>
    </row>
    <row r="211" spans="1:31" x14ac:dyDescent="0.25">
      <c r="A211" s="2" t="s">
        <v>4217</v>
      </c>
      <c r="B211" s="2">
        <v>101005241</v>
      </c>
      <c r="C211" s="2" t="s">
        <v>15</v>
      </c>
      <c r="D211" s="2" t="s">
        <v>4613</v>
      </c>
      <c r="E211" s="2" t="s">
        <v>47</v>
      </c>
      <c r="F211" s="2" t="s">
        <v>2862</v>
      </c>
      <c r="G211" s="2" t="s">
        <v>99</v>
      </c>
      <c r="H211" s="2" t="s">
        <v>141</v>
      </c>
      <c r="I211" s="2" t="s">
        <v>16</v>
      </c>
      <c r="J211" s="2" t="s">
        <v>141</v>
      </c>
      <c r="K211" s="2" t="s">
        <v>20</v>
      </c>
      <c r="L211" s="2" t="s">
        <v>25</v>
      </c>
      <c r="M211" s="2" t="s">
        <v>22</v>
      </c>
      <c r="N211" s="2" t="s">
        <v>15</v>
      </c>
      <c r="O211" s="2" t="s">
        <v>145</v>
      </c>
      <c r="P211" s="2" t="s">
        <v>4219</v>
      </c>
      <c r="Q211" s="2" t="s">
        <v>4926</v>
      </c>
      <c r="R211" s="2" t="s">
        <v>143</v>
      </c>
      <c r="S211" s="2" t="s">
        <v>4698</v>
      </c>
      <c r="T211" s="2" t="s">
        <v>4697</v>
      </c>
      <c r="U211" s="2" t="s">
        <v>12</v>
      </c>
      <c r="V211" s="2" t="s">
        <v>4845</v>
      </c>
      <c r="W211" s="2" t="s">
        <v>4982</v>
      </c>
      <c r="X211" s="2" t="s">
        <v>4925</v>
      </c>
      <c r="Y211" s="2" t="s">
        <v>4218</v>
      </c>
      <c r="Z211" s="2" t="s">
        <v>5225</v>
      </c>
      <c r="AA2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2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1" s="6" t="str">
        <f>IF(_xlfn.IFNA(INDEX(configuracoes!$A$2:$A$10,MATCH(base_tc_geral[[#This Row],[TIPO]],configuracoes!$A$2:$A$10,0)),"NÃO")="NÃO","NÃO","SIM")</f>
        <v>SIM</v>
      </c>
    </row>
    <row r="212" spans="1:31" x14ac:dyDescent="0.25">
      <c r="A212" s="2" t="s">
        <v>891</v>
      </c>
      <c r="B212" s="2">
        <v>105303208</v>
      </c>
      <c r="C212" s="2" t="s">
        <v>15</v>
      </c>
      <c r="D212" s="2" t="s">
        <v>4524</v>
      </c>
      <c r="E212" s="2" t="s">
        <v>28</v>
      </c>
      <c r="F212" s="2" t="s">
        <v>440</v>
      </c>
      <c r="G212" s="2" t="s">
        <v>245</v>
      </c>
      <c r="H212" s="2" t="s">
        <v>34</v>
      </c>
      <c r="I212" s="2" t="s">
        <v>33</v>
      </c>
      <c r="J212" s="2" t="s">
        <v>34</v>
      </c>
      <c r="K212" s="2" t="s">
        <v>20</v>
      </c>
      <c r="L212" s="2" t="s">
        <v>21</v>
      </c>
      <c r="M212" s="2" t="s">
        <v>22</v>
      </c>
      <c r="N212" s="2" t="s">
        <v>15</v>
      </c>
      <c r="O212" s="2" t="s">
        <v>156</v>
      </c>
      <c r="P212" s="2" t="s">
        <v>893</v>
      </c>
      <c r="Q212" s="2" t="s">
        <v>4926</v>
      </c>
      <c r="R212" s="2" t="s">
        <v>849</v>
      </c>
      <c r="S212" s="2" t="s">
        <v>167</v>
      </c>
      <c r="T212" s="2" t="s">
        <v>167</v>
      </c>
      <c r="U212" s="2" t="s">
        <v>12</v>
      </c>
      <c r="V212" s="2" t="s">
        <v>4852</v>
      </c>
      <c r="W212" s="2" t="s">
        <v>4982</v>
      </c>
      <c r="X212" s="2" t="s">
        <v>4925</v>
      </c>
      <c r="Y212" s="2" t="s">
        <v>892</v>
      </c>
      <c r="Z212" s="2" t="s">
        <v>5226</v>
      </c>
      <c r="AA2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2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2" s="6" t="str">
        <f>IF(_xlfn.IFNA(INDEX(configuracoes!$A$2:$A$10,MATCH(base_tc_geral[[#This Row],[TIPO]],configuracoes!$A$2:$A$10,0)),"NÃO")="NÃO","NÃO","SIM")</f>
        <v>SIM</v>
      </c>
    </row>
    <row r="213" spans="1:31" x14ac:dyDescent="0.25">
      <c r="A213" s="2" t="s">
        <v>3524</v>
      </c>
      <c r="B213" s="2">
        <v>102101634</v>
      </c>
      <c r="C213" s="2" t="s">
        <v>24</v>
      </c>
      <c r="D213" s="2" t="s">
        <v>4768</v>
      </c>
      <c r="E213" s="2" t="s">
        <v>106</v>
      </c>
      <c r="F213" s="2" t="s">
        <v>186</v>
      </c>
      <c r="G213" s="2" t="s">
        <v>317</v>
      </c>
      <c r="H213" s="2" t="s">
        <v>107</v>
      </c>
      <c r="I213" s="2" t="s">
        <v>33</v>
      </c>
      <c r="J213" s="2" t="s">
        <v>109</v>
      </c>
      <c r="K213" s="2" t="s">
        <v>13</v>
      </c>
      <c r="L213" s="2" t="s">
        <v>42</v>
      </c>
      <c r="M213" s="2" t="s">
        <v>75</v>
      </c>
      <c r="N213" s="2" t="s">
        <v>24</v>
      </c>
      <c r="O213" s="2" t="s">
        <v>112</v>
      </c>
      <c r="P213" s="2" t="s">
        <v>3526</v>
      </c>
      <c r="Q213" s="2" t="s">
        <v>4926</v>
      </c>
      <c r="R213" s="2" t="s">
        <v>406</v>
      </c>
      <c r="S213" s="2" t="s">
        <v>736</v>
      </c>
      <c r="T213" s="2" t="s">
        <v>167</v>
      </c>
      <c r="U213" s="2" t="s">
        <v>39</v>
      </c>
      <c r="V213" s="2" t="s">
        <v>4853</v>
      </c>
      <c r="W213" s="2" t="s">
        <v>42</v>
      </c>
      <c r="X213" s="2" t="s">
        <v>75</v>
      </c>
      <c r="Y213" s="2" t="s">
        <v>3525</v>
      </c>
      <c r="Z213" s="2" t="s">
        <v>5227</v>
      </c>
      <c r="AA2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2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13" s="6" t="str">
        <f>IF(_xlfn.IFNA(INDEX(configuracoes!$A$2:$A$10,MATCH(base_tc_geral[[#This Row],[TIPO]],configuracoes!$A$2:$A$10,0)),"NÃO")="NÃO","NÃO","SIM")</f>
        <v>SIM</v>
      </c>
    </row>
    <row r="214" spans="1:31" x14ac:dyDescent="0.25">
      <c r="A214" s="2" t="s">
        <v>2968</v>
      </c>
      <c r="B214" s="2">
        <v>101010062</v>
      </c>
      <c r="C214" s="2" t="s">
        <v>15</v>
      </c>
      <c r="D214" s="2" t="s">
        <v>4516</v>
      </c>
      <c r="E214" s="2" t="s">
        <v>47</v>
      </c>
      <c r="F214" s="2" t="s">
        <v>181</v>
      </c>
      <c r="G214" s="2" t="s">
        <v>58</v>
      </c>
      <c r="H214" s="2" t="s">
        <v>66</v>
      </c>
      <c r="I214" s="2" t="s">
        <v>16</v>
      </c>
      <c r="J214" s="2" t="s">
        <v>66</v>
      </c>
      <c r="K214" s="2" t="s">
        <v>13</v>
      </c>
      <c r="L214" s="2" t="s">
        <v>61</v>
      </c>
      <c r="M214" s="2" t="s">
        <v>44</v>
      </c>
      <c r="N214" s="2" t="s">
        <v>15</v>
      </c>
      <c r="O214" s="2" t="s">
        <v>71</v>
      </c>
      <c r="P214" s="2" t="s">
        <v>2970</v>
      </c>
      <c r="Q214" s="2" t="s">
        <v>4926</v>
      </c>
      <c r="R214" s="2" t="s">
        <v>1699</v>
      </c>
      <c r="S214" s="2" t="s">
        <v>4698</v>
      </c>
      <c r="T214" s="2" t="s">
        <v>4697</v>
      </c>
      <c r="U214" s="2" t="s">
        <v>12</v>
      </c>
      <c r="V214" s="2" t="s">
        <v>4792</v>
      </c>
      <c r="W214" s="2" t="s">
        <v>4999</v>
      </c>
      <c r="X214" s="2" t="s">
        <v>44</v>
      </c>
      <c r="Y214" s="2" t="s">
        <v>2969</v>
      </c>
      <c r="Z214" s="2" t="s">
        <v>5167</v>
      </c>
      <c r="AA2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2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4" s="6" t="str">
        <f>IF(_xlfn.IFNA(INDEX(configuracoes!$A$2:$A$10,MATCH(base_tc_geral[[#This Row],[TIPO]],configuracoes!$A$2:$A$10,0)),"NÃO")="NÃO","NÃO","SIM")</f>
        <v>NÃO</v>
      </c>
    </row>
    <row r="215" spans="1:31" x14ac:dyDescent="0.25">
      <c r="A215" s="2" t="s">
        <v>691</v>
      </c>
      <c r="B215" s="2">
        <v>101001670</v>
      </c>
      <c r="C215" s="2" t="s">
        <v>15</v>
      </c>
      <c r="D215" s="2" t="s">
        <v>4489</v>
      </c>
      <c r="E215" s="2" t="s">
        <v>47</v>
      </c>
      <c r="F215" s="2" t="s">
        <v>225</v>
      </c>
      <c r="G215" s="2" t="s">
        <v>245</v>
      </c>
      <c r="H215" s="2" t="s">
        <v>224</v>
      </c>
      <c r="I215" s="2" t="s">
        <v>16</v>
      </c>
      <c r="J215" s="2" t="s">
        <v>227</v>
      </c>
      <c r="K215" s="2" t="s">
        <v>20</v>
      </c>
      <c r="L215" s="2" t="s">
        <v>21</v>
      </c>
      <c r="M215" s="2" t="s">
        <v>22</v>
      </c>
      <c r="N215" s="2" t="s">
        <v>15</v>
      </c>
      <c r="O215" s="2" t="s">
        <v>229</v>
      </c>
      <c r="P215" s="2" t="s">
        <v>693</v>
      </c>
      <c r="Q215" s="2" t="s">
        <v>4926</v>
      </c>
      <c r="R215" s="2" t="s">
        <v>226</v>
      </c>
      <c r="S215" s="2" t="s">
        <v>4698</v>
      </c>
      <c r="T215" s="2" t="s">
        <v>4697</v>
      </c>
      <c r="U215" s="2" t="s">
        <v>12</v>
      </c>
      <c r="V215" s="2" t="s">
        <v>4844</v>
      </c>
      <c r="W215" s="2" t="s">
        <v>4982</v>
      </c>
      <c r="X215" s="2" t="s">
        <v>4925</v>
      </c>
      <c r="Y215" s="2" t="s">
        <v>692</v>
      </c>
      <c r="Z215" s="2" t="s">
        <v>5168</v>
      </c>
      <c r="AA2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2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5" s="6" t="str">
        <f>IF(_xlfn.IFNA(INDEX(configuracoes!$A$2:$A$10,MATCH(base_tc_geral[[#This Row],[TIPO]],configuracoes!$A$2:$A$10,0)),"NÃO")="NÃO","NÃO","SIM")</f>
        <v>SIM</v>
      </c>
    </row>
    <row r="216" spans="1:31" x14ac:dyDescent="0.25">
      <c r="A216" s="2" t="s">
        <v>4440</v>
      </c>
      <c r="B216" s="2">
        <v>101003771</v>
      </c>
      <c r="C216" s="2" t="s">
        <v>15</v>
      </c>
      <c r="D216" s="2" t="s">
        <v>4514</v>
      </c>
      <c r="E216" s="2" t="s">
        <v>47</v>
      </c>
      <c r="F216" s="2" t="s">
        <v>601</v>
      </c>
      <c r="G216" s="2" t="s">
        <v>172</v>
      </c>
      <c r="H216" s="2" t="s">
        <v>60</v>
      </c>
      <c r="I216" s="2" t="s">
        <v>16</v>
      </c>
      <c r="J216" s="2" t="s">
        <v>60</v>
      </c>
      <c r="K216" s="2" t="s">
        <v>92</v>
      </c>
      <c r="L216" s="2" t="s">
        <v>17</v>
      </c>
      <c r="M216" s="2" t="s">
        <v>23</v>
      </c>
      <c r="N216" s="2" t="s">
        <v>15</v>
      </c>
      <c r="O216" s="2" t="s">
        <v>161</v>
      </c>
      <c r="P216" s="2" t="s">
        <v>4442</v>
      </c>
      <c r="Q216" s="2" t="s">
        <v>4926</v>
      </c>
      <c r="R216" s="2" t="s">
        <v>465</v>
      </c>
      <c r="S216" s="2" t="s">
        <v>51</v>
      </c>
      <c r="T216" s="2" t="s">
        <v>4697</v>
      </c>
      <c r="U216" s="2" t="s">
        <v>12</v>
      </c>
      <c r="V216" s="2" t="s">
        <v>4810</v>
      </c>
      <c r="W216" s="2" t="s">
        <v>17</v>
      </c>
      <c r="X216" s="2" t="s">
        <v>4998</v>
      </c>
      <c r="Y216" s="2" t="s">
        <v>4441</v>
      </c>
      <c r="Z216" s="2" t="s">
        <v>5169</v>
      </c>
      <c r="AA2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2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6" s="6" t="str">
        <f>IF(_xlfn.IFNA(INDEX(configuracoes!$A$2:$A$10,MATCH(base_tc_geral[[#This Row],[TIPO]],configuracoes!$A$2:$A$10,0)),"NÃO")="NÃO","NÃO","SIM")</f>
        <v>NÃO</v>
      </c>
    </row>
    <row r="217" spans="1:31" x14ac:dyDescent="0.25">
      <c r="A217" s="2" t="s">
        <v>3382</v>
      </c>
      <c r="B217" s="2">
        <v>101006811</v>
      </c>
      <c r="C217" s="2" t="s">
        <v>15</v>
      </c>
      <c r="D217" s="2" t="s">
        <v>4481</v>
      </c>
      <c r="E217" s="2" t="s">
        <v>47</v>
      </c>
      <c r="F217" s="2" t="s">
        <v>49</v>
      </c>
      <c r="G217" s="2" t="s">
        <v>630</v>
      </c>
      <c r="H217" s="2" t="s">
        <v>48</v>
      </c>
      <c r="I217" s="2" t="s">
        <v>16</v>
      </c>
      <c r="J217" s="2" t="s">
        <v>48</v>
      </c>
      <c r="K217" s="2" t="s">
        <v>20</v>
      </c>
      <c r="L217" s="2" t="s">
        <v>21</v>
      </c>
      <c r="M217" s="2" t="s">
        <v>22</v>
      </c>
      <c r="N217" s="2" t="s">
        <v>15</v>
      </c>
      <c r="O217" s="2" t="s">
        <v>53</v>
      </c>
      <c r="P217" s="2" t="s">
        <v>3384</v>
      </c>
      <c r="Q217" s="2" t="s">
        <v>4926</v>
      </c>
      <c r="R217" s="2" t="s">
        <v>50</v>
      </c>
      <c r="S217" s="2" t="s">
        <v>51</v>
      </c>
      <c r="T217" s="2" t="s">
        <v>4697</v>
      </c>
      <c r="U217" s="2" t="s">
        <v>12</v>
      </c>
      <c r="V217" s="2" t="s">
        <v>4860</v>
      </c>
      <c r="W217" s="2" t="s">
        <v>4982</v>
      </c>
      <c r="X217" s="2" t="s">
        <v>4925</v>
      </c>
      <c r="Y217" s="2" t="s">
        <v>3383</v>
      </c>
      <c r="Z217" s="2" t="s">
        <v>5170</v>
      </c>
      <c r="AA2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2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7" s="6" t="str">
        <f>IF(_xlfn.IFNA(INDEX(configuracoes!$A$2:$A$10,MATCH(base_tc_geral[[#This Row],[TIPO]],configuracoes!$A$2:$A$10,0)),"NÃO")="NÃO","NÃO","SIM")</f>
        <v>SIM</v>
      </c>
    </row>
    <row r="218" spans="1:31" x14ac:dyDescent="0.25">
      <c r="A218" s="2" t="s">
        <v>3370</v>
      </c>
      <c r="B218" s="2">
        <v>101006811</v>
      </c>
      <c r="C218" s="2" t="s">
        <v>15</v>
      </c>
      <c r="D218" s="2" t="s">
        <v>4481</v>
      </c>
      <c r="E218" s="2" t="s">
        <v>47</v>
      </c>
      <c r="F218" s="2" t="s">
        <v>49</v>
      </c>
      <c r="G218" s="2" t="s">
        <v>364</v>
      </c>
      <c r="H218" s="2" t="s">
        <v>48</v>
      </c>
      <c r="I218" s="2" t="s">
        <v>16</v>
      </c>
      <c r="J218" s="2" t="s">
        <v>48</v>
      </c>
      <c r="K218" s="2" t="s">
        <v>13</v>
      </c>
      <c r="L218" s="2" t="s">
        <v>37</v>
      </c>
      <c r="M218" s="2" t="s">
        <v>74</v>
      </c>
      <c r="N218" s="2" t="s">
        <v>15</v>
      </c>
      <c r="O218" s="2" t="s">
        <v>53</v>
      </c>
      <c r="P218" s="2" t="s">
        <v>3372</v>
      </c>
      <c r="Q218" s="2" t="s">
        <v>4926</v>
      </c>
      <c r="R218" s="2" t="s">
        <v>50</v>
      </c>
      <c r="S218" s="2" t="s">
        <v>51</v>
      </c>
      <c r="T218" s="2" t="s">
        <v>4697</v>
      </c>
      <c r="U218" s="2" t="s">
        <v>12</v>
      </c>
      <c r="V218" s="2" t="s">
        <v>4860</v>
      </c>
      <c r="W218" s="2" t="s">
        <v>4999</v>
      </c>
      <c r="X218" s="2" t="s">
        <v>74</v>
      </c>
      <c r="Y218" s="2" t="s">
        <v>3371</v>
      </c>
      <c r="Z218" s="2" t="s">
        <v>5171</v>
      </c>
      <c r="AA2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2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8" s="6" t="str">
        <f>IF(_xlfn.IFNA(INDEX(configuracoes!$A$2:$A$10,MATCH(base_tc_geral[[#This Row],[TIPO]],configuracoes!$A$2:$A$10,0)),"NÃO")="NÃO","NÃO","SIM")</f>
        <v>NÃO</v>
      </c>
    </row>
    <row r="219" spans="1:31" x14ac:dyDescent="0.25">
      <c r="A219" s="2" t="s">
        <v>4726</v>
      </c>
      <c r="B219" s="2">
        <v>101007963</v>
      </c>
      <c r="C219" s="2" t="s">
        <v>15</v>
      </c>
      <c r="D219" s="2" t="s">
        <v>4576</v>
      </c>
      <c r="E219" s="2" t="s">
        <v>47</v>
      </c>
      <c r="F219" s="2" t="s">
        <v>244</v>
      </c>
      <c r="G219" s="2" t="s">
        <v>136</v>
      </c>
      <c r="H219" s="2" t="s">
        <v>60</v>
      </c>
      <c r="I219" s="2" t="s">
        <v>16</v>
      </c>
      <c r="J219" s="2" t="s">
        <v>60</v>
      </c>
      <c r="K219" s="2" t="s">
        <v>13</v>
      </c>
      <c r="L219" s="2" t="s">
        <v>72</v>
      </c>
      <c r="M219" s="2" t="s">
        <v>73</v>
      </c>
      <c r="N219" s="2" t="s">
        <v>15</v>
      </c>
      <c r="O219" s="2" t="s">
        <v>161</v>
      </c>
      <c r="P219" s="2" t="s">
        <v>4728</v>
      </c>
      <c r="Q219" s="2" t="s">
        <v>4926</v>
      </c>
      <c r="R219" s="2" t="s">
        <v>246</v>
      </c>
      <c r="S219" s="2" t="s">
        <v>51</v>
      </c>
      <c r="T219" s="2" t="s">
        <v>4697</v>
      </c>
      <c r="U219" s="2" t="s">
        <v>39</v>
      </c>
      <c r="V219" s="2" t="s">
        <v>4778</v>
      </c>
      <c r="W219" s="2" t="s">
        <v>72</v>
      </c>
      <c r="X219" s="2" t="s">
        <v>5011</v>
      </c>
      <c r="Y219" s="2" t="s">
        <v>4727</v>
      </c>
      <c r="Z219" s="2" t="s">
        <v>5172</v>
      </c>
      <c r="AA2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2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19" s="6" t="str">
        <f>IF(_xlfn.IFNA(INDEX(configuracoes!$A$2:$A$10,MATCH(base_tc_geral[[#This Row],[TIPO]],configuracoes!$A$2:$A$10,0)),"NÃO")="NÃO","NÃO","SIM")</f>
        <v>NÃO</v>
      </c>
    </row>
    <row r="220" spans="1:31" x14ac:dyDescent="0.25">
      <c r="A220" s="2" t="s">
        <v>2181</v>
      </c>
      <c r="B220" s="2">
        <v>101007963</v>
      </c>
      <c r="C220" s="2" t="s">
        <v>15</v>
      </c>
      <c r="D220" s="2" t="s">
        <v>4481</v>
      </c>
      <c r="E220" s="2" t="s">
        <v>47</v>
      </c>
      <c r="F220" s="2" t="s">
        <v>244</v>
      </c>
      <c r="G220" s="2" t="s">
        <v>4780</v>
      </c>
      <c r="H220" s="2" t="s">
        <v>60</v>
      </c>
      <c r="I220" s="2" t="s">
        <v>16</v>
      </c>
      <c r="J220" s="2" t="s">
        <v>60</v>
      </c>
      <c r="K220" s="2" t="s">
        <v>20</v>
      </c>
      <c r="L220" s="2" t="s">
        <v>21</v>
      </c>
      <c r="M220" s="2" t="s">
        <v>22</v>
      </c>
      <c r="N220" s="2" t="s">
        <v>15</v>
      </c>
      <c r="O220" s="2" t="s">
        <v>161</v>
      </c>
      <c r="P220" s="2" t="s">
        <v>2183</v>
      </c>
      <c r="Q220" s="2" t="s">
        <v>4926</v>
      </c>
      <c r="R220" s="2" t="s">
        <v>246</v>
      </c>
      <c r="S220" s="2" t="s">
        <v>51</v>
      </c>
      <c r="T220" s="2" t="s">
        <v>4697</v>
      </c>
      <c r="U220" s="2" t="s">
        <v>12</v>
      </c>
      <c r="V220" s="2" t="s">
        <v>4778</v>
      </c>
      <c r="W220" s="2" t="s">
        <v>4982</v>
      </c>
      <c r="X220" s="2" t="s">
        <v>4925</v>
      </c>
      <c r="Y220" s="2" t="s">
        <v>2182</v>
      </c>
      <c r="Z220" s="2" t="s">
        <v>5173</v>
      </c>
      <c r="AA2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2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0" s="6" t="str">
        <f>IF(_xlfn.IFNA(INDEX(configuracoes!$A$2:$A$10,MATCH(base_tc_geral[[#This Row],[TIPO]],configuracoes!$A$2:$A$10,0)),"NÃO")="NÃO","NÃO","SIM")</f>
        <v>SIM</v>
      </c>
    </row>
    <row r="221" spans="1:31" x14ac:dyDescent="0.25">
      <c r="A221" s="2" t="s">
        <v>3036</v>
      </c>
      <c r="B221" s="2">
        <v>428271</v>
      </c>
      <c r="C221" s="2" t="s">
        <v>15</v>
      </c>
      <c r="D221" s="2" t="s">
        <v>4481</v>
      </c>
      <c r="E221" s="2" t="s">
        <v>47</v>
      </c>
      <c r="F221" s="2" t="s">
        <v>350</v>
      </c>
      <c r="G221" s="2" t="s">
        <v>245</v>
      </c>
      <c r="H221" s="2" t="s">
        <v>227</v>
      </c>
      <c r="I221" s="2" t="s">
        <v>16</v>
      </c>
      <c r="J221" s="2" t="s">
        <v>227</v>
      </c>
      <c r="K221" s="2" t="s">
        <v>20</v>
      </c>
      <c r="L221" s="2" t="s">
        <v>21</v>
      </c>
      <c r="M221" s="2" t="s">
        <v>22</v>
      </c>
      <c r="N221" s="2" t="s">
        <v>15</v>
      </c>
      <c r="O221" s="2" t="s">
        <v>271</v>
      </c>
      <c r="P221" s="2" t="s">
        <v>3038</v>
      </c>
      <c r="Q221" s="2" t="s">
        <v>4926</v>
      </c>
      <c r="R221" s="2" t="s">
        <v>4828</v>
      </c>
      <c r="S221" s="2" t="s">
        <v>4698</v>
      </c>
      <c r="T221" s="2" t="s">
        <v>4697</v>
      </c>
      <c r="U221" s="2" t="s">
        <v>12</v>
      </c>
      <c r="V221" s="2" t="s">
        <v>4829</v>
      </c>
      <c r="W221" s="2" t="s">
        <v>4982</v>
      </c>
      <c r="X221" s="2" t="s">
        <v>4925</v>
      </c>
      <c r="Y221" s="2" t="s">
        <v>3037</v>
      </c>
      <c r="Z221" s="2" t="s">
        <v>5174</v>
      </c>
      <c r="AA2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2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1" s="6" t="str">
        <f>IF(_xlfn.IFNA(INDEX(configuracoes!$A$2:$A$10,MATCH(base_tc_geral[[#This Row],[TIPO]],configuracoes!$A$2:$A$10,0)),"NÃO")="NÃO","NÃO","SIM")</f>
        <v>SIM</v>
      </c>
    </row>
    <row r="222" spans="1:31" x14ac:dyDescent="0.25">
      <c r="A222" s="2" t="s">
        <v>3159</v>
      </c>
      <c r="B222" s="2">
        <v>109505858</v>
      </c>
      <c r="C222" s="2" t="s">
        <v>15</v>
      </c>
      <c r="D222" s="2" t="s">
        <v>4505</v>
      </c>
      <c r="E222" s="2" t="s">
        <v>86</v>
      </c>
      <c r="F222" s="2" t="s">
        <v>817</v>
      </c>
      <c r="G222" s="2" t="s">
        <v>630</v>
      </c>
      <c r="H222" s="2" t="s">
        <v>217</v>
      </c>
      <c r="I222" s="2" t="s">
        <v>33</v>
      </c>
      <c r="J222" s="2" t="s">
        <v>91</v>
      </c>
      <c r="K222" s="2" t="s">
        <v>20</v>
      </c>
      <c r="L222" s="2" t="s">
        <v>21</v>
      </c>
      <c r="M222" s="2" t="s">
        <v>22</v>
      </c>
      <c r="N222" s="2" t="s">
        <v>15</v>
      </c>
      <c r="O222" s="2" t="s">
        <v>221</v>
      </c>
      <c r="P222" s="2" t="s">
        <v>3161</v>
      </c>
      <c r="Q222" s="2" t="s">
        <v>4926</v>
      </c>
      <c r="R222" s="2" t="s">
        <v>1466</v>
      </c>
      <c r="S222" s="2" t="s">
        <v>93</v>
      </c>
      <c r="T222" s="2" t="s">
        <v>4696</v>
      </c>
      <c r="U222" s="2" t="s">
        <v>12</v>
      </c>
      <c r="V222" s="2" t="s">
        <v>4802</v>
      </c>
      <c r="W222" s="2" t="s">
        <v>4982</v>
      </c>
      <c r="X222" s="2" t="s">
        <v>4925</v>
      </c>
      <c r="Y222" s="2" t="s">
        <v>3160</v>
      </c>
      <c r="Z222" s="2" t="s">
        <v>5175</v>
      </c>
      <c r="AA2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2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2" s="6" t="str">
        <f>IF(_xlfn.IFNA(INDEX(configuracoes!$A$2:$A$10,MATCH(base_tc_geral[[#This Row],[TIPO]],configuracoes!$A$2:$A$10,0)),"NÃO")="NÃO","NÃO","SIM")</f>
        <v>SIM</v>
      </c>
    </row>
    <row r="223" spans="1:31" x14ac:dyDescent="0.25">
      <c r="A223" s="2" t="s">
        <v>993</v>
      </c>
      <c r="B223" s="2">
        <v>105000986</v>
      </c>
      <c r="C223" s="2" t="s">
        <v>15</v>
      </c>
      <c r="D223" s="2" t="s">
        <v>4486</v>
      </c>
      <c r="E223" s="2" t="s">
        <v>28</v>
      </c>
      <c r="F223" s="2" t="s">
        <v>80</v>
      </c>
      <c r="G223" s="2" t="s">
        <v>245</v>
      </c>
      <c r="H223" s="2" t="s">
        <v>79</v>
      </c>
      <c r="I223" s="2" t="s">
        <v>33</v>
      </c>
      <c r="J223" s="2" t="s">
        <v>34</v>
      </c>
      <c r="K223" s="2" t="s">
        <v>20</v>
      </c>
      <c r="L223" s="2" t="s">
        <v>21</v>
      </c>
      <c r="M223" s="2" t="s">
        <v>22</v>
      </c>
      <c r="N223" s="2" t="s">
        <v>15</v>
      </c>
      <c r="O223" s="2" t="s">
        <v>83</v>
      </c>
      <c r="P223" s="2" t="s">
        <v>995</v>
      </c>
      <c r="Q223" s="2" t="s">
        <v>4926</v>
      </c>
      <c r="R223" s="2" t="s">
        <v>81</v>
      </c>
      <c r="S223" s="2" t="s">
        <v>167</v>
      </c>
      <c r="T223" s="2" t="s">
        <v>167</v>
      </c>
      <c r="U223" s="2" t="s">
        <v>12</v>
      </c>
      <c r="V223" s="2" t="s">
        <v>4767</v>
      </c>
      <c r="W223" s="2" t="s">
        <v>4982</v>
      </c>
      <c r="X223" s="2" t="s">
        <v>4925</v>
      </c>
      <c r="Y223" s="2" t="s">
        <v>994</v>
      </c>
      <c r="Z223" s="2" t="s">
        <v>5176</v>
      </c>
      <c r="AA2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2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3" s="6" t="str">
        <f>IF(_xlfn.IFNA(INDEX(configuracoes!$A$2:$A$10,MATCH(base_tc_geral[[#This Row],[TIPO]],configuracoes!$A$2:$A$10,0)),"NÃO")="NÃO","NÃO","SIM")</f>
        <v>SIM</v>
      </c>
    </row>
    <row r="224" spans="1:31" x14ac:dyDescent="0.25">
      <c r="A224" s="2" t="s">
        <v>1009</v>
      </c>
      <c r="B224" s="2">
        <v>101010210</v>
      </c>
      <c r="C224" s="2" t="s">
        <v>15</v>
      </c>
      <c r="D224" s="2" t="s">
        <v>4490</v>
      </c>
      <c r="E224" s="2" t="s">
        <v>47</v>
      </c>
      <c r="F224" s="2" t="s">
        <v>159</v>
      </c>
      <c r="G224" s="2" t="s">
        <v>99</v>
      </c>
      <c r="H224" s="2" t="s">
        <v>60</v>
      </c>
      <c r="I224" s="2" t="s">
        <v>16</v>
      </c>
      <c r="J224" s="2" t="s">
        <v>60</v>
      </c>
      <c r="K224" s="2" t="s">
        <v>20</v>
      </c>
      <c r="L224" s="2" t="s">
        <v>25</v>
      </c>
      <c r="M224" s="2" t="s">
        <v>22</v>
      </c>
      <c r="N224" s="2" t="s">
        <v>15</v>
      </c>
      <c r="O224" s="2" t="s">
        <v>161</v>
      </c>
      <c r="P224" s="2" t="s">
        <v>1011</v>
      </c>
      <c r="Q224" s="2" t="s">
        <v>4926</v>
      </c>
      <c r="R224" s="2" t="s">
        <v>294</v>
      </c>
      <c r="S224" s="2" t="s">
        <v>101</v>
      </c>
      <c r="T224" s="2" t="s">
        <v>4697</v>
      </c>
      <c r="U224" s="2" t="s">
        <v>12</v>
      </c>
      <c r="V224" s="2" t="s">
        <v>4809</v>
      </c>
      <c r="W224" s="2" t="s">
        <v>4931</v>
      </c>
      <c r="X224" s="2" t="s">
        <v>4925</v>
      </c>
      <c r="Y224" s="2" t="s">
        <v>1010</v>
      </c>
      <c r="Z224" s="2" t="s">
        <v>5177</v>
      </c>
      <c r="AA2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2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4" s="6" t="str">
        <f>IF(_xlfn.IFNA(INDEX(configuracoes!$A$2:$A$10,MATCH(base_tc_geral[[#This Row],[TIPO]],configuracoes!$A$2:$A$10,0)),"NÃO")="NÃO","NÃO","SIM")</f>
        <v>SIM</v>
      </c>
    </row>
    <row r="225" spans="1:31" x14ac:dyDescent="0.25">
      <c r="A225" s="2" t="s">
        <v>421</v>
      </c>
      <c r="B225" s="2">
        <v>105303207</v>
      </c>
      <c r="C225" s="2" t="s">
        <v>15</v>
      </c>
      <c r="D225" s="2" t="s">
        <v>4576</v>
      </c>
      <c r="E225" s="2" t="s">
        <v>28</v>
      </c>
      <c r="F225" s="2" t="s">
        <v>423</v>
      </c>
      <c r="G225" s="2" t="s">
        <v>89</v>
      </c>
      <c r="H225" s="2" t="s">
        <v>34</v>
      </c>
      <c r="I225" s="2" t="s">
        <v>33</v>
      </c>
      <c r="J225" s="2" t="s">
        <v>34</v>
      </c>
      <c r="K225" s="2" t="s">
        <v>92</v>
      </c>
      <c r="L225" s="2" t="s">
        <v>37</v>
      </c>
      <c r="M225" s="2" t="s">
        <v>44</v>
      </c>
      <c r="N225" s="2" t="s">
        <v>15</v>
      </c>
      <c r="O225" s="2" t="s">
        <v>156</v>
      </c>
      <c r="P225" s="2" t="s">
        <v>424</v>
      </c>
      <c r="Q225" s="2" t="s">
        <v>4926</v>
      </c>
      <c r="R225" s="2" t="s">
        <v>2243</v>
      </c>
      <c r="S225" s="2" t="s">
        <v>167</v>
      </c>
      <c r="T225" s="2" t="s">
        <v>167</v>
      </c>
      <c r="U225" s="2" t="s">
        <v>12</v>
      </c>
      <c r="V225" s="2" t="s">
        <v>4852</v>
      </c>
      <c r="W225" s="2" t="s">
        <v>4999</v>
      </c>
      <c r="X225" s="2" t="s">
        <v>44</v>
      </c>
      <c r="Y225" s="2" t="s">
        <v>422</v>
      </c>
      <c r="Z225" s="2" t="s">
        <v>5178</v>
      </c>
      <c r="AA2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2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5" s="6" t="str">
        <f>IF(_xlfn.IFNA(INDEX(configuracoes!$A$2:$A$10,MATCH(base_tc_geral[[#This Row],[TIPO]],configuracoes!$A$2:$A$10,0)),"NÃO")="NÃO","NÃO","SIM")</f>
        <v>NÃO</v>
      </c>
    </row>
    <row r="226" spans="1:31" x14ac:dyDescent="0.25">
      <c r="A226" s="2" t="s">
        <v>3533</v>
      </c>
      <c r="B226" s="2">
        <v>102101634</v>
      </c>
      <c r="C226" s="2" t="s">
        <v>15</v>
      </c>
      <c r="D226" s="2" t="s">
        <v>4567</v>
      </c>
      <c r="E226" s="2" t="s">
        <v>106</v>
      </c>
      <c r="F226" s="2" t="s">
        <v>108</v>
      </c>
      <c r="G226" s="2" t="s">
        <v>245</v>
      </c>
      <c r="H226" s="2" t="s">
        <v>107</v>
      </c>
      <c r="I226" s="2" t="s">
        <v>33</v>
      </c>
      <c r="J226" s="2" t="s">
        <v>109</v>
      </c>
      <c r="K226" s="2" t="s">
        <v>20</v>
      </c>
      <c r="L226" s="2" t="s">
        <v>21</v>
      </c>
      <c r="M226" s="2" t="s">
        <v>22</v>
      </c>
      <c r="N226" s="2" t="s">
        <v>15</v>
      </c>
      <c r="O226" s="2" t="s">
        <v>112</v>
      </c>
      <c r="P226" s="2" t="s">
        <v>3535</v>
      </c>
      <c r="Q226" s="2" t="s">
        <v>4926</v>
      </c>
      <c r="R226" s="2" t="s">
        <v>406</v>
      </c>
      <c r="S226" s="2" t="s">
        <v>736</v>
      </c>
      <c r="T226" s="2" t="s">
        <v>167</v>
      </c>
      <c r="U226" s="2" t="s">
        <v>12</v>
      </c>
      <c r="V226" s="2" t="s">
        <v>4853</v>
      </c>
      <c r="W226" s="2" t="s">
        <v>4982</v>
      </c>
      <c r="X226" s="2" t="s">
        <v>4925</v>
      </c>
      <c r="Y226" s="2" t="s">
        <v>3534</v>
      </c>
      <c r="Z226" s="2" t="s">
        <v>5179</v>
      </c>
      <c r="AA2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2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6" s="6" t="str">
        <f>IF(_xlfn.IFNA(INDEX(configuracoes!$A$2:$A$10,MATCH(base_tc_geral[[#This Row],[TIPO]],configuracoes!$A$2:$A$10,0)),"NÃO")="NÃO","NÃO","SIM")</f>
        <v>SIM</v>
      </c>
    </row>
    <row r="227" spans="1:31" x14ac:dyDescent="0.25">
      <c r="A227" s="2" t="s">
        <v>5180</v>
      </c>
      <c r="B227" s="2">
        <v>102101393</v>
      </c>
      <c r="C227" s="2" t="s">
        <v>15</v>
      </c>
      <c r="D227" s="2" t="s">
        <v>4494</v>
      </c>
      <c r="E227" s="2" t="s">
        <v>106</v>
      </c>
      <c r="F227" s="2" t="s">
        <v>863</v>
      </c>
      <c r="G227" s="2" t="s">
        <v>172</v>
      </c>
      <c r="H227" s="2" t="s">
        <v>427</v>
      </c>
      <c r="I227" s="2" t="s">
        <v>33</v>
      </c>
      <c r="J227" s="2" t="s">
        <v>109</v>
      </c>
      <c r="K227" s="2" t="s">
        <v>13</v>
      </c>
      <c r="L227" s="2" t="s">
        <v>17</v>
      </c>
      <c r="M227" s="2" t="s">
        <v>23</v>
      </c>
      <c r="N227" s="2" t="s">
        <v>15</v>
      </c>
      <c r="O227" s="2" t="s">
        <v>430</v>
      </c>
      <c r="P227" s="2" t="s">
        <v>5182</v>
      </c>
      <c r="Q227" s="2" t="s">
        <v>4926</v>
      </c>
      <c r="R227" s="2" t="s">
        <v>735</v>
      </c>
      <c r="S227" s="2" t="s">
        <v>736</v>
      </c>
      <c r="T227" s="2" t="s">
        <v>167</v>
      </c>
      <c r="U227" s="2" t="s">
        <v>12</v>
      </c>
      <c r="V227" s="2" t="s">
        <v>5183</v>
      </c>
      <c r="W227" s="2" t="s">
        <v>17</v>
      </c>
      <c r="X227" s="2" t="s">
        <v>4998</v>
      </c>
      <c r="Y227" s="2" t="s">
        <v>5181</v>
      </c>
      <c r="Z227" s="2" t="s">
        <v>5184</v>
      </c>
      <c r="AA2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2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7" s="6" t="str">
        <f>IF(_xlfn.IFNA(INDEX(configuracoes!$A$2:$A$10,MATCH(base_tc_geral[[#This Row],[TIPO]],configuracoes!$A$2:$A$10,0)),"NÃO")="NÃO","NÃO","SIM")</f>
        <v>NÃO</v>
      </c>
    </row>
    <row r="228" spans="1:31" x14ac:dyDescent="0.25">
      <c r="A228" s="2" t="s">
        <v>3736</v>
      </c>
      <c r="B228" s="2">
        <v>102100917</v>
      </c>
      <c r="C228" s="2" t="s">
        <v>15</v>
      </c>
      <c r="D228" s="2" t="s">
        <v>4514</v>
      </c>
      <c r="E228" s="2" t="s">
        <v>106</v>
      </c>
      <c r="F228" s="2" t="s">
        <v>116</v>
      </c>
      <c r="G228" s="2" t="s">
        <v>637</v>
      </c>
      <c r="H228" s="2" t="s">
        <v>115</v>
      </c>
      <c r="I228" s="2" t="s">
        <v>33</v>
      </c>
      <c r="J228" s="2" t="s">
        <v>109</v>
      </c>
      <c r="K228" s="2" t="s">
        <v>20</v>
      </c>
      <c r="L228" s="2" t="s">
        <v>19</v>
      </c>
      <c r="M228" s="2" t="s">
        <v>22</v>
      </c>
      <c r="N228" s="2" t="s">
        <v>15</v>
      </c>
      <c r="O228" s="2" t="s">
        <v>119</v>
      </c>
      <c r="P228" s="2" t="s">
        <v>3738</v>
      </c>
      <c r="Q228" s="2" t="s">
        <v>4926</v>
      </c>
      <c r="R228" s="2" t="s">
        <v>117</v>
      </c>
      <c r="S228" s="2" t="s">
        <v>736</v>
      </c>
      <c r="T228" s="2" t="s">
        <v>167</v>
      </c>
      <c r="U228" s="2" t="s">
        <v>12</v>
      </c>
      <c r="V228" s="2" t="s">
        <v>4902</v>
      </c>
      <c r="W228" s="2" t="s">
        <v>4982</v>
      </c>
      <c r="X228" s="2" t="s">
        <v>4925</v>
      </c>
      <c r="Y228" s="2" t="s">
        <v>3737</v>
      </c>
      <c r="Z228" s="2" t="s">
        <v>5185</v>
      </c>
      <c r="AA2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2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8" s="6" t="str">
        <f>IF(_xlfn.IFNA(INDEX(configuracoes!$A$2:$A$10,MATCH(base_tc_geral[[#This Row],[TIPO]],configuracoes!$A$2:$A$10,0)),"NÃO")="NÃO","NÃO","SIM")</f>
        <v>SIM</v>
      </c>
    </row>
    <row r="229" spans="1:31" x14ac:dyDescent="0.25">
      <c r="A229" s="2" t="s">
        <v>4028</v>
      </c>
      <c r="B229" s="2">
        <v>109000340</v>
      </c>
      <c r="C229" s="2" t="s">
        <v>15</v>
      </c>
      <c r="D229" s="2" t="s">
        <v>4509</v>
      </c>
      <c r="E229" s="2" t="s">
        <v>86</v>
      </c>
      <c r="F229" s="2" t="s">
        <v>199</v>
      </c>
      <c r="G229" s="2" t="s">
        <v>630</v>
      </c>
      <c r="H229" s="2" t="s">
        <v>198</v>
      </c>
      <c r="I229" s="2" t="s">
        <v>33</v>
      </c>
      <c r="J229" s="2" t="s">
        <v>91</v>
      </c>
      <c r="K229" s="2" t="s">
        <v>20</v>
      </c>
      <c r="L229" s="2" t="s">
        <v>21</v>
      </c>
      <c r="M229" s="2" t="s">
        <v>22</v>
      </c>
      <c r="N229" s="2" t="s">
        <v>15</v>
      </c>
      <c r="O229" s="2" t="s">
        <v>201</v>
      </c>
      <c r="P229" s="2" t="s">
        <v>4030</v>
      </c>
      <c r="Q229" s="2" t="s">
        <v>4926</v>
      </c>
      <c r="R229" s="2" t="s">
        <v>90</v>
      </c>
      <c r="S229" s="2" t="s">
        <v>93</v>
      </c>
      <c r="T229" s="2" t="s">
        <v>4696</v>
      </c>
      <c r="U229" s="2" t="s">
        <v>12</v>
      </c>
      <c r="V229" s="2" t="s">
        <v>4796</v>
      </c>
      <c r="W229" s="2" t="s">
        <v>4982</v>
      </c>
      <c r="X229" s="2" t="s">
        <v>4925</v>
      </c>
      <c r="Y229" s="2" t="s">
        <v>4029</v>
      </c>
      <c r="Z229" s="2" t="s">
        <v>5186</v>
      </c>
      <c r="AA2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2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29" s="6" t="str">
        <f>IF(_xlfn.IFNA(INDEX(configuracoes!$A$2:$A$10,MATCH(base_tc_geral[[#This Row],[TIPO]],configuracoes!$A$2:$A$10,0)),"NÃO")="NÃO","NÃO","SIM")</f>
        <v>SIM</v>
      </c>
    </row>
    <row r="230" spans="1:31" x14ac:dyDescent="0.25">
      <c r="A230" s="2" t="s">
        <v>3496</v>
      </c>
      <c r="B230" s="2">
        <v>102100917</v>
      </c>
      <c r="C230" s="2" t="s">
        <v>15</v>
      </c>
      <c r="D230" s="2" t="s">
        <v>4658</v>
      </c>
      <c r="E230" s="2" t="s">
        <v>106</v>
      </c>
      <c r="F230" s="2" t="s">
        <v>116</v>
      </c>
      <c r="G230" s="2" t="s">
        <v>58</v>
      </c>
      <c r="H230" s="2" t="s">
        <v>115</v>
      </c>
      <c r="I230" s="2" t="s">
        <v>33</v>
      </c>
      <c r="J230" s="2" t="s">
        <v>109</v>
      </c>
      <c r="K230" s="2" t="s">
        <v>13</v>
      </c>
      <c r="L230" s="2" t="s">
        <v>61</v>
      </c>
      <c r="M230" s="2" t="s">
        <v>44</v>
      </c>
      <c r="N230" s="2" t="s">
        <v>15</v>
      </c>
      <c r="O230" s="2" t="s">
        <v>119</v>
      </c>
      <c r="P230" s="2" t="s">
        <v>3498</v>
      </c>
      <c r="Q230" s="2" t="s">
        <v>4926</v>
      </c>
      <c r="R230" s="2" t="s">
        <v>117</v>
      </c>
      <c r="S230" s="2" t="s">
        <v>736</v>
      </c>
      <c r="T230" s="2" t="s">
        <v>167</v>
      </c>
      <c r="U230" s="2" t="s">
        <v>12</v>
      </c>
      <c r="V230" s="2" t="s">
        <v>4902</v>
      </c>
      <c r="W230" s="2" t="s">
        <v>4999</v>
      </c>
      <c r="X230" s="2" t="s">
        <v>44</v>
      </c>
      <c r="Y230" s="2" t="s">
        <v>3497</v>
      </c>
      <c r="Z230" s="2" t="s">
        <v>5187</v>
      </c>
      <c r="AA2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2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30" s="6" t="str">
        <f>IF(_xlfn.IFNA(INDEX(configuracoes!$A$2:$A$10,MATCH(base_tc_geral[[#This Row],[TIPO]],configuracoes!$A$2:$A$10,0)),"NÃO")="NÃO","NÃO","SIM")</f>
        <v>NÃO</v>
      </c>
    </row>
    <row r="231" spans="1:31" x14ac:dyDescent="0.25">
      <c r="A231" s="2" t="s">
        <v>806</v>
      </c>
      <c r="B231" s="2">
        <v>101001670</v>
      </c>
      <c r="C231" s="2" t="s">
        <v>40</v>
      </c>
      <c r="D231" s="2" t="s">
        <v>4518</v>
      </c>
      <c r="E231" s="2" t="s">
        <v>47</v>
      </c>
      <c r="F231" s="2" t="s">
        <v>225</v>
      </c>
      <c r="G231" s="2" t="s">
        <v>245</v>
      </c>
      <c r="H231" s="2" t="s">
        <v>224</v>
      </c>
      <c r="I231" s="2" t="s">
        <v>16</v>
      </c>
      <c r="J231" s="2" t="s">
        <v>227</v>
      </c>
      <c r="K231" s="2" t="s">
        <v>20</v>
      </c>
      <c r="L231" s="2" t="s">
        <v>21</v>
      </c>
      <c r="M231" s="2" t="s">
        <v>22</v>
      </c>
      <c r="N231" s="2" t="s">
        <v>40</v>
      </c>
      <c r="O231" s="2" t="s">
        <v>229</v>
      </c>
      <c r="P231" s="2" t="s">
        <v>808</v>
      </c>
      <c r="Q231" s="2" t="s">
        <v>4926</v>
      </c>
      <c r="R231" s="2" t="s">
        <v>226</v>
      </c>
      <c r="S231" s="2" t="s">
        <v>4698</v>
      </c>
      <c r="T231" s="2" t="s">
        <v>4697</v>
      </c>
      <c r="U231" s="2" t="s">
        <v>39</v>
      </c>
      <c r="V231" s="2" t="s">
        <v>4844</v>
      </c>
      <c r="W231" s="2" t="s">
        <v>4982</v>
      </c>
      <c r="X231" s="2" t="s">
        <v>4925</v>
      </c>
      <c r="Y231" s="2" t="s">
        <v>807</v>
      </c>
      <c r="Z231" s="2" t="s">
        <v>5188</v>
      </c>
      <c r="AA2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2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231" s="6" t="str">
        <f>IF(_xlfn.IFNA(INDEX(configuracoes!$A$2:$A$10,MATCH(base_tc_geral[[#This Row],[TIPO]],configuracoes!$A$2:$A$10,0)),"NÃO")="NÃO","NÃO","SIM")</f>
        <v>SIM</v>
      </c>
    </row>
    <row r="232" spans="1:31" x14ac:dyDescent="0.25">
      <c r="A232" s="2" t="s">
        <v>746</v>
      </c>
      <c r="B232" s="2">
        <v>102101220</v>
      </c>
      <c r="C232" s="2" t="s">
        <v>15</v>
      </c>
      <c r="D232" s="2" t="s">
        <v>4511</v>
      </c>
      <c r="E232" s="2" t="s">
        <v>106</v>
      </c>
      <c r="F232" s="2" t="s">
        <v>428</v>
      </c>
      <c r="G232" s="2" t="s">
        <v>630</v>
      </c>
      <c r="H232" s="2" t="s">
        <v>427</v>
      </c>
      <c r="I232" s="2" t="s">
        <v>33</v>
      </c>
      <c r="J232" s="2" t="s">
        <v>109</v>
      </c>
      <c r="K232" s="2" t="s">
        <v>20</v>
      </c>
      <c r="L232" s="2" t="s">
        <v>21</v>
      </c>
      <c r="M232" s="2" t="s">
        <v>22</v>
      </c>
      <c r="N232" s="2" t="s">
        <v>15</v>
      </c>
      <c r="O232" s="2" t="s">
        <v>430</v>
      </c>
      <c r="P232" s="2" t="s">
        <v>748</v>
      </c>
      <c r="Q232" s="2" t="s">
        <v>4926</v>
      </c>
      <c r="R232" s="2" t="s">
        <v>625</v>
      </c>
      <c r="S232" s="2" t="s">
        <v>736</v>
      </c>
      <c r="T232" s="2" t="s">
        <v>167</v>
      </c>
      <c r="U232" s="2" t="s">
        <v>12</v>
      </c>
      <c r="V232" s="2" t="s">
        <v>4895</v>
      </c>
      <c r="W232" s="2" t="s">
        <v>4982</v>
      </c>
      <c r="X232" s="2" t="s">
        <v>4925</v>
      </c>
      <c r="Y232" s="2" t="s">
        <v>747</v>
      </c>
      <c r="Z232" s="2" t="s">
        <v>5189</v>
      </c>
      <c r="AA2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2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32" s="6" t="str">
        <f>IF(_xlfn.IFNA(INDEX(configuracoes!$A$2:$A$10,MATCH(base_tc_geral[[#This Row],[TIPO]],configuracoes!$A$2:$A$10,0)),"NÃO")="NÃO","NÃO","SIM")</f>
        <v>SIM</v>
      </c>
    </row>
    <row r="233" spans="1:31" x14ac:dyDescent="0.25">
      <c r="A233" s="2" t="s">
        <v>2390</v>
      </c>
      <c r="B233" s="2">
        <v>102101393</v>
      </c>
      <c r="C233" s="2" t="s">
        <v>15</v>
      </c>
      <c r="D233" s="2" t="s">
        <v>4568</v>
      </c>
      <c r="E233" s="2" t="s">
        <v>106</v>
      </c>
      <c r="F233" s="2" t="s">
        <v>428</v>
      </c>
      <c r="G233" s="2" t="s">
        <v>172</v>
      </c>
      <c r="H233" s="2" t="s">
        <v>427</v>
      </c>
      <c r="I233" s="2" t="s">
        <v>33</v>
      </c>
      <c r="J233" s="2" t="s">
        <v>109</v>
      </c>
      <c r="K233" s="2" t="s">
        <v>13</v>
      </c>
      <c r="L233" s="2" t="s">
        <v>17</v>
      </c>
      <c r="M233" s="2" t="s">
        <v>23</v>
      </c>
      <c r="N233" s="2" t="s">
        <v>15</v>
      </c>
      <c r="O233" s="2" t="s">
        <v>430</v>
      </c>
      <c r="P233" s="2" t="s">
        <v>2392</v>
      </c>
      <c r="Q233" s="2" t="s">
        <v>4926</v>
      </c>
      <c r="R233" s="2" t="s">
        <v>735</v>
      </c>
      <c r="S233" s="2" t="s">
        <v>736</v>
      </c>
      <c r="T233" s="2" t="s">
        <v>167</v>
      </c>
      <c r="U233" s="2" t="s">
        <v>12</v>
      </c>
      <c r="V233" s="2" t="s">
        <v>4886</v>
      </c>
      <c r="W233" s="2" t="s">
        <v>17</v>
      </c>
      <c r="X233" s="2" t="s">
        <v>4998</v>
      </c>
      <c r="Y233" s="2" t="s">
        <v>2391</v>
      </c>
      <c r="Z233" s="2" t="s">
        <v>5190</v>
      </c>
      <c r="AA2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2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33" s="6" t="str">
        <f>IF(_xlfn.IFNA(INDEX(configuracoes!$A$2:$A$10,MATCH(base_tc_geral[[#This Row],[TIPO]],configuracoes!$A$2:$A$10,0)),"NÃO")="NÃO","NÃO","SIM")</f>
        <v>NÃO</v>
      </c>
    </row>
    <row r="234" spans="1:31" x14ac:dyDescent="0.25">
      <c r="A234" s="2" t="s">
        <v>503</v>
      </c>
      <c r="B234" s="2">
        <v>109500315</v>
      </c>
      <c r="C234" s="2" t="s">
        <v>15</v>
      </c>
      <c r="D234" s="2" t="s">
        <v>4516</v>
      </c>
      <c r="E234" s="2" t="s">
        <v>86</v>
      </c>
      <c r="F234" s="2" t="s">
        <v>505</v>
      </c>
      <c r="G234" s="2" t="s">
        <v>172</v>
      </c>
      <c r="H234" s="2" t="s">
        <v>164</v>
      </c>
      <c r="I234" s="2" t="s">
        <v>33</v>
      </c>
      <c r="J234" s="2" t="s">
        <v>124</v>
      </c>
      <c r="K234" s="2" t="s">
        <v>13</v>
      </c>
      <c r="L234" s="2" t="s">
        <v>17</v>
      </c>
      <c r="M234" s="2" t="s">
        <v>23</v>
      </c>
      <c r="N234" s="2" t="s">
        <v>15</v>
      </c>
      <c r="O234" s="2" t="s">
        <v>169</v>
      </c>
      <c r="P234" s="2" t="s">
        <v>506</v>
      </c>
      <c r="Q234" s="2" t="s">
        <v>4926</v>
      </c>
      <c r="R234" s="2" t="s">
        <v>173</v>
      </c>
      <c r="S234" s="2" t="s">
        <v>93</v>
      </c>
      <c r="T234" s="2" t="s">
        <v>4696</v>
      </c>
      <c r="U234" s="2" t="s">
        <v>12</v>
      </c>
      <c r="V234" s="2" t="s">
        <v>4887</v>
      </c>
      <c r="W234" s="2" t="s">
        <v>17</v>
      </c>
      <c r="X234" s="2" t="s">
        <v>4998</v>
      </c>
      <c r="Y234" s="2" t="s">
        <v>504</v>
      </c>
      <c r="Z234" s="2" t="s">
        <v>5191</v>
      </c>
      <c r="AA2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2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34" s="6" t="str">
        <f>IF(_xlfn.IFNA(INDEX(configuracoes!$A$2:$A$10,MATCH(base_tc_geral[[#This Row],[TIPO]],configuracoes!$A$2:$A$10,0)),"NÃO")="NÃO","NÃO","SIM")</f>
        <v>NÃO</v>
      </c>
    </row>
    <row r="235" spans="1:31" x14ac:dyDescent="0.25">
      <c r="A235" s="2" t="s">
        <v>1207</v>
      </c>
      <c r="B235" s="2">
        <v>102101393</v>
      </c>
      <c r="C235" s="2" t="s">
        <v>15</v>
      </c>
      <c r="D235" s="2" t="s">
        <v>4486</v>
      </c>
      <c r="E235" s="2" t="s">
        <v>106</v>
      </c>
      <c r="F235" s="2" t="s">
        <v>405</v>
      </c>
      <c r="G235" s="2" t="s">
        <v>58</v>
      </c>
      <c r="H235" s="2" t="s">
        <v>130</v>
      </c>
      <c r="I235" s="2" t="s">
        <v>33</v>
      </c>
      <c r="J235" s="2" t="s">
        <v>109</v>
      </c>
      <c r="K235" s="2" t="s">
        <v>13</v>
      </c>
      <c r="L235" s="2" t="s">
        <v>61</v>
      </c>
      <c r="M235" s="2" t="s">
        <v>44</v>
      </c>
      <c r="N235" s="2" t="s">
        <v>15</v>
      </c>
      <c r="O235" s="2" t="s">
        <v>132</v>
      </c>
      <c r="P235" s="2" t="s">
        <v>1209</v>
      </c>
      <c r="Q235" s="2" t="s">
        <v>4926</v>
      </c>
      <c r="R235" s="2" t="s">
        <v>735</v>
      </c>
      <c r="S235" s="2" t="s">
        <v>736</v>
      </c>
      <c r="T235" s="2" t="s">
        <v>167</v>
      </c>
      <c r="U235" s="2" t="s">
        <v>12</v>
      </c>
      <c r="V235" s="2" t="s">
        <v>4886</v>
      </c>
      <c r="W235" s="2" t="s">
        <v>4999</v>
      </c>
      <c r="X235" s="2" t="s">
        <v>44</v>
      </c>
      <c r="Y235" s="2" t="s">
        <v>1208</v>
      </c>
      <c r="Z235" s="2" t="s">
        <v>5192</v>
      </c>
      <c r="AA2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2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35" s="6" t="str">
        <f>IF(_xlfn.IFNA(INDEX(configuracoes!$A$2:$A$10,MATCH(base_tc_geral[[#This Row],[TIPO]],configuracoes!$A$2:$A$10,0)),"NÃO")="NÃO","NÃO","SIM")</f>
        <v>NÃO</v>
      </c>
    </row>
    <row r="236" spans="1:31" x14ac:dyDescent="0.25">
      <c r="A236" s="2" t="s">
        <v>1517</v>
      </c>
      <c r="B236" s="2">
        <v>102002917</v>
      </c>
      <c r="C236" s="2" t="s">
        <v>24</v>
      </c>
      <c r="D236" s="2" t="s">
        <v>4768</v>
      </c>
      <c r="E236" s="2" t="s">
        <v>106</v>
      </c>
      <c r="F236" s="2" t="s">
        <v>863</v>
      </c>
      <c r="G236" s="2" t="s">
        <v>630</v>
      </c>
      <c r="H236" s="2" t="s">
        <v>427</v>
      </c>
      <c r="I236" s="2" t="s">
        <v>33</v>
      </c>
      <c r="J236" s="2" t="s">
        <v>109</v>
      </c>
      <c r="K236" s="2" t="s">
        <v>20</v>
      </c>
      <c r="L236" s="2" t="s">
        <v>21</v>
      </c>
      <c r="M236" s="2" t="s">
        <v>22</v>
      </c>
      <c r="N236" s="2" t="s">
        <v>24</v>
      </c>
      <c r="O236" s="2" t="s">
        <v>430</v>
      </c>
      <c r="P236" s="2" t="s">
        <v>1519</v>
      </c>
      <c r="Q236" s="2" t="s">
        <v>4926</v>
      </c>
      <c r="R236" s="2" t="s">
        <v>5069</v>
      </c>
      <c r="S236" s="2" t="s">
        <v>736</v>
      </c>
      <c r="T236" s="2" t="s">
        <v>167</v>
      </c>
      <c r="U236" s="2" t="s">
        <v>39</v>
      </c>
      <c r="V236" s="2" t="s">
        <v>4773</v>
      </c>
      <c r="W236" s="2" t="s">
        <v>4982</v>
      </c>
      <c r="X236" s="2" t="s">
        <v>4925</v>
      </c>
      <c r="Y236" s="2" t="s">
        <v>1518</v>
      </c>
      <c r="Z236" s="2" t="s">
        <v>5193</v>
      </c>
      <c r="AA2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2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36" s="6" t="str">
        <f>IF(_xlfn.IFNA(INDEX(configuracoes!$A$2:$A$10,MATCH(base_tc_geral[[#This Row],[TIPO]],configuracoes!$A$2:$A$10,0)),"NÃO")="NÃO","NÃO","SIM")</f>
        <v>SIM</v>
      </c>
    </row>
    <row r="237" spans="1:31" x14ac:dyDescent="0.25">
      <c r="A237" s="2" t="s">
        <v>773</v>
      </c>
      <c r="B237" s="2">
        <v>101010210</v>
      </c>
      <c r="C237" s="2" t="s">
        <v>15</v>
      </c>
      <c r="D237" s="2" t="s">
        <v>4490</v>
      </c>
      <c r="E237" s="2" t="s">
        <v>47</v>
      </c>
      <c r="F237" s="2" t="s">
        <v>159</v>
      </c>
      <c r="G237" s="2" t="s">
        <v>99</v>
      </c>
      <c r="H237" s="2" t="s">
        <v>60</v>
      </c>
      <c r="I237" s="2" t="s">
        <v>16</v>
      </c>
      <c r="J237" s="2" t="s">
        <v>60</v>
      </c>
      <c r="K237" s="2" t="s">
        <v>20</v>
      </c>
      <c r="L237" s="2" t="s">
        <v>25</v>
      </c>
      <c r="M237" s="2" t="s">
        <v>22</v>
      </c>
      <c r="N237" s="2" t="s">
        <v>15</v>
      </c>
      <c r="O237" s="2" t="s">
        <v>161</v>
      </c>
      <c r="P237" s="2" t="s">
        <v>775</v>
      </c>
      <c r="Q237" s="2" t="s">
        <v>4926</v>
      </c>
      <c r="R237" s="2" t="s">
        <v>294</v>
      </c>
      <c r="S237" s="2" t="s">
        <v>101</v>
      </c>
      <c r="T237" s="2" t="s">
        <v>4697</v>
      </c>
      <c r="U237" s="2" t="s">
        <v>12</v>
      </c>
      <c r="V237" s="2" t="s">
        <v>4809</v>
      </c>
      <c r="W237" s="2" t="s">
        <v>4931</v>
      </c>
      <c r="X237" s="2" t="s">
        <v>4925</v>
      </c>
      <c r="Y237" s="2" t="s">
        <v>774</v>
      </c>
      <c r="Z237" s="2" t="s">
        <v>5194</v>
      </c>
      <c r="AA2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2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37" s="6" t="str">
        <f>IF(_xlfn.IFNA(INDEX(configuracoes!$A$2:$A$10,MATCH(base_tc_geral[[#This Row],[TIPO]],configuracoes!$A$2:$A$10,0)),"NÃO")="NÃO","NÃO","SIM")</f>
        <v>SIM</v>
      </c>
    </row>
    <row r="238" spans="1:31" x14ac:dyDescent="0.25">
      <c r="A238" s="2" t="s">
        <v>3799</v>
      </c>
      <c r="B238" s="2">
        <v>102101634</v>
      </c>
      <c r="C238" s="2" t="s">
        <v>24</v>
      </c>
      <c r="D238" s="2" t="s">
        <v>4768</v>
      </c>
      <c r="E238" s="2" t="s">
        <v>106</v>
      </c>
      <c r="F238" s="2" t="s">
        <v>186</v>
      </c>
      <c r="G238" s="2" t="s">
        <v>245</v>
      </c>
      <c r="H238" s="2" t="s">
        <v>107</v>
      </c>
      <c r="I238" s="2" t="s">
        <v>33</v>
      </c>
      <c r="J238" s="2" t="s">
        <v>109</v>
      </c>
      <c r="K238" s="2" t="s">
        <v>20</v>
      </c>
      <c r="L238" s="2" t="s">
        <v>21</v>
      </c>
      <c r="M238" s="2" t="s">
        <v>22</v>
      </c>
      <c r="N238" s="2" t="s">
        <v>24</v>
      </c>
      <c r="O238" s="2" t="s">
        <v>112</v>
      </c>
      <c r="P238" s="2" t="s">
        <v>3801</v>
      </c>
      <c r="Q238" s="2" t="s">
        <v>4926</v>
      </c>
      <c r="R238" s="2" t="s">
        <v>406</v>
      </c>
      <c r="S238" s="2" t="s">
        <v>736</v>
      </c>
      <c r="T238" s="2" t="s">
        <v>167</v>
      </c>
      <c r="U238" s="2" t="s">
        <v>39</v>
      </c>
      <c r="V238" s="2" t="s">
        <v>4853</v>
      </c>
      <c r="W238" s="2" t="s">
        <v>4982</v>
      </c>
      <c r="X238" s="2" t="s">
        <v>4925</v>
      </c>
      <c r="Y238" s="2" t="s">
        <v>3800</v>
      </c>
      <c r="Z238" s="2" t="s">
        <v>5195</v>
      </c>
      <c r="AA2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2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38" s="6" t="str">
        <f>IF(_xlfn.IFNA(INDEX(configuracoes!$A$2:$A$10,MATCH(base_tc_geral[[#This Row],[TIPO]],configuracoes!$A$2:$A$10,0)),"NÃO")="NÃO","NÃO","SIM")</f>
        <v>SIM</v>
      </c>
    </row>
    <row r="239" spans="1:31" x14ac:dyDescent="0.25">
      <c r="A239" s="2" t="s">
        <v>1104</v>
      </c>
      <c r="B239" s="2">
        <v>109000926</v>
      </c>
      <c r="C239" s="2" t="s">
        <v>15</v>
      </c>
      <c r="D239" s="2" t="s">
        <v>4502</v>
      </c>
      <c r="E239" s="2" t="s">
        <v>86</v>
      </c>
      <c r="F239" s="2" t="s">
        <v>325</v>
      </c>
      <c r="G239" s="2" t="s">
        <v>245</v>
      </c>
      <c r="H239" s="2" t="s">
        <v>283</v>
      </c>
      <c r="I239" s="2" t="s">
        <v>33</v>
      </c>
      <c r="J239" s="2" t="s">
        <v>124</v>
      </c>
      <c r="K239" s="2" t="s">
        <v>20</v>
      </c>
      <c r="L239" s="2" t="s">
        <v>21</v>
      </c>
      <c r="M239" s="2" t="s">
        <v>22</v>
      </c>
      <c r="N239" s="2" t="s">
        <v>15</v>
      </c>
      <c r="O239" s="2" t="s">
        <v>287</v>
      </c>
      <c r="P239" s="2" t="s">
        <v>1106</v>
      </c>
      <c r="Q239" s="2" t="s">
        <v>4926</v>
      </c>
      <c r="R239" s="2" t="s">
        <v>285</v>
      </c>
      <c r="S239" s="2" t="s">
        <v>125</v>
      </c>
      <c r="T239" s="2" t="s">
        <v>4696</v>
      </c>
      <c r="U239" s="2" t="s">
        <v>12</v>
      </c>
      <c r="V239" s="2" t="s">
        <v>4777</v>
      </c>
      <c r="W239" s="2" t="s">
        <v>4982</v>
      </c>
      <c r="X239" s="2" t="s">
        <v>4925</v>
      </c>
      <c r="Y239" s="2" t="s">
        <v>1105</v>
      </c>
      <c r="Z239" s="2" t="s">
        <v>5196</v>
      </c>
      <c r="AA2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2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2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39" s="6" t="str">
        <f>IF(_xlfn.IFNA(INDEX(configuracoes!$A$2:$A$10,MATCH(base_tc_geral[[#This Row],[TIPO]],configuracoes!$A$2:$A$10,0)),"NÃO")="NÃO","NÃO","SIM")</f>
        <v>SIM</v>
      </c>
    </row>
    <row r="240" spans="1:31" x14ac:dyDescent="0.25">
      <c r="A240" s="2" t="s">
        <v>3962</v>
      </c>
      <c r="B240" s="2">
        <v>105303207</v>
      </c>
      <c r="C240" s="2" t="s">
        <v>15</v>
      </c>
      <c r="D240" s="2" t="s">
        <v>4531</v>
      </c>
      <c r="E240" s="2" t="s">
        <v>28</v>
      </c>
      <c r="F240" s="2" t="s">
        <v>154</v>
      </c>
      <c r="G240" s="2" t="s">
        <v>883</v>
      </c>
      <c r="H240" s="2" t="s">
        <v>34</v>
      </c>
      <c r="I240" s="2" t="s">
        <v>33</v>
      </c>
      <c r="J240" s="2" t="s">
        <v>34</v>
      </c>
      <c r="K240" s="2" t="s">
        <v>20</v>
      </c>
      <c r="L240" s="2" t="s">
        <v>21</v>
      </c>
      <c r="M240" s="2" t="s">
        <v>22</v>
      </c>
      <c r="N240" s="2" t="s">
        <v>15</v>
      </c>
      <c r="O240" s="2" t="s">
        <v>156</v>
      </c>
      <c r="P240" s="2" t="s">
        <v>3964</v>
      </c>
      <c r="Q240" s="2" t="s">
        <v>4926</v>
      </c>
      <c r="R240" s="2" t="s">
        <v>2243</v>
      </c>
      <c r="S240" s="2" t="s">
        <v>167</v>
      </c>
      <c r="T240" s="2" t="s">
        <v>167</v>
      </c>
      <c r="U240" s="2" t="s">
        <v>12</v>
      </c>
      <c r="V240" s="2" t="s">
        <v>4852</v>
      </c>
      <c r="W240" s="2" t="s">
        <v>4982</v>
      </c>
      <c r="X240" s="2" t="s">
        <v>4925</v>
      </c>
      <c r="Y240" s="2" t="s">
        <v>3963</v>
      </c>
      <c r="Z240" s="2" t="s">
        <v>5197</v>
      </c>
      <c r="AA2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2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0" s="6" t="str">
        <f>IF(_xlfn.IFNA(INDEX(configuracoes!$A$2:$A$10,MATCH(base_tc_geral[[#This Row],[TIPO]],configuracoes!$A$2:$A$10,0)),"NÃO")="NÃO","NÃO","SIM")</f>
        <v>SIM</v>
      </c>
    </row>
    <row r="241" spans="1:31" x14ac:dyDescent="0.25">
      <c r="A241" s="2" t="s">
        <v>1085</v>
      </c>
      <c r="B241" s="2">
        <v>109504012</v>
      </c>
      <c r="C241" s="2" t="s">
        <v>15</v>
      </c>
      <c r="D241" s="2" t="s">
        <v>4486</v>
      </c>
      <c r="E241" s="2" t="s">
        <v>28</v>
      </c>
      <c r="F241" s="2" t="s">
        <v>570</v>
      </c>
      <c r="G241" s="2" t="s">
        <v>89</v>
      </c>
      <c r="H241" s="2" t="s">
        <v>34</v>
      </c>
      <c r="I241" s="2" t="s">
        <v>33</v>
      </c>
      <c r="J241" s="2" t="s">
        <v>34</v>
      </c>
      <c r="K241" s="2" t="s">
        <v>92</v>
      </c>
      <c r="L241" s="2" t="s">
        <v>37</v>
      </c>
      <c r="M241" s="2" t="s">
        <v>44</v>
      </c>
      <c r="N241" s="2" t="s">
        <v>15</v>
      </c>
      <c r="O241" s="2" t="s">
        <v>156</v>
      </c>
      <c r="P241" s="2" t="s">
        <v>1087</v>
      </c>
      <c r="Q241" s="2" t="s">
        <v>4926</v>
      </c>
      <c r="R241" s="2" t="s">
        <v>166</v>
      </c>
      <c r="S241" s="2" t="s">
        <v>167</v>
      </c>
      <c r="T241" s="2" t="s">
        <v>167</v>
      </c>
      <c r="U241" s="2" t="s">
        <v>12</v>
      </c>
      <c r="V241" s="2" t="s">
        <v>4775</v>
      </c>
      <c r="W241" s="2" t="s">
        <v>5013</v>
      </c>
      <c r="X241" s="2" t="s">
        <v>44</v>
      </c>
      <c r="Y241" s="2" t="s">
        <v>1086</v>
      </c>
      <c r="Z241" s="2" t="s">
        <v>5198</v>
      </c>
      <c r="AA2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2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1" s="6" t="str">
        <f>IF(_xlfn.IFNA(INDEX(configuracoes!$A$2:$A$10,MATCH(base_tc_geral[[#This Row],[TIPO]],configuracoes!$A$2:$A$10,0)),"NÃO")="NÃO","NÃO","SIM")</f>
        <v>NÃO</v>
      </c>
    </row>
    <row r="242" spans="1:31" x14ac:dyDescent="0.25">
      <c r="A242" s="2" t="s">
        <v>2439</v>
      </c>
      <c r="B242" s="2">
        <v>102100390</v>
      </c>
      <c r="C242" s="2" t="s">
        <v>24</v>
      </c>
      <c r="D242" s="2" t="s">
        <v>4482</v>
      </c>
      <c r="E242" s="2" t="s">
        <v>106</v>
      </c>
      <c r="F242" s="2" t="s">
        <v>405</v>
      </c>
      <c r="G242" s="2" t="s">
        <v>245</v>
      </c>
      <c r="H242" s="2" t="s">
        <v>130</v>
      </c>
      <c r="I242" s="2" t="s">
        <v>33</v>
      </c>
      <c r="J242" s="2" t="s">
        <v>109</v>
      </c>
      <c r="K242" s="2" t="s">
        <v>20</v>
      </c>
      <c r="L242" s="2" t="s">
        <v>21</v>
      </c>
      <c r="M242" s="2" t="s">
        <v>22</v>
      </c>
      <c r="N242" s="2" t="s">
        <v>24</v>
      </c>
      <c r="O242" s="2" t="s">
        <v>132</v>
      </c>
      <c r="P242" s="2" t="s">
        <v>2441</v>
      </c>
      <c r="Q242" s="2" t="s">
        <v>4926</v>
      </c>
      <c r="R242" s="2" t="s">
        <v>1092</v>
      </c>
      <c r="S242" s="2" t="s">
        <v>736</v>
      </c>
      <c r="T242" s="2" t="s">
        <v>167</v>
      </c>
      <c r="U242" s="2" t="s">
        <v>39</v>
      </c>
      <c r="V242" s="2" t="s">
        <v>4901</v>
      </c>
      <c r="W242" s="2" t="s">
        <v>4982</v>
      </c>
      <c r="X242" s="2" t="s">
        <v>4925</v>
      </c>
      <c r="Y242" s="2" t="s">
        <v>2440</v>
      </c>
      <c r="Z242" s="2" t="s">
        <v>5199</v>
      </c>
      <c r="AA2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2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42" s="6" t="str">
        <f>IF(_xlfn.IFNA(INDEX(configuracoes!$A$2:$A$10,MATCH(base_tc_geral[[#This Row],[TIPO]],configuracoes!$A$2:$A$10,0)),"NÃO")="NÃO","NÃO","SIM")</f>
        <v>SIM</v>
      </c>
    </row>
    <row r="243" spans="1:31" x14ac:dyDescent="0.25">
      <c r="A243" s="2" t="s">
        <v>797</v>
      </c>
      <c r="B243" s="2">
        <v>101010210</v>
      </c>
      <c r="C243" s="2" t="s">
        <v>15</v>
      </c>
      <c r="D243" s="2" t="s">
        <v>4490</v>
      </c>
      <c r="E243" s="2" t="s">
        <v>47</v>
      </c>
      <c r="F243" s="2" t="s">
        <v>159</v>
      </c>
      <c r="G243" s="2" t="s">
        <v>99</v>
      </c>
      <c r="H243" s="2" t="s">
        <v>60</v>
      </c>
      <c r="I243" s="2" t="s">
        <v>16</v>
      </c>
      <c r="J243" s="2" t="s">
        <v>60</v>
      </c>
      <c r="K243" s="2" t="s">
        <v>20</v>
      </c>
      <c r="L243" s="2" t="s">
        <v>25</v>
      </c>
      <c r="M243" s="2" t="s">
        <v>22</v>
      </c>
      <c r="N243" s="2" t="s">
        <v>15</v>
      </c>
      <c r="O243" s="2" t="s">
        <v>161</v>
      </c>
      <c r="P243" s="2" t="s">
        <v>799</v>
      </c>
      <c r="Q243" s="2" t="s">
        <v>4926</v>
      </c>
      <c r="R243" s="2" t="s">
        <v>294</v>
      </c>
      <c r="S243" s="2" t="s">
        <v>101</v>
      </c>
      <c r="T243" s="2" t="s">
        <v>4697</v>
      </c>
      <c r="U243" s="2" t="s">
        <v>12</v>
      </c>
      <c r="V243" s="2" t="s">
        <v>4809</v>
      </c>
      <c r="W243" s="2" t="s">
        <v>4931</v>
      </c>
      <c r="X243" s="2" t="s">
        <v>4925</v>
      </c>
      <c r="Y243" s="2" t="s">
        <v>798</v>
      </c>
      <c r="Z243" s="2" t="s">
        <v>5200</v>
      </c>
      <c r="AA2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2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3" s="6" t="str">
        <f>IF(_xlfn.IFNA(INDEX(configuracoes!$A$2:$A$10,MATCH(base_tc_geral[[#This Row],[TIPO]],configuracoes!$A$2:$A$10,0)),"NÃO")="NÃO","NÃO","SIM")</f>
        <v>SIM</v>
      </c>
    </row>
    <row r="244" spans="1:31" x14ac:dyDescent="0.25">
      <c r="A244" s="2" t="s">
        <v>2279</v>
      </c>
      <c r="B244" s="2">
        <v>109000340</v>
      </c>
      <c r="C244" s="2" t="s">
        <v>15</v>
      </c>
      <c r="D244" s="2" t="s">
        <v>4506</v>
      </c>
      <c r="E244" s="2" t="s">
        <v>86</v>
      </c>
      <c r="F244" s="2" t="s">
        <v>88</v>
      </c>
      <c r="G244" s="2" t="s">
        <v>58</v>
      </c>
      <c r="H244" s="2" t="s">
        <v>87</v>
      </c>
      <c r="I244" s="2" t="s">
        <v>33</v>
      </c>
      <c r="J244" s="2" t="s">
        <v>91</v>
      </c>
      <c r="K244" s="2" t="s">
        <v>92</v>
      </c>
      <c r="L244" s="2" t="s">
        <v>61</v>
      </c>
      <c r="M244" s="2" t="s">
        <v>44</v>
      </c>
      <c r="N244" s="2" t="s">
        <v>15</v>
      </c>
      <c r="O244" s="2" t="s">
        <v>95</v>
      </c>
      <c r="P244" s="2" t="s">
        <v>2281</v>
      </c>
      <c r="Q244" s="2" t="s">
        <v>4926</v>
      </c>
      <c r="R244" s="2" t="s">
        <v>90</v>
      </c>
      <c r="S244" s="2" t="s">
        <v>93</v>
      </c>
      <c r="T244" s="2" t="s">
        <v>4696</v>
      </c>
      <c r="U244" s="2" t="s">
        <v>12</v>
      </c>
      <c r="V244" s="2" t="s">
        <v>4796</v>
      </c>
      <c r="W244" s="2" t="s">
        <v>5013</v>
      </c>
      <c r="X244" s="2" t="s">
        <v>44</v>
      </c>
      <c r="Y244" s="2" t="s">
        <v>2280</v>
      </c>
      <c r="Z244" s="2" t="s">
        <v>5201</v>
      </c>
      <c r="AA2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2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4" s="6" t="str">
        <f>IF(_xlfn.IFNA(INDEX(configuracoes!$A$2:$A$10,MATCH(base_tc_geral[[#This Row],[TIPO]],configuracoes!$A$2:$A$10,0)),"NÃO")="NÃO","NÃO","SIM")</f>
        <v>NÃO</v>
      </c>
    </row>
    <row r="245" spans="1:31" x14ac:dyDescent="0.25">
      <c r="A245" s="2" t="s">
        <v>1680</v>
      </c>
      <c r="B245" s="2">
        <v>105000986</v>
      </c>
      <c r="C245" s="2" t="s">
        <v>15</v>
      </c>
      <c r="D245" s="2" t="s">
        <v>4593</v>
      </c>
      <c r="E245" s="2" t="s">
        <v>28</v>
      </c>
      <c r="F245" s="2" t="s">
        <v>586</v>
      </c>
      <c r="G245" s="2" t="s">
        <v>883</v>
      </c>
      <c r="H245" s="2" t="s">
        <v>79</v>
      </c>
      <c r="I245" s="2" t="s">
        <v>33</v>
      </c>
      <c r="J245" s="2" t="s">
        <v>34</v>
      </c>
      <c r="K245" s="2" t="s">
        <v>20</v>
      </c>
      <c r="L245" s="2" t="s">
        <v>21</v>
      </c>
      <c r="M245" s="2" t="s">
        <v>22</v>
      </c>
      <c r="N245" s="2" t="s">
        <v>15</v>
      </c>
      <c r="O245" s="2" t="s">
        <v>83</v>
      </c>
      <c r="P245" s="2" t="s">
        <v>1682</v>
      </c>
      <c r="Q245" s="2" t="s">
        <v>4926</v>
      </c>
      <c r="R245" s="2" t="s">
        <v>81</v>
      </c>
      <c r="S245" s="2" t="s">
        <v>167</v>
      </c>
      <c r="T245" s="2" t="s">
        <v>167</v>
      </c>
      <c r="U245" s="2" t="s">
        <v>12</v>
      </c>
      <c r="V245" s="2" t="s">
        <v>4767</v>
      </c>
      <c r="W245" s="2" t="s">
        <v>4982</v>
      </c>
      <c r="X245" s="2" t="s">
        <v>4925</v>
      </c>
      <c r="Y245" s="2" t="s">
        <v>1681</v>
      </c>
      <c r="Z245" s="2" t="s">
        <v>5228</v>
      </c>
      <c r="AA2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2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5" s="6" t="str">
        <f>IF(_xlfn.IFNA(INDEX(configuracoes!$A$2:$A$10,MATCH(base_tc_geral[[#This Row],[TIPO]],configuracoes!$A$2:$A$10,0)),"NÃO")="NÃO","NÃO","SIM")</f>
        <v>SIM</v>
      </c>
    </row>
    <row r="246" spans="1:31" x14ac:dyDescent="0.25">
      <c r="A246" s="2" t="s">
        <v>2577</v>
      </c>
      <c r="B246" s="2">
        <v>109505858</v>
      </c>
      <c r="C246" s="2" t="s">
        <v>15</v>
      </c>
      <c r="D246" s="2" t="s">
        <v>4484</v>
      </c>
      <c r="E246" s="2" t="s">
        <v>86</v>
      </c>
      <c r="F246" s="2" t="s">
        <v>559</v>
      </c>
      <c r="G246" s="2" t="s">
        <v>172</v>
      </c>
      <c r="H246" s="2" t="s">
        <v>558</v>
      </c>
      <c r="I246" s="2" t="s">
        <v>33</v>
      </c>
      <c r="J246" s="2" t="s">
        <v>91</v>
      </c>
      <c r="K246" s="2" t="s">
        <v>13</v>
      </c>
      <c r="L246" s="2" t="s">
        <v>17</v>
      </c>
      <c r="M246" s="2" t="s">
        <v>128</v>
      </c>
      <c r="N246" s="2" t="s">
        <v>15</v>
      </c>
      <c r="O246" s="2" t="s">
        <v>561</v>
      </c>
      <c r="P246" s="2" t="s">
        <v>2579</v>
      </c>
      <c r="Q246" s="2" t="s">
        <v>4926</v>
      </c>
      <c r="R246" s="2" t="s">
        <v>1466</v>
      </c>
      <c r="S246" s="2" t="s">
        <v>93</v>
      </c>
      <c r="T246" s="2" t="s">
        <v>4696</v>
      </c>
      <c r="U246" s="2" t="s">
        <v>12</v>
      </c>
      <c r="V246" s="2" t="s">
        <v>4802</v>
      </c>
      <c r="W246" s="2" t="s">
        <v>4987</v>
      </c>
      <c r="X246" s="2" t="s">
        <v>4989</v>
      </c>
      <c r="Y246" s="2" t="s">
        <v>2578</v>
      </c>
      <c r="Z246" s="2" t="s">
        <v>5229</v>
      </c>
      <c r="AA2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2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6" s="6" t="str">
        <f>IF(_xlfn.IFNA(INDEX(configuracoes!$A$2:$A$10,MATCH(base_tc_geral[[#This Row],[TIPO]],configuracoes!$A$2:$A$10,0)),"NÃO")="NÃO","NÃO","SIM")</f>
        <v>NÃO</v>
      </c>
    </row>
    <row r="247" spans="1:31" x14ac:dyDescent="0.25">
      <c r="A247" s="2" t="s">
        <v>2060</v>
      </c>
      <c r="B247" s="2">
        <v>101006255</v>
      </c>
      <c r="C247" s="2" t="s">
        <v>15</v>
      </c>
      <c r="D247" s="2" t="s">
        <v>4488</v>
      </c>
      <c r="E247" s="2" t="s">
        <v>47</v>
      </c>
      <c r="F247" s="2" t="s">
        <v>225</v>
      </c>
      <c r="G247" s="2" t="s">
        <v>883</v>
      </c>
      <c r="H247" s="2" t="s">
        <v>224</v>
      </c>
      <c r="I247" s="2" t="s">
        <v>16</v>
      </c>
      <c r="J247" s="2" t="s">
        <v>227</v>
      </c>
      <c r="K247" s="2" t="s">
        <v>20</v>
      </c>
      <c r="L247" s="2" t="s">
        <v>21</v>
      </c>
      <c r="M247" s="2" t="s">
        <v>22</v>
      </c>
      <c r="N247" s="2" t="s">
        <v>15</v>
      </c>
      <c r="O247" s="2" t="s">
        <v>229</v>
      </c>
      <c r="P247" s="2" t="s">
        <v>2062</v>
      </c>
      <c r="Q247" s="2" t="s">
        <v>4926</v>
      </c>
      <c r="R247" s="2" t="s">
        <v>369</v>
      </c>
      <c r="S247" s="2" t="s">
        <v>4698</v>
      </c>
      <c r="T247" s="2" t="s">
        <v>4697</v>
      </c>
      <c r="U247" s="2" t="s">
        <v>12</v>
      </c>
      <c r="V247" s="2" t="s">
        <v>4817</v>
      </c>
      <c r="W247" s="2" t="s">
        <v>4982</v>
      </c>
      <c r="X247" s="2" t="s">
        <v>4925</v>
      </c>
      <c r="Y247" s="2" t="s">
        <v>2061</v>
      </c>
      <c r="Z247" s="2" t="s">
        <v>5230</v>
      </c>
      <c r="AA2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2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7" s="6" t="str">
        <f>IF(_xlfn.IFNA(INDEX(configuracoes!$A$2:$A$10,MATCH(base_tc_geral[[#This Row],[TIPO]],configuracoes!$A$2:$A$10,0)),"NÃO")="NÃO","NÃO","SIM")</f>
        <v>SIM</v>
      </c>
    </row>
    <row r="248" spans="1:31" x14ac:dyDescent="0.25">
      <c r="A248" s="2" t="s">
        <v>4732</v>
      </c>
      <c r="B248" s="2">
        <v>101006811</v>
      </c>
      <c r="C248" s="2" t="s">
        <v>15</v>
      </c>
      <c r="D248" s="2" t="s">
        <v>4541</v>
      </c>
      <c r="E248" s="2" t="s">
        <v>47</v>
      </c>
      <c r="F248" s="2" t="s">
        <v>49</v>
      </c>
      <c r="G248" s="2" t="s">
        <v>136</v>
      </c>
      <c r="H248" s="2" t="s">
        <v>48</v>
      </c>
      <c r="I248" s="2" t="s">
        <v>16</v>
      </c>
      <c r="J248" s="2" t="s">
        <v>48</v>
      </c>
      <c r="K248" s="2" t="s">
        <v>13</v>
      </c>
      <c r="L248" s="2" t="s">
        <v>72</v>
      </c>
      <c r="M248" s="2" t="s">
        <v>73</v>
      </c>
      <c r="N248" s="2" t="s">
        <v>15</v>
      </c>
      <c r="O248" s="2" t="s">
        <v>53</v>
      </c>
      <c r="P248" s="2" t="s">
        <v>4734</v>
      </c>
      <c r="Q248" s="2" t="s">
        <v>4926</v>
      </c>
      <c r="R248" s="2" t="s">
        <v>50</v>
      </c>
      <c r="S248" s="2" t="s">
        <v>51</v>
      </c>
      <c r="T248" s="2" t="s">
        <v>4697</v>
      </c>
      <c r="U248" s="2" t="s">
        <v>39</v>
      </c>
      <c r="V248" s="2" t="s">
        <v>4860</v>
      </c>
      <c r="W248" s="2" t="s">
        <v>72</v>
      </c>
      <c r="X248" s="2" t="s">
        <v>5011</v>
      </c>
      <c r="Y248" s="2" t="s">
        <v>4733</v>
      </c>
      <c r="Z248" s="2" t="s">
        <v>5231</v>
      </c>
      <c r="AA2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2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48" s="6" t="str">
        <f>IF(_xlfn.IFNA(INDEX(configuracoes!$A$2:$A$10,MATCH(base_tc_geral[[#This Row],[TIPO]],configuracoes!$A$2:$A$10,0)),"NÃO")="NÃO","NÃO","SIM")</f>
        <v>NÃO</v>
      </c>
    </row>
    <row r="249" spans="1:31" x14ac:dyDescent="0.25">
      <c r="A249" s="2" t="s">
        <v>3971</v>
      </c>
      <c r="B249" s="2">
        <v>105303207</v>
      </c>
      <c r="C249" s="2" t="s">
        <v>24</v>
      </c>
      <c r="D249" s="2" t="s">
        <v>4768</v>
      </c>
      <c r="E249" s="2" t="s">
        <v>28</v>
      </c>
      <c r="F249" s="2" t="s">
        <v>423</v>
      </c>
      <c r="G249" s="2" t="s">
        <v>630</v>
      </c>
      <c r="H249" s="2" t="s">
        <v>34</v>
      </c>
      <c r="I249" s="2" t="s">
        <v>33</v>
      </c>
      <c r="J249" s="2" t="s">
        <v>34</v>
      </c>
      <c r="K249" s="2" t="s">
        <v>20</v>
      </c>
      <c r="L249" s="2" t="s">
        <v>21</v>
      </c>
      <c r="M249" s="2" t="s">
        <v>22</v>
      </c>
      <c r="N249" s="2" t="s">
        <v>24</v>
      </c>
      <c r="O249" s="2" t="s">
        <v>156</v>
      </c>
      <c r="P249" s="2" t="s">
        <v>3973</v>
      </c>
      <c r="Q249" s="2" t="s">
        <v>4926</v>
      </c>
      <c r="R249" s="2" t="s">
        <v>2243</v>
      </c>
      <c r="S249" s="2" t="s">
        <v>167</v>
      </c>
      <c r="T249" s="2" t="s">
        <v>167</v>
      </c>
      <c r="U249" s="2" t="s">
        <v>39</v>
      </c>
      <c r="V249" s="2" t="s">
        <v>4852</v>
      </c>
      <c r="W249" s="2" t="s">
        <v>4982</v>
      </c>
      <c r="X249" s="2" t="s">
        <v>4925</v>
      </c>
      <c r="Y249" s="2" t="s">
        <v>3972</v>
      </c>
      <c r="Z249" s="2" t="s">
        <v>5232</v>
      </c>
      <c r="AA2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2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49" s="6" t="str">
        <f>IF(_xlfn.IFNA(INDEX(configuracoes!$A$2:$A$10,MATCH(base_tc_geral[[#This Row],[TIPO]],configuracoes!$A$2:$A$10,0)),"NÃO")="NÃO","NÃO","SIM")</f>
        <v>SIM</v>
      </c>
    </row>
    <row r="250" spans="1:31" x14ac:dyDescent="0.25">
      <c r="A250" s="2" t="s">
        <v>3548</v>
      </c>
      <c r="B250" s="2">
        <v>102101634</v>
      </c>
      <c r="C250" s="2" t="s">
        <v>15</v>
      </c>
      <c r="D250" s="2" t="s">
        <v>4514</v>
      </c>
      <c r="E250" s="2" t="s">
        <v>106</v>
      </c>
      <c r="F250" s="2" t="s">
        <v>108</v>
      </c>
      <c r="G250" s="2" t="s">
        <v>630</v>
      </c>
      <c r="H250" s="2" t="s">
        <v>107</v>
      </c>
      <c r="I250" s="2" t="s">
        <v>33</v>
      </c>
      <c r="J250" s="2" t="s">
        <v>109</v>
      </c>
      <c r="K250" s="2" t="s">
        <v>20</v>
      </c>
      <c r="L250" s="2" t="s">
        <v>21</v>
      </c>
      <c r="M250" s="2" t="s">
        <v>22</v>
      </c>
      <c r="N250" s="2" t="s">
        <v>15</v>
      </c>
      <c r="O250" s="2" t="s">
        <v>112</v>
      </c>
      <c r="P250" s="2" t="s">
        <v>3550</v>
      </c>
      <c r="Q250" s="2" t="s">
        <v>4926</v>
      </c>
      <c r="R250" s="2" t="s">
        <v>406</v>
      </c>
      <c r="S250" s="2" t="s">
        <v>736</v>
      </c>
      <c r="T250" s="2" t="s">
        <v>167</v>
      </c>
      <c r="U250" s="2" t="s">
        <v>12</v>
      </c>
      <c r="V250" s="2" t="s">
        <v>4853</v>
      </c>
      <c r="W250" s="2" t="s">
        <v>4982</v>
      </c>
      <c r="X250" s="2" t="s">
        <v>4925</v>
      </c>
      <c r="Y250" s="2" t="s">
        <v>3549</v>
      </c>
      <c r="Z250" s="2" t="s">
        <v>5233</v>
      </c>
      <c r="AA2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2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0" s="6" t="str">
        <f>IF(_xlfn.IFNA(INDEX(configuracoes!$A$2:$A$10,MATCH(base_tc_geral[[#This Row],[TIPO]],configuracoes!$A$2:$A$10,0)),"NÃO")="NÃO","NÃO","SIM")</f>
        <v>SIM</v>
      </c>
    </row>
    <row r="251" spans="1:31" x14ac:dyDescent="0.25">
      <c r="A251" s="2" t="s">
        <v>645</v>
      </c>
      <c r="B251" s="2">
        <v>102101220</v>
      </c>
      <c r="C251" s="2" t="s">
        <v>15</v>
      </c>
      <c r="D251" s="2" t="s">
        <v>4486</v>
      </c>
      <c r="E251" s="2" t="s">
        <v>106</v>
      </c>
      <c r="F251" s="2" t="s">
        <v>428</v>
      </c>
      <c r="G251" s="2" t="s">
        <v>630</v>
      </c>
      <c r="H251" s="2" t="s">
        <v>427</v>
      </c>
      <c r="I251" s="2" t="s">
        <v>33</v>
      </c>
      <c r="J251" s="2" t="s">
        <v>109</v>
      </c>
      <c r="K251" s="2" t="s">
        <v>20</v>
      </c>
      <c r="L251" s="2" t="s">
        <v>21</v>
      </c>
      <c r="M251" s="2" t="s">
        <v>22</v>
      </c>
      <c r="N251" s="2" t="s">
        <v>15</v>
      </c>
      <c r="O251" s="2" t="s">
        <v>430</v>
      </c>
      <c r="P251" s="2" t="s">
        <v>647</v>
      </c>
      <c r="Q251" s="2" t="s">
        <v>4926</v>
      </c>
      <c r="R251" s="2" t="s">
        <v>625</v>
      </c>
      <c r="S251" s="2" t="s">
        <v>736</v>
      </c>
      <c r="T251" s="2" t="s">
        <v>167</v>
      </c>
      <c r="U251" s="2" t="s">
        <v>12</v>
      </c>
      <c r="V251" s="2" t="s">
        <v>4895</v>
      </c>
      <c r="W251" s="2" t="s">
        <v>4982</v>
      </c>
      <c r="X251" s="2" t="s">
        <v>4925</v>
      </c>
      <c r="Y251" s="2" t="s">
        <v>646</v>
      </c>
      <c r="Z251" s="2" t="s">
        <v>5202</v>
      </c>
      <c r="AA2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2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1" s="6" t="str">
        <f>IF(_xlfn.IFNA(INDEX(configuracoes!$A$2:$A$10,MATCH(base_tc_geral[[#This Row],[TIPO]],configuracoes!$A$2:$A$10,0)),"NÃO")="NÃO","NÃO","SIM")</f>
        <v>SIM</v>
      </c>
    </row>
    <row r="252" spans="1:31" x14ac:dyDescent="0.25">
      <c r="A252" s="2" t="s">
        <v>3914</v>
      </c>
      <c r="B252" s="2">
        <v>101007963</v>
      </c>
      <c r="C252" s="2" t="s">
        <v>15</v>
      </c>
      <c r="D252" s="2" t="s">
        <v>4516</v>
      </c>
      <c r="E252" s="2" t="s">
        <v>47</v>
      </c>
      <c r="F252" s="2" t="s">
        <v>601</v>
      </c>
      <c r="G252" s="2" t="s">
        <v>4780</v>
      </c>
      <c r="H252" s="2" t="s">
        <v>60</v>
      </c>
      <c r="I252" s="2" t="s">
        <v>16</v>
      </c>
      <c r="J252" s="2" t="s">
        <v>60</v>
      </c>
      <c r="K252" s="2" t="s">
        <v>20</v>
      </c>
      <c r="L252" s="2" t="s">
        <v>21</v>
      </c>
      <c r="M252" s="2" t="s">
        <v>22</v>
      </c>
      <c r="N252" s="2" t="s">
        <v>15</v>
      </c>
      <c r="O252" s="2" t="s">
        <v>161</v>
      </c>
      <c r="P252" s="2" t="s">
        <v>3916</v>
      </c>
      <c r="Q252" s="2" t="s">
        <v>4926</v>
      </c>
      <c r="R252" s="2" t="s">
        <v>246</v>
      </c>
      <c r="S252" s="2" t="s">
        <v>51</v>
      </c>
      <c r="T252" s="2" t="s">
        <v>4697</v>
      </c>
      <c r="U252" s="2" t="s">
        <v>12</v>
      </c>
      <c r="V252" s="2" t="s">
        <v>4778</v>
      </c>
      <c r="W252" s="2" t="s">
        <v>4982</v>
      </c>
      <c r="X252" s="2" t="s">
        <v>4925</v>
      </c>
      <c r="Y252" s="2" t="s">
        <v>3915</v>
      </c>
      <c r="Z252" s="2" t="s">
        <v>5203</v>
      </c>
      <c r="AA2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2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2" s="6" t="str">
        <f>IF(_xlfn.IFNA(INDEX(configuracoes!$A$2:$A$10,MATCH(base_tc_geral[[#This Row],[TIPO]],configuracoes!$A$2:$A$10,0)),"NÃO")="NÃO","NÃO","SIM")</f>
        <v>SIM</v>
      </c>
    </row>
    <row r="253" spans="1:31" x14ac:dyDescent="0.25">
      <c r="A253" s="2" t="s">
        <v>2604</v>
      </c>
      <c r="B253" s="2">
        <v>102101393</v>
      </c>
      <c r="C253" s="2" t="s">
        <v>15</v>
      </c>
      <c r="D253" s="2" t="s">
        <v>4566</v>
      </c>
      <c r="E253" s="2" t="s">
        <v>106</v>
      </c>
      <c r="F253" s="2" t="s">
        <v>509</v>
      </c>
      <c r="G253" s="2" t="s">
        <v>172</v>
      </c>
      <c r="H253" s="2" t="s">
        <v>130</v>
      </c>
      <c r="I253" s="2" t="s">
        <v>33</v>
      </c>
      <c r="J253" s="2" t="s">
        <v>109</v>
      </c>
      <c r="K253" s="2" t="s">
        <v>13</v>
      </c>
      <c r="L253" s="2" t="s">
        <v>17</v>
      </c>
      <c r="M253" s="2" t="s">
        <v>23</v>
      </c>
      <c r="N253" s="2" t="s">
        <v>15</v>
      </c>
      <c r="O253" s="2" t="s">
        <v>132</v>
      </c>
      <c r="P253" s="2" t="s">
        <v>2606</v>
      </c>
      <c r="Q253" s="2" t="s">
        <v>4926</v>
      </c>
      <c r="R253" s="2" t="s">
        <v>735</v>
      </c>
      <c r="S253" s="2" t="s">
        <v>736</v>
      </c>
      <c r="T253" s="2" t="s">
        <v>167</v>
      </c>
      <c r="U253" s="2" t="s">
        <v>12</v>
      </c>
      <c r="V253" s="2" t="s">
        <v>4886</v>
      </c>
      <c r="W253" s="2" t="s">
        <v>17</v>
      </c>
      <c r="X253" s="2" t="s">
        <v>4998</v>
      </c>
      <c r="Y253" s="2" t="s">
        <v>2605</v>
      </c>
      <c r="Z253" s="2" t="s">
        <v>5204</v>
      </c>
      <c r="AA2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2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3" s="6" t="str">
        <f>IF(_xlfn.IFNA(INDEX(configuracoes!$A$2:$A$10,MATCH(base_tc_geral[[#This Row],[TIPO]],configuracoes!$A$2:$A$10,0)),"NÃO")="NÃO","NÃO","SIM")</f>
        <v>NÃO</v>
      </c>
    </row>
    <row r="254" spans="1:31" x14ac:dyDescent="0.25">
      <c r="A254" s="2" t="s">
        <v>2224</v>
      </c>
      <c r="B254" s="2">
        <v>105303134</v>
      </c>
      <c r="C254" s="2" t="s">
        <v>15</v>
      </c>
      <c r="D254" s="2" t="s">
        <v>4527</v>
      </c>
      <c r="E254" s="2" t="s">
        <v>28</v>
      </c>
      <c r="F254" s="2" t="s">
        <v>290</v>
      </c>
      <c r="G254" s="2" t="s">
        <v>317</v>
      </c>
      <c r="H254" s="2" t="s">
        <v>34</v>
      </c>
      <c r="I254" s="2" t="s">
        <v>33</v>
      </c>
      <c r="J254" s="2" t="s">
        <v>34</v>
      </c>
      <c r="K254" s="2" t="s">
        <v>13</v>
      </c>
      <c r="L254" s="2" t="s">
        <v>42</v>
      </c>
      <c r="M254" s="2" t="s">
        <v>75</v>
      </c>
      <c r="N254" s="2" t="s">
        <v>15</v>
      </c>
      <c r="O254" s="2" t="s">
        <v>156</v>
      </c>
      <c r="P254" s="2" t="s">
        <v>2226</v>
      </c>
      <c r="Q254" s="2" t="s">
        <v>4926</v>
      </c>
      <c r="R254" s="2" t="s">
        <v>442</v>
      </c>
      <c r="S254" s="2" t="s">
        <v>167</v>
      </c>
      <c r="T254" s="2" t="s">
        <v>167</v>
      </c>
      <c r="U254" s="2" t="s">
        <v>12</v>
      </c>
      <c r="V254" s="2" t="s">
        <v>4763</v>
      </c>
      <c r="W254" s="2" t="s">
        <v>42</v>
      </c>
      <c r="X254" s="2" t="s">
        <v>75</v>
      </c>
      <c r="Y254" s="2" t="s">
        <v>2225</v>
      </c>
      <c r="Z254" s="2" t="s">
        <v>5205</v>
      </c>
      <c r="AA2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2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4" s="6" t="str">
        <f>IF(_xlfn.IFNA(INDEX(configuracoes!$A$2:$A$10,MATCH(base_tc_geral[[#This Row],[TIPO]],configuracoes!$A$2:$A$10,0)),"NÃO")="NÃO","NÃO","SIM")</f>
        <v>SIM</v>
      </c>
    </row>
    <row r="255" spans="1:31" x14ac:dyDescent="0.25">
      <c r="A255" s="2" t="s">
        <v>1364</v>
      </c>
      <c r="B255" s="2">
        <v>105000986</v>
      </c>
      <c r="C255" s="2" t="s">
        <v>15</v>
      </c>
      <c r="D255" s="2" t="s">
        <v>5206</v>
      </c>
      <c r="E255" s="2" t="s">
        <v>28</v>
      </c>
      <c r="F255" s="2" t="s">
        <v>80</v>
      </c>
      <c r="G255" s="2" t="s">
        <v>41</v>
      </c>
      <c r="H255" s="2" t="s">
        <v>79</v>
      </c>
      <c r="I255" s="2" t="s">
        <v>33</v>
      </c>
      <c r="J255" s="2" t="s">
        <v>34</v>
      </c>
      <c r="K255" s="2" t="s">
        <v>13</v>
      </c>
      <c r="L255" s="2" t="s">
        <v>42</v>
      </c>
      <c r="M255" s="2" t="s">
        <v>75</v>
      </c>
      <c r="N255" s="2" t="s">
        <v>40</v>
      </c>
      <c r="O255" s="2" t="s">
        <v>83</v>
      </c>
      <c r="P255" s="2" t="s">
        <v>1366</v>
      </c>
      <c r="Q255" s="2" t="s">
        <v>4926</v>
      </c>
      <c r="R255" s="2" t="s">
        <v>81</v>
      </c>
      <c r="S255" s="2" t="s">
        <v>167</v>
      </c>
      <c r="T255" s="2" t="s">
        <v>167</v>
      </c>
      <c r="U255" s="2" t="s">
        <v>39</v>
      </c>
      <c r="V255" s="2" t="s">
        <v>4769</v>
      </c>
      <c r="W255" s="2" t="s">
        <v>42</v>
      </c>
      <c r="X255" s="2" t="s">
        <v>75</v>
      </c>
      <c r="Y255" s="2" t="s">
        <v>1365</v>
      </c>
      <c r="Z255" s="2" t="s">
        <v>5207</v>
      </c>
      <c r="AA2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2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255" s="6" t="str">
        <f>IF(_xlfn.IFNA(INDEX(configuracoes!$A$2:$A$10,MATCH(base_tc_geral[[#This Row],[TIPO]],configuracoes!$A$2:$A$10,0)),"NÃO")="NÃO","NÃO","SIM")</f>
        <v>SIM</v>
      </c>
    </row>
    <row r="256" spans="1:31" x14ac:dyDescent="0.25">
      <c r="A256" s="2" t="s">
        <v>3775</v>
      </c>
      <c r="B256" s="2">
        <v>102101634</v>
      </c>
      <c r="C256" s="2" t="s">
        <v>15</v>
      </c>
      <c r="D256" s="2" t="s">
        <v>4516</v>
      </c>
      <c r="E256" s="2" t="s">
        <v>106</v>
      </c>
      <c r="F256" s="2" t="s">
        <v>186</v>
      </c>
      <c r="G256" s="2" t="s">
        <v>245</v>
      </c>
      <c r="H256" s="2" t="s">
        <v>107</v>
      </c>
      <c r="I256" s="2" t="s">
        <v>33</v>
      </c>
      <c r="J256" s="2" t="s">
        <v>109</v>
      </c>
      <c r="K256" s="2" t="s">
        <v>20</v>
      </c>
      <c r="L256" s="2" t="s">
        <v>21</v>
      </c>
      <c r="M256" s="2" t="s">
        <v>22</v>
      </c>
      <c r="N256" s="2" t="s">
        <v>15</v>
      </c>
      <c r="O256" s="2" t="s">
        <v>112</v>
      </c>
      <c r="P256" s="2" t="s">
        <v>3777</v>
      </c>
      <c r="Q256" s="2" t="s">
        <v>4926</v>
      </c>
      <c r="R256" s="2" t="s">
        <v>406</v>
      </c>
      <c r="S256" s="2" t="s">
        <v>736</v>
      </c>
      <c r="T256" s="2" t="s">
        <v>167</v>
      </c>
      <c r="U256" s="2" t="s">
        <v>12</v>
      </c>
      <c r="V256" s="2" t="s">
        <v>4853</v>
      </c>
      <c r="W256" s="2" t="s">
        <v>4982</v>
      </c>
      <c r="X256" s="2" t="s">
        <v>4925</v>
      </c>
      <c r="Y256" s="2" t="s">
        <v>3776</v>
      </c>
      <c r="Z256" s="2" t="s">
        <v>5208</v>
      </c>
      <c r="AA2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2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6" s="6" t="str">
        <f>IF(_xlfn.IFNA(INDEX(configuracoes!$A$2:$A$10,MATCH(base_tc_geral[[#This Row],[TIPO]],configuracoes!$A$2:$A$10,0)),"NÃO")="NÃO","NÃO","SIM")</f>
        <v>SIM</v>
      </c>
    </row>
    <row r="257" spans="1:31" x14ac:dyDescent="0.25">
      <c r="A257" s="2" t="s">
        <v>489</v>
      </c>
      <c r="B257" s="2">
        <v>105303207</v>
      </c>
      <c r="C257" s="2" t="s">
        <v>15</v>
      </c>
      <c r="D257" s="2" t="s">
        <v>4674</v>
      </c>
      <c r="E257" s="2" t="s">
        <v>28</v>
      </c>
      <c r="F257" s="2" t="s">
        <v>440</v>
      </c>
      <c r="G257" s="2" t="s">
        <v>245</v>
      </c>
      <c r="H257" s="2" t="s">
        <v>34</v>
      </c>
      <c r="I257" s="2" t="s">
        <v>33</v>
      </c>
      <c r="J257" s="2" t="s">
        <v>34</v>
      </c>
      <c r="K257" s="2" t="s">
        <v>20</v>
      </c>
      <c r="L257" s="2" t="s">
        <v>21</v>
      </c>
      <c r="M257" s="2" t="s">
        <v>22</v>
      </c>
      <c r="N257" s="2" t="s">
        <v>15</v>
      </c>
      <c r="O257" s="2" t="s">
        <v>156</v>
      </c>
      <c r="P257" s="2" t="s">
        <v>491</v>
      </c>
      <c r="Q257" s="2" t="s">
        <v>4926</v>
      </c>
      <c r="R257" s="2" t="s">
        <v>2243</v>
      </c>
      <c r="S257" s="2" t="s">
        <v>167</v>
      </c>
      <c r="T257" s="2" t="s">
        <v>167</v>
      </c>
      <c r="U257" s="2" t="s">
        <v>12</v>
      </c>
      <c r="V257" s="2" t="s">
        <v>4852</v>
      </c>
      <c r="W257" s="2" t="s">
        <v>5013</v>
      </c>
      <c r="X257" s="2" t="s">
        <v>4925</v>
      </c>
      <c r="Y257" s="2" t="s">
        <v>490</v>
      </c>
      <c r="Z257" s="2" t="s">
        <v>5234</v>
      </c>
      <c r="AA2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2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7" s="6" t="str">
        <f>IF(_xlfn.IFNA(INDEX(configuracoes!$A$2:$A$10,MATCH(base_tc_geral[[#This Row],[TIPO]],configuracoes!$A$2:$A$10,0)),"NÃO")="NÃO","NÃO","SIM")</f>
        <v>SIM</v>
      </c>
    </row>
    <row r="258" spans="1:31" x14ac:dyDescent="0.25">
      <c r="A258" s="2" t="s">
        <v>1584</v>
      </c>
      <c r="B258" s="2">
        <v>109000017</v>
      </c>
      <c r="C258" s="2" t="s">
        <v>15</v>
      </c>
      <c r="D258" s="2" t="s">
        <v>4481</v>
      </c>
      <c r="E258" s="2" t="s">
        <v>86</v>
      </c>
      <c r="F258" s="2" t="s">
        <v>211</v>
      </c>
      <c r="G258" s="2" t="s">
        <v>245</v>
      </c>
      <c r="H258" s="2" t="s">
        <v>210</v>
      </c>
      <c r="I258" s="2" t="s">
        <v>33</v>
      </c>
      <c r="J258" s="2" t="s">
        <v>124</v>
      </c>
      <c r="K258" s="2" t="s">
        <v>20</v>
      </c>
      <c r="L258" s="2" t="s">
        <v>21</v>
      </c>
      <c r="M258" s="2" t="s">
        <v>22</v>
      </c>
      <c r="N258" s="2" t="s">
        <v>15</v>
      </c>
      <c r="O258" s="2" t="s">
        <v>214</v>
      </c>
      <c r="P258" s="2" t="s">
        <v>1586</v>
      </c>
      <c r="Q258" s="2" t="s">
        <v>4926</v>
      </c>
      <c r="R258" s="2" t="s">
        <v>212</v>
      </c>
      <c r="S258" s="2" t="s">
        <v>93</v>
      </c>
      <c r="T258" s="2" t="s">
        <v>4696</v>
      </c>
      <c r="U258" s="2" t="s">
        <v>12</v>
      </c>
      <c r="V258" s="2" t="s">
        <v>4820</v>
      </c>
      <c r="W258" s="2" t="s">
        <v>4982</v>
      </c>
      <c r="X258" s="2" t="s">
        <v>4925</v>
      </c>
      <c r="Y258" s="2" t="s">
        <v>1585</v>
      </c>
      <c r="Z258" s="2" t="s">
        <v>5235</v>
      </c>
      <c r="AA2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2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8" s="6" t="str">
        <f>IF(_xlfn.IFNA(INDEX(configuracoes!$A$2:$A$10,MATCH(base_tc_geral[[#This Row],[TIPO]],configuracoes!$A$2:$A$10,0)),"NÃO")="NÃO","NÃO","SIM")</f>
        <v>SIM</v>
      </c>
    </row>
    <row r="259" spans="1:31" x14ac:dyDescent="0.25">
      <c r="A259" s="2" t="s">
        <v>697</v>
      </c>
      <c r="B259" s="2">
        <v>101001670</v>
      </c>
      <c r="C259" s="2" t="s">
        <v>15</v>
      </c>
      <c r="D259" s="2" t="s">
        <v>4496</v>
      </c>
      <c r="E259" s="2" t="s">
        <v>47</v>
      </c>
      <c r="F259" s="2" t="s">
        <v>225</v>
      </c>
      <c r="G259" s="2" t="s">
        <v>58</v>
      </c>
      <c r="H259" s="2" t="s">
        <v>224</v>
      </c>
      <c r="I259" s="2" t="s">
        <v>16</v>
      </c>
      <c r="J259" s="2" t="s">
        <v>227</v>
      </c>
      <c r="K259" s="2" t="s">
        <v>92</v>
      </c>
      <c r="L259" s="2" t="s">
        <v>61</v>
      </c>
      <c r="M259" s="2" t="s">
        <v>44</v>
      </c>
      <c r="N259" s="2" t="s">
        <v>15</v>
      </c>
      <c r="O259" s="2" t="s">
        <v>229</v>
      </c>
      <c r="P259" s="2" t="s">
        <v>699</v>
      </c>
      <c r="Q259" s="2" t="s">
        <v>4926</v>
      </c>
      <c r="R259" s="2" t="s">
        <v>226</v>
      </c>
      <c r="S259" s="2" t="s">
        <v>4698</v>
      </c>
      <c r="T259" s="2" t="s">
        <v>4697</v>
      </c>
      <c r="U259" s="2" t="s">
        <v>12</v>
      </c>
      <c r="V259" s="2" t="s">
        <v>4866</v>
      </c>
      <c r="W259" s="2" t="s">
        <v>4999</v>
      </c>
      <c r="X259" s="2" t="s">
        <v>44</v>
      </c>
      <c r="Y259" s="2" t="s">
        <v>698</v>
      </c>
      <c r="Z259" s="2" t="s">
        <v>5236</v>
      </c>
      <c r="AA2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2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59" s="6" t="str">
        <f>IF(_xlfn.IFNA(INDEX(configuracoes!$A$2:$A$10,MATCH(base_tc_geral[[#This Row],[TIPO]],configuracoes!$A$2:$A$10,0)),"NÃO")="NÃO","NÃO","SIM")</f>
        <v>NÃO</v>
      </c>
    </row>
    <row r="260" spans="1:31" x14ac:dyDescent="0.25">
      <c r="A260" s="2" t="s">
        <v>975</v>
      </c>
      <c r="B260" s="2">
        <v>102101393</v>
      </c>
      <c r="C260" s="2" t="s">
        <v>15</v>
      </c>
      <c r="D260" s="2" t="s">
        <v>4583</v>
      </c>
      <c r="E260" s="2" t="s">
        <v>106</v>
      </c>
      <c r="F260" s="2" t="s">
        <v>863</v>
      </c>
      <c r="G260" s="2" t="s">
        <v>58</v>
      </c>
      <c r="H260" s="2" t="s">
        <v>427</v>
      </c>
      <c r="I260" s="2" t="s">
        <v>33</v>
      </c>
      <c r="J260" s="2" t="s">
        <v>109</v>
      </c>
      <c r="K260" s="2" t="s">
        <v>13</v>
      </c>
      <c r="L260" s="2" t="s">
        <v>61</v>
      </c>
      <c r="M260" s="2" t="s">
        <v>44</v>
      </c>
      <c r="N260" s="2" t="s">
        <v>15</v>
      </c>
      <c r="O260" s="2" t="s">
        <v>430</v>
      </c>
      <c r="P260" s="2" t="s">
        <v>977</v>
      </c>
      <c r="Q260" s="2" t="s">
        <v>4926</v>
      </c>
      <c r="R260" s="2" t="s">
        <v>735</v>
      </c>
      <c r="S260" s="2" t="s">
        <v>736</v>
      </c>
      <c r="T260" s="2" t="s">
        <v>167</v>
      </c>
      <c r="U260" s="2" t="s">
        <v>12</v>
      </c>
      <c r="V260" s="2" t="s">
        <v>4886</v>
      </c>
      <c r="W260" s="2" t="s">
        <v>4999</v>
      </c>
      <c r="X260" s="2" t="s">
        <v>44</v>
      </c>
      <c r="Y260" s="2" t="s">
        <v>976</v>
      </c>
      <c r="Z260" s="2" t="s">
        <v>5237</v>
      </c>
      <c r="AA2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2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0" s="6" t="str">
        <f>IF(_xlfn.IFNA(INDEX(configuracoes!$A$2:$A$10,MATCH(base_tc_geral[[#This Row],[TIPO]],configuracoes!$A$2:$A$10,0)),"NÃO")="NÃO","NÃO","SIM")</f>
        <v>NÃO</v>
      </c>
    </row>
    <row r="261" spans="1:31" x14ac:dyDescent="0.25">
      <c r="A261" s="2" t="s">
        <v>743</v>
      </c>
      <c r="B261" s="2">
        <v>102101220</v>
      </c>
      <c r="C261" s="2" t="s">
        <v>15</v>
      </c>
      <c r="D261" s="2" t="s">
        <v>4510</v>
      </c>
      <c r="E261" s="2" t="s">
        <v>106</v>
      </c>
      <c r="F261" s="2" t="s">
        <v>428</v>
      </c>
      <c r="G261" s="2" t="s">
        <v>630</v>
      </c>
      <c r="H261" s="2" t="s">
        <v>427</v>
      </c>
      <c r="I261" s="2" t="s">
        <v>33</v>
      </c>
      <c r="J261" s="2" t="s">
        <v>109</v>
      </c>
      <c r="K261" s="2" t="s">
        <v>20</v>
      </c>
      <c r="L261" s="2" t="s">
        <v>21</v>
      </c>
      <c r="M261" s="2" t="s">
        <v>22</v>
      </c>
      <c r="N261" s="2" t="s">
        <v>15</v>
      </c>
      <c r="O261" s="2" t="s">
        <v>430</v>
      </c>
      <c r="P261" s="2" t="s">
        <v>745</v>
      </c>
      <c r="Q261" s="2" t="s">
        <v>4926</v>
      </c>
      <c r="R261" s="2" t="s">
        <v>625</v>
      </c>
      <c r="S261" s="2" t="s">
        <v>736</v>
      </c>
      <c r="T261" s="2" t="s">
        <v>167</v>
      </c>
      <c r="U261" s="2" t="s">
        <v>12</v>
      </c>
      <c r="V261" s="2" t="s">
        <v>4895</v>
      </c>
      <c r="W261" s="2" t="s">
        <v>4982</v>
      </c>
      <c r="X261" s="2" t="s">
        <v>4925</v>
      </c>
      <c r="Y261" s="2" t="s">
        <v>744</v>
      </c>
      <c r="Z261" s="2" t="s">
        <v>5238</v>
      </c>
      <c r="AA2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2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1" s="6" t="str">
        <f>IF(_xlfn.IFNA(INDEX(configuracoes!$A$2:$A$10,MATCH(base_tc_geral[[#This Row],[TIPO]],configuracoes!$A$2:$A$10,0)),"NÃO")="NÃO","NÃO","SIM")</f>
        <v>SIM</v>
      </c>
    </row>
    <row r="262" spans="1:31" x14ac:dyDescent="0.25">
      <c r="A262" s="2" t="s">
        <v>3536</v>
      </c>
      <c r="B262" s="2">
        <v>102101634</v>
      </c>
      <c r="C262" s="2" t="s">
        <v>15</v>
      </c>
      <c r="D262" s="2" t="s">
        <v>4662</v>
      </c>
      <c r="E262" s="2" t="s">
        <v>106</v>
      </c>
      <c r="F262" s="2" t="s">
        <v>428</v>
      </c>
      <c r="G262" s="2" t="s">
        <v>637</v>
      </c>
      <c r="H262" s="2" t="s">
        <v>427</v>
      </c>
      <c r="I262" s="2" t="s">
        <v>33</v>
      </c>
      <c r="J262" s="2" t="s">
        <v>109</v>
      </c>
      <c r="K262" s="2" t="s">
        <v>20</v>
      </c>
      <c r="L262" s="2" t="s">
        <v>19</v>
      </c>
      <c r="M262" s="2" t="s">
        <v>22</v>
      </c>
      <c r="N262" s="2" t="s">
        <v>15</v>
      </c>
      <c r="O262" s="2" t="s">
        <v>430</v>
      </c>
      <c r="P262" s="2" t="s">
        <v>3538</v>
      </c>
      <c r="Q262" s="2" t="s">
        <v>4926</v>
      </c>
      <c r="R262" s="2" t="s">
        <v>406</v>
      </c>
      <c r="S262" s="2" t="s">
        <v>736</v>
      </c>
      <c r="T262" s="2" t="s">
        <v>167</v>
      </c>
      <c r="U262" s="2" t="s">
        <v>12</v>
      </c>
      <c r="V262" s="2" t="s">
        <v>4853</v>
      </c>
      <c r="W262" s="2" t="s">
        <v>4982</v>
      </c>
      <c r="X262" s="2" t="s">
        <v>4925</v>
      </c>
      <c r="Y262" s="2" t="s">
        <v>3537</v>
      </c>
      <c r="Z262" s="2" t="s">
        <v>5239</v>
      </c>
      <c r="AA2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2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2" s="6" t="str">
        <f>IF(_xlfn.IFNA(INDEX(configuracoes!$A$2:$A$10,MATCH(base_tc_geral[[#This Row],[TIPO]],configuracoes!$A$2:$A$10,0)),"NÃO")="NÃO","NÃO","SIM")</f>
        <v>SIM</v>
      </c>
    </row>
    <row r="263" spans="1:31" x14ac:dyDescent="0.25">
      <c r="A263" s="2" t="s">
        <v>2121</v>
      </c>
      <c r="B263" s="2">
        <v>101007665</v>
      </c>
      <c r="C263" s="2" t="s">
        <v>15</v>
      </c>
      <c r="D263" s="2" t="s">
        <v>4481</v>
      </c>
      <c r="E263" s="2" t="s">
        <v>47</v>
      </c>
      <c r="F263" s="2" t="s">
        <v>341</v>
      </c>
      <c r="G263" s="2" t="s">
        <v>136</v>
      </c>
      <c r="H263" s="2" t="s">
        <v>56</v>
      </c>
      <c r="I263" s="2" t="s">
        <v>16</v>
      </c>
      <c r="J263" s="2" t="s">
        <v>60</v>
      </c>
      <c r="K263" s="2" t="s">
        <v>13</v>
      </c>
      <c r="L263" s="2" t="s">
        <v>72</v>
      </c>
      <c r="M263" s="2" t="s">
        <v>455</v>
      </c>
      <c r="N263" s="2" t="s">
        <v>15</v>
      </c>
      <c r="O263" s="2" t="s">
        <v>63</v>
      </c>
      <c r="P263" s="2" t="s">
        <v>2123</v>
      </c>
      <c r="Q263" s="2" t="s">
        <v>4926</v>
      </c>
      <c r="R263" s="2" t="s">
        <v>342</v>
      </c>
      <c r="S263" s="2" t="s">
        <v>51</v>
      </c>
      <c r="T263" s="2" t="s">
        <v>4697</v>
      </c>
      <c r="U263" s="2" t="s">
        <v>39</v>
      </c>
      <c r="V263" s="2" t="s">
        <v>4866</v>
      </c>
      <c r="W263" s="2" t="s">
        <v>72</v>
      </c>
      <c r="X263" s="2" t="s">
        <v>5588</v>
      </c>
      <c r="Y263" s="2" t="s">
        <v>2122</v>
      </c>
      <c r="Z263" s="2" t="s">
        <v>5587</v>
      </c>
      <c r="AA2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2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3" s="6" t="str">
        <f>IF(_xlfn.IFNA(INDEX(configuracoes!$A$2:$A$10,MATCH(base_tc_geral[[#This Row],[TIPO]],configuracoes!$A$2:$A$10,0)),"NÃO")="NÃO","NÃO","SIM")</f>
        <v>NÃO</v>
      </c>
    </row>
    <row r="264" spans="1:31" x14ac:dyDescent="0.25">
      <c r="A264" s="2" t="s">
        <v>4089</v>
      </c>
      <c r="B264" s="2">
        <v>109506091</v>
      </c>
      <c r="C264" s="2" t="s">
        <v>15</v>
      </c>
      <c r="D264" s="2" t="s">
        <v>4781</v>
      </c>
      <c r="E264" s="2" t="s">
        <v>86</v>
      </c>
      <c r="F264" s="2" t="s">
        <v>123</v>
      </c>
      <c r="G264" s="2" t="s">
        <v>58</v>
      </c>
      <c r="H264" s="2" t="s">
        <v>122</v>
      </c>
      <c r="I264" s="2" t="s">
        <v>33</v>
      </c>
      <c r="J264" s="2" t="s">
        <v>124</v>
      </c>
      <c r="K264" s="2" t="s">
        <v>13</v>
      </c>
      <c r="L264" s="2" t="s">
        <v>61</v>
      </c>
      <c r="M264" s="2" t="s">
        <v>44</v>
      </c>
      <c r="N264" s="2" t="s">
        <v>15</v>
      </c>
      <c r="O264" s="2" t="s">
        <v>129</v>
      </c>
      <c r="P264" s="2" t="s">
        <v>4091</v>
      </c>
      <c r="Q264" s="2" t="s">
        <v>4926</v>
      </c>
      <c r="R264" s="2" t="s">
        <v>2683</v>
      </c>
      <c r="S264" s="2" t="s">
        <v>125</v>
      </c>
      <c r="T264" s="2" t="s">
        <v>4696</v>
      </c>
      <c r="U264" s="2" t="s">
        <v>12</v>
      </c>
      <c r="V264" s="2" t="s">
        <v>4784</v>
      </c>
      <c r="W264" s="2" t="s">
        <v>4999</v>
      </c>
      <c r="X264" s="2" t="s">
        <v>44</v>
      </c>
      <c r="Y264" s="2" t="s">
        <v>4090</v>
      </c>
      <c r="Z264" s="2" t="s">
        <v>5589</v>
      </c>
      <c r="AA2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2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2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4" s="6" t="str">
        <f>IF(_xlfn.IFNA(INDEX(configuracoes!$A$2:$A$10,MATCH(base_tc_geral[[#This Row],[TIPO]],configuracoes!$A$2:$A$10,0)),"NÃO")="NÃO","NÃO","SIM")</f>
        <v>NÃO</v>
      </c>
    </row>
    <row r="265" spans="1:31" x14ac:dyDescent="0.25">
      <c r="A265" s="2" t="s">
        <v>1520</v>
      </c>
      <c r="B265" s="2">
        <v>102002917</v>
      </c>
      <c r="C265" s="2" t="s">
        <v>15</v>
      </c>
      <c r="D265" s="2" t="s">
        <v>4536</v>
      </c>
      <c r="E265" s="2" t="s">
        <v>106</v>
      </c>
      <c r="F265" s="2" t="s">
        <v>863</v>
      </c>
      <c r="G265" s="2" t="s">
        <v>41</v>
      </c>
      <c r="H265" s="2" t="s">
        <v>427</v>
      </c>
      <c r="I265" s="2" t="s">
        <v>33</v>
      </c>
      <c r="J265" s="2" t="s">
        <v>109</v>
      </c>
      <c r="K265" s="2" t="s">
        <v>20</v>
      </c>
      <c r="L265" s="2" t="s">
        <v>42</v>
      </c>
      <c r="M265" s="2" t="s">
        <v>22</v>
      </c>
      <c r="N265" s="2" t="s">
        <v>15</v>
      </c>
      <c r="O265" s="2" t="s">
        <v>430</v>
      </c>
      <c r="P265" s="2" t="s">
        <v>1522</v>
      </c>
      <c r="Q265" s="2" t="s">
        <v>4926</v>
      </c>
      <c r="R265" s="2" t="s">
        <v>5069</v>
      </c>
      <c r="S265" s="2" t="s">
        <v>736</v>
      </c>
      <c r="T265" s="2" t="s">
        <v>167</v>
      </c>
      <c r="U265" s="2" t="s">
        <v>12</v>
      </c>
      <c r="V265" s="2" t="s">
        <v>4773</v>
      </c>
      <c r="W265" s="2" t="s">
        <v>42</v>
      </c>
      <c r="X265" s="2" t="s">
        <v>4925</v>
      </c>
      <c r="Y265" s="2" t="s">
        <v>1521</v>
      </c>
      <c r="Z265" s="2" t="s">
        <v>5590</v>
      </c>
      <c r="AA2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2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5" s="6" t="str">
        <f>IF(_xlfn.IFNA(INDEX(configuracoes!$A$2:$A$10,MATCH(base_tc_geral[[#This Row],[TIPO]],configuracoes!$A$2:$A$10,0)),"NÃO")="NÃO","NÃO","SIM")</f>
        <v>SIM</v>
      </c>
    </row>
    <row r="266" spans="1:31" x14ac:dyDescent="0.25">
      <c r="A266" s="2" t="s">
        <v>138</v>
      </c>
      <c r="B266" s="2">
        <v>109000499</v>
      </c>
      <c r="C266" s="2" t="s">
        <v>15</v>
      </c>
      <c r="D266" s="2" t="s">
        <v>4515</v>
      </c>
      <c r="E266" s="2" t="s">
        <v>86</v>
      </c>
      <c r="F266" s="2" t="s">
        <v>205</v>
      </c>
      <c r="G266" s="2" t="s">
        <v>136</v>
      </c>
      <c r="H266" s="2" t="s">
        <v>122</v>
      </c>
      <c r="I266" s="2" t="s">
        <v>33</v>
      </c>
      <c r="J266" s="2" t="s">
        <v>124</v>
      </c>
      <c r="K266" s="2" t="s">
        <v>13</v>
      </c>
      <c r="L266" s="2" t="s">
        <v>72</v>
      </c>
      <c r="M266" s="2" t="s">
        <v>73</v>
      </c>
      <c r="N266" s="2" t="s">
        <v>15</v>
      </c>
      <c r="O266" s="2" t="s">
        <v>129</v>
      </c>
      <c r="P266" s="2" t="s">
        <v>3005</v>
      </c>
      <c r="Q266" s="2" t="s">
        <v>4926</v>
      </c>
      <c r="R266" s="2" t="s">
        <v>321</v>
      </c>
      <c r="S266" s="2" t="s">
        <v>93</v>
      </c>
      <c r="T266" s="2" t="s">
        <v>4696</v>
      </c>
      <c r="U266" s="2" t="s">
        <v>12</v>
      </c>
      <c r="V266" s="2" t="s">
        <v>4783</v>
      </c>
      <c r="W266" s="2" t="s">
        <v>72</v>
      </c>
      <c r="X266" s="2" t="s">
        <v>5011</v>
      </c>
      <c r="Y266" s="2" t="s">
        <v>3004</v>
      </c>
      <c r="Z266" s="2" t="s">
        <v>5591</v>
      </c>
      <c r="AA2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2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6" s="6" t="str">
        <f>IF(_xlfn.IFNA(INDEX(configuracoes!$A$2:$A$10,MATCH(base_tc_geral[[#This Row],[TIPO]],configuracoes!$A$2:$A$10,0)),"NÃO")="NÃO","NÃO","SIM")</f>
        <v>NÃO</v>
      </c>
    </row>
    <row r="267" spans="1:31" x14ac:dyDescent="0.25">
      <c r="A267" s="2" t="s">
        <v>1840</v>
      </c>
      <c r="B267" s="2">
        <v>109505049</v>
      </c>
      <c r="C267" s="2" t="s">
        <v>15</v>
      </c>
      <c r="D267" s="2" t="s">
        <v>4493</v>
      </c>
      <c r="E267" s="2" t="s">
        <v>86</v>
      </c>
      <c r="F267" s="2" t="s">
        <v>594</v>
      </c>
      <c r="G267" s="2" t="s">
        <v>99</v>
      </c>
      <c r="H267" s="2" t="s">
        <v>122</v>
      </c>
      <c r="I267" s="2" t="s">
        <v>33</v>
      </c>
      <c r="J267" s="2" t="s">
        <v>124</v>
      </c>
      <c r="K267" s="2" t="s">
        <v>13</v>
      </c>
      <c r="L267" s="2" t="s">
        <v>25</v>
      </c>
      <c r="M267" s="2" t="s">
        <v>22</v>
      </c>
      <c r="N267" s="2" t="s">
        <v>15</v>
      </c>
      <c r="O267" s="2" t="s">
        <v>129</v>
      </c>
      <c r="P267" s="2" t="s">
        <v>1842</v>
      </c>
      <c r="Q267" s="2" t="s">
        <v>4926</v>
      </c>
      <c r="R267" s="2" t="s">
        <v>541</v>
      </c>
      <c r="S267" s="2" t="s">
        <v>125</v>
      </c>
      <c r="T267" s="2" t="s">
        <v>4696</v>
      </c>
      <c r="U267" s="2" t="s">
        <v>12</v>
      </c>
      <c r="V267" s="2" t="s">
        <v>4765</v>
      </c>
      <c r="W267" s="2" t="s">
        <v>4931</v>
      </c>
      <c r="X267" s="2" t="s">
        <v>4925</v>
      </c>
      <c r="Y267" s="2" t="s">
        <v>1841</v>
      </c>
      <c r="Z267" s="2" t="s">
        <v>5592</v>
      </c>
      <c r="AA2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2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2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7" s="6" t="str">
        <f>IF(_xlfn.IFNA(INDEX(configuracoes!$A$2:$A$10,MATCH(base_tc_geral[[#This Row],[TIPO]],configuracoes!$A$2:$A$10,0)),"NÃO")="NÃO","NÃO","SIM")</f>
        <v>SIM</v>
      </c>
    </row>
    <row r="268" spans="1:31" x14ac:dyDescent="0.25">
      <c r="A268" s="2" t="s">
        <v>4110</v>
      </c>
      <c r="B268" s="2">
        <v>108401409</v>
      </c>
      <c r="C268" s="2" t="s">
        <v>15</v>
      </c>
      <c r="D268" s="2" t="s">
        <v>4687</v>
      </c>
      <c r="E268" s="2" t="s">
        <v>47</v>
      </c>
      <c r="F268" s="2" t="s">
        <v>142</v>
      </c>
      <c r="G268" s="2" t="s">
        <v>41</v>
      </c>
      <c r="H268" s="2" t="s">
        <v>141</v>
      </c>
      <c r="I268" s="2" t="s">
        <v>16</v>
      </c>
      <c r="J268" s="2" t="s">
        <v>141</v>
      </c>
      <c r="K268" s="2" t="s">
        <v>13</v>
      </c>
      <c r="L268" s="2" t="s">
        <v>42</v>
      </c>
      <c r="M268" s="2" t="s">
        <v>75</v>
      </c>
      <c r="N268" s="2" t="s">
        <v>15</v>
      </c>
      <c r="O268" s="2" t="s">
        <v>145</v>
      </c>
      <c r="P268" s="2" t="s">
        <v>4112</v>
      </c>
      <c r="Q268" s="2" t="s">
        <v>4926</v>
      </c>
      <c r="R268" s="2" t="s">
        <v>2738</v>
      </c>
      <c r="S268" s="2" t="s">
        <v>359</v>
      </c>
      <c r="T268" s="2" t="s">
        <v>4697</v>
      </c>
      <c r="U268" s="2" t="s">
        <v>12</v>
      </c>
      <c r="V268" s="2" t="s">
        <v>4845</v>
      </c>
      <c r="W268" s="2" t="s">
        <v>42</v>
      </c>
      <c r="X268" s="2" t="s">
        <v>75</v>
      </c>
      <c r="Y268" s="2" t="s">
        <v>4111</v>
      </c>
      <c r="Z268" s="2" t="s">
        <v>5593</v>
      </c>
      <c r="AA2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2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2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8" s="6" t="str">
        <f>IF(_xlfn.IFNA(INDEX(configuracoes!$A$2:$A$10,MATCH(base_tc_geral[[#This Row],[TIPO]],configuracoes!$A$2:$A$10,0)),"NÃO")="NÃO","NÃO","SIM")</f>
        <v>SIM</v>
      </c>
    </row>
    <row r="269" spans="1:31" x14ac:dyDescent="0.25">
      <c r="A269" s="2" t="s">
        <v>2941</v>
      </c>
      <c r="B269" s="2">
        <v>101001782</v>
      </c>
      <c r="C269" s="2" t="s">
        <v>15</v>
      </c>
      <c r="D269" s="2" t="s">
        <v>4544</v>
      </c>
      <c r="E269" s="2" t="s">
        <v>47</v>
      </c>
      <c r="F269" s="2" t="s">
        <v>464</v>
      </c>
      <c r="G269" s="2" t="s">
        <v>5594</v>
      </c>
      <c r="H269" s="2" t="s">
        <v>48</v>
      </c>
      <c r="I269" s="2" t="s">
        <v>16</v>
      </c>
      <c r="J269" s="2" t="s">
        <v>48</v>
      </c>
      <c r="K269" s="2" t="s">
        <v>20</v>
      </c>
      <c r="L269" s="2" t="s">
        <v>19</v>
      </c>
      <c r="M269" s="2" t="s">
        <v>22</v>
      </c>
      <c r="N269" s="2" t="s">
        <v>15</v>
      </c>
      <c r="O269" s="2" t="s">
        <v>53</v>
      </c>
      <c r="P269" s="2" t="s">
        <v>2943</v>
      </c>
      <c r="Q269" s="2" t="s">
        <v>4926</v>
      </c>
      <c r="R269" s="2" t="s">
        <v>512</v>
      </c>
      <c r="S269" s="2" t="s">
        <v>51</v>
      </c>
      <c r="T269" s="2" t="s">
        <v>4697</v>
      </c>
      <c r="U269" s="2" t="s">
        <v>12</v>
      </c>
      <c r="V269" s="2" t="s">
        <v>4861</v>
      </c>
      <c r="W269" s="2" t="s">
        <v>4982</v>
      </c>
      <c r="X269" s="2" t="s">
        <v>4925</v>
      </c>
      <c r="Y269" s="2" t="s">
        <v>2942</v>
      </c>
      <c r="Z269" s="2" t="s">
        <v>5595</v>
      </c>
      <c r="AA2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2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69" s="6" t="str">
        <f>IF(_xlfn.IFNA(INDEX(configuracoes!$A$2:$A$10,MATCH(base_tc_geral[[#This Row],[TIPO]],configuracoes!$A$2:$A$10,0)),"NÃO")="NÃO","NÃO","SIM")</f>
        <v>SIM</v>
      </c>
    </row>
    <row r="270" spans="1:31" x14ac:dyDescent="0.25">
      <c r="A270" s="2" t="s">
        <v>1490</v>
      </c>
      <c r="B270" s="2">
        <v>109505858</v>
      </c>
      <c r="C270" s="2" t="s">
        <v>15</v>
      </c>
      <c r="D270" s="2" t="s">
        <v>4509</v>
      </c>
      <c r="E270" s="2" t="s">
        <v>86</v>
      </c>
      <c r="F270" s="2" t="s">
        <v>817</v>
      </c>
      <c r="G270" s="2" t="s">
        <v>172</v>
      </c>
      <c r="H270" s="2" t="s">
        <v>217</v>
      </c>
      <c r="I270" s="2" t="s">
        <v>33</v>
      </c>
      <c r="J270" s="2" t="s">
        <v>91</v>
      </c>
      <c r="K270" s="2" t="s">
        <v>13</v>
      </c>
      <c r="L270" s="2" t="s">
        <v>17</v>
      </c>
      <c r="M270" s="2" t="s">
        <v>22</v>
      </c>
      <c r="N270" s="2" t="s">
        <v>15</v>
      </c>
      <c r="O270" s="2" t="s">
        <v>221</v>
      </c>
      <c r="P270" s="2" t="s">
        <v>1492</v>
      </c>
      <c r="Q270" s="2" t="s">
        <v>4926</v>
      </c>
      <c r="R270" s="2" t="s">
        <v>1466</v>
      </c>
      <c r="S270" s="2" t="s">
        <v>93</v>
      </c>
      <c r="T270" s="2" t="s">
        <v>4696</v>
      </c>
      <c r="U270" s="2" t="s">
        <v>12</v>
      </c>
      <c r="V270" s="2" t="s">
        <v>4802</v>
      </c>
      <c r="W270" s="2" t="s">
        <v>17</v>
      </c>
      <c r="X270" s="2" t="s">
        <v>4925</v>
      </c>
      <c r="Y270" s="2" t="s">
        <v>1491</v>
      </c>
      <c r="Z270" s="2" t="s">
        <v>5596</v>
      </c>
      <c r="AA2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2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0" s="6" t="str">
        <f>IF(_xlfn.IFNA(INDEX(configuracoes!$A$2:$A$10,MATCH(base_tc_geral[[#This Row],[TIPO]],configuracoes!$A$2:$A$10,0)),"NÃO")="NÃO","NÃO","SIM")</f>
        <v>NÃO</v>
      </c>
    </row>
    <row r="271" spans="1:31" x14ac:dyDescent="0.25">
      <c r="A271" s="2" t="s">
        <v>4128</v>
      </c>
      <c r="B271" s="2">
        <v>321454</v>
      </c>
      <c r="C271" s="2" t="s">
        <v>24</v>
      </c>
      <c r="D271" s="2" t="s">
        <v>4768</v>
      </c>
      <c r="E271" s="2" t="s">
        <v>86</v>
      </c>
      <c r="F271" s="2" t="s">
        <v>505</v>
      </c>
      <c r="G271" s="2" t="s">
        <v>245</v>
      </c>
      <c r="H271" s="2" t="s">
        <v>164</v>
      </c>
      <c r="I271" s="2" t="s">
        <v>33</v>
      </c>
      <c r="J271" s="2" t="s">
        <v>124</v>
      </c>
      <c r="K271" s="2" t="s">
        <v>20</v>
      </c>
      <c r="L271" s="2" t="s">
        <v>21</v>
      </c>
      <c r="M271" s="2" t="s">
        <v>133</v>
      </c>
      <c r="N271" s="2" t="s">
        <v>24</v>
      </c>
      <c r="O271" s="2" t="s">
        <v>169</v>
      </c>
      <c r="P271" s="2" t="s">
        <v>4130</v>
      </c>
      <c r="Q271" s="2" t="s">
        <v>4926</v>
      </c>
      <c r="R271" s="2" t="s">
        <v>2771</v>
      </c>
      <c r="S271" s="2" t="s">
        <v>2771</v>
      </c>
      <c r="T271" s="2" t="s">
        <v>2771</v>
      </c>
      <c r="U271" s="2" t="s">
        <v>39</v>
      </c>
      <c r="V271" s="2" t="s">
        <v>4785</v>
      </c>
      <c r="W271" s="2" t="s">
        <v>5597</v>
      </c>
      <c r="X271" s="2" t="s">
        <v>5599</v>
      </c>
      <c r="Y271" s="2" t="s">
        <v>4129</v>
      </c>
      <c r="Z271" s="2" t="s">
        <v>5598</v>
      </c>
      <c r="AA2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ALBUQUERQUE </v>
      </c>
      <c r="AB2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RODRIGO ALBUQUERQUE </v>
      </c>
      <c r="AC2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RODRIGO ALBUQUERQUE </v>
      </c>
      <c r="AD2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71" s="6" t="str">
        <f>IF(_xlfn.IFNA(INDEX(configuracoes!$A$2:$A$10,MATCH(base_tc_geral[[#This Row],[TIPO]],configuracoes!$A$2:$A$10,0)),"NÃO")="NÃO","NÃO","SIM")</f>
        <v>SIM</v>
      </c>
    </row>
    <row r="272" spans="1:31" x14ac:dyDescent="0.25">
      <c r="A272" s="2" t="s">
        <v>3980</v>
      </c>
      <c r="B272" s="2">
        <v>105303207</v>
      </c>
      <c r="C272" s="2" t="s">
        <v>15</v>
      </c>
      <c r="D272" s="2" t="s">
        <v>4637</v>
      </c>
      <c r="E272" s="2" t="s">
        <v>28</v>
      </c>
      <c r="F272" s="2" t="s">
        <v>423</v>
      </c>
      <c r="G272" s="2" t="s">
        <v>41</v>
      </c>
      <c r="H272" s="2" t="s">
        <v>34</v>
      </c>
      <c r="I272" s="2" t="s">
        <v>33</v>
      </c>
      <c r="J272" s="2" t="s">
        <v>34</v>
      </c>
      <c r="K272" s="2" t="s">
        <v>13</v>
      </c>
      <c r="L272" s="2" t="s">
        <v>42</v>
      </c>
      <c r="M272" s="2" t="s">
        <v>75</v>
      </c>
      <c r="N272" s="2" t="s">
        <v>15</v>
      </c>
      <c r="O272" s="2" t="s">
        <v>156</v>
      </c>
      <c r="P272" s="2" t="s">
        <v>3982</v>
      </c>
      <c r="Q272" s="2" t="s">
        <v>4926</v>
      </c>
      <c r="R272" s="2" t="s">
        <v>2243</v>
      </c>
      <c r="S272" s="2" t="s">
        <v>167</v>
      </c>
      <c r="T272" s="2" t="s">
        <v>167</v>
      </c>
      <c r="U272" s="2" t="s">
        <v>12</v>
      </c>
      <c r="V272" s="2" t="s">
        <v>4852</v>
      </c>
      <c r="W272" s="2" t="s">
        <v>42</v>
      </c>
      <c r="X272" s="2" t="s">
        <v>75</v>
      </c>
      <c r="Y272" s="2" t="s">
        <v>3981</v>
      </c>
      <c r="Z272" s="2" t="s">
        <v>5600</v>
      </c>
      <c r="AA2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2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2" s="6" t="str">
        <f>IF(_xlfn.IFNA(INDEX(configuracoes!$A$2:$A$10,MATCH(base_tc_geral[[#This Row],[TIPO]],configuracoes!$A$2:$A$10,0)),"NÃO")="NÃO","NÃO","SIM")</f>
        <v>SIM</v>
      </c>
    </row>
    <row r="273" spans="1:31" x14ac:dyDescent="0.25">
      <c r="A273" s="2" t="s">
        <v>3199</v>
      </c>
      <c r="B273" s="2">
        <v>109000119</v>
      </c>
      <c r="C273" s="2" t="s">
        <v>15</v>
      </c>
      <c r="D273" s="2" t="s">
        <v>4527</v>
      </c>
      <c r="E273" s="2" t="s">
        <v>86</v>
      </c>
      <c r="F273" s="2" t="s">
        <v>211</v>
      </c>
      <c r="G273" s="2" t="s">
        <v>58</v>
      </c>
      <c r="H273" s="2" t="s">
        <v>210</v>
      </c>
      <c r="I273" s="2" t="s">
        <v>33</v>
      </c>
      <c r="J273" s="2" t="s">
        <v>124</v>
      </c>
      <c r="K273" s="2" t="s">
        <v>13</v>
      </c>
      <c r="L273" s="2" t="s">
        <v>61</v>
      </c>
      <c r="M273" s="2" t="s">
        <v>338</v>
      </c>
      <c r="N273" s="2" t="s">
        <v>15</v>
      </c>
      <c r="O273" s="2" t="s">
        <v>214</v>
      </c>
      <c r="P273" s="2" t="s">
        <v>3201</v>
      </c>
      <c r="Q273" s="2" t="s">
        <v>4926</v>
      </c>
      <c r="R273" s="2" t="s">
        <v>191</v>
      </c>
      <c r="S273" s="2" t="s">
        <v>4699</v>
      </c>
      <c r="T273" s="2" t="s">
        <v>4696</v>
      </c>
      <c r="U273" s="2" t="s">
        <v>12</v>
      </c>
      <c r="V273" s="2" t="s">
        <v>4849</v>
      </c>
      <c r="W273" s="2" t="s">
        <v>4984</v>
      </c>
      <c r="X273" s="2" t="s">
        <v>338</v>
      </c>
      <c r="Y273" s="2" t="s">
        <v>3200</v>
      </c>
      <c r="Z273" s="2" t="s">
        <v>6054</v>
      </c>
      <c r="AA2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2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2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3" s="6" t="str">
        <f>IF(_xlfn.IFNA(INDEX(configuracoes!$A$2:$A$10,MATCH(base_tc_geral[[#This Row],[TIPO]],configuracoes!$A$2:$A$10,0)),"NÃO")="NÃO","NÃO","SIM")</f>
        <v>NÃO</v>
      </c>
    </row>
    <row r="274" spans="1:31" x14ac:dyDescent="0.25">
      <c r="A274" s="2" t="s">
        <v>3391</v>
      </c>
      <c r="B274" s="2">
        <v>101006811</v>
      </c>
      <c r="C274" s="2" t="s">
        <v>15</v>
      </c>
      <c r="D274" s="2" t="s">
        <v>4481</v>
      </c>
      <c r="E274" s="2" t="s">
        <v>47</v>
      </c>
      <c r="F274" s="2" t="s">
        <v>49</v>
      </c>
      <c r="G274" s="2" t="s">
        <v>630</v>
      </c>
      <c r="H274" s="2" t="s">
        <v>48</v>
      </c>
      <c r="I274" s="2" t="s">
        <v>16</v>
      </c>
      <c r="J274" s="2" t="s">
        <v>48</v>
      </c>
      <c r="K274" s="2" t="s">
        <v>20</v>
      </c>
      <c r="L274" s="2" t="s">
        <v>21</v>
      </c>
      <c r="M274" s="2" t="s">
        <v>22</v>
      </c>
      <c r="N274" s="2" t="s">
        <v>15</v>
      </c>
      <c r="O274" s="2" t="s">
        <v>53</v>
      </c>
      <c r="P274" s="2" t="s">
        <v>3393</v>
      </c>
      <c r="Q274" s="2" t="s">
        <v>4926</v>
      </c>
      <c r="R274" s="2" t="s">
        <v>50</v>
      </c>
      <c r="S274" s="2" t="s">
        <v>51</v>
      </c>
      <c r="T274" s="2" t="s">
        <v>4697</v>
      </c>
      <c r="U274" s="2" t="s">
        <v>12</v>
      </c>
      <c r="V274" s="2" t="s">
        <v>4860</v>
      </c>
      <c r="W274" s="2" t="s">
        <v>4982</v>
      </c>
      <c r="X274" s="2" t="s">
        <v>4925</v>
      </c>
      <c r="Y274" s="2" t="s">
        <v>3392</v>
      </c>
      <c r="Z274" s="2" t="s">
        <v>6055</v>
      </c>
      <c r="AA2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2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4" s="6" t="str">
        <f>IF(_xlfn.IFNA(INDEX(configuracoes!$A$2:$A$10,MATCH(base_tc_geral[[#This Row],[TIPO]],configuracoes!$A$2:$A$10,0)),"NÃO")="NÃO","NÃO","SIM")</f>
        <v>SIM</v>
      </c>
    </row>
    <row r="275" spans="1:31" x14ac:dyDescent="0.25">
      <c r="A275" s="2" t="s">
        <v>1782</v>
      </c>
      <c r="B275" s="2">
        <v>109504012</v>
      </c>
      <c r="C275" s="2" t="s">
        <v>24</v>
      </c>
      <c r="D275" s="2" t="s">
        <v>4482</v>
      </c>
      <c r="E275" s="2" t="s">
        <v>28</v>
      </c>
      <c r="F275" s="2" t="s">
        <v>290</v>
      </c>
      <c r="G275" s="2" t="s">
        <v>172</v>
      </c>
      <c r="H275" s="2" t="s">
        <v>34</v>
      </c>
      <c r="I275" s="2" t="s">
        <v>33</v>
      </c>
      <c r="J275" s="2" t="s">
        <v>34</v>
      </c>
      <c r="K275" s="2" t="s">
        <v>13</v>
      </c>
      <c r="L275" s="2" t="s">
        <v>17</v>
      </c>
      <c r="M275" s="2" t="s">
        <v>23</v>
      </c>
      <c r="N275" s="2" t="s">
        <v>24</v>
      </c>
      <c r="O275" s="2" t="s">
        <v>156</v>
      </c>
      <c r="P275" s="2" t="s">
        <v>1784</v>
      </c>
      <c r="Q275" s="2" t="s">
        <v>4926</v>
      </c>
      <c r="R275" s="2" t="s">
        <v>166</v>
      </c>
      <c r="S275" s="2" t="s">
        <v>167</v>
      </c>
      <c r="T275" s="2" t="s">
        <v>167</v>
      </c>
      <c r="U275" s="2" t="s">
        <v>39</v>
      </c>
      <c r="V275" s="2" t="s">
        <v>4764</v>
      </c>
      <c r="W275" s="2" t="s">
        <v>17</v>
      </c>
      <c r="X275" s="2" t="s">
        <v>4998</v>
      </c>
      <c r="Y275" s="2" t="s">
        <v>1783</v>
      </c>
      <c r="Z275" s="2" t="s">
        <v>6056</v>
      </c>
      <c r="AA2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2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75" s="6" t="str">
        <f>IF(_xlfn.IFNA(INDEX(configuracoes!$A$2:$A$10,MATCH(base_tc_geral[[#This Row],[TIPO]],configuracoes!$A$2:$A$10,0)),"NÃO")="NÃO","NÃO","SIM")</f>
        <v>NÃO</v>
      </c>
    </row>
    <row r="276" spans="1:31" x14ac:dyDescent="0.25">
      <c r="A276" s="2" t="s">
        <v>4831</v>
      </c>
      <c r="B276" s="2">
        <v>101010209</v>
      </c>
      <c r="C276" s="2" t="s">
        <v>15</v>
      </c>
      <c r="D276" s="2" t="s">
        <v>4529</v>
      </c>
      <c r="E276" s="2" t="s">
        <v>47</v>
      </c>
      <c r="F276" s="2" t="s">
        <v>303</v>
      </c>
      <c r="G276" s="2" t="s">
        <v>136</v>
      </c>
      <c r="H276" s="2" t="s">
        <v>60</v>
      </c>
      <c r="I276" s="2" t="s">
        <v>16</v>
      </c>
      <c r="J276" s="2" t="s">
        <v>60</v>
      </c>
      <c r="K276" s="2" t="s">
        <v>13</v>
      </c>
      <c r="L276" s="2" t="s">
        <v>72</v>
      </c>
      <c r="M276" s="2" t="s">
        <v>73</v>
      </c>
      <c r="N276" s="2" t="s">
        <v>15</v>
      </c>
      <c r="O276" s="2" t="s">
        <v>161</v>
      </c>
      <c r="P276" s="2" t="s">
        <v>4833</v>
      </c>
      <c r="Q276" s="2" t="s">
        <v>4926</v>
      </c>
      <c r="R276" s="2" t="s">
        <v>279</v>
      </c>
      <c r="S276" s="2" t="s">
        <v>51</v>
      </c>
      <c r="T276" s="2" t="s">
        <v>4697</v>
      </c>
      <c r="U276" s="2" t="s">
        <v>39</v>
      </c>
      <c r="V276" s="2" t="s">
        <v>4821</v>
      </c>
      <c r="W276" s="2" t="s">
        <v>72</v>
      </c>
      <c r="X276" s="2" t="s">
        <v>5011</v>
      </c>
      <c r="Y276" s="2" t="s">
        <v>4832</v>
      </c>
      <c r="Z276" s="2" t="s">
        <v>6057</v>
      </c>
      <c r="AA2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2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6" s="6" t="str">
        <f>IF(_xlfn.IFNA(INDEX(configuracoes!$A$2:$A$10,MATCH(base_tc_geral[[#This Row],[TIPO]],configuracoes!$A$2:$A$10,0)),"NÃO")="NÃO","NÃO","SIM")</f>
        <v>NÃO</v>
      </c>
    </row>
    <row r="277" spans="1:31" x14ac:dyDescent="0.25">
      <c r="A277" s="2" t="s">
        <v>2312</v>
      </c>
      <c r="B277" s="2">
        <v>109000340</v>
      </c>
      <c r="C277" s="2" t="s">
        <v>15</v>
      </c>
      <c r="D277" s="2" t="s">
        <v>4495</v>
      </c>
      <c r="E277" s="2" t="s">
        <v>86</v>
      </c>
      <c r="F277" s="2" t="s">
        <v>1320</v>
      </c>
      <c r="G277" s="2" t="s">
        <v>637</v>
      </c>
      <c r="H277" s="2" t="s">
        <v>1321</v>
      </c>
      <c r="I277" s="2" t="s">
        <v>33</v>
      </c>
      <c r="J277" s="2" t="s">
        <v>91</v>
      </c>
      <c r="K277" s="2" t="s">
        <v>20</v>
      </c>
      <c r="L277" s="2" t="s">
        <v>19</v>
      </c>
      <c r="M277" s="2" t="s">
        <v>22</v>
      </c>
      <c r="N277" s="2" t="s">
        <v>15</v>
      </c>
      <c r="O277" s="2" t="s">
        <v>1322</v>
      </c>
      <c r="P277" s="2" t="s">
        <v>2314</v>
      </c>
      <c r="Q277" s="2" t="s">
        <v>4926</v>
      </c>
      <c r="R277" s="2" t="s">
        <v>90</v>
      </c>
      <c r="S277" s="2" t="s">
        <v>93</v>
      </c>
      <c r="T277" s="2" t="s">
        <v>4696</v>
      </c>
      <c r="U277" s="2" t="s">
        <v>12</v>
      </c>
      <c r="V277" s="2" t="s">
        <v>4898</v>
      </c>
      <c r="W277" s="2" t="s">
        <v>4982</v>
      </c>
      <c r="X277" s="2" t="s">
        <v>4925</v>
      </c>
      <c r="Y277" s="2" t="s">
        <v>2313</v>
      </c>
      <c r="Z277" s="2" t="s">
        <v>6058</v>
      </c>
      <c r="AA2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2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7" s="6" t="str">
        <f>IF(_xlfn.IFNA(INDEX(configuracoes!$A$2:$A$10,MATCH(base_tc_geral[[#This Row],[TIPO]],configuracoes!$A$2:$A$10,0)),"NÃO")="NÃO","NÃO","SIM")</f>
        <v>SIM</v>
      </c>
    </row>
    <row r="278" spans="1:31" x14ac:dyDescent="0.25">
      <c r="A278" s="2" t="s">
        <v>6059</v>
      </c>
      <c r="B278" s="2">
        <v>109000926</v>
      </c>
      <c r="C278" s="2" t="s">
        <v>15</v>
      </c>
      <c r="D278" s="2" t="s">
        <v>4502</v>
      </c>
      <c r="E278" s="2" t="s">
        <v>86</v>
      </c>
      <c r="F278" s="2" t="s">
        <v>1099</v>
      </c>
      <c r="G278" s="2" t="s">
        <v>245</v>
      </c>
      <c r="H278" s="2" t="s">
        <v>283</v>
      </c>
      <c r="I278" s="2" t="s">
        <v>33</v>
      </c>
      <c r="J278" s="2" t="s">
        <v>124</v>
      </c>
      <c r="K278" s="2" t="s">
        <v>20</v>
      </c>
      <c r="L278" s="2" t="s">
        <v>21</v>
      </c>
      <c r="M278" s="2" t="s">
        <v>22</v>
      </c>
      <c r="N278" s="2" t="s">
        <v>15</v>
      </c>
      <c r="O278" s="2" t="s">
        <v>287</v>
      </c>
      <c r="P278" s="2" t="s">
        <v>1100</v>
      </c>
      <c r="Q278" s="2" t="s">
        <v>4926</v>
      </c>
      <c r="R278" s="2" t="s">
        <v>285</v>
      </c>
      <c r="S278" s="2" t="s">
        <v>125</v>
      </c>
      <c r="T278" s="2" t="s">
        <v>4696</v>
      </c>
      <c r="U278" s="2" t="s">
        <v>39</v>
      </c>
      <c r="V278" s="2" t="s">
        <v>4777</v>
      </c>
      <c r="W278" s="2" t="s">
        <v>4982</v>
      </c>
      <c r="X278" s="2" t="s">
        <v>4925</v>
      </c>
      <c r="Y278" s="2" t="s">
        <v>1098</v>
      </c>
      <c r="Z278" s="2" t="s">
        <v>6060</v>
      </c>
      <c r="AA2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2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2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8" s="6" t="str">
        <f>IF(_xlfn.IFNA(INDEX(configuracoes!$A$2:$A$10,MATCH(base_tc_geral[[#This Row],[TIPO]],configuracoes!$A$2:$A$10,0)),"NÃO")="NÃO","NÃO","SIM")</f>
        <v>SIM</v>
      </c>
    </row>
    <row r="279" spans="1:31" x14ac:dyDescent="0.25">
      <c r="A279" s="2" t="s">
        <v>2297</v>
      </c>
      <c r="B279" s="2">
        <v>109000340</v>
      </c>
      <c r="C279" s="2" t="s">
        <v>15</v>
      </c>
      <c r="D279" s="2" t="s">
        <v>4550</v>
      </c>
      <c r="E279" s="2" t="s">
        <v>86</v>
      </c>
      <c r="F279" s="2" t="s">
        <v>88</v>
      </c>
      <c r="G279" s="2" t="s">
        <v>41</v>
      </c>
      <c r="H279" s="2" t="s">
        <v>87</v>
      </c>
      <c r="I279" s="2" t="s">
        <v>33</v>
      </c>
      <c r="J279" s="2" t="s">
        <v>91</v>
      </c>
      <c r="K279" s="2" t="s">
        <v>13</v>
      </c>
      <c r="L279" s="2" t="s">
        <v>42</v>
      </c>
      <c r="M279" s="2" t="s">
        <v>22</v>
      </c>
      <c r="N279" s="2" t="s">
        <v>15</v>
      </c>
      <c r="O279" s="2" t="s">
        <v>95</v>
      </c>
      <c r="P279" s="2" t="s">
        <v>2299</v>
      </c>
      <c r="Q279" s="2" t="s">
        <v>4926</v>
      </c>
      <c r="R279" s="2" t="s">
        <v>90</v>
      </c>
      <c r="S279" s="2" t="s">
        <v>93</v>
      </c>
      <c r="T279" s="2" t="s">
        <v>4696</v>
      </c>
      <c r="U279" s="2" t="s">
        <v>12</v>
      </c>
      <c r="V279" s="2" t="s">
        <v>4796</v>
      </c>
      <c r="W279" s="2" t="s">
        <v>42</v>
      </c>
      <c r="X279" s="2" t="s">
        <v>4925</v>
      </c>
      <c r="Y279" s="2" t="s">
        <v>2298</v>
      </c>
      <c r="Z279" s="2" t="s">
        <v>6061</v>
      </c>
      <c r="AA2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2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79" s="6" t="str">
        <f>IF(_xlfn.IFNA(INDEX(configuracoes!$A$2:$A$10,MATCH(base_tc_geral[[#This Row],[TIPO]],configuracoes!$A$2:$A$10,0)),"NÃO")="NÃO","NÃO","SIM")</f>
        <v>SIM</v>
      </c>
    </row>
    <row r="280" spans="1:31" x14ac:dyDescent="0.25">
      <c r="A280" s="2" t="s">
        <v>4080</v>
      </c>
      <c r="B280" s="2">
        <v>109506091</v>
      </c>
      <c r="C280" s="2" t="s">
        <v>15</v>
      </c>
      <c r="D280" s="2" t="s">
        <v>4535</v>
      </c>
      <c r="E280" s="2" t="s">
        <v>86</v>
      </c>
      <c r="F280" s="2" t="s">
        <v>123</v>
      </c>
      <c r="G280" s="2" t="s">
        <v>245</v>
      </c>
      <c r="H280" s="2" t="s">
        <v>122</v>
      </c>
      <c r="I280" s="2" t="s">
        <v>33</v>
      </c>
      <c r="J280" s="2" t="s">
        <v>124</v>
      </c>
      <c r="K280" s="2" t="s">
        <v>20</v>
      </c>
      <c r="L280" s="2" t="s">
        <v>21</v>
      </c>
      <c r="M280" s="2" t="s">
        <v>22</v>
      </c>
      <c r="N280" s="2" t="s">
        <v>15</v>
      </c>
      <c r="O280" s="2" t="s">
        <v>129</v>
      </c>
      <c r="P280" s="2" t="s">
        <v>4082</v>
      </c>
      <c r="Q280" s="2" t="s">
        <v>4926</v>
      </c>
      <c r="R280" s="2" t="s">
        <v>2683</v>
      </c>
      <c r="S280" s="2" t="s">
        <v>125</v>
      </c>
      <c r="T280" s="2" t="s">
        <v>4696</v>
      </c>
      <c r="U280" s="2" t="s">
        <v>12</v>
      </c>
      <c r="V280" s="2" t="s">
        <v>4771</v>
      </c>
      <c r="W280" s="2" t="s">
        <v>4982</v>
      </c>
      <c r="X280" s="2" t="s">
        <v>4925</v>
      </c>
      <c r="Y280" s="2" t="s">
        <v>4081</v>
      </c>
      <c r="Z280" s="2" t="s">
        <v>6062</v>
      </c>
      <c r="AA2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2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2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80" s="6" t="str">
        <f>IF(_xlfn.IFNA(INDEX(configuracoes!$A$2:$A$10,MATCH(base_tc_geral[[#This Row],[TIPO]],configuracoes!$A$2:$A$10,0)),"NÃO")="NÃO","NÃO","SIM")</f>
        <v>SIM</v>
      </c>
    </row>
    <row r="281" spans="1:31" x14ac:dyDescent="0.25">
      <c r="A281" s="2" t="s">
        <v>1182</v>
      </c>
      <c r="B281" s="2">
        <v>109000017</v>
      </c>
      <c r="C281" s="2" t="s">
        <v>15</v>
      </c>
      <c r="D281" s="2" t="s">
        <v>4600</v>
      </c>
      <c r="E281" s="2" t="s">
        <v>86</v>
      </c>
      <c r="F281" s="2" t="s">
        <v>211</v>
      </c>
      <c r="G281" s="2" t="s">
        <v>245</v>
      </c>
      <c r="H281" s="2" t="s">
        <v>210</v>
      </c>
      <c r="I281" s="2" t="s">
        <v>33</v>
      </c>
      <c r="J281" s="2" t="s">
        <v>124</v>
      </c>
      <c r="K281" s="2" t="s">
        <v>20</v>
      </c>
      <c r="L281" s="2" t="s">
        <v>21</v>
      </c>
      <c r="M281" s="2" t="s">
        <v>22</v>
      </c>
      <c r="N281" s="2" t="s">
        <v>15</v>
      </c>
      <c r="O281" s="2" t="s">
        <v>214</v>
      </c>
      <c r="P281" s="2" t="s">
        <v>1184</v>
      </c>
      <c r="Q281" s="2" t="s">
        <v>4926</v>
      </c>
      <c r="R281" s="2" t="s">
        <v>212</v>
      </c>
      <c r="S281" s="2" t="s">
        <v>93</v>
      </c>
      <c r="T281" s="2" t="s">
        <v>4696</v>
      </c>
      <c r="U281" s="2" t="s">
        <v>12</v>
      </c>
      <c r="V281" s="2" t="s">
        <v>4820</v>
      </c>
      <c r="W281" s="2" t="s">
        <v>4982</v>
      </c>
      <c r="X281" s="2" t="s">
        <v>4925</v>
      </c>
      <c r="Y281" s="2" t="s">
        <v>1183</v>
      </c>
      <c r="Z281" s="2" t="s">
        <v>6063</v>
      </c>
      <c r="AA2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2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81" s="6" t="str">
        <f>IF(_xlfn.IFNA(INDEX(configuracoes!$A$2:$A$10,MATCH(base_tc_geral[[#This Row],[TIPO]],configuracoes!$A$2:$A$10,0)),"NÃO")="NÃO","NÃO","SIM")</f>
        <v>SIM</v>
      </c>
    </row>
    <row r="282" spans="1:31" x14ac:dyDescent="0.25">
      <c r="A282" s="2" t="s">
        <v>3860</v>
      </c>
      <c r="B282" s="2">
        <v>102101642</v>
      </c>
      <c r="C282" s="2" t="s">
        <v>15</v>
      </c>
      <c r="D282" s="2" t="s">
        <v>4484</v>
      </c>
      <c r="E282" s="2" t="s">
        <v>106</v>
      </c>
      <c r="F282" s="2" t="s">
        <v>329</v>
      </c>
      <c r="G282" s="2" t="s">
        <v>364</v>
      </c>
      <c r="H282" s="2" t="s">
        <v>107</v>
      </c>
      <c r="I282" s="2" t="s">
        <v>33</v>
      </c>
      <c r="J282" s="2" t="s">
        <v>109</v>
      </c>
      <c r="K282" s="2" t="s">
        <v>92</v>
      </c>
      <c r="L282" s="2" t="s">
        <v>37</v>
      </c>
      <c r="M282" s="2" t="s">
        <v>44</v>
      </c>
      <c r="N282" s="2" t="s">
        <v>15</v>
      </c>
      <c r="O282" s="2" t="s">
        <v>112</v>
      </c>
      <c r="P282" s="2" t="s">
        <v>3862</v>
      </c>
      <c r="Q282" s="2" t="s">
        <v>4926</v>
      </c>
      <c r="R282" s="2" t="s">
        <v>187</v>
      </c>
      <c r="S282" s="2" t="s">
        <v>736</v>
      </c>
      <c r="T282" s="2" t="s">
        <v>167</v>
      </c>
      <c r="U282" s="2" t="s">
        <v>12</v>
      </c>
      <c r="V282" s="2" t="s">
        <v>4772</v>
      </c>
      <c r="W282" s="2" t="s">
        <v>4999</v>
      </c>
      <c r="X282" s="2" t="s">
        <v>44</v>
      </c>
      <c r="Y282" s="2" t="s">
        <v>3861</v>
      </c>
      <c r="Z282" s="2" t="s">
        <v>6064</v>
      </c>
      <c r="AA2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2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82" s="6" t="str">
        <f>IF(_xlfn.IFNA(INDEX(configuracoes!$A$2:$A$10,MATCH(base_tc_geral[[#This Row],[TIPO]],configuracoes!$A$2:$A$10,0)),"NÃO")="NÃO","NÃO","SIM")</f>
        <v>NÃO</v>
      </c>
    </row>
    <row r="283" spans="1:31" x14ac:dyDescent="0.25">
      <c r="A283" s="2" t="s">
        <v>878</v>
      </c>
      <c r="B283" s="2">
        <v>102002917</v>
      </c>
      <c r="C283" s="2" t="s">
        <v>15</v>
      </c>
      <c r="D283" s="2" t="s">
        <v>4527</v>
      </c>
      <c r="E283" s="2" t="s">
        <v>106</v>
      </c>
      <c r="F283" s="2" t="s">
        <v>863</v>
      </c>
      <c r="G283" s="2" t="s">
        <v>58</v>
      </c>
      <c r="H283" s="2" t="s">
        <v>427</v>
      </c>
      <c r="I283" s="2" t="s">
        <v>33</v>
      </c>
      <c r="J283" s="2" t="s">
        <v>109</v>
      </c>
      <c r="K283" s="2" t="s">
        <v>92</v>
      </c>
      <c r="L283" s="2" t="s">
        <v>61</v>
      </c>
      <c r="M283" s="2" t="s">
        <v>44</v>
      </c>
      <c r="N283" s="2" t="s">
        <v>15</v>
      </c>
      <c r="O283" s="2" t="s">
        <v>430</v>
      </c>
      <c r="P283" s="2" t="s">
        <v>880</v>
      </c>
      <c r="Q283" s="2" t="s">
        <v>4926</v>
      </c>
      <c r="R283" s="2" t="s">
        <v>5069</v>
      </c>
      <c r="S283" s="2" t="s">
        <v>736</v>
      </c>
      <c r="T283" s="2" t="s">
        <v>167</v>
      </c>
      <c r="U283" s="2" t="s">
        <v>12</v>
      </c>
      <c r="V283" s="2" t="s">
        <v>4773</v>
      </c>
      <c r="W283" s="2" t="s">
        <v>4999</v>
      </c>
      <c r="X283" s="2" t="s">
        <v>44</v>
      </c>
      <c r="Y283" s="2" t="s">
        <v>879</v>
      </c>
      <c r="Z283" s="2" t="s">
        <v>6065</v>
      </c>
      <c r="AA2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2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83" s="6" t="str">
        <f>IF(_xlfn.IFNA(INDEX(configuracoes!$A$2:$A$10,MATCH(base_tc_geral[[#This Row],[TIPO]],configuracoes!$A$2:$A$10,0)),"NÃO")="NÃO","NÃO","SIM")</f>
        <v>NÃO</v>
      </c>
    </row>
    <row r="284" spans="1:31" x14ac:dyDescent="0.25">
      <c r="A284" s="2" t="s">
        <v>2508</v>
      </c>
      <c r="B284" s="2">
        <v>105000985</v>
      </c>
      <c r="C284" s="2" t="s">
        <v>15</v>
      </c>
      <c r="D284" s="2" t="s">
        <v>4557</v>
      </c>
      <c r="E284" s="2" t="s">
        <v>28</v>
      </c>
      <c r="F284" s="2" t="s">
        <v>30</v>
      </c>
      <c r="G284" s="2" t="s">
        <v>883</v>
      </c>
      <c r="H284" s="2" t="s">
        <v>29</v>
      </c>
      <c r="I284" s="2" t="s">
        <v>33</v>
      </c>
      <c r="J284" s="2" t="s">
        <v>34</v>
      </c>
      <c r="K284" s="2" t="s">
        <v>20</v>
      </c>
      <c r="L284" s="2" t="s">
        <v>21</v>
      </c>
      <c r="M284" s="2" t="s">
        <v>22</v>
      </c>
      <c r="N284" s="2" t="s">
        <v>15</v>
      </c>
      <c r="O284" s="2" t="s">
        <v>36</v>
      </c>
      <c r="P284" s="2" t="s">
        <v>2510</v>
      </c>
      <c r="Q284" s="2" t="s">
        <v>4926</v>
      </c>
      <c r="R284" s="2" t="s">
        <v>32</v>
      </c>
      <c r="S284" s="2" t="s">
        <v>167</v>
      </c>
      <c r="T284" s="2" t="s">
        <v>167</v>
      </c>
      <c r="U284" s="2" t="s">
        <v>12</v>
      </c>
      <c r="V284" s="2" t="s">
        <v>4851</v>
      </c>
      <c r="W284" s="2" t="s">
        <v>4982</v>
      </c>
      <c r="X284" s="2" t="s">
        <v>4925</v>
      </c>
      <c r="Y284" s="2" t="s">
        <v>2509</v>
      </c>
      <c r="Z284" s="2" t="s">
        <v>6066</v>
      </c>
      <c r="AA2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2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84" s="6" t="str">
        <f>IF(_xlfn.IFNA(INDEX(configuracoes!$A$2:$A$10,MATCH(base_tc_geral[[#This Row],[TIPO]],configuracoes!$A$2:$A$10,0)),"NÃO")="NÃO","NÃO","SIM")</f>
        <v>SIM</v>
      </c>
    </row>
    <row r="285" spans="1:31" x14ac:dyDescent="0.25">
      <c r="A285" s="2" t="s">
        <v>3953</v>
      </c>
      <c r="B285" s="2">
        <v>105303134</v>
      </c>
      <c r="C285" s="2" t="s">
        <v>15</v>
      </c>
      <c r="D285" s="2" t="s">
        <v>4562</v>
      </c>
      <c r="E285" s="2" t="s">
        <v>28</v>
      </c>
      <c r="F285" s="2" t="s">
        <v>290</v>
      </c>
      <c r="G285" s="2" t="s">
        <v>317</v>
      </c>
      <c r="H285" s="2" t="s">
        <v>34</v>
      </c>
      <c r="I285" s="2" t="s">
        <v>33</v>
      </c>
      <c r="J285" s="2" t="s">
        <v>34</v>
      </c>
      <c r="K285" s="2" t="s">
        <v>13</v>
      </c>
      <c r="L285" s="2" t="s">
        <v>42</v>
      </c>
      <c r="M285" s="2" t="s">
        <v>75</v>
      </c>
      <c r="N285" s="2" t="s">
        <v>15</v>
      </c>
      <c r="O285" s="2" t="s">
        <v>156</v>
      </c>
      <c r="P285" s="2" t="s">
        <v>3955</v>
      </c>
      <c r="Q285" s="2" t="s">
        <v>4926</v>
      </c>
      <c r="R285" s="2" t="s">
        <v>442</v>
      </c>
      <c r="S285" s="2" t="s">
        <v>167</v>
      </c>
      <c r="T285" s="2" t="s">
        <v>167</v>
      </c>
      <c r="U285" s="2" t="s">
        <v>12</v>
      </c>
      <c r="V285" s="2" t="s">
        <v>4763</v>
      </c>
      <c r="W285" s="2" t="s">
        <v>42</v>
      </c>
      <c r="X285" s="2" t="s">
        <v>75</v>
      </c>
      <c r="Y285" s="2" t="s">
        <v>3954</v>
      </c>
      <c r="Z285" s="2" t="s">
        <v>6067</v>
      </c>
      <c r="AA2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2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85" s="6" t="str">
        <f>IF(_xlfn.IFNA(INDEX(configuracoes!$A$2:$A$10,MATCH(base_tc_geral[[#This Row],[TIPO]],configuracoes!$A$2:$A$10,0)),"NÃO")="NÃO","NÃO","SIM")</f>
        <v>SIM</v>
      </c>
    </row>
    <row r="286" spans="1:31" x14ac:dyDescent="0.25">
      <c r="A286" s="2" t="s">
        <v>4208</v>
      </c>
      <c r="B286" s="2">
        <v>101004033</v>
      </c>
      <c r="C286" s="2" t="s">
        <v>15</v>
      </c>
      <c r="D286" s="2" t="s">
        <v>4489</v>
      </c>
      <c r="E286" s="2" t="s">
        <v>47</v>
      </c>
      <c r="F286" s="2" t="s">
        <v>398</v>
      </c>
      <c r="G286" s="2" t="s">
        <v>58</v>
      </c>
      <c r="H286" s="2" t="s">
        <v>60</v>
      </c>
      <c r="I286" s="2" t="s">
        <v>16</v>
      </c>
      <c r="J286" s="2" t="s">
        <v>60</v>
      </c>
      <c r="K286" s="2" t="s">
        <v>92</v>
      </c>
      <c r="L286" s="2" t="s">
        <v>61</v>
      </c>
      <c r="M286" s="2" t="s">
        <v>44</v>
      </c>
      <c r="N286" s="2" t="s">
        <v>15</v>
      </c>
      <c r="O286" s="2" t="s">
        <v>161</v>
      </c>
      <c r="P286" s="2" t="s">
        <v>4210</v>
      </c>
      <c r="Q286" s="2" t="s">
        <v>4926</v>
      </c>
      <c r="R286" s="2" t="s">
        <v>304</v>
      </c>
      <c r="S286" s="2" t="s">
        <v>51</v>
      </c>
      <c r="T286" s="2" t="s">
        <v>4697</v>
      </c>
      <c r="U286" s="2" t="s">
        <v>12</v>
      </c>
      <c r="V286" s="2" t="s">
        <v>4813</v>
      </c>
      <c r="W286" s="2" t="s">
        <v>5013</v>
      </c>
      <c r="X286" s="2" t="s">
        <v>44</v>
      </c>
      <c r="Y286" s="2" t="s">
        <v>4209</v>
      </c>
      <c r="Z286" s="2" t="s">
        <v>6068</v>
      </c>
      <c r="AA2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2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86" s="6" t="str">
        <f>IF(_xlfn.IFNA(INDEX(configuracoes!$A$2:$A$10,MATCH(base_tc_geral[[#This Row],[TIPO]],configuracoes!$A$2:$A$10,0)),"NÃO")="NÃO","NÃO","SIM")</f>
        <v>NÃO</v>
      </c>
    </row>
    <row r="287" spans="1:31" x14ac:dyDescent="0.25">
      <c r="A287" s="2" t="s">
        <v>888</v>
      </c>
      <c r="B287" s="2">
        <v>105303208</v>
      </c>
      <c r="C287" s="2" t="s">
        <v>24</v>
      </c>
      <c r="D287" s="2" t="s">
        <v>4768</v>
      </c>
      <c r="E287" s="2" t="s">
        <v>28</v>
      </c>
      <c r="F287" s="2" t="s">
        <v>440</v>
      </c>
      <c r="G287" s="2" t="s">
        <v>883</v>
      </c>
      <c r="H287" s="2" t="s">
        <v>34</v>
      </c>
      <c r="I287" s="2" t="s">
        <v>33</v>
      </c>
      <c r="J287" s="2" t="s">
        <v>34</v>
      </c>
      <c r="K287" s="2" t="s">
        <v>20</v>
      </c>
      <c r="L287" s="2" t="s">
        <v>21</v>
      </c>
      <c r="M287" s="2" t="s">
        <v>22</v>
      </c>
      <c r="N287" s="2" t="s">
        <v>24</v>
      </c>
      <c r="O287" s="2" t="s">
        <v>156</v>
      </c>
      <c r="P287" s="2" t="s">
        <v>890</v>
      </c>
      <c r="Q287" s="2" t="s">
        <v>4926</v>
      </c>
      <c r="R287" s="2" t="s">
        <v>849</v>
      </c>
      <c r="S287" s="2" t="s">
        <v>167</v>
      </c>
      <c r="T287" s="2" t="s">
        <v>167</v>
      </c>
      <c r="U287" s="2" t="s">
        <v>39</v>
      </c>
      <c r="V287" s="2" t="s">
        <v>4850</v>
      </c>
      <c r="W287" s="2" t="s">
        <v>4982</v>
      </c>
      <c r="X287" s="2" t="s">
        <v>4925</v>
      </c>
      <c r="Y287" s="2" t="s">
        <v>889</v>
      </c>
      <c r="Z287" s="2" t="s">
        <v>6069</v>
      </c>
      <c r="AA2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2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2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87" s="6" t="str">
        <f>IF(_xlfn.IFNA(INDEX(configuracoes!$A$2:$A$10,MATCH(base_tc_geral[[#This Row],[TIPO]],configuracoes!$A$2:$A$10,0)),"NÃO")="NÃO","NÃO","SIM")</f>
        <v>SIM</v>
      </c>
    </row>
    <row r="288" spans="1:31" x14ac:dyDescent="0.25">
      <c r="A288" s="2" t="s">
        <v>4275</v>
      </c>
      <c r="B288" s="2">
        <v>101001782</v>
      </c>
      <c r="C288" s="2" t="s">
        <v>24</v>
      </c>
      <c r="D288" s="2" t="s">
        <v>4482</v>
      </c>
      <c r="E288" s="2" t="s">
        <v>47</v>
      </c>
      <c r="F288" s="2" t="s">
        <v>464</v>
      </c>
      <c r="G288" s="2" t="s">
        <v>1570</v>
      </c>
      <c r="H288" s="2" t="s">
        <v>48</v>
      </c>
      <c r="I288" s="2" t="s">
        <v>16</v>
      </c>
      <c r="J288" s="2" t="s">
        <v>48</v>
      </c>
      <c r="K288" s="2" t="s">
        <v>20</v>
      </c>
      <c r="L288" s="2" t="s">
        <v>21</v>
      </c>
      <c r="M288" s="2" t="s">
        <v>22</v>
      </c>
      <c r="N288" s="2" t="s">
        <v>24</v>
      </c>
      <c r="O288" s="2" t="s">
        <v>53</v>
      </c>
      <c r="P288" s="2" t="s">
        <v>4277</v>
      </c>
      <c r="Q288" s="2" t="s">
        <v>4926</v>
      </c>
      <c r="R288" s="2" t="s">
        <v>512</v>
      </c>
      <c r="S288" s="2" t="s">
        <v>51</v>
      </c>
      <c r="T288" s="2" t="s">
        <v>4697</v>
      </c>
      <c r="U288" s="2" t="s">
        <v>39</v>
      </c>
      <c r="V288" s="2" t="s">
        <v>4861</v>
      </c>
      <c r="W288" s="2" t="s">
        <v>4982</v>
      </c>
      <c r="X288" s="2" t="s">
        <v>4925</v>
      </c>
      <c r="Y288" s="2" t="s">
        <v>4276</v>
      </c>
      <c r="Z288" s="2" t="s">
        <v>5240</v>
      </c>
      <c r="AA2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2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2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88" s="6" t="str">
        <f>IF(_xlfn.IFNA(INDEX(configuracoes!$A$2:$A$10,MATCH(base_tc_geral[[#This Row],[TIPO]],configuracoes!$A$2:$A$10,0)),"NÃO")="NÃO","NÃO","SIM")</f>
        <v>SIM</v>
      </c>
    </row>
    <row r="289" spans="1:31" x14ac:dyDescent="0.25">
      <c r="A289" s="2" t="s">
        <v>532</v>
      </c>
      <c r="B289" s="2">
        <v>109000017</v>
      </c>
      <c r="C289" s="2" t="s">
        <v>24</v>
      </c>
      <c r="D289" s="2" t="s">
        <v>4482</v>
      </c>
      <c r="E289" s="2" t="s">
        <v>86</v>
      </c>
      <c r="F289" s="2" t="s">
        <v>211</v>
      </c>
      <c r="G289" s="2" t="s">
        <v>245</v>
      </c>
      <c r="H289" s="2" t="s">
        <v>210</v>
      </c>
      <c r="I289" s="2" t="s">
        <v>33</v>
      </c>
      <c r="J289" s="2" t="s">
        <v>124</v>
      </c>
      <c r="K289" s="2" t="s">
        <v>20</v>
      </c>
      <c r="L289" s="2" t="s">
        <v>21</v>
      </c>
      <c r="M289" s="2" t="s">
        <v>22</v>
      </c>
      <c r="N289" s="2" t="s">
        <v>24</v>
      </c>
      <c r="O289" s="2" t="s">
        <v>214</v>
      </c>
      <c r="P289" s="2" t="s">
        <v>534</v>
      </c>
      <c r="Q289" s="2" t="s">
        <v>4926</v>
      </c>
      <c r="R289" s="2" t="s">
        <v>212</v>
      </c>
      <c r="S289" s="2" t="s">
        <v>93</v>
      </c>
      <c r="T289" s="2" t="s">
        <v>4696</v>
      </c>
      <c r="U289" s="2" t="s">
        <v>39</v>
      </c>
      <c r="V289" s="2" t="s">
        <v>4820</v>
      </c>
      <c r="W289" s="2" t="s">
        <v>4982</v>
      </c>
      <c r="X289" s="2" t="s">
        <v>4925</v>
      </c>
      <c r="Y289" s="2" t="s">
        <v>533</v>
      </c>
      <c r="Z289" s="2" t="s">
        <v>5241</v>
      </c>
      <c r="AA2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2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289" s="6" t="str">
        <f>IF(_xlfn.IFNA(INDEX(configuracoes!$A$2:$A$10,MATCH(base_tc_geral[[#This Row],[TIPO]],configuracoes!$A$2:$A$10,0)),"NÃO")="NÃO","NÃO","SIM")</f>
        <v>SIM</v>
      </c>
    </row>
    <row r="290" spans="1:31" x14ac:dyDescent="0.25">
      <c r="A290" s="2" t="s">
        <v>3578</v>
      </c>
      <c r="B290" s="2">
        <v>101005380</v>
      </c>
      <c r="C290" s="2" t="s">
        <v>15</v>
      </c>
      <c r="D290" s="2" t="s">
        <v>4481</v>
      </c>
      <c r="E290" s="2" t="s">
        <v>47</v>
      </c>
      <c r="F290" s="2" t="s">
        <v>181</v>
      </c>
      <c r="G290" s="2" t="s">
        <v>41</v>
      </c>
      <c r="H290" s="2" t="s">
        <v>66</v>
      </c>
      <c r="I290" s="2" t="s">
        <v>16</v>
      </c>
      <c r="J290" s="2" t="s">
        <v>66</v>
      </c>
      <c r="K290" s="2" t="s">
        <v>20</v>
      </c>
      <c r="L290" s="2" t="s">
        <v>42</v>
      </c>
      <c r="M290" s="2" t="s">
        <v>22</v>
      </c>
      <c r="N290" s="2" t="s">
        <v>15</v>
      </c>
      <c r="O290" s="2" t="s">
        <v>71</v>
      </c>
      <c r="P290" s="2" t="s">
        <v>3580</v>
      </c>
      <c r="Q290" s="2" t="s">
        <v>4926</v>
      </c>
      <c r="R290" s="2" t="s">
        <v>69</v>
      </c>
      <c r="S290" s="2" t="s">
        <v>4698</v>
      </c>
      <c r="T290" s="2" t="s">
        <v>4697</v>
      </c>
      <c r="U290" s="2" t="s">
        <v>12</v>
      </c>
      <c r="V290" s="2" t="s">
        <v>4787</v>
      </c>
      <c r="W290" s="2" t="s">
        <v>42</v>
      </c>
      <c r="X290" s="2" t="s">
        <v>4925</v>
      </c>
      <c r="Y290" s="2" t="s">
        <v>3579</v>
      </c>
      <c r="Z290" s="2" t="s">
        <v>5242</v>
      </c>
      <c r="AA2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2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0" s="6" t="str">
        <f>IF(_xlfn.IFNA(INDEX(configuracoes!$A$2:$A$10,MATCH(base_tc_geral[[#This Row],[TIPO]],configuracoes!$A$2:$A$10,0)),"NÃO")="NÃO","NÃO","SIM")</f>
        <v>SIM</v>
      </c>
    </row>
    <row r="291" spans="1:31" x14ac:dyDescent="0.25">
      <c r="A291" s="2" t="s">
        <v>4083</v>
      </c>
      <c r="B291" s="2">
        <v>109506091</v>
      </c>
      <c r="C291" s="2" t="s">
        <v>15</v>
      </c>
      <c r="D291" s="2" t="s">
        <v>4691</v>
      </c>
      <c r="E291" s="2" t="s">
        <v>86</v>
      </c>
      <c r="F291" s="2" t="s">
        <v>123</v>
      </c>
      <c r="G291" s="2" t="s">
        <v>245</v>
      </c>
      <c r="H291" s="2" t="s">
        <v>122</v>
      </c>
      <c r="I291" s="2" t="s">
        <v>33</v>
      </c>
      <c r="J291" s="2" t="s">
        <v>124</v>
      </c>
      <c r="K291" s="2" t="s">
        <v>20</v>
      </c>
      <c r="L291" s="2" t="s">
        <v>21</v>
      </c>
      <c r="M291" s="2" t="s">
        <v>22</v>
      </c>
      <c r="N291" s="2" t="s">
        <v>15</v>
      </c>
      <c r="O291" s="2" t="s">
        <v>129</v>
      </c>
      <c r="P291" s="2" t="s">
        <v>4085</v>
      </c>
      <c r="Q291" s="2" t="s">
        <v>4926</v>
      </c>
      <c r="R291" s="2" t="s">
        <v>2683</v>
      </c>
      <c r="S291" s="2" t="s">
        <v>125</v>
      </c>
      <c r="T291" s="2" t="s">
        <v>4696</v>
      </c>
      <c r="U291" s="2" t="s">
        <v>12</v>
      </c>
      <c r="V291" s="2" t="s">
        <v>4771</v>
      </c>
      <c r="W291" s="2" t="s">
        <v>4982</v>
      </c>
      <c r="X291" s="2" t="s">
        <v>4925</v>
      </c>
      <c r="Y291" s="2" t="s">
        <v>4084</v>
      </c>
      <c r="Z291" s="2" t="s">
        <v>5243</v>
      </c>
      <c r="AA2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2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2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1" s="6" t="str">
        <f>IF(_xlfn.IFNA(INDEX(configuracoes!$A$2:$A$10,MATCH(base_tc_geral[[#This Row],[TIPO]],configuracoes!$A$2:$A$10,0)),"NÃO")="NÃO","NÃO","SIM")</f>
        <v>SIM</v>
      </c>
    </row>
    <row r="292" spans="1:31" x14ac:dyDescent="0.25">
      <c r="A292" s="2" t="s">
        <v>2977</v>
      </c>
      <c r="B292" s="2">
        <v>101010062</v>
      </c>
      <c r="C292" s="2" t="s">
        <v>15</v>
      </c>
      <c r="D292" s="2" t="s">
        <v>4568</v>
      </c>
      <c r="E292" s="2" t="s">
        <v>47</v>
      </c>
      <c r="F292" s="2" t="s">
        <v>181</v>
      </c>
      <c r="G292" s="2" t="s">
        <v>136</v>
      </c>
      <c r="H292" s="2" t="s">
        <v>66</v>
      </c>
      <c r="I292" s="2" t="s">
        <v>16</v>
      </c>
      <c r="J292" s="2" t="s">
        <v>66</v>
      </c>
      <c r="K292" s="2" t="s">
        <v>13</v>
      </c>
      <c r="L292" s="2" t="s">
        <v>72</v>
      </c>
      <c r="M292" s="2" t="s">
        <v>73</v>
      </c>
      <c r="N292" s="2" t="s">
        <v>15</v>
      </c>
      <c r="O292" s="2" t="s">
        <v>71</v>
      </c>
      <c r="P292" s="2" t="s">
        <v>2979</v>
      </c>
      <c r="Q292" s="2" t="s">
        <v>4926</v>
      </c>
      <c r="R292" s="2" t="s">
        <v>1699</v>
      </c>
      <c r="S292" s="2" t="s">
        <v>4698</v>
      </c>
      <c r="T292" s="2" t="s">
        <v>4697</v>
      </c>
      <c r="U292" s="2" t="s">
        <v>39</v>
      </c>
      <c r="V292" s="2" t="s">
        <v>4792</v>
      </c>
      <c r="W292" s="2" t="s">
        <v>72</v>
      </c>
      <c r="X292" s="2" t="s">
        <v>5011</v>
      </c>
      <c r="Y292" s="2" t="s">
        <v>2978</v>
      </c>
      <c r="Z292" s="2" t="s">
        <v>5244</v>
      </c>
      <c r="AA2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2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2" s="6" t="str">
        <f>IF(_xlfn.IFNA(INDEX(configuracoes!$A$2:$A$10,MATCH(base_tc_geral[[#This Row],[TIPO]],configuracoes!$A$2:$A$10,0)),"NÃO")="NÃO","NÃO","SIM")</f>
        <v>NÃO</v>
      </c>
    </row>
    <row r="293" spans="1:31" x14ac:dyDescent="0.25">
      <c r="A293" s="2" t="s">
        <v>2676</v>
      </c>
      <c r="B293" s="2">
        <v>109000340</v>
      </c>
      <c r="C293" s="2" t="s">
        <v>15</v>
      </c>
      <c r="D293" s="2" t="s">
        <v>4568</v>
      </c>
      <c r="E293" s="2" t="s">
        <v>86</v>
      </c>
      <c r="F293" s="2" t="s">
        <v>1320</v>
      </c>
      <c r="G293" s="2" t="s">
        <v>172</v>
      </c>
      <c r="H293" s="2" t="s">
        <v>1321</v>
      </c>
      <c r="I293" s="2" t="s">
        <v>33</v>
      </c>
      <c r="J293" s="2" t="s">
        <v>91</v>
      </c>
      <c r="K293" s="2" t="s">
        <v>13</v>
      </c>
      <c r="L293" s="2" t="s">
        <v>17</v>
      </c>
      <c r="M293" s="2" t="s">
        <v>23</v>
      </c>
      <c r="N293" s="2" t="s">
        <v>15</v>
      </c>
      <c r="O293" s="2" t="s">
        <v>1322</v>
      </c>
      <c r="P293" s="2" t="s">
        <v>2678</v>
      </c>
      <c r="Q293" s="2" t="s">
        <v>4926</v>
      </c>
      <c r="R293" s="2" t="s">
        <v>90</v>
      </c>
      <c r="S293" s="2" t="s">
        <v>93</v>
      </c>
      <c r="T293" s="2" t="s">
        <v>4696</v>
      </c>
      <c r="U293" s="2" t="s">
        <v>12</v>
      </c>
      <c r="V293" s="2" t="s">
        <v>4898</v>
      </c>
      <c r="W293" s="2" t="s">
        <v>17</v>
      </c>
      <c r="X293" s="2" t="s">
        <v>4998</v>
      </c>
      <c r="Y293" s="2" t="s">
        <v>2677</v>
      </c>
      <c r="Z293" s="2" t="s">
        <v>5245</v>
      </c>
      <c r="AA2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2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3" s="6" t="str">
        <f>IF(_xlfn.IFNA(INDEX(configuracoes!$A$2:$A$10,MATCH(base_tc_geral[[#This Row],[TIPO]],configuracoes!$A$2:$A$10,0)),"NÃO")="NÃO","NÃO","SIM")</f>
        <v>NÃO</v>
      </c>
    </row>
    <row r="294" spans="1:31" x14ac:dyDescent="0.25">
      <c r="A294" s="2" t="s">
        <v>2673</v>
      </c>
      <c r="B294" s="2">
        <v>109000340</v>
      </c>
      <c r="C294" s="2" t="s">
        <v>15</v>
      </c>
      <c r="D294" s="2" t="s">
        <v>4584</v>
      </c>
      <c r="E294" s="2" t="s">
        <v>86</v>
      </c>
      <c r="F294" s="2" t="s">
        <v>1320</v>
      </c>
      <c r="G294" s="2" t="s">
        <v>630</v>
      </c>
      <c r="H294" s="2" t="s">
        <v>1321</v>
      </c>
      <c r="I294" s="2" t="s">
        <v>33</v>
      </c>
      <c r="J294" s="2" t="s">
        <v>91</v>
      </c>
      <c r="K294" s="2" t="s">
        <v>20</v>
      </c>
      <c r="L294" s="2" t="s">
        <v>21</v>
      </c>
      <c r="M294" s="2" t="s">
        <v>22</v>
      </c>
      <c r="N294" s="2" t="s">
        <v>15</v>
      </c>
      <c r="O294" s="2" t="s">
        <v>1322</v>
      </c>
      <c r="P294" s="2" t="s">
        <v>2675</v>
      </c>
      <c r="Q294" s="2" t="s">
        <v>4926</v>
      </c>
      <c r="R294" s="2" t="s">
        <v>90</v>
      </c>
      <c r="S294" s="2" t="s">
        <v>93</v>
      </c>
      <c r="T294" s="2" t="s">
        <v>4696</v>
      </c>
      <c r="U294" s="2" t="s">
        <v>12</v>
      </c>
      <c r="V294" s="2" t="s">
        <v>4898</v>
      </c>
      <c r="W294" s="2" t="s">
        <v>4982</v>
      </c>
      <c r="X294" s="2" t="s">
        <v>4925</v>
      </c>
      <c r="Y294" s="2" t="s">
        <v>2674</v>
      </c>
      <c r="Z294" s="2" t="s">
        <v>6070</v>
      </c>
      <c r="AA2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2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4" s="6" t="str">
        <f>IF(_xlfn.IFNA(INDEX(configuracoes!$A$2:$A$10,MATCH(base_tc_geral[[#This Row],[TIPO]],configuracoes!$A$2:$A$10,0)),"NÃO")="NÃO","NÃO","SIM")</f>
        <v>SIM</v>
      </c>
    </row>
    <row r="295" spans="1:31" x14ac:dyDescent="0.25">
      <c r="A295" s="2" t="s">
        <v>2747</v>
      </c>
      <c r="B295" s="2">
        <v>108401409</v>
      </c>
      <c r="C295" s="2" t="s">
        <v>15</v>
      </c>
      <c r="D295" s="2" t="s">
        <v>4484</v>
      </c>
      <c r="E295" s="2" t="s">
        <v>47</v>
      </c>
      <c r="F295" s="2" t="s">
        <v>244</v>
      </c>
      <c r="G295" s="2" t="s">
        <v>41</v>
      </c>
      <c r="H295" s="2" t="s">
        <v>60</v>
      </c>
      <c r="I295" s="2" t="s">
        <v>16</v>
      </c>
      <c r="J295" s="2" t="s">
        <v>60</v>
      </c>
      <c r="K295" s="2" t="s">
        <v>13</v>
      </c>
      <c r="L295" s="2" t="s">
        <v>42</v>
      </c>
      <c r="M295" s="2" t="s">
        <v>75</v>
      </c>
      <c r="N295" s="2" t="s">
        <v>15</v>
      </c>
      <c r="O295" s="2" t="s">
        <v>161</v>
      </c>
      <c r="P295" s="2" t="s">
        <v>2749</v>
      </c>
      <c r="Q295" s="2" t="s">
        <v>4926</v>
      </c>
      <c r="R295" s="2" t="s">
        <v>2738</v>
      </c>
      <c r="S295" s="2" t="s">
        <v>359</v>
      </c>
      <c r="T295" s="2" t="s">
        <v>4697</v>
      </c>
      <c r="U295" s="2" t="s">
        <v>12</v>
      </c>
      <c r="V295" s="2" t="s">
        <v>4821</v>
      </c>
      <c r="W295" s="2" t="s">
        <v>42</v>
      </c>
      <c r="X295" s="2" t="s">
        <v>75</v>
      </c>
      <c r="Y295" s="2" t="s">
        <v>2748</v>
      </c>
      <c r="Z295" s="2" t="s">
        <v>6071</v>
      </c>
      <c r="AA2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2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2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5" s="6" t="str">
        <f>IF(_xlfn.IFNA(INDEX(configuracoes!$A$2:$A$10,MATCH(base_tc_geral[[#This Row],[TIPO]],configuracoes!$A$2:$A$10,0)),"NÃO")="NÃO","NÃO","SIM")</f>
        <v>SIM</v>
      </c>
    </row>
    <row r="296" spans="1:31" x14ac:dyDescent="0.25">
      <c r="A296" s="2" t="s">
        <v>1702</v>
      </c>
      <c r="B296" s="2">
        <v>101010062</v>
      </c>
      <c r="C296" s="2" t="s">
        <v>15</v>
      </c>
      <c r="D296" s="2" t="s">
        <v>4584</v>
      </c>
      <c r="E296" s="2" t="s">
        <v>47</v>
      </c>
      <c r="F296" s="2" t="s">
        <v>181</v>
      </c>
      <c r="G296" s="2" t="s">
        <v>172</v>
      </c>
      <c r="H296" s="2" t="s">
        <v>66</v>
      </c>
      <c r="I296" s="2" t="s">
        <v>16</v>
      </c>
      <c r="J296" s="2" t="s">
        <v>66</v>
      </c>
      <c r="K296" s="2" t="s">
        <v>13</v>
      </c>
      <c r="L296" s="2" t="s">
        <v>17</v>
      </c>
      <c r="M296" s="2" t="s">
        <v>18</v>
      </c>
      <c r="N296" s="2" t="s">
        <v>15</v>
      </c>
      <c r="O296" s="2" t="s">
        <v>71</v>
      </c>
      <c r="P296" s="2" t="s">
        <v>1704</v>
      </c>
      <c r="Q296" s="2" t="s">
        <v>4926</v>
      </c>
      <c r="R296" s="2" t="s">
        <v>1699</v>
      </c>
      <c r="S296" s="2" t="s">
        <v>4698</v>
      </c>
      <c r="T296" s="2" t="s">
        <v>4697</v>
      </c>
      <c r="U296" s="2" t="s">
        <v>12</v>
      </c>
      <c r="V296" s="2" t="s">
        <v>4792</v>
      </c>
      <c r="W296" s="2" t="s">
        <v>17</v>
      </c>
      <c r="X296" s="2" t="s">
        <v>4998</v>
      </c>
      <c r="Y296" s="2" t="s">
        <v>1703</v>
      </c>
      <c r="Z296" s="2" t="s">
        <v>6072</v>
      </c>
      <c r="AA2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2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2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6" s="6" t="str">
        <f>IF(_xlfn.IFNA(INDEX(configuracoes!$A$2:$A$10,MATCH(base_tc_geral[[#This Row],[TIPO]],configuracoes!$A$2:$A$10,0)),"NÃO")="NÃO","NÃO","SIM")</f>
        <v>NÃO</v>
      </c>
    </row>
    <row r="297" spans="1:31" x14ac:dyDescent="0.25">
      <c r="A297" s="2" t="s">
        <v>4461</v>
      </c>
      <c r="B297" s="2">
        <v>101008003</v>
      </c>
      <c r="C297" s="2" t="s">
        <v>15</v>
      </c>
      <c r="D297" s="2" t="s">
        <v>4502</v>
      </c>
      <c r="E297" s="2" t="s">
        <v>47</v>
      </c>
      <c r="F297" s="2" t="s">
        <v>98</v>
      </c>
      <c r="G297" s="2" t="s">
        <v>648</v>
      </c>
      <c r="H297" s="2" t="s">
        <v>56</v>
      </c>
      <c r="I297" s="2" t="s">
        <v>16</v>
      </c>
      <c r="J297" s="2" t="s">
        <v>60</v>
      </c>
      <c r="K297" s="2" t="s">
        <v>20</v>
      </c>
      <c r="L297" s="2" t="s">
        <v>25</v>
      </c>
      <c r="M297" s="2" t="s">
        <v>22</v>
      </c>
      <c r="N297" s="2" t="s">
        <v>15</v>
      </c>
      <c r="O297" s="2" t="s">
        <v>63</v>
      </c>
      <c r="P297" s="2" t="s">
        <v>4463</v>
      </c>
      <c r="Q297" s="2" t="s">
        <v>4926</v>
      </c>
      <c r="R297" s="2" t="s">
        <v>100</v>
      </c>
      <c r="S297" s="2" t="s">
        <v>101</v>
      </c>
      <c r="T297" s="2" t="s">
        <v>4697</v>
      </c>
      <c r="U297" s="2" t="s">
        <v>12</v>
      </c>
      <c r="V297" s="2" t="s">
        <v>4806</v>
      </c>
      <c r="W297" s="2" t="s">
        <v>4931</v>
      </c>
      <c r="X297" s="2" t="s">
        <v>4925</v>
      </c>
      <c r="Y297" s="2" t="s">
        <v>4462</v>
      </c>
      <c r="Z297" s="2" t="s">
        <v>6073</v>
      </c>
      <c r="AA2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2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2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2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7" s="6" t="str">
        <f>IF(_xlfn.IFNA(INDEX(configuracoes!$A$2:$A$10,MATCH(base_tc_geral[[#This Row],[TIPO]],configuracoes!$A$2:$A$10,0)),"NÃO")="NÃO","NÃO","SIM")</f>
        <v>SIM</v>
      </c>
    </row>
    <row r="298" spans="1:31" x14ac:dyDescent="0.25">
      <c r="A298" s="2" t="s">
        <v>900</v>
      </c>
      <c r="B298" s="2">
        <v>102002917</v>
      </c>
      <c r="C298" s="2" t="s">
        <v>15</v>
      </c>
      <c r="D298" s="2" t="s">
        <v>4574</v>
      </c>
      <c r="E298" s="2" t="s">
        <v>106</v>
      </c>
      <c r="F298" s="2" t="s">
        <v>863</v>
      </c>
      <c r="G298" s="2" t="s">
        <v>41</v>
      </c>
      <c r="H298" s="2" t="s">
        <v>427</v>
      </c>
      <c r="I298" s="2" t="s">
        <v>33</v>
      </c>
      <c r="J298" s="2" t="s">
        <v>109</v>
      </c>
      <c r="K298" s="2" t="s">
        <v>13</v>
      </c>
      <c r="L298" s="2" t="s">
        <v>42</v>
      </c>
      <c r="M298" s="2" t="s">
        <v>75</v>
      </c>
      <c r="N298" s="2" t="s">
        <v>15</v>
      </c>
      <c r="O298" s="2" t="s">
        <v>430</v>
      </c>
      <c r="P298" s="2" t="s">
        <v>902</v>
      </c>
      <c r="Q298" s="2" t="s">
        <v>4926</v>
      </c>
      <c r="R298" s="2" t="s">
        <v>5069</v>
      </c>
      <c r="S298" s="2" t="s">
        <v>736</v>
      </c>
      <c r="T298" s="2" t="s">
        <v>167</v>
      </c>
      <c r="U298" s="2" t="s">
        <v>12</v>
      </c>
      <c r="V298" s="2" t="s">
        <v>4773</v>
      </c>
      <c r="W298" s="2" t="s">
        <v>42</v>
      </c>
      <c r="X298" s="2" t="s">
        <v>75</v>
      </c>
      <c r="Y298" s="2" t="s">
        <v>901</v>
      </c>
      <c r="Z298" s="2" t="s">
        <v>6074</v>
      </c>
      <c r="AA2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2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2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2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8" s="6" t="str">
        <f>IF(_xlfn.IFNA(INDEX(configuracoes!$A$2:$A$10,MATCH(base_tc_geral[[#This Row],[TIPO]],configuracoes!$A$2:$A$10,0)),"NÃO")="NÃO","NÃO","SIM")</f>
        <v>SIM</v>
      </c>
    </row>
    <row r="299" spans="1:31" x14ac:dyDescent="0.25">
      <c r="A299" s="2" t="s">
        <v>4065</v>
      </c>
      <c r="B299" s="2">
        <v>109000340</v>
      </c>
      <c r="C299" s="2" t="s">
        <v>15</v>
      </c>
      <c r="D299" s="2" t="s">
        <v>4484</v>
      </c>
      <c r="E299" s="2" t="s">
        <v>86</v>
      </c>
      <c r="F299" s="2" t="s">
        <v>88</v>
      </c>
      <c r="G299" s="2" t="s">
        <v>89</v>
      </c>
      <c r="H299" s="2" t="s">
        <v>87</v>
      </c>
      <c r="I299" s="2" t="s">
        <v>33</v>
      </c>
      <c r="J299" s="2" t="s">
        <v>91</v>
      </c>
      <c r="K299" s="2" t="s">
        <v>92</v>
      </c>
      <c r="L299" s="2" t="s">
        <v>37</v>
      </c>
      <c r="M299" s="2" t="s">
        <v>44</v>
      </c>
      <c r="N299" s="2" t="s">
        <v>15</v>
      </c>
      <c r="O299" s="2" t="s">
        <v>95</v>
      </c>
      <c r="P299" s="2" t="s">
        <v>4067</v>
      </c>
      <c r="Q299" s="2" t="s">
        <v>4926</v>
      </c>
      <c r="R299" s="2" t="s">
        <v>90</v>
      </c>
      <c r="S299" s="2" t="s">
        <v>93</v>
      </c>
      <c r="T299" s="2" t="s">
        <v>4696</v>
      </c>
      <c r="U299" s="2" t="s">
        <v>12</v>
      </c>
      <c r="V299" s="2" t="s">
        <v>4796</v>
      </c>
      <c r="W299" s="2" t="s">
        <v>4999</v>
      </c>
      <c r="X299" s="2" t="s">
        <v>44</v>
      </c>
      <c r="Y299" s="2" t="s">
        <v>4066</v>
      </c>
      <c r="Z299" s="2" t="s">
        <v>6075</v>
      </c>
      <c r="AA2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2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2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2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299" s="6" t="str">
        <f>IF(_xlfn.IFNA(INDEX(configuracoes!$A$2:$A$10,MATCH(base_tc_geral[[#This Row],[TIPO]],configuracoes!$A$2:$A$10,0)),"NÃO")="NÃO","NÃO","SIM")</f>
        <v>NÃO</v>
      </c>
    </row>
    <row r="300" spans="1:31" x14ac:dyDescent="0.25">
      <c r="A300" s="2" t="s">
        <v>4344</v>
      </c>
      <c r="B300" s="2">
        <v>109000111</v>
      </c>
      <c r="C300" s="2" t="s">
        <v>15</v>
      </c>
      <c r="D300" s="2" t="s">
        <v>4571</v>
      </c>
      <c r="E300" s="2" t="s">
        <v>86</v>
      </c>
      <c r="F300" s="2" t="s">
        <v>165</v>
      </c>
      <c r="G300" s="2" t="s">
        <v>58</v>
      </c>
      <c r="H300" s="2" t="s">
        <v>164</v>
      </c>
      <c r="I300" s="2" t="s">
        <v>33</v>
      </c>
      <c r="J300" s="2" t="s">
        <v>124</v>
      </c>
      <c r="K300" s="2" t="s">
        <v>13</v>
      </c>
      <c r="L300" s="2" t="s">
        <v>61</v>
      </c>
      <c r="M300" s="2" t="s">
        <v>134</v>
      </c>
      <c r="N300" s="2" t="s">
        <v>15</v>
      </c>
      <c r="O300" s="2" t="s">
        <v>169</v>
      </c>
      <c r="P300" s="2" t="s">
        <v>4347</v>
      </c>
      <c r="Q300" s="2" t="s">
        <v>4926</v>
      </c>
      <c r="R300" s="2" t="s">
        <v>4345</v>
      </c>
      <c r="S300" s="2" t="s">
        <v>4700</v>
      </c>
      <c r="T300" s="2" t="s">
        <v>4701</v>
      </c>
      <c r="U300" s="2" t="s">
        <v>39</v>
      </c>
      <c r="V300" s="2" t="s">
        <v>4889</v>
      </c>
      <c r="W300" s="2" t="s">
        <v>4993</v>
      </c>
      <c r="X300" s="2" t="s">
        <v>5532</v>
      </c>
      <c r="Y300" s="2" t="s">
        <v>4346</v>
      </c>
      <c r="Z300" s="2" t="s">
        <v>6076</v>
      </c>
      <c r="AA3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ADRIANO VICENTE </v>
      </c>
      <c r="AB3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3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3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0" s="6" t="str">
        <f>IF(_xlfn.IFNA(INDEX(configuracoes!$A$2:$A$10,MATCH(base_tc_geral[[#This Row],[TIPO]],configuracoes!$A$2:$A$10,0)),"NÃO")="NÃO","NÃO","SIM")</f>
        <v>NÃO</v>
      </c>
    </row>
    <row r="301" spans="1:31" x14ac:dyDescent="0.25">
      <c r="A301" s="2" t="s">
        <v>1342</v>
      </c>
      <c r="B301" s="2">
        <v>102100390</v>
      </c>
      <c r="C301" s="2" t="s">
        <v>15</v>
      </c>
      <c r="D301" s="2" t="s">
        <v>4484</v>
      </c>
      <c r="E301" s="2" t="s">
        <v>106</v>
      </c>
      <c r="F301" s="2" t="s">
        <v>131</v>
      </c>
      <c r="G301" s="2" t="s">
        <v>245</v>
      </c>
      <c r="H301" s="2" t="s">
        <v>130</v>
      </c>
      <c r="I301" s="2" t="s">
        <v>33</v>
      </c>
      <c r="J301" s="2" t="s">
        <v>109</v>
      </c>
      <c r="K301" s="2" t="s">
        <v>20</v>
      </c>
      <c r="L301" s="2" t="s">
        <v>21</v>
      </c>
      <c r="M301" s="2" t="s">
        <v>22</v>
      </c>
      <c r="N301" s="2" t="s">
        <v>15</v>
      </c>
      <c r="O301" s="2" t="s">
        <v>132</v>
      </c>
      <c r="P301" s="2" t="s">
        <v>1344</v>
      </c>
      <c r="Q301" s="2" t="s">
        <v>4926</v>
      </c>
      <c r="R301" s="2" t="s">
        <v>1092</v>
      </c>
      <c r="S301" s="2" t="s">
        <v>736</v>
      </c>
      <c r="T301" s="2" t="s">
        <v>167</v>
      </c>
      <c r="U301" s="2" t="s">
        <v>12</v>
      </c>
      <c r="V301" s="2" t="s">
        <v>4901</v>
      </c>
      <c r="W301" s="2" t="s">
        <v>4982</v>
      </c>
      <c r="X301" s="2" t="s">
        <v>4925</v>
      </c>
      <c r="Y301" s="2" t="s">
        <v>1343</v>
      </c>
      <c r="Z301" s="2" t="s">
        <v>5246</v>
      </c>
      <c r="AA3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3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1" s="6" t="str">
        <f>IF(_xlfn.IFNA(INDEX(configuracoes!$A$2:$A$10,MATCH(base_tc_geral[[#This Row],[TIPO]],configuracoes!$A$2:$A$10,0)),"NÃO")="NÃO","NÃO","SIM")</f>
        <v>SIM</v>
      </c>
    </row>
    <row r="302" spans="1:31" x14ac:dyDescent="0.25">
      <c r="A302" s="2" t="s">
        <v>858</v>
      </c>
      <c r="B302" s="2">
        <v>105303208</v>
      </c>
      <c r="C302" s="2" t="s">
        <v>15</v>
      </c>
      <c r="D302" s="2" t="s">
        <v>4509</v>
      </c>
      <c r="E302" s="2" t="s">
        <v>28</v>
      </c>
      <c r="F302" s="2" t="s">
        <v>440</v>
      </c>
      <c r="G302" s="2" t="s">
        <v>630</v>
      </c>
      <c r="H302" s="2" t="s">
        <v>34</v>
      </c>
      <c r="I302" s="2" t="s">
        <v>33</v>
      </c>
      <c r="J302" s="2" t="s">
        <v>34</v>
      </c>
      <c r="K302" s="2" t="s">
        <v>20</v>
      </c>
      <c r="L302" s="2" t="s">
        <v>21</v>
      </c>
      <c r="M302" s="2" t="s">
        <v>22</v>
      </c>
      <c r="N302" s="2" t="s">
        <v>15</v>
      </c>
      <c r="O302" s="2" t="s">
        <v>156</v>
      </c>
      <c r="P302" s="2" t="s">
        <v>860</v>
      </c>
      <c r="Q302" s="2" t="s">
        <v>4926</v>
      </c>
      <c r="R302" s="2" t="s">
        <v>849</v>
      </c>
      <c r="S302" s="2" t="s">
        <v>167</v>
      </c>
      <c r="T302" s="2" t="s">
        <v>167</v>
      </c>
      <c r="U302" s="2" t="s">
        <v>12</v>
      </c>
      <c r="V302" s="2" t="s">
        <v>4850</v>
      </c>
      <c r="W302" s="2" t="s">
        <v>4982</v>
      </c>
      <c r="X302" s="2" t="s">
        <v>4925</v>
      </c>
      <c r="Y302" s="2" t="s">
        <v>859</v>
      </c>
      <c r="Z302" s="2" t="s">
        <v>5247</v>
      </c>
      <c r="AA3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3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2" s="6" t="str">
        <f>IF(_xlfn.IFNA(INDEX(configuracoes!$A$2:$A$10,MATCH(base_tc_geral[[#This Row],[TIPO]],configuracoes!$A$2:$A$10,0)),"NÃO")="NÃO","NÃO","SIM")</f>
        <v>SIM</v>
      </c>
    </row>
    <row r="303" spans="1:31" x14ac:dyDescent="0.25">
      <c r="A303" s="2" t="s">
        <v>2378</v>
      </c>
      <c r="B303" s="2">
        <v>102101393</v>
      </c>
      <c r="C303" s="2" t="s">
        <v>15</v>
      </c>
      <c r="D303" s="2" t="s">
        <v>4486</v>
      </c>
      <c r="E303" s="2" t="s">
        <v>106</v>
      </c>
      <c r="F303" s="2" t="s">
        <v>116</v>
      </c>
      <c r="G303" s="2" t="s">
        <v>172</v>
      </c>
      <c r="H303" s="2" t="s">
        <v>115</v>
      </c>
      <c r="I303" s="2" t="s">
        <v>33</v>
      </c>
      <c r="J303" s="2" t="s">
        <v>109</v>
      </c>
      <c r="K303" s="2" t="s">
        <v>13</v>
      </c>
      <c r="L303" s="2" t="s">
        <v>17</v>
      </c>
      <c r="M303" s="2" t="s">
        <v>23</v>
      </c>
      <c r="N303" s="2" t="s">
        <v>15</v>
      </c>
      <c r="O303" s="2" t="s">
        <v>119</v>
      </c>
      <c r="P303" s="2" t="s">
        <v>2380</v>
      </c>
      <c r="Q303" s="2" t="s">
        <v>4926</v>
      </c>
      <c r="R303" s="2" t="s">
        <v>735</v>
      </c>
      <c r="S303" s="2" t="s">
        <v>736</v>
      </c>
      <c r="T303" s="2" t="s">
        <v>167</v>
      </c>
      <c r="U303" s="2" t="s">
        <v>12</v>
      </c>
      <c r="V303" s="2" t="s">
        <v>4886</v>
      </c>
      <c r="W303" s="2" t="s">
        <v>17</v>
      </c>
      <c r="X303" s="2" t="s">
        <v>4998</v>
      </c>
      <c r="Y303" s="2" t="s">
        <v>2379</v>
      </c>
      <c r="Z303" s="2" t="s">
        <v>5248</v>
      </c>
      <c r="AA3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3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3" s="6" t="str">
        <f>IF(_xlfn.IFNA(INDEX(configuracoes!$A$2:$A$10,MATCH(base_tc_geral[[#This Row],[TIPO]],configuracoes!$A$2:$A$10,0)),"NÃO")="NÃO","NÃO","SIM")</f>
        <v>NÃO</v>
      </c>
    </row>
    <row r="304" spans="1:31" x14ac:dyDescent="0.25">
      <c r="A304" s="2" t="s">
        <v>1776</v>
      </c>
      <c r="B304" s="2">
        <v>102101220</v>
      </c>
      <c r="C304" s="2" t="s">
        <v>15</v>
      </c>
      <c r="D304" s="2" t="s">
        <v>4489</v>
      </c>
      <c r="E304" s="2" t="s">
        <v>106</v>
      </c>
      <c r="F304" s="2" t="s">
        <v>428</v>
      </c>
      <c r="G304" s="2" t="s">
        <v>245</v>
      </c>
      <c r="H304" s="2" t="s">
        <v>427</v>
      </c>
      <c r="I304" s="2" t="s">
        <v>33</v>
      </c>
      <c r="J304" s="2" t="s">
        <v>109</v>
      </c>
      <c r="K304" s="2" t="s">
        <v>20</v>
      </c>
      <c r="L304" s="2" t="s">
        <v>21</v>
      </c>
      <c r="M304" s="2" t="s">
        <v>22</v>
      </c>
      <c r="N304" s="2" t="s">
        <v>15</v>
      </c>
      <c r="O304" s="2" t="s">
        <v>430</v>
      </c>
      <c r="P304" s="2" t="s">
        <v>1778</v>
      </c>
      <c r="Q304" s="2" t="s">
        <v>4926</v>
      </c>
      <c r="R304" s="2" t="s">
        <v>625</v>
      </c>
      <c r="S304" s="2" t="s">
        <v>736</v>
      </c>
      <c r="T304" s="2" t="s">
        <v>167</v>
      </c>
      <c r="U304" s="2" t="s">
        <v>12</v>
      </c>
      <c r="V304" s="2" t="s">
        <v>4895</v>
      </c>
      <c r="W304" s="2" t="s">
        <v>4982</v>
      </c>
      <c r="X304" s="2" t="s">
        <v>4925</v>
      </c>
      <c r="Y304" s="2" t="s">
        <v>1777</v>
      </c>
      <c r="Z304" s="2" t="s">
        <v>5249</v>
      </c>
      <c r="AA3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3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4" s="6" t="str">
        <f>IF(_xlfn.IFNA(INDEX(configuracoes!$A$2:$A$10,MATCH(base_tc_geral[[#This Row],[TIPO]],configuracoes!$A$2:$A$10,0)),"NÃO")="NÃO","NÃO","SIM")</f>
        <v>SIM</v>
      </c>
    </row>
    <row r="305" spans="1:31" x14ac:dyDescent="0.25">
      <c r="A305" s="2" t="s">
        <v>4062</v>
      </c>
      <c r="B305" s="2">
        <v>109000340</v>
      </c>
      <c r="C305" s="2" t="s">
        <v>15</v>
      </c>
      <c r="D305" s="2" t="s">
        <v>4916</v>
      </c>
      <c r="E305" s="2" t="s">
        <v>86</v>
      </c>
      <c r="F305" s="2" t="s">
        <v>199</v>
      </c>
      <c r="G305" s="2" t="s">
        <v>637</v>
      </c>
      <c r="H305" s="2" t="s">
        <v>198</v>
      </c>
      <c r="I305" s="2" t="s">
        <v>33</v>
      </c>
      <c r="J305" s="2" t="s">
        <v>91</v>
      </c>
      <c r="K305" s="2" t="s">
        <v>20</v>
      </c>
      <c r="L305" s="2" t="s">
        <v>19</v>
      </c>
      <c r="M305" s="2" t="s">
        <v>22</v>
      </c>
      <c r="N305" s="2" t="s">
        <v>15</v>
      </c>
      <c r="O305" s="2" t="s">
        <v>201</v>
      </c>
      <c r="P305" s="2" t="s">
        <v>4064</v>
      </c>
      <c r="Q305" s="2" t="s">
        <v>4926</v>
      </c>
      <c r="R305" s="2" t="s">
        <v>90</v>
      </c>
      <c r="S305" s="2" t="s">
        <v>93</v>
      </c>
      <c r="T305" s="2" t="s">
        <v>4696</v>
      </c>
      <c r="U305" s="2" t="s">
        <v>12</v>
      </c>
      <c r="V305" s="2" t="s">
        <v>4796</v>
      </c>
      <c r="W305" s="2" t="s">
        <v>4982</v>
      </c>
      <c r="X305" s="2" t="s">
        <v>4925</v>
      </c>
      <c r="Y305" s="2" t="s">
        <v>4063</v>
      </c>
      <c r="Z305" s="2" t="s">
        <v>5250</v>
      </c>
      <c r="AA3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3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5" s="6" t="str">
        <f>IF(_xlfn.IFNA(INDEX(configuracoes!$A$2:$A$10,MATCH(base_tc_geral[[#This Row],[TIPO]],configuracoes!$A$2:$A$10,0)),"NÃO")="NÃO","NÃO","SIM")</f>
        <v>SIM</v>
      </c>
    </row>
    <row r="306" spans="1:31" x14ac:dyDescent="0.25">
      <c r="A306" s="2" t="s">
        <v>1288</v>
      </c>
      <c r="B306" s="2">
        <v>109500177</v>
      </c>
      <c r="C306" s="2" t="s">
        <v>15</v>
      </c>
      <c r="D306" s="2" t="s">
        <v>4548</v>
      </c>
      <c r="E306" s="2" t="s">
        <v>86</v>
      </c>
      <c r="F306" s="2" t="s">
        <v>1029</v>
      </c>
      <c r="G306" s="2" t="s">
        <v>245</v>
      </c>
      <c r="H306" s="2" t="s">
        <v>122</v>
      </c>
      <c r="I306" s="2" t="s">
        <v>33</v>
      </c>
      <c r="J306" s="2" t="s">
        <v>124</v>
      </c>
      <c r="K306" s="2" t="s">
        <v>13</v>
      </c>
      <c r="L306" s="2" t="s">
        <v>21</v>
      </c>
      <c r="M306" s="2" t="s">
        <v>22</v>
      </c>
      <c r="N306" s="2" t="s">
        <v>15</v>
      </c>
      <c r="O306" s="2" t="s">
        <v>129</v>
      </c>
      <c r="P306" s="2" t="s">
        <v>1290</v>
      </c>
      <c r="Q306" s="2" t="s">
        <v>4926</v>
      </c>
      <c r="R306" s="2" t="s">
        <v>447</v>
      </c>
      <c r="S306" s="2" t="s">
        <v>125</v>
      </c>
      <c r="T306" s="2" t="s">
        <v>4696</v>
      </c>
      <c r="U306" s="2" t="s">
        <v>12</v>
      </c>
      <c r="V306" s="2" t="s">
        <v>4799</v>
      </c>
      <c r="W306" s="2" t="s">
        <v>5024</v>
      </c>
      <c r="X306" s="2" t="s">
        <v>4925</v>
      </c>
      <c r="Y306" s="2" t="s">
        <v>1289</v>
      </c>
      <c r="Z306" s="2" t="s">
        <v>5251</v>
      </c>
      <c r="AA3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3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3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6" s="6" t="str">
        <f>IF(_xlfn.IFNA(INDEX(configuracoes!$A$2:$A$10,MATCH(base_tc_geral[[#This Row],[TIPO]],configuracoes!$A$2:$A$10,0)),"NÃO")="NÃO","NÃO","SIM")</f>
        <v>SIM</v>
      </c>
    </row>
    <row r="307" spans="1:31" x14ac:dyDescent="0.25">
      <c r="A307" s="2" t="s">
        <v>242</v>
      </c>
      <c r="B307" s="2">
        <v>101008134</v>
      </c>
      <c r="C307" s="2" t="s">
        <v>15</v>
      </c>
      <c r="D307" s="2" t="s">
        <v>4540</v>
      </c>
      <c r="E307" s="2" t="s">
        <v>47</v>
      </c>
      <c r="F307" s="2" t="s">
        <v>244</v>
      </c>
      <c r="G307" s="2" t="s">
        <v>4780</v>
      </c>
      <c r="H307" s="2" t="s">
        <v>60</v>
      </c>
      <c r="I307" s="2" t="s">
        <v>16</v>
      </c>
      <c r="J307" s="2" t="s">
        <v>60</v>
      </c>
      <c r="K307" s="2" t="s">
        <v>20</v>
      </c>
      <c r="L307" s="2" t="s">
        <v>21</v>
      </c>
      <c r="M307" s="2" t="s">
        <v>22</v>
      </c>
      <c r="N307" s="2" t="s">
        <v>15</v>
      </c>
      <c r="O307" s="2" t="s">
        <v>161</v>
      </c>
      <c r="P307" s="2" t="s">
        <v>247</v>
      </c>
      <c r="Q307" s="2" t="s">
        <v>4926</v>
      </c>
      <c r="R307" s="2" t="s">
        <v>351</v>
      </c>
      <c r="S307" s="2" t="s">
        <v>101</v>
      </c>
      <c r="T307" s="2" t="s">
        <v>4697</v>
      </c>
      <c r="U307" s="2" t="s">
        <v>12</v>
      </c>
      <c r="V307" s="2" t="s">
        <v>4778</v>
      </c>
      <c r="W307" s="2" t="s">
        <v>4982</v>
      </c>
      <c r="X307" s="2" t="s">
        <v>4925</v>
      </c>
      <c r="Y307" s="2" t="s">
        <v>243</v>
      </c>
      <c r="Z307" s="2" t="s">
        <v>6097</v>
      </c>
      <c r="AA3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3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7" s="6" t="str">
        <f>IF(_xlfn.IFNA(INDEX(configuracoes!$A$2:$A$10,MATCH(base_tc_geral[[#This Row],[TIPO]],configuracoes!$A$2:$A$10,0)),"NÃO")="NÃO","NÃO","SIM")</f>
        <v>SIM</v>
      </c>
    </row>
    <row r="308" spans="1:31" x14ac:dyDescent="0.25">
      <c r="A308" s="2" t="s">
        <v>3012</v>
      </c>
      <c r="B308" s="2">
        <v>109000499</v>
      </c>
      <c r="C308" s="2" t="s">
        <v>15</v>
      </c>
      <c r="D308" s="2" t="s">
        <v>4568</v>
      </c>
      <c r="E308" s="2" t="s">
        <v>86</v>
      </c>
      <c r="F308" s="2" t="s">
        <v>284</v>
      </c>
      <c r="G308" s="2" t="s">
        <v>136</v>
      </c>
      <c r="H308" s="2" t="s">
        <v>283</v>
      </c>
      <c r="I308" s="2" t="s">
        <v>33</v>
      </c>
      <c r="J308" s="2" t="s">
        <v>124</v>
      </c>
      <c r="K308" s="2" t="s">
        <v>13</v>
      </c>
      <c r="L308" s="2" t="s">
        <v>72</v>
      </c>
      <c r="M308" s="2" t="s">
        <v>73</v>
      </c>
      <c r="N308" s="2" t="s">
        <v>15</v>
      </c>
      <c r="O308" s="2" t="s">
        <v>287</v>
      </c>
      <c r="P308" s="2" t="s">
        <v>3014</v>
      </c>
      <c r="Q308" s="2" t="s">
        <v>4926</v>
      </c>
      <c r="R308" s="2" t="s">
        <v>321</v>
      </c>
      <c r="S308" s="2" t="s">
        <v>93</v>
      </c>
      <c r="T308" s="2" t="s">
        <v>4696</v>
      </c>
      <c r="U308" s="2" t="s">
        <v>12</v>
      </c>
      <c r="V308" s="2" t="s">
        <v>4783</v>
      </c>
      <c r="W308" s="2" t="s">
        <v>72</v>
      </c>
      <c r="X308" s="2" t="s">
        <v>5011</v>
      </c>
      <c r="Y308" s="2" t="s">
        <v>3013</v>
      </c>
      <c r="Z308" s="2" t="s">
        <v>6098</v>
      </c>
      <c r="AA3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3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8" s="6" t="str">
        <f>IF(_xlfn.IFNA(INDEX(configuracoes!$A$2:$A$10,MATCH(base_tc_geral[[#This Row],[TIPO]],configuracoes!$A$2:$A$10,0)),"NÃO")="NÃO","NÃO","SIM")</f>
        <v>NÃO</v>
      </c>
    </row>
    <row r="309" spans="1:31" x14ac:dyDescent="0.25">
      <c r="A309" s="2" t="s">
        <v>1502</v>
      </c>
      <c r="B309" s="2">
        <v>109505858</v>
      </c>
      <c r="C309" s="2" t="s">
        <v>15</v>
      </c>
      <c r="D309" s="2" t="s">
        <v>4916</v>
      </c>
      <c r="E309" s="2" t="s">
        <v>86</v>
      </c>
      <c r="F309" s="2" t="s">
        <v>218</v>
      </c>
      <c r="G309" s="2" t="s">
        <v>630</v>
      </c>
      <c r="H309" s="2" t="s">
        <v>217</v>
      </c>
      <c r="I309" s="2" t="s">
        <v>33</v>
      </c>
      <c r="J309" s="2" t="s">
        <v>91</v>
      </c>
      <c r="K309" s="2" t="s">
        <v>20</v>
      </c>
      <c r="L309" s="2" t="s">
        <v>21</v>
      </c>
      <c r="M309" s="2" t="s">
        <v>22</v>
      </c>
      <c r="N309" s="2" t="s">
        <v>15</v>
      </c>
      <c r="O309" s="2" t="s">
        <v>221</v>
      </c>
      <c r="P309" s="2" t="s">
        <v>1504</v>
      </c>
      <c r="Q309" s="2" t="s">
        <v>4926</v>
      </c>
      <c r="R309" s="2" t="s">
        <v>1466</v>
      </c>
      <c r="S309" s="2" t="s">
        <v>93</v>
      </c>
      <c r="T309" s="2" t="s">
        <v>4696</v>
      </c>
      <c r="U309" s="2" t="s">
        <v>12</v>
      </c>
      <c r="V309" s="2" t="s">
        <v>4802</v>
      </c>
      <c r="W309" s="2" t="s">
        <v>4982</v>
      </c>
      <c r="X309" s="2" t="s">
        <v>4925</v>
      </c>
      <c r="Y309" s="2" t="s">
        <v>1503</v>
      </c>
      <c r="Z309" s="2" t="s">
        <v>6099</v>
      </c>
      <c r="AA3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3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09" s="6" t="str">
        <f>IF(_xlfn.IFNA(INDEX(configuracoes!$A$2:$A$10,MATCH(base_tc_geral[[#This Row],[TIPO]],configuracoes!$A$2:$A$10,0)),"NÃO")="NÃO","NÃO","SIM")</f>
        <v>SIM</v>
      </c>
    </row>
    <row r="310" spans="1:31" x14ac:dyDescent="0.25">
      <c r="A310" s="2" t="s">
        <v>2357</v>
      </c>
      <c r="B310" s="2">
        <v>105302862</v>
      </c>
      <c r="C310" s="2" t="s">
        <v>15</v>
      </c>
      <c r="D310" s="2" t="s">
        <v>4543</v>
      </c>
      <c r="E310" s="2" t="s">
        <v>28</v>
      </c>
      <c r="F310" s="2" t="s">
        <v>80</v>
      </c>
      <c r="G310" s="2" t="s">
        <v>58</v>
      </c>
      <c r="H310" s="2" t="s">
        <v>79</v>
      </c>
      <c r="I310" s="2" t="s">
        <v>33</v>
      </c>
      <c r="J310" s="2" t="s">
        <v>34</v>
      </c>
      <c r="K310" s="2" t="s">
        <v>13</v>
      </c>
      <c r="L310" s="2" t="s">
        <v>61</v>
      </c>
      <c r="M310" s="2" t="s">
        <v>44</v>
      </c>
      <c r="N310" s="2" t="s">
        <v>15</v>
      </c>
      <c r="O310" s="2" t="s">
        <v>83</v>
      </c>
      <c r="P310" s="2" t="s">
        <v>2359</v>
      </c>
      <c r="Q310" s="2" t="s">
        <v>4926</v>
      </c>
      <c r="R310" s="2" t="s">
        <v>963</v>
      </c>
      <c r="S310" s="2" t="s">
        <v>260</v>
      </c>
      <c r="T310" s="2" t="s">
        <v>167</v>
      </c>
      <c r="U310" s="2" t="s">
        <v>12</v>
      </c>
      <c r="V310" s="2" t="s">
        <v>4804</v>
      </c>
      <c r="W310" s="2" t="s">
        <v>4984</v>
      </c>
      <c r="X310" s="2" t="s">
        <v>44</v>
      </c>
      <c r="Y310" s="2" t="s">
        <v>2358</v>
      </c>
      <c r="Z310" s="2" t="s">
        <v>6100</v>
      </c>
      <c r="AA3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PEREIRA </v>
      </c>
      <c r="AB3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3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0" s="6" t="str">
        <f>IF(_xlfn.IFNA(INDEX(configuracoes!$A$2:$A$10,MATCH(base_tc_geral[[#This Row],[TIPO]],configuracoes!$A$2:$A$10,0)),"NÃO")="NÃO","NÃO","SIM")</f>
        <v>NÃO</v>
      </c>
    </row>
    <row r="311" spans="1:31" x14ac:dyDescent="0.25">
      <c r="A311" s="2" t="s">
        <v>3851</v>
      </c>
      <c r="B311" s="2">
        <v>109500315</v>
      </c>
      <c r="C311" s="2" t="s">
        <v>15</v>
      </c>
      <c r="D311" s="2" t="s">
        <v>4627</v>
      </c>
      <c r="E311" s="2" t="s">
        <v>86</v>
      </c>
      <c r="F311" s="2" t="s">
        <v>298</v>
      </c>
      <c r="G311" s="2" t="s">
        <v>172</v>
      </c>
      <c r="H311" s="2" t="s">
        <v>210</v>
      </c>
      <c r="I311" s="2" t="s">
        <v>33</v>
      </c>
      <c r="J311" s="2" t="s">
        <v>124</v>
      </c>
      <c r="K311" s="2" t="s">
        <v>13</v>
      </c>
      <c r="L311" s="2" t="s">
        <v>17</v>
      </c>
      <c r="M311" s="2" t="s">
        <v>23</v>
      </c>
      <c r="N311" s="2" t="s">
        <v>15</v>
      </c>
      <c r="O311" s="2" t="s">
        <v>214</v>
      </c>
      <c r="P311" s="2" t="s">
        <v>3853</v>
      </c>
      <c r="Q311" s="2" t="s">
        <v>4926</v>
      </c>
      <c r="R311" s="2" t="s">
        <v>173</v>
      </c>
      <c r="S311" s="2" t="s">
        <v>93</v>
      </c>
      <c r="T311" s="2" t="s">
        <v>4696</v>
      </c>
      <c r="U311" s="2" t="s">
        <v>12</v>
      </c>
      <c r="V311" s="2" t="s">
        <v>4887</v>
      </c>
      <c r="W311" s="2" t="s">
        <v>17</v>
      </c>
      <c r="X311" s="2" t="s">
        <v>4998</v>
      </c>
      <c r="Y311" s="2" t="s">
        <v>3852</v>
      </c>
      <c r="Z311" s="2" t="s">
        <v>6101</v>
      </c>
      <c r="AA3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3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1" s="6" t="str">
        <f>IF(_xlfn.IFNA(INDEX(configuracoes!$A$2:$A$10,MATCH(base_tc_geral[[#This Row],[TIPO]],configuracoes!$A$2:$A$10,0)),"NÃO")="NÃO","NÃO","SIM")</f>
        <v>NÃO</v>
      </c>
    </row>
    <row r="312" spans="1:31" x14ac:dyDescent="0.25">
      <c r="A312" s="2" t="s">
        <v>2649</v>
      </c>
      <c r="B312" s="2">
        <v>109000340</v>
      </c>
      <c r="C312" s="2" t="s">
        <v>15</v>
      </c>
      <c r="D312" s="2" t="s">
        <v>4648</v>
      </c>
      <c r="E312" s="2" t="s">
        <v>86</v>
      </c>
      <c r="F312" s="2" t="s">
        <v>88</v>
      </c>
      <c r="G312" s="2" t="s">
        <v>637</v>
      </c>
      <c r="H312" s="2" t="s">
        <v>87</v>
      </c>
      <c r="I312" s="2" t="s">
        <v>33</v>
      </c>
      <c r="J312" s="2" t="s">
        <v>91</v>
      </c>
      <c r="K312" s="2" t="s">
        <v>20</v>
      </c>
      <c r="L312" s="2" t="s">
        <v>19</v>
      </c>
      <c r="M312" s="2" t="s">
        <v>22</v>
      </c>
      <c r="N312" s="2" t="s">
        <v>15</v>
      </c>
      <c r="O312" s="2" t="s">
        <v>95</v>
      </c>
      <c r="P312" s="2" t="s">
        <v>2651</v>
      </c>
      <c r="Q312" s="2" t="s">
        <v>4926</v>
      </c>
      <c r="R312" s="2" t="s">
        <v>90</v>
      </c>
      <c r="S312" s="2" t="s">
        <v>93</v>
      </c>
      <c r="T312" s="2" t="s">
        <v>4696</v>
      </c>
      <c r="U312" s="2" t="s">
        <v>12</v>
      </c>
      <c r="V312" s="2" t="s">
        <v>4898</v>
      </c>
      <c r="W312" s="2" t="s">
        <v>4982</v>
      </c>
      <c r="X312" s="2" t="s">
        <v>4925</v>
      </c>
      <c r="Y312" s="2" t="s">
        <v>2650</v>
      </c>
      <c r="Z312" s="2" t="s">
        <v>6102</v>
      </c>
      <c r="AA3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3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2" s="6" t="str">
        <f>IF(_xlfn.IFNA(INDEX(configuracoes!$A$2:$A$10,MATCH(base_tc_geral[[#This Row],[TIPO]],configuracoes!$A$2:$A$10,0)),"NÃO")="NÃO","NÃO","SIM")</f>
        <v>SIM</v>
      </c>
    </row>
    <row r="313" spans="1:31" x14ac:dyDescent="0.25">
      <c r="A313" s="2" t="s">
        <v>1240</v>
      </c>
      <c r="B313" s="2">
        <v>102101393</v>
      </c>
      <c r="C313" s="2" t="s">
        <v>15</v>
      </c>
      <c r="D313" s="2" t="s">
        <v>4601</v>
      </c>
      <c r="E313" s="2" t="s">
        <v>106</v>
      </c>
      <c r="F313" s="2" t="s">
        <v>428</v>
      </c>
      <c r="G313" s="2" t="s">
        <v>172</v>
      </c>
      <c r="H313" s="2" t="s">
        <v>427</v>
      </c>
      <c r="I313" s="2" t="s">
        <v>33</v>
      </c>
      <c r="J313" s="2" t="s">
        <v>109</v>
      </c>
      <c r="K313" s="2" t="s">
        <v>13</v>
      </c>
      <c r="L313" s="2" t="s">
        <v>17</v>
      </c>
      <c r="M313" s="2" t="s">
        <v>23</v>
      </c>
      <c r="N313" s="2" t="s">
        <v>15</v>
      </c>
      <c r="O313" s="2" t="s">
        <v>430</v>
      </c>
      <c r="P313" s="2" t="s">
        <v>1242</v>
      </c>
      <c r="Q313" s="2" t="s">
        <v>4926</v>
      </c>
      <c r="R313" s="2" t="s">
        <v>735</v>
      </c>
      <c r="S313" s="2" t="s">
        <v>736</v>
      </c>
      <c r="T313" s="2" t="s">
        <v>167</v>
      </c>
      <c r="U313" s="2" t="s">
        <v>12</v>
      </c>
      <c r="V313" s="2" t="s">
        <v>4886</v>
      </c>
      <c r="W313" s="2" t="s">
        <v>17</v>
      </c>
      <c r="X313" s="2" t="s">
        <v>4998</v>
      </c>
      <c r="Y313" s="2" t="s">
        <v>1241</v>
      </c>
      <c r="Z313" s="2" t="s">
        <v>6103</v>
      </c>
      <c r="AA3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3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3" s="6" t="str">
        <f>IF(_xlfn.IFNA(INDEX(configuracoes!$A$2:$A$10,MATCH(base_tc_geral[[#This Row],[TIPO]],configuracoes!$A$2:$A$10,0)),"NÃO")="NÃO","NÃO","SIM")</f>
        <v>NÃO</v>
      </c>
    </row>
    <row r="314" spans="1:31" x14ac:dyDescent="0.25">
      <c r="A314" s="2" t="s">
        <v>2851</v>
      </c>
      <c r="B314" s="2">
        <v>101005241</v>
      </c>
      <c r="C314" s="2" t="s">
        <v>15</v>
      </c>
      <c r="D314" s="2" t="s">
        <v>4662</v>
      </c>
      <c r="E314" s="2" t="s">
        <v>47</v>
      </c>
      <c r="F314" s="2" t="s">
        <v>312</v>
      </c>
      <c r="G314" s="2" t="s">
        <v>630</v>
      </c>
      <c r="H314" s="2" t="s">
        <v>311</v>
      </c>
      <c r="I314" s="2" t="s">
        <v>16</v>
      </c>
      <c r="J314" s="2" t="s">
        <v>141</v>
      </c>
      <c r="K314" s="2" t="s">
        <v>20</v>
      </c>
      <c r="L314" s="2" t="s">
        <v>21</v>
      </c>
      <c r="M314" s="2" t="s">
        <v>22</v>
      </c>
      <c r="N314" s="2" t="s">
        <v>15</v>
      </c>
      <c r="O314" s="2" t="s">
        <v>314</v>
      </c>
      <c r="P314" s="2" t="s">
        <v>2853</v>
      </c>
      <c r="Q314" s="2" t="s">
        <v>4926</v>
      </c>
      <c r="R314" s="2" t="s">
        <v>143</v>
      </c>
      <c r="S314" s="2" t="s">
        <v>4698</v>
      </c>
      <c r="T314" s="2" t="s">
        <v>4697</v>
      </c>
      <c r="U314" s="2" t="s">
        <v>12</v>
      </c>
      <c r="V314" s="2" t="s">
        <v>4845</v>
      </c>
      <c r="W314" s="2" t="s">
        <v>4982</v>
      </c>
      <c r="X314" s="2" t="s">
        <v>4925</v>
      </c>
      <c r="Y314" s="2" t="s">
        <v>2852</v>
      </c>
      <c r="Z314" s="2" t="s">
        <v>6104</v>
      </c>
      <c r="AA3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3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3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4" s="6" t="str">
        <f>IF(_xlfn.IFNA(INDEX(configuracoes!$A$2:$A$10,MATCH(base_tc_geral[[#This Row],[TIPO]],configuracoes!$A$2:$A$10,0)),"NÃO")="NÃO","NÃO","SIM")</f>
        <v>SIM</v>
      </c>
    </row>
    <row r="315" spans="1:31" x14ac:dyDescent="0.25">
      <c r="A315" s="2" t="s">
        <v>1426</v>
      </c>
      <c r="B315" s="2">
        <v>105303208</v>
      </c>
      <c r="C315" s="2" t="s">
        <v>15</v>
      </c>
      <c r="D315" s="2" t="s">
        <v>4524</v>
      </c>
      <c r="E315" s="2" t="s">
        <v>28</v>
      </c>
      <c r="F315" s="2" t="s">
        <v>440</v>
      </c>
      <c r="G315" s="2" t="s">
        <v>245</v>
      </c>
      <c r="H315" s="2" t="s">
        <v>34</v>
      </c>
      <c r="I315" s="2" t="s">
        <v>33</v>
      </c>
      <c r="J315" s="2" t="s">
        <v>34</v>
      </c>
      <c r="K315" s="2" t="s">
        <v>20</v>
      </c>
      <c r="L315" s="2" t="s">
        <v>21</v>
      </c>
      <c r="M315" s="2" t="s">
        <v>22</v>
      </c>
      <c r="N315" s="2" t="s">
        <v>15</v>
      </c>
      <c r="O315" s="2" t="s">
        <v>156</v>
      </c>
      <c r="P315" s="2" t="s">
        <v>1428</v>
      </c>
      <c r="Q315" s="2" t="s">
        <v>4926</v>
      </c>
      <c r="R315" s="2" t="s">
        <v>849</v>
      </c>
      <c r="S315" s="2" t="s">
        <v>167</v>
      </c>
      <c r="T315" s="2" t="s">
        <v>167</v>
      </c>
      <c r="U315" s="2" t="s">
        <v>12</v>
      </c>
      <c r="V315" s="2" t="s">
        <v>4850</v>
      </c>
      <c r="W315" s="2" t="s">
        <v>4982</v>
      </c>
      <c r="X315" s="2" t="s">
        <v>4925</v>
      </c>
      <c r="Y315" s="2" t="s">
        <v>1427</v>
      </c>
      <c r="Z315" s="2" t="s">
        <v>6105</v>
      </c>
      <c r="AA3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3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5" s="6" t="str">
        <f>IF(_xlfn.IFNA(INDEX(configuracoes!$A$2:$A$10,MATCH(base_tc_geral[[#This Row],[TIPO]],configuracoes!$A$2:$A$10,0)),"NÃO")="NÃO","NÃO","SIM")</f>
        <v>SIM</v>
      </c>
    </row>
    <row r="316" spans="1:31" x14ac:dyDescent="0.25">
      <c r="A316" s="2" t="s">
        <v>3884</v>
      </c>
      <c r="B316" s="2">
        <v>101007665</v>
      </c>
      <c r="C316" s="2" t="s">
        <v>15</v>
      </c>
      <c r="D316" s="2" t="s">
        <v>4631</v>
      </c>
      <c r="E316" s="2" t="s">
        <v>47</v>
      </c>
      <c r="F316" s="2" t="s">
        <v>2104</v>
      </c>
      <c r="G316" s="2" t="s">
        <v>245</v>
      </c>
      <c r="H316" s="2" t="s">
        <v>56</v>
      </c>
      <c r="I316" s="2" t="s">
        <v>16</v>
      </c>
      <c r="J316" s="2" t="s">
        <v>60</v>
      </c>
      <c r="K316" s="2" t="s">
        <v>20</v>
      </c>
      <c r="L316" s="2" t="s">
        <v>21</v>
      </c>
      <c r="M316" s="2" t="s">
        <v>22</v>
      </c>
      <c r="N316" s="2" t="s">
        <v>15</v>
      </c>
      <c r="O316" s="2" t="s">
        <v>63</v>
      </c>
      <c r="P316" s="2" t="s">
        <v>3886</v>
      </c>
      <c r="Q316" s="2" t="s">
        <v>4926</v>
      </c>
      <c r="R316" s="2" t="s">
        <v>342</v>
      </c>
      <c r="S316" s="2" t="s">
        <v>51</v>
      </c>
      <c r="T316" s="2" t="s">
        <v>4697</v>
      </c>
      <c r="U316" s="2" t="s">
        <v>12</v>
      </c>
      <c r="V316" s="2" t="s">
        <v>4866</v>
      </c>
      <c r="W316" s="2" t="s">
        <v>4982</v>
      </c>
      <c r="X316" s="2" t="s">
        <v>4925</v>
      </c>
      <c r="Y316" s="2" t="s">
        <v>3885</v>
      </c>
      <c r="Z316" s="2" t="s">
        <v>6106</v>
      </c>
      <c r="AA3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3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6" s="6" t="str">
        <f>IF(_xlfn.IFNA(INDEX(configuracoes!$A$2:$A$10,MATCH(base_tc_geral[[#This Row],[TIPO]],configuracoes!$A$2:$A$10,0)),"NÃO")="NÃO","NÃO","SIM")</f>
        <v>SIM</v>
      </c>
    </row>
    <row r="317" spans="1:31" x14ac:dyDescent="0.25">
      <c r="A317" s="2" t="s">
        <v>1052</v>
      </c>
      <c r="B317" s="2">
        <v>109504012</v>
      </c>
      <c r="C317" s="2" t="s">
        <v>15</v>
      </c>
      <c r="D317" s="2" t="s">
        <v>4541</v>
      </c>
      <c r="E317" s="2" t="s">
        <v>28</v>
      </c>
      <c r="F317" s="2" t="s">
        <v>80</v>
      </c>
      <c r="G317" s="2" t="s">
        <v>172</v>
      </c>
      <c r="H317" s="2" t="s">
        <v>79</v>
      </c>
      <c r="I317" s="2" t="s">
        <v>33</v>
      </c>
      <c r="J317" s="2" t="s">
        <v>34</v>
      </c>
      <c r="K317" s="2" t="s">
        <v>13</v>
      </c>
      <c r="L317" s="2" t="s">
        <v>17</v>
      </c>
      <c r="M317" s="2" t="s">
        <v>23</v>
      </c>
      <c r="N317" s="2" t="s">
        <v>15</v>
      </c>
      <c r="O317" s="2" t="s">
        <v>83</v>
      </c>
      <c r="P317" s="2" t="s">
        <v>1054</v>
      </c>
      <c r="Q317" s="2" t="s">
        <v>4926</v>
      </c>
      <c r="R317" s="2" t="s">
        <v>166</v>
      </c>
      <c r="S317" s="2" t="s">
        <v>167</v>
      </c>
      <c r="T317" s="2" t="s">
        <v>167</v>
      </c>
      <c r="U317" s="2" t="s">
        <v>12</v>
      </c>
      <c r="V317" s="2" t="s">
        <v>4774</v>
      </c>
      <c r="W317" s="2" t="s">
        <v>17</v>
      </c>
      <c r="X317" s="2" t="s">
        <v>4998</v>
      </c>
      <c r="Y317" s="2" t="s">
        <v>1053</v>
      </c>
      <c r="Z317" s="2" t="s">
        <v>6107</v>
      </c>
      <c r="AA3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3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7" s="6" t="str">
        <f>IF(_xlfn.IFNA(INDEX(configuracoes!$A$2:$A$10,MATCH(base_tc_geral[[#This Row],[TIPO]],configuracoes!$A$2:$A$10,0)),"NÃO")="NÃO","NÃO","SIM")</f>
        <v>NÃO</v>
      </c>
    </row>
    <row r="318" spans="1:31" x14ac:dyDescent="0.25">
      <c r="A318" s="2" t="s">
        <v>4320</v>
      </c>
      <c r="B318" s="2">
        <v>109506032</v>
      </c>
      <c r="C318" s="2" t="s">
        <v>15</v>
      </c>
      <c r="D318" s="2" t="s">
        <v>4481</v>
      </c>
      <c r="E318" s="2" t="s">
        <v>86</v>
      </c>
      <c r="F318" s="2" t="s">
        <v>505</v>
      </c>
      <c r="G318" s="2" t="s">
        <v>364</v>
      </c>
      <c r="H318" s="2" t="s">
        <v>164</v>
      </c>
      <c r="I318" s="2" t="s">
        <v>33</v>
      </c>
      <c r="J318" s="2" t="s">
        <v>124</v>
      </c>
      <c r="K318" s="2" t="s">
        <v>13</v>
      </c>
      <c r="L318" s="2" t="s">
        <v>37</v>
      </c>
      <c r="M318" s="2" t="s">
        <v>44</v>
      </c>
      <c r="N318" s="2" t="s">
        <v>15</v>
      </c>
      <c r="O318" s="2" t="s">
        <v>169</v>
      </c>
      <c r="P318" s="2" t="s">
        <v>4322</v>
      </c>
      <c r="Q318" s="2" t="s">
        <v>4926</v>
      </c>
      <c r="R318" s="2" t="s">
        <v>2892</v>
      </c>
      <c r="S318" s="2" t="s">
        <v>93</v>
      </c>
      <c r="T318" s="2" t="s">
        <v>4696</v>
      </c>
      <c r="U318" s="2" t="s">
        <v>12</v>
      </c>
      <c r="V318" s="2" t="s">
        <v>4785</v>
      </c>
      <c r="W318" s="2" t="s">
        <v>4999</v>
      </c>
      <c r="X318" s="2" t="s">
        <v>44</v>
      </c>
      <c r="Y318" s="2" t="s">
        <v>4321</v>
      </c>
      <c r="Z318" s="2" t="s">
        <v>6108</v>
      </c>
      <c r="AA3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3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8" s="6" t="str">
        <f>IF(_xlfn.IFNA(INDEX(configuracoes!$A$2:$A$10,MATCH(base_tc_geral[[#This Row],[TIPO]],configuracoes!$A$2:$A$10,0)),"NÃO")="NÃO","NÃO","SIM")</f>
        <v>NÃO</v>
      </c>
    </row>
    <row r="319" spans="1:31" x14ac:dyDescent="0.25">
      <c r="A319" s="2" t="s">
        <v>1394</v>
      </c>
      <c r="B319" s="2">
        <v>101010209</v>
      </c>
      <c r="C319" s="2" t="s">
        <v>15</v>
      </c>
      <c r="D319" s="2" t="s">
        <v>4502</v>
      </c>
      <c r="E319" s="2" t="s">
        <v>47</v>
      </c>
      <c r="F319" s="2" t="s">
        <v>278</v>
      </c>
      <c r="G319" s="2" t="s">
        <v>58</v>
      </c>
      <c r="H319" s="2" t="s">
        <v>60</v>
      </c>
      <c r="I319" s="2" t="s">
        <v>16</v>
      </c>
      <c r="J319" s="2" t="s">
        <v>60</v>
      </c>
      <c r="K319" s="2" t="s">
        <v>13</v>
      </c>
      <c r="L319" s="2" t="s">
        <v>61</v>
      </c>
      <c r="M319" s="2" t="s">
        <v>44</v>
      </c>
      <c r="N319" s="2" t="s">
        <v>15</v>
      </c>
      <c r="O319" s="2" t="s">
        <v>161</v>
      </c>
      <c r="P319" s="2" t="s">
        <v>1396</v>
      </c>
      <c r="Q319" s="2" t="s">
        <v>4926</v>
      </c>
      <c r="R319" s="2" t="s">
        <v>279</v>
      </c>
      <c r="S319" s="2" t="s">
        <v>51</v>
      </c>
      <c r="T319" s="2" t="s">
        <v>4697</v>
      </c>
      <c r="U319" s="2" t="s">
        <v>12</v>
      </c>
      <c r="V319" s="2" t="s">
        <v>4821</v>
      </c>
      <c r="W319" s="2" t="s">
        <v>5013</v>
      </c>
      <c r="X319" s="2" t="s">
        <v>44</v>
      </c>
      <c r="Y319" s="2" t="s">
        <v>1395</v>
      </c>
      <c r="Z319" s="2" t="s">
        <v>5252</v>
      </c>
      <c r="AA3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3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19" s="6" t="str">
        <f>IF(_xlfn.IFNA(INDEX(configuracoes!$A$2:$A$10,MATCH(base_tc_geral[[#This Row],[TIPO]],configuracoes!$A$2:$A$10,0)),"NÃO")="NÃO","NÃO","SIM")</f>
        <v>NÃO</v>
      </c>
    </row>
    <row r="320" spans="1:31" x14ac:dyDescent="0.25">
      <c r="A320" s="2" t="s">
        <v>962</v>
      </c>
      <c r="B320" s="2">
        <v>105302862</v>
      </c>
      <c r="C320" s="2" t="s">
        <v>15</v>
      </c>
      <c r="D320" s="2" t="s">
        <v>4581</v>
      </c>
      <c r="E320" s="2" t="s">
        <v>28</v>
      </c>
      <c r="F320" s="2" t="s">
        <v>154</v>
      </c>
      <c r="G320" s="2" t="s">
        <v>58</v>
      </c>
      <c r="H320" s="2" t="s">
        <v>34</v>
      </c>
      <c r="I320" s="2" t="s">
        <v>33</v>
      </c>
      <c r="J320" s="2" t="s">
        <v>34</v>
      </c>
      <c r="K320" s="2" t="s">
        <v>13</v>
      </c>
      <c r="L320" s="2" t="s">
        <v>61</v>
      </c>
      <c r="M320" s="2" t="s">
        <v>44</v>
      </c>
      <c r="N320" s="2" t="s">
        <v>15</v>
      </c>
      <c r="O320" s="2" t="s">
        <v>156</v>
      </c>
      <c r="P320" s="2" t="s">
        <v>965</v>
      </c>
      <c r="Q320" s="2" t="s">
        <v>4926</v>
      </c>
      <c r="R320" s="2" t="s">
        <v>963</v>
      </c>
      <c r="S320" s="2" t="s">
        <v>260</v>
      </c>
      <c r="T320" s="2" t="s">
        <v>167</v>
      </c>
      <c r="U320" s="2" t="s">
        <v>12</v>
      </c>
      <c r="V320" s="2" t="s">
        <v>4764</v>
      </c>
      <c r="W320" s="2" t="s">
        <v>4984</v>
      </c>
      <c r="X320" s="2" t="s">
        <v>44</v>
      </c>
      <c r="Y320" s="2" t="s">
        <v>964</v>
      </c>
      <c r="Z320" s="2" t="s">
        <v>5253</v>
      </c>
      <c r="AA3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PEREIRA </v>
      </c>
      <c r="AB3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3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0" s="6" t="str">
        <f>IF(_xlfn.IFNA(INDEX(configuracoes!$A$2:$A$10,MATCH(base_tc_geral[[#This Row],[TIPO]],configuracoes!$A$2:$A$10,0)),"NÃO")="NÃO","NÃO","SIM")</f>
        <v>NÃO</v>
      </c>
    </row>
    <row r="321" spans="1:31" x14ac:dyDescent="0.25">
      <c r="A321" s="2" t="s">
        <v>3111</v>
      </c>
      <c r="B321" s="2">
        <v>109000017</v>
      </c>
      <c r="C321" s="2" t="s">
        <v>15</v>
      </c>
      <c r="D321" s="2" t="s">
        <v>4516</v>
      </c>
      <c r="E321" s="2" t="s">
        <v>86</v>
      </c>
      <c r="F321" s="2" t="s">
        <v>363</v>
      </c>
      <c r="G321" s="2" t="s">
        <v>245</v>
      </c>
      <c r="H321" s="2" t="s">
        <v>210</v>
      </c>
      <c r="I321" s="2" t="s">
        <v>33</v>
      </c>
      <c r="J321" s="2" t="s">
        <v>124</v>
      </c>
      <c r="K321" s="2" t="s">
        <v>20</v>
      </c>
      <c r="L321" s="2" t="s">
        <v>21</v>
      </c>
      <c r="M321" s="2" t="s">
        <v>22</v>
      </c>
      <c r="N321" s="2" t="s">
        <v>15</v>
      </c>
      <c r="O321" s="2" t="s">
        <v>214</v>
      </c>
      <c r="P321" s="2" t="s">
        <v>3113</v>
      </c>
      <c r="Q321" s="2" t="s">
        <v>4926</v>
      </c>
      <c r="R321" s="2" t="s">
        <v>212</v>
      </c>
      <c r="S321" s="2" t="s">
        <v>93</v>
      </c>
      <c r="T321" s="2" t="s">
        <v>4696</v>
      </c>
      <c r="U321" s="2" t="s">
        <v>12</v>
      </c>
      <c r="V321" s="2" t="s">
        <v>4794</v>
      </c>
      <c r="W321" s="2" t="s">
        <v>4982</v>
      </c>
      <c r="X321" s="2" t="s">
        <v>4925</v>
      </c>
      <c r="Y321" s="2" t="s">
        <v>3112</v>
      </c>
      <c r="Z321" s="2" t="s">
        <v>5254</v>
      </c>
      <c r="AA3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3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1" s="6" t="str">
        <f>IF(_xlfn.IFNA(INDEX(configuracoes!$A$2:$A$10,MATCH(base_tc_geral[[#This Row],[TIPO]],configuracoes!$A$2:$A$10,0)),"NÃO")="NÃO","NÃO","SIM")</f>
        <v>SIM</v>
      </c>
    </row>
    <row r="322" spans="1:31" x14ac:dyDescent="0.25">
      <c r="A322" s="2" t="s">
        <v>4473</v>
      </c>
      <c r="B322" s="2">
        <v>101008003</v>
      </c>
      <c r="C322" s="2" t="s">
        <v>15</v>
      </c>
      <c r="D322" s="2" t="s">
        <v>4490</v>
      </c>
      <c r="E322" s="2" t="s">
        <v>47</v>
      </c>
      <c r="F322" s="2" t="s">
        <v>264</v>
      </c>
      <c r="G322" s="2" t="s">
        <v>613</v>
      </c>
      <c r="H322" s="2" t="s">
        <v>227</v>
      </c>
      <c r="I322" s="2" t="s">
        <v>16</v>
      </c>
      <c r="J322" s="2" t="s">
        <v>227</v>
      </c>
      <c r="K322" s="2" t="s">
        <v>20</v>
      </c>
      <c r="L322" s="2" t="s">
        <v>25</v>
      </c>
      <c r="M322" s="2" t="s">
        <v>22</v>
      </c>
      <c r="N322" s="2" t="s">
        <v>15</v>
      </c>
      <c r="O322" s="2" t="s">
        <v>266</v>
      </c>
      <c r="P322" s="2" t="s">
        <v>4475</v>
      </c>
      <c r="Q322" s="2" t="s">
        <v>4926</v>
      </c>
      <c r="R322" s="2" t="s">
        <v>100</v>
      </c>
      <c r="S322" s="2" t="s">
        <v>101</v>
      </c>
      <c r="T322" s="2" t="s">
        <v>4697</v>
      </c>
      <c r="U322" s="2" t="s">
        <v>12</v>
      </c>
      <c r="V322" s="2" t="s">
        <v>4809</v>
      </c>
      <c r="W322" s="2" t="s">
        <v>4931</v>
      </c>
      <c r="X322" s="2" t="s">
        <v>4925</v>
      </c>
      <c r="Y322" s="2" t="s">
        <v>4474</v>
      </c>
      <c r="Z322" s="2" t="s">
        <v>5255</v>
      </c>
      <c r="AA3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3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2" s="6" t="str">
        <f>IF(_xlfn.IFNA(INDEX(configuracoes!$A$2:$A$10,MATCH(base_tc_geral[[#This Row],[TIPO]],configuracoes!$A$2:$A$10,0)),"NÃO")="NÃO","NÃO","SIM")</f>
        <v>SIM</v>
      </c>
    </row>
    <row r="323" spans="1:31" x14ac:dyDescent="0.25">
      <c r="A323" s="2" t="s">
        <v>1568</v>
      </c>
      <c r="B323" s="2">
        <v>109505858</v>
      </c>
      <c r="C323" s="2" t="s">
        <v>15</v>
      </c>
      <c r="D323" s="2" t="s">
        <v>4527</v>
      </c>
      <c r="E323" s="2" t="s">
        <v>86</v>
      </c>
      <c r="F323" s="2" t="s">
        <v>218</v>
      </c>
      <c r="G323" s="2" t="s">
        <v>58</v>
      </c>
      <c r="H323" s="2" t="s">
        <v>217</v>
      </c>
      <c r="I323" s="2" t="s">
        <v>33</v>
      </c>
      <c r="J323" s="2" t="s">
        <v>91</v>
      </c>
      <c r="K323" s="2" t="s">
        <v>20</v>
      </c>
      <c r="L323" s="2" t="s">
        <v>61</v>
      </c>
      <c r="M323" s="2" t="s">
        <v>22</v>
      </c>
      <c r="N323" s="2" t="s">
        <v>15</v>
      </c>
      <c r="O323" s="2" t="s">
        <v>221</v>
      </c>
      <c r="P323" s="2" t="s">
        <v>1571</v>
      </c>
      <c r="Q323" s="2" t="s">
        <v>4926</v>
      </c>
      <c r="R323" s="2" t="s">
        <v>1466</v>
      </c>
      <c r="S323" s="2" t="s">
        <v>93</v>
      </c>
      <c r="T323" s="2" t="s">
        <v>4696</v>
      </c>
      <c r="U323" s="2" t="s">
        <v>12</v>
      </c>
      <c r="V323" s="2" t="s">
        <v>4802</v>
      </c>
      <c r="W323" s="2" t="s">
        <v>4982</v>
      </c>
      <c r="X323" s="2" t="s">
        <v>4925</v>
      </c>
      <c r="Y323" s="2" t="s">
        <v>1569</v>
      </c>
      <c r="Z323" s="2" t="s">
        <v>5256</v>
      </c>
      <c r="AA3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3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3" s="6" t="str">
        <f>IF(_xlfn.IFNA(INDEX(configuracoes!$A$2:$A$10,MATCH(base_tc_geral[[#This Row],[TIPO]],configuracoes!$A$2:$A$10,0)),"NÃO")="NÃO","NÃO","SIM")</f>
        <v>NÃO</v>
      </c>
    </row>
    <row r="324" spans="1:31" x14ac:dyDescent="0.25">
      <c r="A324" s="2" t="s">
        <v>2288</v>
      </c>
      <c r="B324" s="2">
        <v>109000340</v>
      </c>
      <c r="C324" s="2" t="s">
        <v>15</v>
      </c>
      <c r="D324" s="2" t="s">
        <v>4515</v>
      </c>
      <c r="E324" s="2" t="s">
        <v>86</v>
      </c>
      <c r="F324" s="2" t="s">
        <v>1320</v>
      </c>
      <c r="G324" s="2" t="s">
        <v>630</v>
      </c>
      <c r="H324" s="2" t="s">
        <v>1321</v>
      </c>
      <c r="I324" s="2" t="s">
        <v>33</v>
      </c>
      <c r="J324" s="2" t="s">
        <v>91</v>
      </c>
      <c r="K324" s="2" t="s">
        <v>20</v>
      </c>
      <c r="L324" s="2" t="s">
        <v>21</v>
      </c>
      <c r="M324" s="2" t="s">
        <v>22</v>
      </c>
      <c r="N324" s="2" t="s">
        <v>15</v>
      </c>
      <c r="O324" s="2" t="s">
        <v>1322</v>
      </c>
      <c r="P324" s="2" t="s">
        <v>2290</v>
      </c>
      <c r="Q324" s="2" t="s">
        <v>4926</v>
      </c>
      <c r="R324" s="2" t="s">
        <v>90</v>
      </c>
      <c r="S324" s="2" t="s">
        <v>93</v>
      </c>
      <c r="T324" s="2" t="s">
        <v>4696</v>
      </c>
      <c r="U324" s="2" t="s">
        <v>12</v>
      </c>
      <c r="V324" s="2" t="s">
        <v>4898</v>
      </c>
      <c r="W324" s="2" t="s">
        <v>4982</v>
      </c>
      <c r="X324" s="2" t="s">
        <v>4925</v>
      </c>
      <c r="Y324" s="2" t="s">
        <v>2289</v>
      </c>
      <c r="Z324" s="2" t="s">
        <v>5257</v>
      </c>
      <c r="AA3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3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4" s="6" t="str">
        <f>IF(_xlfn.IFNA(INDEX(configuracoes!$A$2:$A$10,MATCH(base_tc_geral[[#This Row],[TIPO]],configuracoes!$A$2:$A$10,0)),"NÃO")="NÃO","NÃO","SIM")</f>
        <v>SIM</v>
      </c>
    </row>
    <row r="325" spans="1:31" x14ac:dyDescent="0.25">
      <c r="A325" s="2" t="s">
        <v>1309</v>
      </c>
      <c r="B325" s="2">
        <v>109000427</v>
      </c>
      <c r="C325" s="2" t="s">
        <v>15</v>
      </c>
      <c r="D325" s="2" t="s">
        <v>4506</v>
      </c>
      <c r="E325" s="2" t="s">
        <v>86</v>
      </c>
      <c r="F325" s="2" t="s">
        <v>88</v>
      </c>
      <c r="G325" s="2" t="s">
        <v>58</v>
      </c>
      <c r="H325" s="2" t="s">
        <v>87</v>
      </c>
      <c r="I325" s="2" t="s">
        <v>33</v>
      </c>
      <c r="J325" s="2" t="s">
        <v>91</v>
      </c>
      <c r="K325" s="2" t="s">
        <v>13</v>
      </c>
      <c r="L325" s="2" t="s">
        <v>61</v>
      </c>
      <c r="M325" s="2" t="s">
        <v>44</v>
      </c>
      <c r="N325" s="2" t="s">
        <v>15</v>
      </c>
      <c r="O325" s="2" t="s">
        <v>95</v>
      </c>
      <c r="P325" s="2" t="s">
        <v>1311</v>
      </c>
      <c r="Q325" s="2" t="s">
        <v>4926</v>
      </c>
      <c r="R325" s="2" t="s">
        <v>259</v>
      </c>
      <c r="S325" s="2" t="s">
        <v>4699</v>
      </c>
      <c r="T325" s="2" t="s">
        <v>4696</v>
      </c>
      <c r="U325" s="2" t="s">
        <v>12</v>
      </c>
      <c r="V325" s="2" t="s">
        <v>4796</v>
      </c>
      <c r="W325" s="2" t="s">
        <v>4984</v>
      </c>
      <c r="X325" s="2" t="s">
        <v>44</v>
      </c>
      <c r="Y325" s="2" t="s">
        <v>1310</v>
      </c>
      <c r="Z325" s="2" t="s">
        <v>6109</v>
      </c>
      <c r="AA3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3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3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5" s="6" t="str">
        <f>IF(_xlfn.IFNA(INDEX(configuracoes!$A$2:$A$10,MATCH(base_tc_geral[[#This Row],[TIPO]],configuracoes!$A$2:$A$10,0)),"NÃO")="NÃO","NÃO","SIM")</f>
        <v>NÃO</v>
      </c>
    </row>
    <row r="326" spans="1:31" x14ac:dyDescent="0.25">
      <c r="A326" s="2" t="s">
        <v>462</v>
      </c>
      <c r="B326" s="2">
        <v>101003771</v>
      </c>
      <c r="C326" s="2" t="s">
        <v>15</v>
      </c>
      <c r="D326" s="2" t="s">
        <v>4499</v>
      </c>
      <c r="E326" s="2" t="s">
        <v>47</v>
      </c>
      <c r="F326" s="2" t="s">
        <v>464</v>
      </c>
      <c r="G326" s="2" t="s">
        <v>172</v>
      </c>
      <c r="H326" s="2" t="s">
        <v>48</v>
      </c>
      <c r="I326" s="2" t="s">
        <v>16</v>
      </c>
      <c r="J326" s="2" t="s">
        <v>48</v>
      </c>
      <c r="K326" s="2" t="s">
        <v>13</v>
      </c>
      <c r="L326" s="2" t="s">
        <v>17</v>
      </c>
      <c r="M326" s="2" t="s">
        <v>23</v>
      </c>
      <c r="N326" s="2" t="s">
        <v>15</v>
      </c>
      <c r="O326" s="2" t="s">
        <v>53</v>
      </c>
      <c r="P326" s="2" t="s">
        <v>466</v>
      </c>
      <c r="Q326" s="2" t="s">
        <v>4926</v>
      </c>
      <c r="R326" s="2" t="s">
        <v>465</v>
      </c>
      <c r="S326" s="2" t="s">
        <v>51</v>
      </c>
      <c r="T326" s="2" t="s">
        <v>4697</v>
      </c>
      <c r="U326" s="2" t="s">
        <v>39</v>
      </c>
      <c r="V326" s="2" t="s">
        <v>4810</v>
      </c>
      <c r="W326" s="2" t="s">
        <v>17</v>
      </c>
      <c r="X326" s="2" t="s">
        <v>4998</v>
      </c>
      <c r="Y326" s="2" t="s">
        <v>463</v>
      </c>
      <c r="Z326" s="2" t="s">
        <v>6110</v>
      </c>
      <c r="AA3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3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6" s="6" t="str">
        <f>IF(_xlfn.IFNA(INDEX(configuracoes!$A$2:$A$10,MATCH(base_tc_geral[[#This Row],[TIPO]],configuracoes!$A$2:$A$10,0)),"NÃO")="NÃO","NÃO","SIM")</f>
        <v>NÃO</v>
      </c>
    </row>
    <row r="327" spans="1:31" x14ac:dyDescent="0.25">
      <c r="A327" s="2" t="s">
        <v>2405</v>
      </c>
      <c r="B327" s="2">
        <v>105000986</v>
      </c>
      <c r="C327" s="2" t="s">
        <v>15</v>
      </c>
      <c r="D327" s="2" t="s">
        <v>4484</v>
      </c>
      <c r="E327" s="2" t="s">
        <v>28</v>
      </c>
      <c r="F327" s="2" t="s">
        <v>80</v>
      </c>
      <c r="G327" s="2" t="s">
        <v>89</v>
      </c>
      <c r="H327" s="2" t="s">
        <v>79</v>
      </c>
      <c r="I327" s="2" t="s">
        <v>33</v>
      </c>
      <c r="J327" s="2" t="s">
        <v>34</v>
      </c>
      <c r="K327" s="2" t="s">
        <v>13</v>
      </c>
      <c r="L327" s="2" t="s">
        <v>37</v>
      </c>
      <c r="M327" s="2" t="s">
        <v>38</v>
      </c>
      <c r="N327" s="2" t="s">
        <v>15</v>
      </c>
      <c r="O327" s="2" t="s">
        <v>83</v>
      </c>
      <c r="P327" s="2" t="s">
        <v>2407</v>
      </c>
      <c r="Q327" s="2" t="s">
        <v>4926</v>
      </c>
      <c r="R327" s="2" t="s">
        <v>81</v>
      </c>
      <c r="S327" s="2" t="s">
        <v>167</v>
      </c>
      <c r="T327" s="2" t="s">
        <v>167</v>
      </c>
      <c r="U327" s="2" t="s">
        <v>12</v>
      </c>
      <c r="V327" s="2" t="s">
        <v>4767</v>
      </c>
      <c r="W327" s="2" t="s">
        <v>4999</v>
      </c>
      <c r="X327" s="2" t="s">
        <v>38</v>
      </c>
      <c r="Y327" s="2" t="s">
        <v>2406</v>
      </c>
      <c r="Z327" s="2" t="s">
        <v>6111</v>
      </c>
      <c r="AA3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3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7" s="6" t="str">
        <f>IF(_xlfn.IFNA(INDEX(configuracoes!$A$2:$A$10,MATCH(base_tc_geral[[#This Row],[TIPO]],configuracoes!$A$2:$A$10,0)),"NÃO")="NÃO","NÃO","SIM")</f>
        <v>NÃO</v>
      </c>
    </row>
    <row r="328" spans="1:31" x14ac:dyDescent="0.25">
      <c r="A328" s="2" t="s">
        <v>4434</v>
      </c>
      <c r="B328" s="2">
        <v>101003771</v>
      </c>
      <c r="C328" s="2" t="s">
        <v>15</v>
      </c>
      <c r="D328" s="2" t="s">
        <v>4516</v>
      </c>
      <c r="E328" s="2" t="s">
        <v>47</v>
      </c>
      <c r="F328" s="2" t="s">
        <v>464</v>
      </c>
      <c r="G328" s="2" t="s">
        <v>870</v>
      </c>
      <c r="H328" s="2" t="s">
        <v>48</v>
      </c>
      <c r="I328" s="2" t="s">
        <v>16</v>
      </c>
      <c r="J328" s="2" t="s">
        <v>48</v>
      </c>
      <c r="K328" s="2" t="s">
        <v>13</v>
      </c>
      <c r="L328" s="2" t="s">
        <v>76</v>
      </c>
      <c r="M328" s="2" t="s">
        <v>18</v>
      </c>
      <c r="N328" s="2" t="s">
        <v>15</v>
      </c>
      <c r="O328" s="2" t="s">
        <v>53</v>
      </c>
      <c r="P328" s="2" t="s">
        <v>4436</v>
      </c>
      <c r="Q328" s="2" t="s">
        <v>4926</v>
      </c>
      <c r="R328" s="2" t="s">
        <v>465</v>
      </c>
      <c r="S328" s="2" t="s">
        <v>51</v>
      </c>
      <c r="T328" s="2" t="s">
        <v>4697</v>
      </c>
      <c r="U328" s="2" t="s">
        <v>12</v>
      </c>
      <c r="V328" s="2" t="s">
        <v>4810</v>
      </c>
      <c r="W328" s="2" t="s">
        <v>17</v>
      </c>
      <c r="X328" s="2" t="s">
        <v>4998</v>
      </c>
      <c r="Y328" s="2" t="s">
        <v>4435</v>
      </c>
      <c r="Z328" s="2" t="s">
        <v>6112</v>
      </c>
      <c r="AA3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3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8" s="6" t="str">
        <f>IF(_xlfn.IFNA(INDEX(configuracoes!$A$2:$A$10,MATCH(base_tc_geral[[#This Row],[TIPO]],configuracoes!$A$2:$A$10,0)),"NÃO")="NÃO","NÃO","SIM")</f>
        <v>SIM</v>
      </c>
    </row>
    <row r="329" spans="1:31" x14ac:dyDescent="0.25">
      <c r="A329" s="2" t="s">
        <v>1562</v>
      </c>
      <c r="B329" s="2">
        <v>109505858</v>
      </c>
      <c r="C329" s="2" t="s">
        <v>15</v>
      </c>
      <c r="D329" s="2" t="s">
        <v>4484</v>
      </c>
      <c r="E329" s="2" t="s">
        <v>86</v>
      </c>
      <c r="F329" s="2" t="s">
        <v>559</v>
      </c>
      <c r="G329" s="2" t="s">
        <v>637</v>
      </c>
      <c r="H329" s="2" t="s">
        <v>558</v>
      </c>
      <c r="I329" s="2" t="s">
        <v>33</v>
      </c>
      <c r="J329" s="2" t="s">
        <v>91</v>
      </c>
      <c r="K329" s="2" t="s">
        <v>20</v>
      </c>
      <c r="L329" s="2" t="s">
        <v>19</v>
      </c>
      <c r="M329" s="2" t="s">
        <v>22</v>
      </c>
      <c r="N329" s="2" t="s">
        <v>15</v>
      </c>
      <c r="O329" s="2" t="s">
        <v>561</v>
      </c>
      <c r="P329" s="2" t="s">
        <v>1564</v>
      </c>
      <c r="Q329" s="2" t="s">
        <v>4926</v>
      </c>
      <c r="R329" s="2" t="s">
        <v>1466</v>
      </c>
      <c r="S329" s="2" t="s">
        <v>93</v>
      </c>
      <c r="T329" s="2" t="s">
        <v>4696</v>
      </c>
      <c r="U329" s="2" t="s">
        <v>12</v>
      </c>
      <c r="V329" s="2" t="s">
        <v>4802</v>
      </c>
      <c r="W329" s="2" t="s">
        <v>4982</v>
      </c>
      <c r="X329" s="2" t="s">
        <v>4925</v>
      </c>
      <c r="Y329" s="2" t="s">
        <v>1563</v>
      </c>
      <c r="Z329" s="2" t="s">
        <v>6113</v>
      </c>
      <c r="AA3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3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29" s="6" t="str">
        <f>IF(_xlfn.IFNA(INDEX(configuracoes!$A$2:$A$10,MATCH(base_tc_geral[[#This Row],[TIPO]],configuracoes!$A$2:$A$10,0)),"NÃO")="NÃO","NÃO","SIM")</f>
        <v>SIM</v>
      </c>
    </row>
    <row r="330" spans="1:31" x14ac:dyDescent="0.25">
      <c r="A330" s="2" t="s">
        <v>147</v>
      </c>
      <c r="B330" s="2">
        <v>101005456</v>
      </c>
      <c r="C330" s="2" t="s">
        <v>15</v>
      </c>
      <c r="D330" s="2" t="s">
        <v>4483</v>
      </c>
      <c r="E330" s="2" t="s">
        <v>47</v>
      </c>
      <c r="F330" s="2" t="s">
        <v>142</v>
      </c>
      <c r="G330" s="2" t="s">
        <v>149</v>
      </c>
      <c r="H330" s="2" t="s">
        <v>141</v>
      </c>
      <c r="I330" s="2" t="s">
        <v>16</v>
      </c>
      <c r="J330" s="2" t="s">
        <v>141</v>
      </c>
      <c r="K330" s="2" t="s">
        <v>13</v>
      </c>
      <c r="L330" s="2" t="s">
        <v>61</v>
      </c>
      <c r="M330" s="2" t="s">
        <v>151</v>
      </c>
      <c r="N330" s="2" t="s">
        <v>15</v>
      </c>
      <c r="O330" s="2" t="s">
        <v>145</v>
      </c>
      <c r="P330" s="2" t="s">
        <v>150</v>
      </c>
      <c r="Q330" s="2" t="s">
        <v>4926</v>
      </c>
      <c r="R330" s="2" t="s">
        <v>3187</v>
      </c>
      <c r="S330" s="2" t="s">
        <v>359</v>
      </c>
      <c r="T330" s="2" t="s">
        <v>4697</v>
      </c>
      <c r="U330" s="2" t="s">
        <v>12</v>
      </c>
      <c r="V330" s="2" t="s">
        <v>4845</v>
      </c>
      <c r="W330" s="2" t="s">
        <v>4984</v>
      </c>
      <c r="X330" s="2" t="s">
        <v>6115</v>
      </c>
      <c r="Y330" s="2" t="s">
        <v>148</v>
      </c>
      <c r="Z330" s="2" t="s">
        <v>6114</v>
      </c>
      <c r="AA3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MARCOS ALBERTO </v>
      </c>
      <c r="AB3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3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30" s="6" t="str">
        <f>IF(_xlfn.IFNA(INDEX(configuracoes!$A$2:$A$10,MATCH(base_tc_geral[[#This Row],[TIPO]],configuracoes!$A$2:$A$10,0)),"NÃO")="NÃO","NÃO","SIM")</f>
        <v>NÃO</v>
      </c>
    </row>
    <row r="331" spans="1:31" x14ac:dyDescent="0.25">
      <c r="A331" s="2" t="s">
        <v>4431</v>
      </c>
      <c r="B331" s="2">
        <v>101003771</v>
      </c>
      <c r="C331" s="2" t="s">
        <v>15</v>
      </c>
      <c r="D331" s="2" t="s">
        <v>4502</v>
      </c>
      <c r="E331" s="2" t="s">
        <v>47</v>
      </c>
      <c r="F331" s="2" t="s">
        <v>464</v>
      </c>
      <c r="G331" s="2" t="s">
        <v>172</v>
      </c>
      <c r="H331" s="2" t="s">
        <v>48</v>
      </c>
      <c r="I331" s="2" t="s">
        <v>16</v>
      </c>
      <c r="J331" s="2" t="s">
        <v>48</v>
      </c>
      <c r="K331" s="2" t="s">
        <v>13</v>
      </c>
      <c r="L331" s="2" t="s">
        <v>17</v>
      </c>
      <c r="M331" s="2" t="s">
        <v>18</v>
      </c>
      <c r="N331" s="2" t="s">
        <v>15</v>
      </c>
      <c r="O331" s="2" t="s">
        <v>53</v>
      </c>
      <c r="P331" s="2" t="s">
        <v>4433</v>
      </c>
      <c r="Q331" s="2" t="s">
        <v>4926</v>
      </c>
      <c r="R331" s="2" t="s">
        <v>465</v>
      </c>
      <c r="S331" s="2" t="s">
        <v>51</v>
      </c>
      <c r="T331" s="2" t="s">
        <v>4697</v>
      </c>
      <c r="U331" s="2" t="s">
        <v>39</v>
      </c>
      <c r="V331" s="2" t="s">
        <v>4810</v>
      </c>
      <c r="W331" s="2" t="s">
        <v>17</v>
      </c>
      <c r="X331" s="2" t="s">
        <v>4998</v>
      </c>
      <c r="Y331" s="2" t="s">
        <v>4432</v>
      </c>
      <c r="Z331" s="2" t="s">
        <v>6116</v>
      </c>
      <c r="AA3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3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31" s="6" t="str">
        <f>IF(_xlfn.IFNA(INDEX(configuracoes!$A$2:$A$10,MATCH(base_tc_geral[[#This Row],[TIPO]],configuracoes!$A$2:$A$10,0)),"NÃO")="NÃO","NÃO","SIM")</f>
        <v>NÃO</v>
      </c>
    </row>
    <row r="332" spans="1:31" x14ac:dyDescent="0.25">
      <c r="A332" s="2" t="s">
        <v>233</v>
      </c>
      <c r="B332" s="2">
        <v>109505819</v>
      </c>
      <c r="C332" s="2" t="s">
        <v>24</v>
      </c>
      <c r="D332" s="2" t="s">
        <v>4768</v>
      </c>
      <c r="E332" s="2" t="s">
        <v>86</v>
      </c>
      <c r="F332" s="2" t="s">
        <v>165</v>
      </c>
      <c r="G332" s="2" t="s">
        <v>245</v>
      </c>
      <c r="H332" s="2" t="s">
        <v>164</v>
      </c>
      <c r="I332" s="2" t="s">
        <v>33</v>
      </c>
      <c r="J332" s="2" t="s">
        <v>124</v>
      </c>
      <c r="K332" s="2" t="s">
        <v>20</v>
      </c>
      <c r="L332" s="2" t="s">
        <v>21</v>
      </c>
      <c r="M332" s="2" t="s">
        <v>22</v>
      </c>
      <c r="N332" s="2" t="s">
        <v>24</v>
      </c>
      <c r="O332" s="2" t="s">
        <v>169</v>
      </c>
      <c r="P332" s="2" t="s">
        <v>235</v>
      </c>
      <c r="Q332" s="2" t="s">
        <v>4926</v>
      </c>
      <c r="R332" s="2" t="s">
        <v>3459</v>
      </c>
      <c r="S332" s="2" t="s">
        <v>93</v>
      </c>
      <c r="T332" s="2" t="s">
        <v>4696</v>
      </c>
      <c r="U332" s="2" t="s">
        <v>39</v>
      </c>
      <c r="V332" s="2" t="s">
        <v>4785</v>
      </c>
      <c r="W332" s="2" t="s">
        <v>4982</v>
      </c>
      <c r="X332" s="2" t="s">
        <v>4925</v>
      </c>
      <c r="Y332" s="2" t="s">
        <v>234</v>
      </c>
      <c r="Z332" s="2" t="s">
        <v>6117</v>
      </c>
      <c r="AA3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3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32" s="6" t="str">
        <f>IF(_xlfn.IFNA(INDEX(configuracoes!$A$2:$A$10,MATCH(base_tc_geral[[#This Row],[TIPO]],configuracoes!$A$2:$A$10,0)),"NÃO")="NÃO","NÃO","SIM")</f>
        <v>SIM</v>
      </c>
    </row>
    <row r="333" spans="1:31" x14ac:dyDescent="0.25">
      <c r="A333" s="2" t="s">
        <v>1982</v>
      </c>
      <c r="B333" s="2">
        <v>109000926</v>
      </c>
      <c r="C333" s="2" t="s">
        <v>15</v>
      </c>
      <c r="D333" s="2" t="s">
        <v>4481</v>
      </c>
      <c r="E333" s="2" t="s">
        <v>86</v>
      </c>
      <c r="F333" s="2" t="s">
        <v>284</v>
      </c>
      <c r="G333" s="2" t="s">
        <v>89</v>
      </c>
      <c r="H333" s="2" t="s">
        <v>283</v>
      </c>
      <c r="I333" s="2" t="s">
        <v>33</v>
      </c>
      <c r="J333" s="2" t="s">
        <v>124</v>
      </c>
      <c r="K333" s="2" t="s">
        <v>13</v>
      </c>
      <c r="L333" s="2" t="s">
        <v>37</v>
      </c>
      <c r="M333" s="2" t="s">
        <v>44</v>
      </c>
      <c r="N333" s="2" t="s">
        <v>15</v>
      </c>
      <c r="O333" s="2" t="s">
        <v>287</v>
      </c>
      <c r="P333" s="2" t="s">
        <v>1984</v>
      </c>
      <c r="Q333" s="2" t="s">
        <v>4926</v>
      </c>
      <c r="R333" s="2" t="s">
        <v>285</v>
      </c>
      <c r="S333" s="2" t="s">
        <v>125</v>
      </c>
      <c r="T333" s="2" t="s">
        <v>4696</v>
      </c>
      <c r="U333" s="2" t="s">
        <v>12</v>
      </c>
      <c r="V333" s="2" t="s">
        <v>4777</v>
      </c>
      <c r="W333" s="2" t="s">
        <v>5013</v>
      </c>
      <c r="X333" s="2" t="s">
        <v>44</v>
      </c>
      <c r="Y333" s="2" t="s">
        <v>1983</v>
      </c>
      <c r="Z333" s="2" t="s">
        <v>6118</v>
      </c>
      <c r="AA3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3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3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33" s="6" t="str">
        <f>IF(_xlfn.IFNA(INDEX(configuracoes!$A$2:$A$10,MATCH(base_tc_geral[[#This Row],[TIPO]],configuracoes!$A$2:$A$10,0)),"NÃO")="NÃO","NÃO","SIM")</f>
        <v>NÃO</v>
      </c>
    </row>
    <row r="334" spans="1:31" x14ac:dyDescent="0.25">
      <c r="A334" s="2" t="s">
        <v>3989</v>
      </c>
      <c r="B334" s="2">
        <v>109000340</v>
      </c>
      <c r="C334" s="2" t="s">
        <v>24</v>
      </c>
      <c r="D334" s="2" t="s">
        <v>4503</v>
      </c>
      <c r="E334" s="2" t="s">
        <v>86</v>
      </c>
      <c r="F334" s="2" t="s">
        <v>1320</v>
      </c>
      <c r="G334" s="2" t="s">
        <v>1350</v>
      </c>
      <c r="H334" s="2" t="s">
        <v>1321</v>
      </c>
      <c r="I334" s="2" t="s">
        <v>33</v>
      </c>
      <c r="J334" s="2" t="s">
        <v>91</v>
      </c>
      <c r="K334" s="2" t="s">
        <v>13</v>
      </c>
      <c r="L334" s="2" t="s">
        <v>126</v>
      </c>
      <c r="M334" s="2" t="s">
        <v>128</v>
      </c>
      <c r="N334" s="2" t="s">
        <v>24</v>
      </c>
      <c r="O334" s="2" t="s">
        <v>1322</v>
      </c>
      <c r="P334" s="2" t="s">
        <v>3991</v>
      </c>
      <c r="Q334" s="2" t="s">
        <v>4926</v>
      </c>
      <c r="R334" s="2" t="s">
        <v>90</v>
      </c>
      <c r="S334" s="2" t="s">
        <v>93</v>
      </c>
      <c r="T334" s="2" t="s">
        <v>4696</v>
      </c>
      <c r="U334" s="2" t="s">
        <v>39</v>
      </c>
      <c r="V334" s="2" t="s">
        <v>4898</v>
      </c>
      <c r="W334" s="2" t="s">
        <v>4987</v>
      </c>
      <c r="X334" s="2" t="s">
        <v>4989</v>
      </c>
      <c r="Y334" s="2" t="s">
        <v>3990</v>
      </c>
      <c r="Z334" s="2" t="s">
        <v>6119</v>
      </c>
      <c r="AA3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3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34" s="6" t="str">
        <f>IF(_xlfn.IFNA(INDEX(configuracoes!$A$2:$A$10,MATCH(base_tc_geral[[#This Row],[TIPO]],configuracoes!$A$2:$A$10,0)),"NÃO")="NÃO","NÃO","SIM")</f>
        <v>SIM</v>
      </c>
    </row>
    <row r="335" spans="1:31" x14ac:dyDescent="0.25">
      <c r="A335" s="2" t="s">
        <v>2917</v>
      </c>
      <c r="B335" s="2">
        <v>101001782</v>
      </c>
      <c r="C335" s="2" t="s">
        <v>15</v>
      </c>
      <c r="D335" s="2" t="s">
        <v>4543</v>
      </c>
      <c r="E335" s="2" t="s">
        <v>47</v>
      </c>
      <c r="F335" s="2" t="s">
        <v>464</v>
      </c>
      <c r="G335" s="2" t="s">
        <v>245</v>
      </c>
      <c r="H335" s="2" t="s">
        <v>48</v>
      </c>
      <c r="I335" s="2" t="s">
        <v>16</v>
      </c>
      <c r="J335" s="2" t="s">
        <v>48</v>
      </c>
      <c r="K335" s="2" t="s">
        <v>20</v>
      </c>
      <c r="L335" s="2" t="s">
        <v>21</v>
      </c>
      <c r="M335" s="2" t="s">
        <v>22</v>
      </c>
      <c r="N335" s="2" t="s">
        <v>15</v>
      </c>
      <c r="O335" s="2" t="s">
        <v>53</v>
      </c>
      <c r="P335" s="2" t="s">
        <v>2919</v>
      </c>
      <c r="Q335" s="2" t="s">
        <v>4926</v>
      </c>
      <c r="R335" s="2" t="s">
        <v>512</v>
      </c>
      <c r="S335" s="2" t="s">
        <v>51</v>
      </c>
      <c r="T335" s="2" t="s">
        <v>4697</v>
      </c>
      <c r="U335" s="2" t="s">
        <v>12</v>
      </c>
      <c r="V335" s="2" t="s">
        <v>4861</v>
      </c>
      <c r="W335" s="2" t="s">
        <v>4982</v>
      </c>
      <c r="X335" s="2" t="s">
        <v>4925</v>
      </c>
      <c r="Y335" s="2" t="s">
        <v>2918</v>
      </c>
      <c r="Z335" s="2" t="s">
        <v>6120</v>
      </c>
      <c r="AA3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3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35" s="6" t="str">
        <f>IF(_xlfn.IFNA(INDEX(configuracoes!$A$2:$A$10,MATCH(base_tc_geral[[#This Row],[TIPO]],configuracoes!$A$2:$A$10,0)),"NÃO")="NÃO","NÃO","SIM")</f>
        <v>SIM</v>
      </c>
    </row>
    <row r="336" spans="1:31" x14ac:dyDescent="0.25">
      <c r="A336" s="2" t="s">
        <v>2762</v>
      </c>
      <c r="B336" s="2">
        <v>108401409</v>
      </c>
      <c r="C336" s="2" t="s">
        <v>15</v>
      </c>
      <c r="D336" s="2" t="s">
        <v>4489</v>
      </c>
      <c r="E336" s="2" t="s">
        <v>47</v>
      </c>
      <c r="F336" s="2" t="s">
        <v>341</v>
      </c>
      <c r="G336" s="2" t="s">
        <v>317</v>
      </c>
      <c r="H336" s="2" t="s">
        <v>56</v>
      </c>
      <c r="I336" s="2" t="s">
        <v>16</v>
      </c>
      <c r="J336" s="2" t="s">
        <v>60</v>
      </c>
      <c r="K336" s="2" t="s">
        <v>13</v>
      </c>
      <c r="L336" s="2" t="s">
        <v>42</v>
      </c>
      <c r="M336" s="2" t="s">
        <v>2764</v>
      </c>
      <c r="N336" s="2" t="s">
        <v>15</v>
      </c>
      <c r="O336" s="2" t="s">
        <v>63</v>
      </c>
      <c r="P336" s="2" t="s">
        <v>2765</v>
      </c>
      <c r="Q336" s="2" t="s">
        <v>4926</v>
      </c>
      <c r="R336" s="2" t="s">
        <v>2738</v>
      </c>
      <c r="S336" s="2" t="s">
        <v>359</v>
      </c>
      <c r="T336" s="2" t="s">
        <v>4697</v>
      </c>
      <c r="U336" s="2" t="s">
        <v>39</v>
      </c>
      <c r="V336" s="2" t="s">
        <v>4779</v>
      </c>
      <c r="W336" s="2" t="s">
        <v>42</v>
      </c>
      <c r="X336" s="2" t="s">
        <v>5536</v>
      </c>
      <c r="Y336" s="2" t="s">
        <v>2763</v>
      </c>
      <c r="Z336" s="2" t="s">
        <v>6121</v>
      </c>
      <c r="AA3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3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3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36" s="6" t="str">
        <f>IF(_xlfn.IFNA(INDEX(configuracoes!$A$2:$A$10,MATCH(base_tc_geral[[#This Row],[TIPO]],configuracoes!$A$2:$A$10,0)),"NÃO")="NÃO","NÃO","SIM")</f>
        <v>SIM</v>
      </c>
    </row>
    <row r="337" spans="1:31" x14ac:dyDescent="0.25">
      <c r="A337" s="2" t="s">
        <v>2888</v>
      </c>
      <c r="B337" s="2">
        <v>101001782</v>
      </c>
      <c r="C337" s="2" t="s">
        <v>15</v>
      </c>
      <c r="D337" s="2" t="s">
        <v>4631</v>
      </c>
      <c r="E337" s="2" t="s">
        <v>47</v>
      </c>
      <c r="F337" s="2" t="s">
        <v>464</v>
      </c>
      <c r="G337" s="2" t="s">
        <v>5594</v>
      </c>
      <c r="H337" s="2" t="s">
        <v>48</v>
      </c>
      <c r="I337" s="2" t="s">
        <v>16</v>
      </c>
      <c r="J337" s="2" t="s">
        <v>48</v>
      </c>
      <c r="K337" s="2" t="s">
        <v>20</v>
      </c>
      <c r="L337" s="2" t="s">
        <v>19</v>
      </c>
      <c r="M337" s="2" t="s">
        <v>22</v>
      </c>
      <c r="N337" s="2" t="s">
        <v>15</v>
      </c>
      <c r="O337" s="2" t="s">
        <v>53</v>
      </c>
      <c r="P337" s="2" t="s">
        <v>2890</v>
      </c>
      <c r="Q337" s="2" t="s">
        <v>4926</v>
      </c>
      <c r="R337" s="2" t="s">
        <v>512</v>
      </c>
      <c r="S337" s="2" t="s">
        <v>51</v>
      </c>
      <c r="T337" s="2" t="s">
        <v>4697</v>
      </c>
      <c r="U337" s="2" t="s">
        <v>12</v>
      </c>
      <c r="V337" s="2" t="s">
        <v>4861</v>
      </c>
      <c r="W337" s="2" t="s">
        <v>4982</v>
      </c>
      <c r="X337" s="2" t="s">
        <v>4925</v>
      </c>
      <c r="Y337" s="2" t="s">
        <v>2889</v>
      </c>
      <c r="Z337" s="2" t="s">
        <v>5601</v>
      </c>
      <c r="AA3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3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37" s="6" t="str">
        <f>IF(_xlfn.IFNA(INDEX(configuracoes!$A$2:$A$10,MATCH(base_tc_geral[[#This Row],[TIPO]],configuracoes!$A$2:$A$10,0)),"NÃO")="NÃO","NÃO","SIM")</f>
        <v>SIM</v>
      </c>
    </row>
    <row r="338" spans="1:31" x14ac:dyDescent="0.25">
      <c r="A338" s="2" t="s">
        <v>1095</v>
      </c>
      <c r="B338" s="2">
        <v>102100390</v>
      </c>
      <c r="C338" s="2" t="s">
        <v>15</v>
      </c>
      <c r="D338" s="2" t="s">
        <v>4526</v>
      </c>
      <c r="E338" s="2" t="s">
        <v>106</v>
      </c>
      <c r="F338" s="2" t="s">
        <v>405</v>
      </c>
      <c r="G338" s="2" t="s">
        <v>870</v>
      </c>
      <c r="H338" s="2" t="s">
        <v>130</v>
      </c>
      <c r="I338" s="2" t="s">
        <v>33</v>
      </c>
      <c r="J338" s="2" t="s">
        <v>109</v>
      </c>
      <c r="K338" s="2" t="s">
        <v>13</v>
      </c>
      <c r="L338" s="2" t="s">
        <v>76</v>
      </c>
      <c r="M338" s="2" t="s">
        <v>22</v>
      </c>
      <c r="N338" s="2" t="s">
        <v>15</v>
      </c>
      <c r="O338" s="2" t="s">
        <v>132</v>
      </c>
      <c r="P338" s="2" t="s">
        <v>1097</v>
      </c>
      <c r="Q338" s="2" t="s">
        <v>4926</v>
      </c>
      <c r="R338" s="2" t="s">
        <v>1092</v>
      </c>
      <c r="S338" s="2" t="s">
        <v>736</v>
      </c>
      <c r="T338" s="2" t="s">
        <v>167</v>
      </c>
      <c r="U338" s="2" t="s">
        <v>12</v>
      </c>
      <c r="V338" s="2" t="s">
        <v>4910</v>
      </c>
      <c r="W338" s="2" t="s">
        <v>4982</v>
      </c>
      <c r="X338" s="2" t="s">
        <v>4925</v>
      </c>
      <c r="Y338" s="2" t="s">
        <v>1096</v>
      </c>
      <c r="Z338" s="2" t="s">
        <v>5602</v>
      </c>
      <c r="AA3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3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38" s="6" t="str">
        <f>IF(_xlfn.IFNA(INDEX(configuracoes!$A$2:$A$10,MATCH(base_tc_geral[[#This Row],[TIPO]],configuracoes!$A$2:$A$10,0)),"NÃO")="NÃO","NÃO","SIM")</f>
        <v>SIM</v>
      </c>
    </row>
    <row r="339" spans="1:31" x14ac:dyDescent="0.25">
      <c r="A339" s="2" t="s">
        <v>2836</v>
      </c>
      <c r="B339" s="2">
        <v>101005241</v>
      </c>
      <c r="C339" s="2" t="s">
        <v>24</v>
      </c>
      <c r="D339" s="2" t="s">
        <v>4768</v>
      </c>
      <c r="E339" s="2" t="s">
        <v>47</v>
      </c>
      <c r="F339" s="2" t="s">
        <v>312</v>
      </c>
      <c r="G339" s="2" t="s">
        <v>883</v>
      </c>
      <c r="H339" s="2" t="s">
        <v>311</v>
      </c>
      <c r="I339" s="2" t="s">
        <v>16</v>
      </c>
      <c r="J339" s="2" t="s">
        <v>141</v>
      </c>
      <c r="K339" s="2" t="s">
        <v>20</v>
      </c>
      <c r="L339" s="2" t="s">
        <v>21</v>
      </c>
      <c r="M339" s="2" t="s">
        <v>22</v>
      </c>
      <c r="N339" s="2" t="s">
        <v>24</v>
      </c>
      <c r="O339" s="2" t="s">
        <v>314</v>
      </c>
      <c r="P339" s="2" t="s">
        <v>2838</v>
      </c>
      <c r="Q339" s="2" t="s">
        <v>4926</v>
      </c>
      <c r="R339" s="2" t="s">
        <v>143</v>
      </c>
      <c r="S339" s="2" t="s">
        <v>4698</v>
      </c>
      <c r="T339" s="2" t="s">
        <v>4697</v>
      </c>
      <c r="U339" s="2" t="s">
        <v>39</v>
      </c>
      <c r="V339" s="2" t="s">
        <v>4845</v>
      </c>
      <c r="W339" s="2" t="s">
        <v>4982</v>
      </c>
      <c r="X339" s="2" t="s">
        <v>4925</v>
      </c>
      <c r="Y339" s="2" t="s">
        <v>2837</v>
      </c>
      <c r="Z339" s="2" t="s">
        <v>5603</v>
      </c>
      <c r="AA3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3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3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39" s="6" t="str">
        <f>IF(_xlfn.IFNA(INDEX(configuracoes!$A$2:$A$10,MATCH(base_tc_geral[[#This Row],[TIPO]],configuracoes!$A$2:$A$10,0)),"NÃO")="NÃO","NÃO","SIM")</f>
        <v>SIM</v>
      </c>
    </row>
    <row r="340" spans="1:31" x14ac:dyDescent="0.25">
      <c r="A340" s="2" t="s">
        <v>366</v>
      </c>
      <c r="B340" s="2">
        <v>101008134</v>
      </c>
      <c r="C340" s="2" t="s">
        <v>15</v>
      </c>
      <c r="D340" s="2" t="s">
        <v>4678</v>
      </c>
      <c r="E340" s="2" t="s">
        <v>47</v>
      </c>
      <c r="F340" s="2" t="s">
        <v>368</v>
      </c>
      <c r="G340" s="2" t="s">
        <v>245</v>
      </c>
      <c r="H340" s="2" t="s">
        <v>227</v>
      </c>
      <c r="I340" s="2" t="s">
        <v>16</v>
      </c>
      <c r="J340" s="2" t="s">
        <v>227</v>
      </c>
      <c r="K340" s="2" t="s">
        <v>20</v>
      </c>
      <c r="L340" s="2" t="s">
        <v>21</v>
      </c>
      <c r="M340" s="2" t="s">
        <v>22</v>
      </c>
      <c r="N340" s="2" t="s">
        <v>15</v>
      </c>
      <c r="O340" s="2" t="s">
        <v>271</v>
      </c>
      <c r="P340" s="2" t="s">
        <v>370</v>
      </c>
      <c r="Q340" s="2" t="s">
        <v>4926</v>
      </c>
      <c r="R340" s="2" t="s">
        <v>351</v>
      </c>
      <c r="S340" s="2" t="s">
        <v>101</v>
      </c>
      <c r="T340" s="2" t="s">
        <v>4697</v>
      </c>
      <c r="U340" s="2" t="s">
        <v>12</v>
      </c>
      <c r="V340" s="2" t="s">
        <v>4817</v>
      </c>
      <c r="W340" s="2" t="s">
        <v>4982</v>
      </c>
      <c r="X340" s="2" t="s">
        <v>4925</v>
      </c>
      <c r="Y340" s="2" t="s">
        <v>367</v>
      </c>
      <c r="Z340" s="2" t="s">
        <v>5604</v>
      </c>
      <c r="AA3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3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0" s="6" t="str">
        <f>IF(_xlfn.IFNA(INDEX(configuracoes!$A$2:$A$10,MATCH(base_tc_geral[[#This Row],[TIPO]],configuracoes!$A$2:$A$10,0)),"NÃO")="NÃO","NÃO","SIM")</f>
        <v>SIM</v>
      </c>
    </row>
    <row r="341" spans="1:31" x14ac:dyDescent="0.25">
      <c r="A341" s="2" t="s">
        <v>3280</v>
      </c>
      <c r="B341" s="2">
        <v>101008003</v>
      </c>
      <c r="C341" s="2" t="s">
        <v>15</v>
      </c>
      <c r="D341" s="2" t="s">
        <v>4493</v>
      </c>
      <c r="E341" s="2" t="s">
        <v>47</v>
      </c>
      <c r="F341" s="2" t="s">
        <v>159</v>
      </c>
      <c r="G341" s="2" t="s">
        <v>99</v>
      </c>
      <c r="H341" s="2" t="s">
        <v>60</v>
      </c>
      <c r="I341" s="2" t="s">
        <v>16</v>
      </c>
      <c r="J341" s="2" t="s">
        <v>60</v>
      </c>
      <c r="K341" s="2" t="s">
        <v>13</v>
      </c>
      <c r="L341" s="2" t="s">
        <v>25</v>
      </c>
      <c r="M341" s="2" t="s">
        <v>22</v>
      </c>
      <c r="N341" s="2" t="s">
        <v>15</v>
      </c>
      <c r="O341" s="2" t="s">
        <v>161</v>
      </c>
      <c r="P341" s="2" t="s">
        <v>3282</v>
      </c>
      <c r="Q341" s="2" t="s">
        <v>4926</v>
      </c>
      <c r="R341" s="2" t="s">
        <v>100</v>
      </c>
      <c r="S341" s="2" t="s">
        <v>101</v>
      </c>
      <c r="T341" s="2" t="s">
        <v>4697</v>
      </c>
      <c r="U341" s="2" t="s">
        <v>12</v>
      </c>
      <c r="V341" s="2" t="s">
        <v>4807</v>
      </c>
      <c r="W341" s="2" t="s">
        <v>4931</v>
      </c>
      <c r="X341" s="2" t="s">
        <v>4925</v>
      </c>
      <c r="Y341" s="2" t="s">
        <v>3281</v>
      </c>
      <c r="Z341" s="2" t="s">
        <v>5605</v>
      </c>
      <c r="AA3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3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1" s="6" t="str">
        <f>IF(_xlfn.IFNA(INDEX(configuracoes!$A$2:$A$10,MATCH(base_tc_geral[[#This Row],[TIPO]],configuracoes!$A$2:$A$10,0)),"NÃO")="NÃO","NÃO","SIM")</f>
        <v>SIM</v>
      </c>
    </row>
    <row r="342" spans="1:31" x14ac:dyDescent="0.25">
      <c r="A342" s="2" t="s">
        <v>4428</v>
      </c>
      <c r="B342" s="2">
        <v>101003771</v>
      </c>
      <c r="C342" s="2" t="s">
        <v>15</v>
      </c>
      <c r="D342" s="2" t="s">
        <v>4515</v>
      </c>
      <c r="E342" s="2" t="s">
        <v>47</v>
      </c>
      <c r="F342" s="2" t="s">
        <v>464</v>
      </c>
      <c r="G342" s="2" t="s">
        <v>172</v>
      </c>
      <c r="H342" s="2" t="s">
        <v>48</v>
      </c>
      <c r="I342" s="2" t="s">
        <v>16</v>
      </c>
      <c r="J342" s="2" t="s">
        <v>48</v>
      </c>
      <c r="K342" s="2" t="s">
        <v>13</v>
      </c>
      <c r="L342" s="2" t="s">
        <v>17</v>
      </c>
      <c r="M342" s="2" t="s">
        <v>18</v>
      </c>
      <c r="N342" s="2" t="s">
        <v>15</v>
      </c>
      <c r="O342" s="2" t="s">
        <v>53</v>
      </c>
      <c r="P342" s="2" t="s">
        <v>4430</v>
      </c>
      <c r="Q342" s="2" t="s">
        <v>4926</v>
      </c>
      <c r="R342" s="2" t="s">
        <v>465</v>
      </c>
      <c r="S342" s="2" t="s">
        <v>51</v>
      </c>
      <c r="T342" s="2" t="s">
        <v>4697</v>
      </c>
      <c r="U342" s="2" t="s">
        <v>12</v>
      </c>
      <c r="V342" s="2" t="s">
        <v>4786</v>
      </c>
      <c r="W342" s="2" t="s">
        <v>17</v>
      </c>
      <c r="X342" s="2" t="s">
        <v>4998</v>
      </c>
      <c r="Y342" s="2" t="s">
        <v>4429</v>
      </c>
      <c r="Z342" s="2" t="s">
        <v>5606</v>
      </c>
      <c r="AA3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3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2" s="6" t="str">
        <f>IF(_xlfn.IFNA(INDEX(configuracoes!$A$2:$A$10,MATCH(base_tc_geral[[#This Row],[TIPO]],configuracoes!$A$2:$A$10,0)),"NÃO")="NÃO","NÃO","SIM")</f>
        <v>NÃO</v>
      </c>
    </row>
    <row r="343" spans="1:31" x14ac:dyDescent="0.25">
      <c r="A343" s="2" t="s">
        <v>1526</v>
      </c>
      <c r="B343" s="2">
        <v>102002917</v>
      </c>
      <c r="C343" s="2" t="s">
        <v>15</v>
      </c>
      <c r="D343" s="2" t="s">
        <v>4537</v>
      </c>
      <c r="E343" s="2" t="s">
        <v>106</v>
      </c>
      <c r="F343" s="2" t="s">
        <v>863</v>
      </c>
      <c r="G343" s="2" t="s">
        <v>245</v>
      </c>
      <c r="H343" s="2" t="s">
        <v>427</v>
      </c>
      <c r="I343" s="2" t="s">
        <v>33</v>
      </c>
      <c r="J343" s="2" t="s">
        <v>109</v>
      </c>
      <c r="K343" s="2" t="s">
        <v>20</v>
      </c>
      <c r="L343" s="2" t="s">
        <v>21</v>
      </c>
      <c r="M343" s="2" t="s">
        <v>22</v>
      </c>
      <c r="N343" s="2" t="s">
        <v>15</v>
      </c>
      <c r="O343" s="2" t="s">
        <v>430</v>
      </c>
      <c r="P343" s="2" t="s">
        <v>1528</v>
      </c>
      <c r="Q343" s="2" t="s">
        <v>4926</v>
      </c>
      <c r="R343" s="2" t="s">
        <v>5069</v>
      </c>
      <c r="S343" s="2" t="s">
        <v>736</v>
      </c>
      <c r="T343" s="2" t="s">
        <v>167</v>
      </c>
      <c r="U343" s="2" t="s">
        <v>12</v>
      </c>
      <c r="V343" s="2" t="s">
        <v>4773</v>
      </c>
      <c r="W343" s="2" t="s">
        <v>4982</v>
      </c>
      <c r="X343" s="2" t="s">
        <v>4925</v>
      </c>
      <c r="Y343" s="2" t="s">
        <v>1527</v>
      </c>
      <c r="Z343" s="2" t="s">
        <v>5607</v>
      </c>
      <c r="AA3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3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3" s="6" t="str">
        <f>IF(_xlfn.IFNA(INDEX(configuracoes!$A$2:$A$10,MATCH(base_tc_geral[[#This Row],[TIPO]],configuracoes!$A$2:$A$10,0)),"NÃO")="NÃO","NÃO","SIM")</f>
        <v>SIM</v>
      </c>
    </row>
    <row r="344" spans="1:31" x14ac:dyDescent="0.25">
      <c r="A344" s="2" t="s">
        <v>4190</v>
      </c>
      <c r="B344" s="2">
        <v>101004033</v>
      </c>
      <c r="C344" s="2" t="s">
        <v>24</v>
      </c>
      <c r="D344" s="2" t="s">
        <v>4482</v>
      </c>
      <c r="E344" s="2" t="s">
        <v>47</v>
      </c>
      <c r="F344" s="2" t="s">
        <v>303</v>
      </c>
      <c r="G344" s="2" t="s">
        <v>245</v>
      </c>
      <c r="H344" s="2" t="s">
        <v>60</v>
      </c>
      <c r="I344" s="2" t="s">
        <v>16</v>
      </c>
      <c r="J344" s="2" t="s">
        <v>60</v>
      </c>
      <c r="K344" s="2" t="s">
        <v>20</v>
      </c>
      <c r="L344" s="2" t="s">
        <v>21</v>
      </c>
      <c r="M344" s="2" t="s">
        <v>22</v>
      </c>
      <c r="N344" s="2" t="s">
        <v>24</v>
      </c>
      <c r="O344" s="2" t="s">
        <v>161</v>
      </c>
      <c r="P344" s="2" t="s">
        <v>4192</v>
      </c>
      <c r="Q344" s="2" t="s">
        <v>4926</v>
      </c>
      <c r="R344" s="2" t="s">
        <v>304</v>
      </c>
      <c r="S344" s="2" t="s">
        <v>51</v>
      </c>
      <c r="T344" s="2" t="s">
        <v>4697</v>
      </c>
      <c r="U344" s="2" t="s">
        <v>39</v>
      </c>
      <c r="V344" s="2" t="s">
        <v>4813</v>
      </c>
      <c r="W344" s="2" t="s">
        <v>4982</v>
      </c>
      <c r="X344" s="2" t="s">
        <v>4925</v>
      </c>
      <c r="Y344" s="2" t="s">
        <v>4191</v>
      </c>
      <c r="Z344" s="2" t="s">
        <v>5608</v>
      </c>
      <c r="AA3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3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44" s="6" t="str">
        <f>IF(_xlfn.IFNA(INDEX(configuracoes!$A$2:$A$10,MATCH(base_tc_geral[[#This Row],[TIPO]],configuracoes!$A$2:$A$10,0)),"NÃO")="NÃO","NÃO","SIM")</f>
        <v>SIM</v>
      </c>
    </row>
    <row r="345" spans="1:31" x14ac:dyDescent="0.25">
      <c r="A345" s="2" t="s">
        <v>2547</v>
      </c>
      <c r="B345" s="2">
        <v>109504193</v>
      </c>
      <c r="C345" s="2" t="s">
        <v>15</v>
      </c>
      <c r="D345" s="2" t="s">
        <v>4568</v>
      </c>
      <c r="E345" s="2" t="s">
        <v>86</v>
      </c>
      <c r="F345" s="2" t="s">
        <v>1029</v>
      </c>
      <c r="G345" s="2" t="s">
        <v>58</v>
      </c>
      <c r="H345" s="2" t="s">
        <v>122</v>
      </c>
      <c r="I345" s="2" t="s">
        <v>33</v>
      </c>
      <c r="J345" s="2" t="s">
        <v>124</v>
      </c>
      <c r="K345" s="2" t="s">
        <v>13</v>
      </c>
      <c r="L345" s="2" t="s">
        <v>61</v>
      </c>
      <c r="M345" s="2" t="s">
        <v>44</v>
      </c>
      <c r="N345" s="2" t="s">
        <v>15</v>
      </c>
      <c r="O345" s="2" t="s">
        <v>129</v>
      </c>
      <c r="P345" s="2" t="s">
        <v>2549</v>
      </c>
      <c r="Q345" s="2" t="s">
        <v>4926</v>
      </c>
      <c r="R345" s="2" t="s">
        <v>639</v>
      </c>
      <c r="S345" s="2" t="s">
        <v>4699</v>
      </c>
      <c r="T345" s="2" t="s">
        <v>4696</v>
      </c>
      <c r="U345" s="2" t="s">
        <v>12</v>
      </c>
      <c r="V345" s="2" t="s">
        <v>4797</v>
      </c>
      <c r="W345" s="2" t="s">
        <v>4984</v>
      </c>
      <c r="X345" s="2" t="s">
        <v>44</v>
      </c>
      <c r="Y345" s="2" t="s">
        <v>2548</v>
      </c>
      <c r="Z345" s="2" t="s">
        <v>5609</v>
      </c>
      <c r="AA3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3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3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5" s="6" t="str">
        <f>IF(_xlfn.IFNA(INDEX(configuracoes!$A$2:$A$10,MATCH(base_tc_geral[[#This Row],[TIPO]],configuracoes!$A$2:$A$10,0)),"NÃO")="NÃO","NÃO","SIM")</f>
        <v>NÃO</v>
      </c>
    </row>
    <row r="346" spans="1:31" x14ac:dyDescent="0.25">
      <c r="A346" s="2" t="s">
        <v>661</v>
      </c>
      <c r="B346" s="2">
        <v>101010210</v>
      </c>
      <c r="C346" s="2" t="s">
        <v>15</v>
      </c>
      <c r="D346" s="2" t="s">
        <v>4490</v>
      </c>
      <c r="E346" s="2" t="s">
        <v>47</v>
      </c>
      <c r="F346" s="2" t="s">
        <v>159</v>
      </c>
      <c r="G346" s="2" t="s">
        <v>99</v>
      </c>
      <c r="H346" s="2" t="s">
        <v>60</v>
      </c>
      <c r="I346" s="2" t="s">
        <v>16</v>
      </c>
      <c r="J346" s="2" t="s">
        <v>60</v>
      </c>
      <c r="K346" s="2" t="s">
        <v>20</v>
      </c>
      <c r="L346" s="2" t="s">
        <v>25</v>
      </c>
      <c r="M346" s="2" t="s">
        <v>22</v>
      </c>
      <c r="N346" s="2" t="s">
        <v>15</v>
      </c>
      <c r="O346" s="2" t="s">
        <v>161</v>
      </c>
      <c r="P346" s="2" t="s">
        <v>663</v>
      </c>
      <c r="Q346" s="2" t="s">
        <v>4926</v>
      </c>
      <c r="R346" s="2" t="s">
        <v>294</v>
      </c>
      <c r="S346" s="2" t="s">
        <v>101</v>
      </c>
      <c r="T346" s="2" t="s">
        <v>4697</v>
      </c>
      <c r="U346" s="2" t="s">
        <v>12</v>
      </c>
      <c r="V346" s="2" t="s">
        <v>4809</v>
      </c>
      <c r="W346" s="2" t="s">
        <v>4931</v>
      </c>
      <c r="X346" s="2" t="s">
        <v>4925</v>
      </c>
      <c r="Y346" s="2" t="s">
        <v>662</v>
      </c>
      <c r="Z346" s="2" t="s">
        <v>5610</v>
      </c>
      <c r="AA3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3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6" s="6" t="str">
        <f>IF(_xlfn.IFNA(INDEX(configuracoes!$A$2:$A$10,MATCH(base_tc_geral[[#This Row],[TIPO]],configuracoes!$A$2:$A$10,0)),"NÃO")="NÃO","NÃO","SIM")</f>
        <v>SIM</v>
      </c>
    </row>
    <row r="347" spans="1:31" x14ac:dyDescent="0.25">
      <c r="A347" s="2" t="s">
        <v>2249</v>
      </c>
      <c r="B347" s="2">
        <v>105303207</v>
      </c>
      <c r="C347" s="2" t="s">
        <v>15</v>
      </c>
      <c r="D347" s="2" t="s">
        <v>4650</v>
      </c>
      <c r="E347" s="2" t="s">
        <v>28</v>
      </c>
      <c r="F347" s="2" t="s">
        <v>423</v>
      </c>
      <c r="G347" s="2" t="s">
        <v>245</v>
      </c>
      <c r="H347" s="2" t="s">
        <v>34</v>
      </c>
      <c r="I347" s="2" t="s">
        <v>33</v>
      </c>
      <c r="J347" s="2" t="s">
        <v>34</v>
      </c>
      <c r="K347" s="2" t="s">
        <v>20</v>
      </c>
      <c r="L347" s="2" t="s">
        <v>21</v>
      </c>
      <c r="M347" s="2" t="s">
        <v>22</v>
      </c>
      <c r="N347" s="2" t="s">
        <v>15</v>
      </c>
      <c r="O347" s="2" t="s">
        <v>156</v>
      </c>
      <c r="P347" s="2" t="s">
        <v>2251</v>
      </c>
      <c r="Q347" s="2" t="s">
        <v>4926</v>
      </c>
      <c r="R347" s="2" t="s">
        <v>2243</v>
      </c>
      <c r="S347" s="2" t="s">
        <v>167</v>
      </c>
      <c r="T347" s="2" t="s">
        <v>167</v>
      </c>
      <c r="U347" s="2" t="s">
        <v>12</v>
      </c>
      <c r="V347" s="2" t="s">
        <v>4852</v>
      </c>
      <c r="W347" s="2" t="s">
        <v>4982</v>
      </c>
      <c r="X347" s="2" t="s">
        <v>4925</v>
      </c>
      <c r="Y347" s="2" t="s">
        <v>2250</v>
      </c>
      <c r="Z347" s="2" t="s">
        <v>5611</v>
      </c>
      <c r="AA3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3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7" s="6" t="str">
        <f>IF(_xlfn.IFNA(INDEX(configuracoes!$A$2:$A$10,MATCH(base_tc_geral[[#This Row],[TIPO]],configuracoes!$A$2:$A$10,0)),"NÃO")="NÃO","NÃO","SIM")</f>
        <v>SIM</v>
      </c>
    </row>
    <row r="348" spans="1:31" x14ac:dyDescent="0.25">
      <c r="A348" s="2" t="s">
        <v>4172</v>
      </c>
      <c r="B348" s="2">
        <v>101008134</v>
      </c>
      <c r="C348" s="2" t="s">
        <v>15</v>
      </c>
      <c r="D348" s="2" t="s">
        <v>4515</v>
      </c>
      <c r="E348" s="2" t="s">
        <v>47</v>
      </c>
      <c r="F348" s="2" t="s">
        <v>368</v>
      </c>
      <c r="G348" s="2" t="s">
        <v>136</v>
      </c>
      <c r="H348" s="2" t="s">
        <v>227</v>
      </c>
      <c r="I348" s="2" t="s">
        <v>16</v>
      </c>
      <c r="J348" s="2" t="s">
        <v>227</v>
      </c>
      <c r="K348" s="2" t="s">
        <v>13</v>
      </c>
      <c r="L348" s="2" t="s">
        <v>72</v>
      </c>
      <c r="M348" s="2" t="s">
        <v>73</v>
      </c>
      <c r="N348" s="2" t="s">
        <v>15</v>
      </c>
      <c r="O348" s="2" t="s">
        <v>271</v>
      </c>
      <c r="P348" s="2" t="s">
        <v>4174</v>
      </c>
      <c r="Q348" s="2" t="s">
        <v>4926</v>
      </c>
      <c r="R348" s="2" t="s">
        <v>351</v>
      </c>
      <c r="S348" s="2" t="s">
        <v>101</v>
      </c>
      <c r="T348" s="2" t="s">
        <v>4697</v>
      </c>
      <c r="U348" s="2" t="s">
        <v>39</v>
      </c>
      <c r="V348" s="2" t="s">
        <v>4834</v>
      </c>
      <c r="W348" s="2" t="s">
        <v>72</v>
      </c>
      <c r="X348" s="2" t="s">
        <v>5011</v>
      </c>
      <c r="Y348" s="2" t="s">
        <v>4173</v>
      </c>
      <c r="Z348" s="2" t="s">
        <v>5612</v>
      </c>
      <c r="AA3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3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8" s="6" t="str">
        <f>IF(_xlfn.IFNA(INDEX(configuracoes!$A$2:$A$10,MATCH(base_tc_geral[[#This Row],[TIPO]],configuracoes!$A$2:$A$10,0)),"NÃO")="NÃO","NÃO","SIM")</f>
        <v>NÃO</v>
      </c>
    </row>
    <row r="349" spans="1:31" x14ac:dyDescent="0.25">
      <c r="A349" s="2" t="s">
        <v>409</v>
      </c>
      <c r="B349" s="2">
        <v>105000986</v>
      </c>
      <c r="C349" s="2" t="s">
        <v>15</v>
      </c>
      <c r="D349" s="2" t="s">
        <v>4486</v>
      </c>
      <c r="E349" s="2" t="s">
        <v>28</v>
      </c>
      <c r="F349" s="2" t="s">
        <v>80</v>
      </c>
      <c r="G349" s="2" t="s">
        <v>149</v>
      </c>
      <c r="H349" s="2" t="s">
        <v>79</v>
      </c>
      <c r="I349" s="2" t="s">
        <v>33</v>
      </c>
      <c r="J349" s="2" t="s">
        <v>34</v>
      </c>
      <c r="K349" s="2" t="s">
        <v>13</v>
      </c>
      <c r="L349" s="2" t="s">
        <v>61</v>
      </c>
      <c r="M349" s="2" t="s">
        <v>44</v>
      </c>
      <c r="N349" s="2" t="s">
        <v>15</v>
      </c>
      <c r="O349" s="2" t="s">
        <v>83</v>
      </c>
      <c r="P349" s="2" t="s">
        <v>411</v>
      </c>
      <c r="Q349" s="2" t="s">
        <v>4926</v>
      </c>
      <c r="R349" s="2" t="s">
        <v>81</v>
      </c>
      <c r="S349" s="2" t="s">
        <v>167</v>
      </c>
      <c r="T349" s="2" t="s">
        <v>167</v>
      </c>
      <c r="U349" s="2" t="s">
        <v>12</v>
      </c>
      <c r="V349" s="2" t="s">
        <v>4767</v>
      </c>
      <c r="W349" s="2" t="s">
        <v>4999</v>
      </c>
      <c r="X349" s="2" t="s">
        <v>44</v>
      </c>
      <c r="Y349" s="2" t="s">
        <v>410</v>
      </c>
      <c r="Z349" s="2" t="s">
        <v>5613</v>
      </c>
      <c r="AA3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3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49" s="6" t="str">
        <f>IF(_xlfn.IFNA(INDEX(configuracoes!$A$2:$A$10,MATCH(base_tc_geral[[#This Row],[TIPO]],configuracoes!$A$2:$A$10,0)),"NÃO")="NÃO","NÃO","SIM")</f>
        <v>NÃO</v>
      </c>
    </row>
    <row r="350" spans="1:31" x14ac:dyDescent="0.25">
      <c r="A350" s="2" t="s">
        <v>4211</v>
      </c>
      <c r="B350" s="2">
        <v>101005241</v>
      </c>
      <c r="C350" s="2" t="s">
        <v>15</v>
      </c>
      <c r="D350" s="2" t="s">
        <v>4637</v>
      </c>
      <c r="E350" s="2" t="s">
        <v>47</v>
      </c>
      <c r="F350" s="2" t="s">
        <v>142</v>
      </c>
      <c r="G350" s="2" t="s">
        <v>1350</v>
      </c>
      <c r="H350" s="2" t="s">
        <v>141</v>
      </c>
      <c r="I350" s="2" t="s">
        <v>16</v>
      </c>
      <c r="J350" s="2" t="s">
        <v>141</v>
      </c>
      <c r="K350" s="2" t="s">
        <v>13</v>
      </c>
      <c r="L350" s="2" t="s">
        <v>126</v>
      </c>
      <c r="M350" s="2" t="s">
        <v>22</v>
      </c>
      <c r="N350" s="2" t="s">
        <v>15</v>
      </c>
      <c r="O350" s="2" t="s">
        <v>145</v>
      </c>
      <c r="P350" s="2" t="s">
        <v>4213</v>
      </c>
      <c r="Q350" s="2" t="s">
        <v>4926</v>
      </c>
      <c r="R350" s="2" t="s">
        <v>143</v>
      </c>
      <c r="S350" s="2" t="s">
        <v>4698</v>
      </c>
      <c r="T350" s="2" t="s">
        <v>4697</v>
      </c>
      <c r="U350" s="2" t="s">
        <v>12</v>
      </c>
      <c r="V350" s="2" t="s">
        <v>4845</v>
      </c>
      <c r="W350" s="2" t="s">
        <v>4982</v>
      </c>
      <c r="X350" s="2" t="s">
        <v>4925</v>
      </c>
      <c r="Y350" s="2" t="s">
        <v>4212</v>
      </c>
      <c r="Z350" s="2" t="s">
        <v>5614</v>
      </c>
      <c r="AA3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3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3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0" s="6" t="str">
        <f>IF(_xlfn.IFNA(INDEX(configuracoes!$A$2:$A$10,MATCH(base_tc_geral[[#This Row],[TIPO]],configuracoes!$A$2:$A$10,0)),"NÃO")="NÃO","NÃO","SIM")</f>
        <v>SIM</v>
      </c>
    </row>
    <row r="351" spans="1:31" x14ac:dyDescent="0.25">
      <c r="A351" s="2" t="s">
        <v>3658</v>
      </c>
      <c r="B351" s="2">
        <v>109500315</v>
      </c>
      <c r="C351" s="2" t="s">
        <v>15</v>
      </c>
      <c r="D351" s="2" t="s">
        <v>4532</v>
      </c>
      <c r="E351" s="2" t="s">
        <v>86</v>
      </c>
      <c r="F351" s="2" t="s">
        <v>363</v>
      </c>
      <c r="G351" s="2" t="s">
        <v>172</v>
      </c>
      <c r="H351" s="2" t="s">
        <v>210</v>
      </c>
      <c r="I351" s="2" t="s">
        <v>33</v>
      </c>
      <c r="J351" s="2" t="s">
        <v>124</v>
      </c>
      <c r="K351" s="2" t="s">
        <v>13</v>
      </c>
      <c r="L351" s="2" t="s">
        <v>17</v>
      </c>
      <c r="M351" s="2" t="s">
        <v>18</v>
      </c>
      <c r="N351" s="2" t="s">
        <v>15</v>
      </c>
      <c r="O351" s="2" t="s">
        <v>214</v>
      </c>
      <c r="P351" s="2" t="s">
        <v>3660</v>
      </c>
      <c r="Q351" s="2" t="s">
        <v>4926</v>
      </c>
      <c r="R351" s="2" t="s">
        <v>173</v>
      </c>
      <c r="S351" s="2" t="s">
        <v>93</v>
      </c>
      <c r="T351" s="2" t="s">
        <v>4696</v>
      </c>
      <c r="U351" s="2" t="s">
        <v>12</v>
      </c>
      <c r="V351" s="2" t="s">
        <v>4887</v>
      </c>
      <c r="W351" s="2" t="s">
        <v>17</v>
      </c>
      <c r="X351" s="2" t="s">
        <v>4998</v>
      </c>
      <c r="Y351" s="2" t="s">
        <v>3659</v>
      </c>
      <c r="Z351" s="2" t="s">
        <v>5615</v>
      </c>
      <c r="AA3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3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1" s="6" t="str">
        <f>IF(_xlfn.IFNA(INDEX(configuracoes!$A$2:$A$10,MATCH(base_tc_geral[[#This Row],[TIPO]],configuracoes!$A$2:$A$10,0)),"NÃO")="NÃO","NÃO","SIM")</f>
        <v>NÃO</v>
      </c>
    </row>
    <row r="352" spans="1:31" x14ac:dyDescent="0.25">
      <c r="A352" s="2" t="s">
        <v>2336</v>
      </c>
      <c r="B352" s="2">
        <v>101005989</v>
      </c>
      <c r="C352" s="2" t="s">
        <v>15</v>
      </c>
      <c r="D352" s="2" t="s">
        <v>4498</v>
      </c>
      <c r="E352" s="2" t="s">
        <v>47</v>
      </c>
      <c r="F352" s="2" t="s">
        <v>433</v>
      </c>
      <c r="G352" s="2" t="s">
        <v>5453</v>
      </c>
      <c r="H352" s="2" t="s">
        <v>56</v>
      </c>
      <c r="I352" s="2" t="s">
        <v>16</v>
      </c>
      <c r="J352" s="2" t="s">
        <v>60</v>
      </c>
      <c r="K352" s="2" t="s">
        <v>92</v>
      </c>
      <c r="L352" s="2" t="s">
        <v>76</v>
      </c>
      <c r="M352" s="2" t="s">
        <v>44</v>
      </c>
      <c r="N352" s="2" t="s">
        <v>15</v>
      </c>
      <c r="O352" s="2" t="s">
        <v>63</v>
      </c>
      <c r="P352" s="2" t="s">
        <v>2338</v>
      </c>
      <c r="Q352" s="2" t="s">
        <v>4926</v>
      </c>
      <c r="R352" s="2" t="s">
        <v>59</v>
      </c>
      <c r="S352" s="2" t="s">
        <v>51</v>
      </c>
      <c r="T352" s="2" t="s">
        <v>4697</v>
      </c>
      <c r="U352" s="2" t="s">
        <v>12</v>
      </c>
      <c r="V352" s="2" t="s">
        <v>4779</v>
      </c>
      <c r="W352" s="2" t="s">
        <v>5013</v>
      </c>
      <c r="X352" s="2" t="s">
        <v>44</v>
      </c>
      <c r="Y352" s="2" t="s">
        <v>2337</v>
      </c>
      <c r="Z352" s="2" t="s">
        <v>5616</v>
      </c>
      <c r="AA3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3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2" s="6" t="str">
        <f>IF(_xlfn.IFNA(INDEX(configuracoes!$A$2:$A$10,MATCH(base_tc_geral[[#This Row],[TIPO]],configuracoes!$A$2:$A$10,0)),"NÃO")="NÃO","NÃO","SIM")</f>
        <v>SIM</v>
      </c>
    </row>
    <row r="353" spans="1:31" x14ac:dyDescent="0.25">
      <c r="A353" s="2" t="s">
        <v>3385</v>
      </c>
      <c r="B353" s="2">
        <v>101006811</v>
      </c>
      <c r="C353" s="2" t="s">
        <v>15</v>
      </c>
      <c r="D353" s="2" t="s">
        <v>4499</v>
      </c>
      <c r="E353" s="2" t="s">
        <v>47</v>
      </c>
      <c r="F353" s="2" t="s">
        <v>49</v>
      </c>
      <c r="G353" s="2" t="s">
        <v>630</v>
      </c>
      <c r="H353" s="2" t="s">
        <v>48</v>
      </c>
      <c r="I353" s="2" t="s">
        <v>16</v>
      </c>
      <c r="J353" s="2" t="s">
        <v>48</v>
      </c>
      <c r="K353" s="2" t="s">
        <v>20</v>
      </c>
      <c r="L353" s="2" t="s">
        <v>21</v>
      </c>
      <c r="M353" s="2" t="s">
        <v>22</v>
      </c>
      <c r="N353" s="2" t="s">
        <v>15</v>
      </c>
      <c r="O353" s="2" t="s">
        <v>53</v>
      </c>
      <c r="P353" s="2" t="s">
        <v>3387</v>
      </c>
      <c r="Q353" s="2" t="s">
        <v>4926</v>
      </c>
      <c r="R353" s="2" t="s">
        <v>50</v>
      </c>
      <c r="S353" s="2" t="s">
        <v>51</v>
      </c>
      <c r="T353" s="2" t="s">
        <v>4697</v>
      </c>
      <c r="U353" s="2" t="s">
        <v>12</v>
      </c>
      <c r="V353" s="2" t="s">
        <v>4860</v>
      </c>
      <c r="W353" s="2" t="s">
        <v>4982</v>
      </c>
      <c r="X353" s="2" t="s">
        <v>4925</v>
      </c>
      <c r="Y353" s="2" t="s">
        <v>3386</v>
      </c>
      <c r="Z353" s="2" t="s">
        <v>5617</v>
      </c>
      <c r="AA3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3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3" s="6" t="str">
        <f>IF(_xlfn.IFNA(INDEX(configuracoes!$A$2:$A$10,MATCH(base_tc_geral[[#This Row],[TIPO]],configuracoes!$A$2:$A$10,0)),"NÃO")="NÃO","NÃO","SIM")</f>
        <v>SIM</v>
      </c>
    </row>
    <row r="354" spans="1:31" x14ac:dyDescent="0.25">
      <c r="A354" s="2" t="s">
        <v>779</v>
      </c>
      <c r="B354" s="2">
        <v>101010210</v>
      </c>
      <c r="C354" s="2" t="s">
        <v>15</v>
      </c>
      <c r="D354" s="2" t="s">
        <v>4492</v>
      </c>
      <c r="E354" s="2" t="s">
        <v>47</v>
      </c>
      <c r="F354" s="2" t="s">
        <v>264</v>
      </c>
      <c r="G354" s="2" t="s">
        <v>648</v>
      </c>
      <c r="H354" s="2" t="s">
        <v>227</v>
      </c>
      <c r="I354" s="2" t="s">
        <v>16</v>
      </c>
      <c r="J354" s="2" t="s">
        <v>227</v>
      </c>
      <c r="K354" s="2" t="s">
        <v>13</v>
      </c>
      <c r="L354" s="2" t="s">
        <v>25</v>
      </c>
      <c r="M354" s="2" t="s">
        <v>22</v>
      </c>
      <c r="N354" s="2" t="s">
        <v>15</v>
      </c>
      <c r="O354" s="2" t="s">
        <v>266</v>
      </c>
      <c r="P354" s="2" t="s">
        <v>781</v>
      </c>
      <c r="Q354" s="2" t="s">
        <v>4926</v>
      </c>
      <c r="R354" s="2" t="s">
        <v>294</v>
      </c>
      <c r="S354" s="2" t="s">
        <v>101</v>
      </c>
      <c r="T354" s="2" t="s">
        <v>4697</v>
      </c>
      <c r="U354" s="2" t="s">
        <v>12</v>
      </c>
      <c r="V354" s="2" t="s">
        <v>4809</v>
      </c>
      <c r="W354" s="2" t="s">
        <v>4931</v>
      </c>
      <c r="X354" s="2" t="s">
        <v>4925</v>
      </c>
      <c r="Y354" s="2" t="s">
        <v>780</v>
      </c>
      <c r="Z354" s="2" t="s">
        <v>5618</v>
      </c>
      <c r="AA3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3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4" s="6" t="str">
        <f>IF(_xlfn.IFNA(INDEX(configuracoes!$A$2:$A$10,MATCH(base_tc_geral[[#This Row],[TIPO]],configuracoes!$A$2:$A$10,0)),"NÃO")="NÃO","NÃO","SIM")</f>
        <v>SIM</v>
      </c>
    </row>
    <row r="355" spans="1:31" x14ac:dyDescent="0.25">
      <c r="A355" s="2" t="s">
        <v>2197</v>
      </c>
      <c r="B355" s="2">
        <v>109000926</v>
      </c>
      <c r="C355" s="2" t="s">
        <v>24</v>
      </c>
      <c r="D355" s="2" t="s">
        <v>4482</v>
      </c>
      <c r="E355" s="2" t="s">
        <v>86</v>
      </c>
      <c r="F355" s="2" t="s">
        <v>284</v>
      </c>
      <c r="G355" s="2" t="s">
        <v>245</v>
      </c>
      <c r="H355" s="2" t="s">
        <v>283</v>
      </c>
      <c r="I355" s="2" t="s">
        <v>33</v>
      </c>
      <c r="J355" s="2" t="s">
        <v>124</v>
      </c>
      <c r="K355" s="2" t="s">
        <v>20</v>
      </c>
      <c r="L355" s="2" t="s">
        <v>21</v>
      </c>
      <c r="M355" s="2" t="s">
        <v>22</v>
      </c>
      <c r="N355" s="2" t="s">
        <v>24</v>
      </c>
      <c r="O355" s="2" t="s">
        <v>287</v>
      </c>
      <c r="P355" s="2" t="s">
        <v>2199</v>
      </c>
      <c r="Q355" s="2" t="s">
        <v>4926</v>
      </c>
      <c r="R355" s="2" t="s">
        <v>285</v>
      </c>
      <c r="S355" s="2" t="s">
        <v>125</v>
      </c>
      <c r="T355" s="2" t="s">
        <v>4696</v>
      </c>
      <c r="U355" s="2" t="s">
        <v>39</v>
      </c>
      <c r="V355" s="2" t="s">
        <v>4777</v>
      </c>
      <c r="W355" s="2" t="s">
        <v>4982</v>
      </c>
      <c r="X355" s="2" t="s">
        <v>4925</v>
      </c>
      <c r="Y355" s="2" t="s">
        <v>2198</v>
      </c>
      <c r="Z355" s="2" t="s">
        <v>5619</v>
      </c>
      <c r="AA3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3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3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55" s="6" t="str">
        <f>IF(_xlfn.IFNA(INDEX(configuracoes!$A$2:$A$10,MATCH(base_tc_geral[[#This Row],[TIPO]],configuracoes!$A$2:$A$10,0)),"NÃO")="NÃO","NÃO","SIM")</f>
        <v>SIM</v>
      </c>
    </row>
    <row r="356" spans="1:31" x14ac:dyDescent="0.25">
      <c r="A356" s="2" t="s">
        <v>3489</v>
      </c>
      <c r="B356" s="2">
        <v>102100917</v>
      </c>
      <c r="C356" s="2" t="s">
        <v>15</v>
      </c>
      <c r="D356" s="2" t="s">
        <v>4481</v>
      </c>
      <c r="E356" s="2" t="s">
        <v>106</v>
      </c>
      <c r="F356" s="2" t="s">
        <v>116</v>
      </c>
      <c r="G356" s="2" t="s">
        <v>58</v>
      </c>
      <c r="H356" s="2" t="s">
        <v>115</v>
      </c>
      <c r="I356" s="2" t="s">
        <v>33</v>
      </c>
      <c r="J356" s="2" t="s">
        <v>109</v>
      </c>
      <c r="K356" s="2" t="s">
        <v>13</v>
      </c>
      <c r="L356" s="2" t="s">
        <v>61</v>
      </c>
      <c r="M356" s="2" t="s">
        <v>44</v>
      </c>
      <c r="N356" s="2" t="s">
        <v>15</v>
      </c>
      <c r="O356" s="2" t="s">
        <v>119</v>
      </c>
      <c r="P356" s="2" t="s">
        <v>3491</v>
      </c>
      <c r="Q356" s="2" t="s">
        <v>4926</v>
      </c>
      <c r="R356" s="2" t="s">
        <v>117</v>
      </c>
      <c r="S356" s="2" t="s">
        <v>736</v>
      </c>
      <c r="T356" s="2" t="s">
        <v>167</v>
      </c>
      <c r="U356" s="2" t="s">
        <v>12</v>
      </c>
      <c r="V356" s="2" t="s">
        <v>4818</v>
      </c>
      <c r="W356" s="2" t="s">
        <v>4999</v>
      </c>
      <c r="X356" s="2" t="s">
        <v>44</v>
      </c>
      <c r="Y356" s="2" t="s">
        <v>3490</v>
      </c>
      <c r="Z356" s="2" t="s">
        <v>5258</v>
      </c>
      <c r="AA3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3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6" s="6" t="str">
        <f>IF(_xlfn.IFNA(INDEX(configuracoes!$A$2:$A$10,MATCH(base_tc_geral[[#This Row],[TIPO]],configuracoes!$A$2:$A$10,0)),"NÃO")="NÃO","NÃO","SIM")</f>
        <v>NÃO</v>
      </c>
    </row>
    <row r="357" spans="1:31" x14ac:dyDescent="0.25">
      <c r="A357" s="2" t="s">
        <v>1758</v>
      </c>
      <c r="B357" s="2">
        <v>105302862</v>
      </c>
      <c r="C357" s="2" t="s">
        <v>15</v>
      </c>
      <c r="D357" s="2" t="s">
        <v>4486</v>
      </c>
      <c r="E357" s="2" t="s">
        <v>28</v>
      </c>
      <c r="F357" s="2" t="s">
        <v>440</v>
      </c>
      <c r="G357" s="2" t="s">
        <v>58</v>
      </c>
      <c r="H357" s="2" t="s">
        <v>34</v>
      </c>
      <c r="I357" s="2" t="s">
        <v>33</v>
      </c>
      <c r="J357" s="2" t="s">
        <v>34</v>
      </c>
      <c r="K357" s="2" t="s">
        <v>13</v>
      </c>
      <c r="L357" s="2" t="s">
        <v>61</v>
      </c>
      <c r="M357" s="2" t="s">
        <v>44</v>
      </c>
      <c r="N357" s="2" t="s">
        <v>15</v>
      </c>
      <c r="O357" s="2" t="s">
        <v>156</v>
      </c>
      <c r="P357" s="2" t="s">
        <v>1760</v>
      </c>
      <c r="Q357" s="2" t="s">
        <v>4926</v>
      </c>
      <c r="R357" s="2" t="s">
        <v>963</v>
      </c>
      <c r="S357" s="2" t="s">
        <v>260</v>
      </c>
      <c r="T357" s="2" t="s">
        <v>167</v>
      </c>
      <c r="U357" s="2" t="s">
        <v>12</v>
      </c>
      <c r="V357" s="2" t="s">
        <v>4804</v>
      </c>
      <c r="W357" s="2" t="s">
        <v>5006</v>
      </c>
      <c r="X357" s="2" t="s">
        <v>44</v>
      </c>
      <c r="Y357" s="2" t="s">
        <v>1759</v>
      </c>
      <c r="Z357" s="2" t="s">
        <v>5259</v>
      </c>
      <c r="AA3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PEREIRA </v>
      </c>
      <c r="AB3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3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7" s="6" t="str">
        <f>IF(_xlfn.IFNA(INDEX(configuracoes!$A$2:$A$10,MATCH(base_tc_geral[[#This Row],[TIPO]],configuracoes!$A$2:$A$10,0)),"NÃO")="NÃO","NÃO","SIM")</f>
        <v>NÃO</v>
      </c>
    </row>
    <row r="358" spans="1:31" x14ac:dyDescent="0.25">
      <c r="A358" s="2" t="s">
        <v>2463</v>
      </c>
      <c r="B358" s="2">
        <v>105303124</v>
      </c>
      <c r="C358" s="2" t="s">
        <v>15</v>
      </c>
      <c r="D358" s="2" t="s">
        <v>4493</v>
      </c>
      <c r="E358" s="2" t="s">
        <v>86</v>
      </c>
      <c r="F358" s="2" t="s">
        <v>497</v>
      </c>
      <c r="G358" s="2" t="s">
        <v>58</v>
      </c>
      <c r="H358" s="2" t="s">
        <v>164</v>
      </c>
      <c r="I358" s="2" t="s">
        <v>33</v>
      </c>
      <c r="J358" s="2" t="s">
        <v>124</v>
      </c>
      <c r="K358" s="2" t="s">
        <v>13</v>
      </c>
      <c r="L358" s="2" t="s">
        <v>61</v>
      </c>
      <c r="M358" s="2" t="s">
        <v>18</v>
      </c>
      <c r="N358" s="2" t="s">
        <v>15</v>
      </c>
      <c r="O358" s="2" t="s">
        <v>169</v>
      </c>
      <c r="P358" s="2" t="s">
        <v>2465</v>
      </c>
      <c r="Q358" s="2" t="s">
        <v>4926</v>
      </c>
      <c r="R358" s="2" t="s">
        <v>551</v>
      </c>
      <c r="S358" s="2" t="s">
        <v>4700</v>
      </c>
      <c r="T358" s="2" t="s">
        <v>4701</v>
      </c>
      <c r="U358" s="2" t="s">
        <v>12</v>
      </c>
      <c r="V358" s="2" t="s">
        <v>4799</v>
      </c>
      <c r="W358" s="2" t="s">
        <v>5024</v>
      </c>
      <c r="X358" s="2" t="s">
        <v>4998</v>
      </c>
      <c r="Y358" s="2" t="s">
        <v>2464</v>
      </c>
      <c r="Z358" s="2" t="s">
        <v>5260</v>
      </c>
      <c r="AA3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GENELSON AUGUSTO </v>
      </c>
      <c r="AB3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3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3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8" s="6" t="str">
        <f>IF(_xlfn.IFNA(INDEX(configuracoes!$A$2:$A$10,MATCH(base_tc_geral[[#This Row],[TIPO]],configuracoes!$A$2:$A$10,0)),"NÃO")="NÃO","NÃO","SIM")</f>
        <v>NÃO</v>
      </c>
    </row>
    <row r="359" spans="1:31" x14ac:dyDescent="0.25">
      <c r="A359" s="2" t="s">
        <v>327</v>
      </c>
      <c r="B359" s="2">
        <v>102101642</v>
      </c>
      <c r="C359" s="2" t="s">
        <v>15</v>
      </c>
      <c r="D359" s="2" t="s">
        <v>4577</v>
      </c>
      <c r="E359" s="2" t="s">
        <v>106</v>
      </c>
      <c r="F359" s="2" t="s">
        <v>329</v>
      </c>
      <c r="G359" s="2" t="s">
        <v>245</v>
      </c>
      <c r="H359" s="2" t="s">
        <v>107</v>
      </c>
      <c r="I359" s="2" t="s">
        <v>33</v>
      </c>
      <c r="J359" s="2" t="s">
        <v>109</v>
      </c>
      <c r="K359" s="2" t="s">
        <v>20</v>
      </c>
      <c r="L359" s="2" t="s">
        <v>21</v>
      </c>
      <c r="M359" s="2" t="s">
        <v>22</v>
      </c>
      <c r="N359" s="2" t="s">
        <v>15</v>
      </c>
      <c r="O359" s="2" t="s">
        <v>112</v>
      </c>
      <c r="P359" s="2" t="s">
        <v>331</v>
      </c>
      <c r="Q359" s="2" t="s">
        <v>4926</v>
      </c>
      <c r="R359" s="2" t="s">
        <v>187</v>
      </c>
      <c r="S359" s="2" t="s">
        <v>736</v>
      </c>
      <c r="T359" s="2" t="s">
        <v>167</v>
      </c>
      <c r="U359" s="2" t="s">
        <v>12</v>
      </c>
      <c r="V359" s="2" t="s">
        <v>4772</v>
      </c>
      <c r="W359" s="2" t="s">
        <v>4982</v>
      </c>
      <c r="X359" s="2" t="s">
        <v>4925</v>
      </c>
      <c r="Y359" s="2" t="s">
        <v>328</v>
      </c>
      <c r="Z359" s="2" t="s">
        <v>5261</v>
      </c>
      <c r="AA3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3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59" s="6" t="str">
        <f>IF(_xlfn.IFNA(INDEX(configuracoes!$A$2:$A$10,MATCH(base_tc_geral[[#This Row],[TIPO]],configuracoes!$A$2:$A$10,0)),"NÃO")="NÃO","NÃO","SIM")</f>
        <v>SIM</v>
      </c>
    </row>
    <row r="360" spans="1:31" x14ac:dyDescent="0.25">
      <c r="A360" s="2" t="s">
        <v>1237</v>
      </c>
      <c r="B360" s="2">
        <v>102101393</v>
      </c>
      <c r="C360" s="2" t="s">
        <v>24</v>
      </c>
      <c r="D360" s="2" t="s">
        <v>4768</v>
      </c>
      <c r="E360" s="2" t="s">
        <v>106</v>
      </c>
      <c r="F360" s="2" t="s">
        <v>863</v>
      </c>
      <c r="G360" s="2" t="s">
        <v>172</v>
      </c>
      <c r="H360" s="2" t="s">
        <v>427</v>
      </c>
      <c r="I360" s="2" t="s">
        <v>33</v>
      </c>
      <c r="J360" s="2" t="s">
        <v>109</v>
      </c>
      <c r="K360" s="2" t="s">
        <v>13</v>
      </c>
      <c r="L360" s="2" t="s">
        <v>17</v>
      </c>
      <c r="M360" s="2" t="s">
        <v>23</v>
      </c>
      <c r="N360" s="2" t="s">
        <v>24</v>
      </c>
      <c r="O360" s="2" t="s">
        <v>430</v>
      </c>
      <c r="P360" s="2" t="s">
        <v>1239</v>
      </c>
      <c r="Q360" s="2" t="s">
        <v>4926</v>
      </c>
      <c r="R360" s="2" t="s">
        <v>735</v>
      </c>
      <c r="S360" s="2" t="s">
        <v>736</v>
      </c>
      <c r="T360" s="2" t="s">
        <v>167</v>
      </c>
      <c r="U360" s="2" t="s">
        <v>39</v>
      </c>
      <c r="V360" s="2" t="s">
        <v>4886</v>
      </c>
      <c r="W360" s="2" t="s">
        <v>17</v>
      </c>
      <c r="X360" s="2" t="s">
        <v>4998</v>
      </c>
      <c r="Y360" s="2" t="s">
        <v>1238</v>
      </c>
      <c r="Z360" s="2" t="s">
        <v>5262</v>
      </c>
      <c r="AA3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3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60" s="6" t="str">
        <f>IF(_xlfn.IFNA(INDEX(configuracoes!$A$2:$A$10,MATCH(base_tc_geral[[#This Row],[TIPO]],configuracoes!$A$2:$A$10,0)),"NÃO")="NÃO","NÃO","SIM")</f>
        <v>NÃO</v>
      </c>
    </row>
    <row r="361" spans="1:31" x14ac:dyDescent="0.25">
      <c r="A361" s="2" t="s">
        <v>2221</v>
      </c>
      <c r="B361" s="2">
        <v>105303134</v>
      </c>
      <c r="C361" s="2" t="s">
        <v>15</v>
      </c>
      <c r="D361" s="2" t="s">
        <v>4524</v>
      </c>
      <c r="E361" s="2" t="s">
        <v>28</v>
      </c>
      <c r="F361" s="2" t="s">
        <v>290</v>
      </c>
      <c r="G361" s="2" t="s">
        <v>245</v>
      </c>
      <c r="H361" s="2" t="s">
        <v>34</v>
      </c>
      <c r="I361" s="2" t="s">
        <v>33</v>
      </c>
      <c r="J361" s="2" t="s">
        <v>34</v>
      </c>
      <c r="K361" s="2" t="s">
        <v>20</v>
      </c>
      <c r="L361" s="2" t="s">
        <v>21</v>
      </c>
      <c r="M361" s="2" t="s">
        <v>22</v>
      </c>
      <c r="N361" s="2" t="s">
        <v>15</v>
      </c>
      <c r="O361" s="2" t="s">
        <v>156</v>
      </c>
      <c r="P361" s="2" t="s">
        <v>2223</v>
      </c>
      <c r="Q361" s="2" t="s">
        <v>4926</v>
      </c>
      <c r="R361" s="2" t="s">
        <v>442</v>
      </c>
      <c r="S361" s="2" t="s">
        <v>167</v>
      </c>
      <c r="T361" s="2" t="s">
        <v>167</v>
      </c>
      <c r="U361" s="2" t="s">
        <v>12</v>
      </c>
      <c r="V361" s="2" t="s">
        <v>4763</v>
      </c>
      <c r="W361" s="2" t="s">
        <v>4982</v>
      </c>
      <c r="X361" s="2" t="s">
        <v>4925</v>
      </c>
      <c r="Y361" s="2" t="s">
        <v>2222</v>
      </c>
      <c r="Z361" s="2" t="s">
        <v>5263</v>
      </c>
      <c r="AA3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3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1" s="6" t="str">
        <f>IF(_xlfn.IFNA(INDEX(configuracoes!$A$2:$A$10,MATCH(base_tc_geral[[#This Row],[TIPO]],configuracoes!$A$2:$A$10,0)),"NÃO")="NÃO","NÃO","SIM")</f>
        <v>SIM</v>
      </c>
    </row>
    <row r="362" spans="1:31" x14ac:dyDescent="0.25">
      <c r="A362" s="2" t="s">
        <v>3661</v>
      </c>
      <c r="B362" s="2">
        <v>109500315</v>
      </c>
      <c r="C362" s="2" t="s">
        <v>15</v>
      </c>
      <c r="D362" s="2" t="s">
        <v>4489</v>
      </c>
      <c r="E362" s="2" t="s">
        <v>86</v>
      </c>
      <c r="F362" s="2" t="s">
        <v>123</v>
      </c>
      <c r="G362" s="2" t="s">
        <v>172</v>
      </c>
      <c r="H362" s="2" t="s">
        <v>122</v>
      </c>
      <c r="I362" s="2" t="s">
        <v>33</v>
      </c>
      <c r="J362" s="2" t="s">
        <v>124</v>
      </c>
      <c r="K362" s="2" t="s">
        <v>13</v>
      </c>
      <c r="L362" s="2" t="s">
        <v>17</v>
      </c>
      <c r="M362" s="2" t="s">
        <v>23</v>
      </c>
      <c r="N362" s="2" t="s">
        <v>15</v>
      </c>
      <c r="O362" s="2" t="s">
        <v>129</v>
      </c>
      <c r="P362" s="2" t="s">
        <v>3663</v>
      </c>
      <c r="Q362" s="2" t="s">
        <v>4926</v>
      </c>
      <c r="R362" s="2" t="s">
        <v>173</v>
      </c>
      <c r="S362" s="2" t="s">
        <v>93</v>
      </c>
      <c r="T362" s="2" t="s">
        <v>4696</v>
      </c>
      <c r="U362" s="2" t="s">
        <v>12</v>
      </c>
      <c r="V362" s="2" t="s">
        <v>4887</v>
      </c>
      <c r="W362" s="2" t="s">
        <v>17</v>
      </c>
      <c r="X362" s="2" t="s">
        <v>4998</v>
      </c>
      <c r="Y362" s="2" t="s">
        <v>3662</v>
      </c>
      <c r="Z362" s="2" t="s">
        <v>5620</v>
      </c>
      <c r="AA3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3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2" s="6" t="str">
        <f>IF(_xlfn.IFNA(INDEX(configuracoes!$A$2:$A$10,MATCH(base_tc_geral[[#This Row],[TIPO]],configuracoes!$A$2:$A$10,0)),"NÃO")="NÃO","NÃO","SIM")</f>
        <v>NÃO</v>
      </c>
    </row>
    <row r="363" spans="1:31" x14ac:dyDescent="0.25">
      <c r="A363" s="2" t="s">
        <v>254</v>
      </c>
      <c r="B363" s="2">
        <v>105303207</v>
      </c>
      <c r="C363" s="2" t="s">
        <v>15</v>
      </c>
      <c r="D363" s="2" t="s">
        <v>4486</v>
      </c>
      <c r="E363" s="2" t="s">
        <v>28</v>
      </c>
      <c r="F363" s="2" t="s">
        <v>154</v>
      </c>
      <c r="G363" s="2" t="s">
        <v>41</v>
      </c>
      <c r="H363" s="2" t="s">
        <v>34</v>
      </c>
      <c r="I363" s="2" t="s">
        <v>33</v>
      </c>
      <c r="J363" s="2" t="s">
        <v>34</v>
      </c>
      <c r="K363" s="2" t="s">
        <v>13</v>
      </c>
      <c r="L363" s="2" t="s">
        <v>42</v>
      </c>
      <c r="M363" s="2" t="s">
        <v>75</v>
      </c>
      <c r="N363" s="2" t="s">
        <v>15</v>
      </c>
      <c r="O363" s="2" t="s">
        <v>156</v>
      </c>
      <c r="P363" s="2" t="s">
        <v>256</v>
      </c>
      <c r="Q363" s="2" t="s">
        <v>4926</v>
      </c>
      <c r="R363" s="2" t="s">
        <v>2243</v>
      </c>
      <c r="S363" s="2" t="s">
        <v>167</v>
      </c>
      <c r="T363" s="2" t="s">
        <v>167</v>
      </c>
      <c r="U363" s="2" t="s">
        <v>12</v>
      </c>
      <c r="V363" s="2" t="s">
        <v>4852</v>
      </c>
      <c r="W363" s="2" t="s">
        <v>42</v>
      </c>
      <c r="X363" s="2" t="s">
        <v>75</v>
      </c>
      <c r="Y363" s="2" t="s">
        <v>255</v>
      </c>
      <c r="Z363" s="2" t="s">
        <v>5621</v>
      </c>
      <c r="AA3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3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3" s="6" t="str">
        <f>IF(_xlfn.IFNA(INDEX(configuracoes!$A$2:$A$10,MATCH(base_tc_geral[[#This Row],[TIPO]],configuracoes!$A$2:$A$10,0)),"NÃO")="NÃO","NÃO","SIM")</f>
        <v>SIM</v>
      </c>
    </row>
    <row r="364" spans="1:31" x14ac:dyDescent="0.25">
      <c r="A364" s="2" t="s">
        <v>2303</v>
      </c>
      <c r="B364" s="2">
        <v>109000340</v>
      </c>
      <c r="C364" s="2" t="s">
        <v>15</v>
      </c>
      <c r="D364" s="2" t="s">
        <v>4596</v>
      </c>
      <c r="E364" s="2" t="s">
        <v>86</v>
      </c>
      <c r="F364" s="2" t="s">
        <v>1320</v>
      </c>
      <c r="G364" s="2" t="s">
        <v>630</v>
      </c>
      <c r="H364" s="2" t="s">
        <v>1321</v>
      </c>
      <c r="I364" s="2" t="s">
        <v>33</v>
      </c>
      <c r="J364" s="2" t="s">
        <v>91</v>
      </c>
      <c r="K364" s="2" t="s">
        <v>20</v>
      </c>
      <c r="L364" s="2" t="s">
        <v>21</v>
      </c>
      <c r="M364" s="2" t="s">
        <v>22</v>
      </c>
      <c r="N364" s="2" t="s">
        <v>15</v>
      </c>
      <c r="O364" s="2" t="s">
        <v>1322</v>
      </c>
      <c r="P364" s="2" t="s">
        <v>2305</v>
      </c>
      <c r="Q364" s="2" t="s">
        <v>4926</v>
      </c>
      <c r="R364" s="2" t="s">
        <v>90</v>
      </c>
      <c r="S364" s="2" t="s">
        <v>93</v>
      </c>
      <c r="T364" s="2" t="s">
        <v>4696</v>
      </c>
      <c r="U364" s="2" t="s">
        <v>12</v>
      </c>
      <c r="V364" s="2" t="s">
        <v>4898</v>
      </c>
      <c r="W364" s="2" t="s">
        <v>4982</v>
      </c>
      <c r="X364" s="2" t="s">
        <v>4925</v>
      </c>
      <c r="Y364" s="2" t="s">
        <v>2304</v>
      </c>
      <c r="Z364" s="2" t="s">
        <v>5622</v>
      </c>
      <c r="AA3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3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4" s="6" t="str">
        <f>IF(_xlfn.IFNA(INDEX(configuracoes!$A$2:$A$10,MATCH(base_tc_geral[[#This Row],[TIPO]],configuracoes!$A$2:$A$10,0)),"NÃO")="NÃO","NÃO","SIM")</f>
        <v>SIM</v>
      </c>
    </row>
    <row r="365" spans="1:31" x14ac:dyDescent="0.25">
      <c r="A365" s="2" t="s">
        <v>2728</v>
      </c>
      <c r="B365" s="2">
        <v>101010062</v>
      </c>
      <c r="C365" s="2" t="s">
        <v>15</v>
      </c>
      <c r="D365" s="2" t="s">
        <v>4502</v>
      </c>
      <c r="E365" s="2" t="s">
        <v>47</v>
      </c>
      <c r="F365" s="2" t="s">
        <v>181</v>
      </c>
      <c r="G365" s="2" t="s">
        <v>172</v>
      </c>
      <c r="H365" s="2" t="s">
        <v>66</v>
      </c>
      <c r="I365" s="2" t="s">
        <v>16</v>
      </c>
      <c r="J365" s="2" t="s">
        <v>66</v>
      </c>
      <c r="K365" s="2" t="s">
        <v>13</v>
      </c>
      <c r="L365" s="2" t="s">
        <v>17</v>
      </c>
      <c r="M365" s="2" t="s">
        <v>18</v>
      </c>
      <c r="N365" s="2" t="s">
        <v>15</v>
      </c>
      <c r="O365" s="2" t="s">
        <v>71</v>
      </c>
      <c r="P365" s="2" t="s">
        <v>2730</v>
      </c>
      <c r="Q365" s="2" t="s">
        <v>4926</v>
      </c>
      <c r="R365" s="2" t="s">
        <v>1699</v>
      </c>
      <c r="S365" s="2" t="s">
        <v>4698</v>
      </c>
      <c r="T365" s="2" t="s">
        <v>4697</v>
      </c>
      <c r="U365" s="2" t="s">
        <v>39</v>
      </c>
      <c r="V365" s="2" t="s">
        <v>4792</v>
      </c>
      <c r="W365" s="2" t="s">
        <v>17</v>
      </c>
      <c r="X365" s="2" t="s">
        <v>4998</v>
      </c>
      <c r="Y365" s="2" t="s">
        <v>2729</v>
      </c>
      <c r="Z365" s="2" t="s">
        <v>5623</v>
      </c>
      <c r="AA3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3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3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5" s="6" t="str">
        <f>IF(_xlfn.IFNA(INDEX(configuracoes!$A$2:$A$10,MATCH(base_tc_geral[[#This Row],[TIPO]],configuracoes!$A$2:$A$10,0)),"NÃO")="NÃO","NÃO","SIM")</f>
        <v>NÃO</v>
      </c>
    </row>
    <row r="366" spans="1:31" x14ac:dyDescent="0.25">
      <c r="A366" s="2" t="s">
        <v>1149</v>
      </c>
      <c r="B366" s="2">
        <v>101006255</v>
      </c>
      <c r="C366" s="2" t="s">
        <v>15</v>
      </c>
      <c r="D366" s="2" t="s">
        <v>4532</v>
      </c>
      <c r="E366" s="2" t="s">
        <v>47</v>
      </c>
      <c r="F366" s="2" t="s">
        <v>1112</v>
      </c>
      <c r="G366" s="2" t="s">
        <v>89</v>
      </c>
      <c r="H366" s="2" t="s">
        <v>224</v>
      </c>
      <c r="I366" s="2" t="s">
        <v>16</v>
      </c>
      <c r="J366" s="2" t="s">
        <v>227</v>
      </c>
      <c r="K366" s="2" t="s">
        <v>13</v>
      </c>
      <c r="L366" s="2" t="s">
        <v>37</v>
      </c>
      <c r="M366" s="2" t="s">
        <v>44</v>
      </c>
      <c r="N366" s="2" t="s">
        <v>15</v>
      </c>
      <c r="O366" s="2" t="s">
        <v>229</v>
      </c>
      <c r="P366" s="2" t="s">
        <v>1151</v>
      </c>
      <c r="Q366" s="2" t="s">
        <v>4926</v>
      </c>
      <c r="R366" s="2" t="s">
        <v>369</v>
      </c>
      <c r="S366" s="2" t="s">
        <v>4698</v>
      </c>
      <c r="T366" s="2" t="s">
        <v>4697</v>
      </c>
      <c r="U366" s="2" t="s">
        <v>12</v>
      </c>
      <c r="V366" s="2" t="s">
        <v>4817</v>
      </c>
      <c r="W366" s="2" t="s">
        <v>4999</v>
      </c>
      <c r="X366" s="2" t="s">
        <v>44</v>
      </c>
      <c r="Y366" s="2" t="s">
        <v>1150</v>
      </c>
      <c r="Z366" s="2" t="s">
        <v>5624</v>
      </c>
      <c r="AA3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3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3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6" s="6" t="str">
        <f>IF(_xlfn.IFNA(INDEX(configuracoes!$A$2:$A$10,MATCH(base_tc_geral[[#This Row],[TIPO]],configuracoes!$A$2:$A$10,0)),"NÃO")="NÃO","NÃO","SIM")</f>
        <v>NÃO</v>
      </c>
    </row>
    <row r="367" spans="1:31" x14ac:dyDescent="0.25">
      <c r="A367" s="2" t="s">
        <v>170</v>
      </c>
      <c r="B367" s="2">
        <v>109500315</v>
      </c>
      <c r="C367" s="2" t="s">
        <v>15</v>
      </c>
      <c r="D367" s="2" t="s">
        <v>4516</v>
      </c>
      <c r="E367" s="2" t="s">
        <v>86</v>
      </c>
      <c r="F367" s="2" t="s">
        <v>165</v>
      </c>
      <c r="G367" s="2" t="s">
        <v>172</v>
      </c>
      <c r="H367" s="2" t="s">
        <v>164</v>
      </c>
      <c r="I367" s="2" t="s">
        <v>33</v>
      </c>
      <c r="J367" s="2" t="s">
        <v>124</v>
      </c>
      <c r="K367" s="2" t="s">
        <v>13</v>
      </c>
      <c r="L367" s="2" t="s">
        <v>17</v>
      </c>
      <c r="M367" s="2" t="s">
        <v>23</v>
      </c>
      <c r="N367" s="2" t="s">
        <v>15</v>
      </c>
      <c r="O367" s="2" t="s">
        <v>169</v>
      </c>
      <c r="P367" s="2" t="s">
        <v>174</v>
      </c>
      <c r="Q367" s="2" t="s">
        <v>4926</v>
      </c>
      <c r="R367" s="2" t="s">
        <v>173</v>
      </c>
      <c r="S367" s="2" t="s">
        <v>93</v>
      </c>
      <c r="T367" s="2" t="s">
        <v>4696</v>
      </c>
      <c r="U367" s="2" t="s">
        <v>12</v>
      </c>
      <c r="V367" s="2" t="s">
        <v>4887</v>
      </c>
      <c r="W367" s="2" t="s">
        <v>17</v>
      </c>
      <c r="X367" s="2" t="s">
        <v>4998</v>
      </c>
      <c r="Y367" s="2" t="s">
        <v>171</v>
      </c>
      <c r="Z367" s="2" t="s">
        <v>5625</v>
      </c>
      <c r="AA3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3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7" s="6" t="str">
        <f>IF(_xlfn.IFNA(INDEX(configuracoes!$A$2:$A$10,MATCH(base_tc_geral[[#This Row],[TIPO]],configuracoes!$A$2:$A$10,0)),"NÃO")="NÃO","NÃO","SIM")</f>
        <v>NÃO</v>
      </c>
    </row>
    <row r="368" spans="1:31" x14ac:dyDescent="0.25">
      <c r="A368" s="2" t="s">
        <v>729</v>
      </c>
      <c r="B368" s="2">
        <v>109505149</v>
      </c>
      <c r="C368" s="2" t="s">
        <v>15</v>
      </c>
      <c r="D368" s="2" t="s">
        <v>4493</v>
      </c>
      <c r="E368" s="2" t="s">
        <v>86</v>
      </c>
      <c r="F368" s="2" t="s">
        <v>540</v>
      </c>
      <c r="G368" s="2" t="s">
        <v>99</v>
      </c>
      <c r="H368" s="2" t="s">
        <v>283</v>
      </c>
      <c r="I368" s="2" t="s">
        <v>33</v>
      </c>
      <c r="J368" s="2" t="s">
        <v>124</v>
      </c>
      <c r="K368" s="2" t="s">
        <v>13</v>
      </c>
      <c r="L368" s="2" t="s">
        <v>25</v>
      </c>
      <c r="M368" s="2" t="s">
        <v>22</v>
      </c>
      <c r="N368" s="2" t="s">
        <v>15</v>
      </c>
      <c r="O368" s="2" t="s">
        <v>287</v>
      </c>
      <c r="P368" s="2" t="s">
        <v>731</v>
      </c>
      <c r="Q368" s="2" t="s">
        <v>4926</v>
      </c>
      <c r="R368" s="2" t="s">
        <v>125</v>
      </c>
      <c r="S368" s="2" t="s">
        <v>125</v>
      </c>
      <c r="T368" s="2" t="s">
        <v>4696</v>
      </c>
      <c r="U368" s="2" t="s">
        <v>12</v>
      </c>
      <c r="V368" s="2" t="s">
        <v>4765</v>
      </c>
      <c r="W368" s="2" t="s">
        <v>4931</v>
      </c>
      <c r="X368" s="2" t="s">
        <v>4925</v>
      </c>
      <c r="Y368" s="2" t="s">
        <v>730</v>
      </c>
      <c r="Z368" s="2" t="s">
        <v>5626</v>
      </c>
      <c r="AA3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VINICIUS </v>
      </c>
      <c r="AB3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3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8" s="6" t="str">
        <f>IF(_xlfn.IFNA(INDEX(configuracoes!$A$2:$A$10,MATCH(base_tc_geral[[#This Row],[TIPO]],configuracoes!$A$2:$A$10,0)),"NÃO")="NÃO","NÃO","SIM")</f>
        <v>SIM</v>
      </c>
    </row>
    <row r="369" spans="1:31" x14ac:dyDescent="0.25">
      <c r="A369" s="2" t="s">
        <v>955</v>
      </c>
      <c r="B369" s="2">
        <v>109000017</v>
      </c>
      <c r="C369" s="2" t="s">
        <v>15</v>
      </c>
      <c r="D369" s="2" t="s">
        <v>4580</v>
      </c>
      <c r="E369" s="2" t="s">
        <v>86</v>
      </c>
      <c r="F369" s="2" t="s">
        <v>274</v>
      </c>
      <c r="G369" s="2" t="s">
        <v>41</v>
      </c>
      <c r="H369" s="2" t="s">
        <v>210</v>
      </c>
      <c r="I369" s="2" t="s">
        <v>33</v>
      </c>
      <c r="J369" s="2" t="s">
        <v>124</v>
      </c>
      <c r="K369" s="2" t="s">
        <v>13</v>
      </c>
      <c r="L369" s="2" t="s">
        <v>42</v>
      </c>
      <c r="M369" s="2" t="s">
        <v>75</v>
      </c>
      <c r="N369" s="2" t="s">
        <v>15</v>
      </c>
      <c r="O369" s="2" t="s">
        <v>214</v>
      </c>
      <c r="P369" s="2" t="s">
        <v>957</v>
      </c>
      <c r="Q369" s="2" t="s">
        <v>4926</v>
      </c>
      <c r="R369" s="2" t="s">
        <v>212</v>
      </c>
      <c r="S369" s="2" t="s">
        <v>93</v>
      </c>
      <c r="T369" s="2" t="s">
        <v>4696</v>
      </c>
      <c r="U369" s="2" t="s">
        <v>12</v>
      </c>
      <c r="V369" s="2" t="s">
        <v>4846</v>
      </c>
      <c r="W369" s="2" t="s">
        <v>42</v>
      </c>
      <c r="X369" s="2" t="s">
        <v>75</v>
      </c>
      <c r="Y369" s="2" t="s">
        <v>956</v>
      </c>
      <c r="Z369" s="2" t="s">
        <v>5264</v>
      </c>
      <c r="AA3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3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69" s="6" t="str">
        <f>IF(_xlfn.IFNA(INDEX(configuracoes!$A$2:$A$10,MATCH(base_tc_geral[[#This Row],[TIPO]],configuracoes!$A$2:$A$10,0)),"NÃO")="NÃO","NÃO","SIM")</f>
        <v>SIM</v>
      </c>
    </row>
    <row r="370" spans="1:31" x14ac:dyDescent="0.25">
      <c r="A370" s="2" t="s">
        <v>3839</v>
      </c>
      <c r="B370" s="2">
        <v>109500315</v>
      </c>
      <c r="C370" s="2" t="s">
        <v>15</v>
      </c>
      <c r="D370" s="2" t="s">
        <v>4483</v>
      </c>
      <c r="E370" s="2" t="s">
        <v>86</v>
      </c>
      <c r="F370" s="2" t="s">
        <v>459</v>
      </c>
      <c r="G370" s="2" t="s">
        <v>172</v>
      </c>
      <c r="H370" s="2" t="s">
        <v>458</v>
      </c>
      <c r="I370" s="2" t="s">
        <v>33</v>
      </c>
      <c r="J370" s="2" t="s">
        <v>91</v>
      </c>
      <c r="K370" s="2" t="s">
        <v>13</v>
      </c>
      <c r="L370" s="2" t="s">
        <v>17</v>
      </c>
      <c r="M370" s="2" t="s">
        <v>23</v>
      </c>
      <c r="N370" s="2" t="s">
        <v>15</v>
      </c>
      <c r="O370" s="2" t="s">
        <v>461</v>
      </c>
      <c r="P370" s="2" t="s">
        <v>3841</v>
      </c>
      <c r="Q370" s="2" t="s">
        <v>4926</v>
      </c>
      <c r="R370" s="2" t="s">
        <v>173</v>
      </c>
      <c r="S370" s="2" t="s">
        <v>93</v>
      </c>
      <c r="T370" s="2" t="s">
        <v>4696</v>
      </c>
      <c r="U370" s="2" t="s">
        <v>12</v>
      </c>
      <c r="V370" s="2" t="s">
        <v>4887</v>
      </c>
      <c r="W370" s="2" t="s">
        <v>17</v>
      </c>
      <c r="X370" s="2" t="s">
        <v>4998</v>
      </c>
      <c r="Y370" s="2" t="s">
        <v>3840</v>
      </c>
      <c r="Z370" s="2" t="s">
        <v>5265</v>
      </c>
      <c r="AA3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3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0" s="6" t="str">
        <f>IF(_xlfn.IFNA(INDEX(configuracoes!$A$2:$A$10,MATCH(base_tc_geral[[#This Row],[TIPO]],configuracoes!$A$2:$A$10,0)),"NÃO")="NÃO","NÃO","SIM")</f>
        <v>NÃO</v>
      </c>
    </row>
    <row r="371" spans="1:31" x14ac:dyDescent="0.25">
      <c r="A371" s="2" t="s">
        <v>4001</v>
      </c>
      <c r="B371" s="2">
        <v>109000340</v>
      </c>
      <c r="C371" s="2" t="s">
        <v>15</v>
      </c>
      <c r="D371" s="2" t="s">
        <v>4495</v>
      </c>
      <c r="E371" s="2" t="s">
        <v>86</v>
      </c>
      <c r="F371" s="2" t="s">
        <v>88</v>
      </c>
      <c r="G371" s="2" t="s">
        <v>245</v>
      </c>
      <c r="H371" s="2" t="s">
        <v>87</v>
      </c>
      <c r="I371" s="2" t="s">
        <v>33</v>
      </c>
      <c r="J371" s="2" t="s">
        <v>91</v>
      </c>
      <c r="K371" s="2" t="s">
        <v>20</v>
      </c>
      <c r="L371" s="2" t="s">
        <v>21</v>
      </c>
      <c r="M371" s="2" t="s">
        <v>22</v>
      </c>
      <c r="N371" s="2" t="s">
        <v>15</v>
      </c>
      <c r="O371" s="2" t="s">
        <v>95</v>
      </c>
      <c r="P371" s="2" t="s">
        <v>4003</v>
      </c>
      <c r="Q371" s="2" t="s">
        <v>4926</v>
      </c>
      <c r="R371" s="2" t="s">
        <v>90</v>
      </c>
      <c r="S371" s="2" t="s">
        <v>93</v>
      </c>
      <c r="T371" s="2" t="s">
        <v>4696</v>
      </c>
      <c r="U371" s="2" t="s">
        <v>12</v>
      </c>
      <c r="V371" s="2" t="s">
        <v>4796</v>
      </c>
      <c r="W371" s="2" t="s">
        <v>4982</v>
      </c>
      <c r="X371" s="2" t="s">
        <v>4925</v>
      </c>
      <c r="Y371" s="2" t="s">
        <v>4002</v>
      </c>
      <c r="Z371" s="2" t="s">
        <v>5266</v>
      </c>
      <c r="AA3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3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1" s="6" t="str">
        <f>IF(_xlfn.IFNA(INDEX(configuracoes!$A$2:$A$10,MATCH(base_tc_geral[[#This Row],[TIPO]],configuracoes!$A$2:$A$10,0)),"NÃO")="NÃO","NÃO","SIM")</f>
        <v>SIM</v>
      </c>
    </row>
    <row r="372" spans="1:31" x14ac:dyDescent="0.25">
      <c r="A372" s="2" t="s">
        <v>2781</v>
      </c>
      <c r="B372" s="2">
        <v>109506174</v>
      </c>
      <c r="C372" s="2" t="s">
        <v>15</v>
      </c>
      <c r="D372" s="2" t="s">
        <v>4496</v>
      </c>
      <c r="E372" s="2" t="s">
        <v>86</v>
      </c>
      <c r="F372" s="2" t="s">
        <v>840</v>
      </c>
      <c r="G372" s="2" t="s">
        <v>172</v>
      </c>
      <c r="H372" s="2" t="s">
        <v>198</v>
      </c>
      <c r="I372" s="2" t="s">
        <v>33</v>
      </c>
      <c r="J372" s="2" t="s">
        <v>91</v>
      </c>
      <c r="K372" s="2" t="s">
        <v>20</v>
      </c>
      <c r="L372" s="2" t="s">
        <v>17</v>
      </c>
      <c r="M372" s="2" t="s">
        <v>22</v>
      </c>
      <c r="N372" s="2" t="s">
        <v>15</v>
      </c>
      <c r="O372" s="2" t="s">
        <v>201</v>
      </c>
      <c r="P372" s="2" t="s">
        <v>2784</v>
      </c>
      <c r="Q372" s="2" t="s">
        <v>4926</v>
      </c>
      <c r="R372" s="2" t="s">
        <v>2782</v>
      </c>
      <c r="S372" s="2" t="s">
        <v>93</v>
      </c>
      <c r="T372" s="2" t="s">
        <v>4696</v>
      </c>
      <c r="U372" s="2" t="s">
        <v>12</v>
      </c>
      <c r="V372" s="2" t="s">
        <v>4796</v>
      </c>
      <c r="W372" s="2" t="s">
        <v>4982</v>
      </c>
      <c r="X372" s="2" t="s">
        <v>4925</v>
      </c>
      <c r="Y372" s="2" t="s">
        <v>2783</v>
      </c>
      <c r="Z372" s="2" t="s">
        <v>5267</v>
      </c>
      <c r="AA3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3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2" s="6" t="str">
        <f>IF(_xlfn.IFNA(INDEX(configuracoes!$A$2:$A$10,MATCH(base_tc_geral[[#This Row],[TIPO]],configuracoes!$A$2:$A$10,0)),"NÃO")="NÃO","NÃO","SIM")</f>
        <v>NÃO</v>
      </c>
    </row>
    <row r="373" spans="1:31" x14ac:dyDescent="0.25">
      <c r="A373" s="2" t="s">
        <v>3802</v>
      </c>
      <c r="B373" s="2">
        <v>102101634</v>
      </c>
      <c r="C373" s="2" t="s">
        <v>15</v>
      </c>
      <c r="D373" s="2" t="s">
        <v>4516</v>
      </c>
      <c r="E373" s="2" t="s">
        <v>106</v>
      </c>
      <c r="F373" s="2" t="s">
        <v>108</v>
      </c>
      <c r="G373" s="2" t="s">
        <v>245</v>
      </c>
      <c r="H373" s="2" t="s">
        <v>107</v>
      </c>
      <c r="I373" s="2" t="s">
        <v>33</v>
      </c>
      <c r="J373" s="2" t="s">
        <v>109</v>
      </c>
      <c r="K373" s="2" t="s">
        <v>20</v>
      </c>
      <c r="L373" s="2" t="s">
        <v>21</v>
      </c>
      <c r="M373" s="2" t="s">
        <v>22</v>
      </c>
      <c r="N373" s="2" t="s">
        <v>15</v>
      </c>
      <c r="O373" s="2" t="s">
        <v>112</v>
      </c>
      <c r="P373" s="2" t="s">
        <v>3804</v>
      </c>
      <c r="Q373" s="2" t="s">
        <v>4926</v>
      </c>
      <c r="R373" s="2" t="s">
        <v>406</v>
      </c>
      <c r="S373" s="2" t="s">
        <v>736</v>
      </c>
      <c r="T373" s="2" t="s">
        <v>167</v>
      </c>
      <c r="U373" s="2" t="s">
        <v>12</v>
      </c>
      <c r="V373" s="2" t="s">
        <v>4853</v>
      </c>
      <c r="W373" s="2" t="s">
        <v>4982</v>
      </c>
      <c r="X373" s="2" t="s">
        <v>4925</v>
      </c>
      <c r="Y373" s="2" t="s">
        <v>3803</v>
      </c>
      <c r="Z373" s="2" t="s">
        <v>5268</v>
      </c>
      <c r="AA3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3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3" s="6" t="str">
        <f>IF(_xlfn.IFNA(INDEX(configuracoes!$A$2:$A$10,MATCH(base_tc_geral[[#This Row],[TIPO]],configuracoes!$A$2:$A$10,0)),"NÃO")="NÃO","NÃO","SIM")</f>
        <v>SIM</v>
      </c>
    </row>
    <row r="374" spans="1:31" x14ac:dyDescent="0.25">
      <c r="A374" s="2" t="s">
        <v>2640</v>
      </c>
      <c r="B374" s="2">
        <v>105000985</v>
      </c>
      <c r="C374" s="2" t="s">
        <v>15</v>
      </c>
      <c r="D374" s="2" t="s">
        <v>4613</v>
      </c>
      <c r="E374" s="2" t="s">
        <v>28</v>
      </c>
      <c r="F374" s="2" t="s">
        <v>30</v>
      </c>
      <c r="G374" s="2" t="s">
        <v>58</v>
      </c>
      <c r="H374" s="2" t="s">
        <v>29</v>
      </c>
      <c r="I374" s="2" t="s">
        <v>33</v>
      </c>
      <c r="J374" s="2" t="s">
        <v>34</v>
      </c>
      <c r="K374" s="2" t="s">
        <v>13</v>
      </c>
      <c r="L374" s="2" t="s">
        <v>61</v>
      </c>
      <c r="M374" s="2" t="s">
        <v>44</v>
      </c>
      <c r="N374" s="2" t="s">
        <v>15</v>
      </c>
      <c r="O374" s="2" t="s">
        <v>36</v>
      </c>
      <c r="P374" s="2" t="s">
        <v>2642</v>
      </c>
      <c r="Q374" s="2" t="s">
        <v>4926</v>
      </c>
      <c r="R374" s="2" t="s">
        <v>32</v>
      </c>
      <c r="S374" s="2" t="s">
        <v>167</v>
      </c>
      <c r="T374" s="2" t="s">
        <v>167</v>
      </c>
      <c r="U374" s="2" t="s">
        <v>39</v>
      </c>
      <c r="V374" s="2" t="s">
        <v>4851</v>
      </c>
      <c r="W374" s="2" t="s">
        <v>5013</v>
      </c>
      <c r="X374" s="2" t="s">
        <v>44</v>
      </c>
      <c r="Y374" s="2" t="s">
        <v>2641</v>
      </c>
      <c r="Z374" s="2" t="s">
        <v>5269</v>
      </c>
      <c r="AA3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3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4" s="6" t="str">
        <f>IF(_xlfn.IFNA(INDEX(configuracoes!$A$2:$A$10,MATCH(base_tc_geral[[#This Row],[TIPO]],configuracoes!$A$2:$A$10,0)),"NÃO")="NÃO","NÃO","SIM")</f>
        <v>NÃO</v>
      </c>
    </row>
    <row r="375" spans="1:31" x14ac:dyDescent="0.25">
      <c r="A375" s="2" t="s">
        <v>4871</v>
      </c>
      <c r="B375" s="2">
        <v>101006255</v>
      </c>
      <c r="C375" s="2" t="s">
        <v>15</v>
      </c>
      <c r="D375" s="2" t="s">
        <v>4509</v>
      </c>
      <c r="E375" s="2" t="s">
        <v>47</v>
      </c>
      <c r="F375" s="2" t="s">
        <v>1112</v>
      </c>
      <c r="G375" s="2" t="s">
        <v>136</v>
      </c>
      <c r="H375" s="2" t="s">
        <v>224</v>
      </c>
      <c r="I375" s="2" t="s">
        <v>16</v>
      </c>
      <c r="J375" s="2" t="s">
        <v>227</v>
      </c>
      <c r="K375" s="2" t="s">
        <v>13</v>
      </c>
      <c r="L375" s="2" t="s">
        <v>72</v>
      </c>
      <c r="M375" s="2" t="s">
        <v>73</v>
      </c>
      <c r="N375" s="2" t="s">
        <v>15</v>
      </c>
      <c r="O375" s="2" t="s">
        <v>229</v>
      </c>
      <c r="P375" s="2" t="s">
        <v>4873</v>
      </c>
      <c r="Q375" s="2" t="s">
        <v>4926</v>
      </c>
      <c r="R375" s="2" t="s">
        <v>369</v>
      </c>
      <c r="S375" s="2" t="s">
        <v>4698</v>
      </c>
      <c r="T375" s="2" t="s">
        <v>4697</v>
      </c>
      <c r="U375" s="2" t="s">
        <v>39</v>
      </c>
      <c r="V375" s="2" t="s">
        <v>4817</v>
      </c>
      <c r="W375" s="2" t="s">
        <v>72</v>
      </c>
      <c r="X375" s="2" t="s">
        <v>5011</v>
      </c>
      <c r="Y375" s="2" t="s">
        <v>4872</v>
      </c>
      <c r="Z375" s="2" t="s">
        <v>5270</v>
      </c>
      <c r="AA3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3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3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5" s="6" t="str">
        <f>IF(_xlfn.IFNA(INDEX(configuracoes!$A$2:$A$10,MATCH(base_tc_geral[[#This Row],[TIPO]],configuracoes!$A$2:$A$10,0)),"NÃO")="NÃO","NÃO","SIM")</f>
        <v>NÃO</v>
      </c>
    </row>
    <row r="376" spans="1:31" x14ac:dyDescent="0.25">
      <c r="A376" s="2" t="s">
        <v>732</v>
      </c>
      <c r="B376" s="2">
        <v>109505149</v>
      </c>
      <c r="C376" s="2" t="s">
        <v>15</v>
      </c>
      <c r="D376" s="2" t="s">
        <v>4544</v>
      </c>
      <c r="E376" s="2" t="s">
        <v>86</v>
      </c>
      <c r="F376" s="2" t="s">
        <v>540</v>
      </c>
      <c r="G376" s="2" t="s">
        <v>99</v>
      </c>
      <c r="H376" s="2" t="s">
        <v>283</v>
      </c>
      <c r="I376" s="2" t="s">
        <v>33</v>
      </c>
      <c r="J376" s="2" t="s">
        <v>124</v>
      </c>
      <c r="K376" s="2" t="s">
        <v>13</v>
      </c>
      <c r="L376" s="2" t="s">
        <v>25</v>
      </c>
      <c r="M376" s="2" t="s">
        <v>22</v>
      </c>
      <c r="N376" s="2" t="s">
        <v>15</v>
      </c>
      <c r="O376" s="2" t="s">
        <v>287</v>
      </c>
      <c r="P376" s="2" t="s">
        <v>734</v>
      </c>
      <c r="Q376" s="2" t="s">
        <v>4926</v>
      </c>
      <c r="R376" s="2" t="s">
        <v>125</v>
      </c>
      <c r="S376" s="2" t="s">
        <v>125</v>
      </c>
      <c r="T376" s="2" t="s">
        <v>4696</v>
      </c>
      <c r="U376" s="2" t="s">
        <v>12</v>
      </c>
      <c r="V376" s="2" t="s">
        <v>4765</v>
      </c>
      <c r="W376" s="2" t="s">
        <v>42</v>
      </c>
      <c r="X376" s="2" t="s">
        <v>4925</v>
      </c>
      <c r="Y376" s="2" t="s">
        <v>733</v>
      </c>
      <c r="Z376" s="2" t="s">
        <v>5271</v>
      </c>
      <c r="AA3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VINICIUS </v>
      </c>
      <c r="AB3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3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6" s="6" t="str">
        <f>IF(_xlfn.IFNA(INDEX(configuracoes!$A$2:$A$10,MATCH(base_tc_geral[[#This Row],[TIPO]],configuracoes!$A$2:$A$10,0)),"NÃO")="NÃO","NÃO","SIM")</f>
        <v>SIM</v>
      </c>
    </row>
    <row r="377" spans="1:31" x14ac:dyDescent="0.25">
      <c r="A377" s="2" t="s">
        <v>3691</v>
      </c>
      <c r="B377" s="2">
        <v>101008003</v>
      </c>
      <c r="C377" s="2" t="s">
        <v>15</v>
      </c>
      <c r="D377" s="2" t="s">
        <v>4492</v>
      </c>
      <c r="E377" s="2" t="s">
        <v>47</v>
      </c>
      <c r="F377" s="2" t="s">
        <v>98</v>
      </c>
      <c r="G377" s="2" t="s">
        <v>648</v>
      </c>
      <c r="H377" s="2" t="s">
        <v>56</v>
      </c>
      <c r="I377" s="2" t="s">
        <v>16</v>
      </c>
      <c r="J377" s="2" t="s">
        <v>60</v>
      </c>
      <c r="K377" s="2" t="s">
        <v>13</v>
      </c>
      <c r="L377" s="2" t="s">
        <v>25</v>
      </c>
      <c r="M377" s="2" t="s">
        <v>22</v>
      </c>
      <c r="N377" s="2" t="s">
        <v>15</v>
      </c>
      <c r="O377" s="2" t="s">
        <v>63</v>
      </c>
      <c r="P377" s="2" t="s">
        <v>3693</v>
      </c>
      <c r="Q377" s="2" t="s">
        <v>4926</v>
      </c>
      <c r="R377" s="2" t="s">
        <v>100</v>
      </c>
      <c r="S377" s="2" t="s">
        <v>101</v>
      </c>
      <c r="T377" s="2" t="s">
        <v>4697</v>
      </c>
      <c r="U377" s="2" t="s">
        <v>12</v>
      </c>
      <c r="V377" s="2" t="s">
        <v>4806</v>
      </c>
      <c r="W377" s="2" t="s">
        <v>4931</v>
      </c>
      <c r="X377" s="2" t="s">
        <v>4925</v>
      </c>
      <c r="Y377" s="2" t="s">
        <v>3692</v>
      </c>
      <c r="Z377" s="2" t="s">
        <v>5272</v>
      </c>
      <c r="AA3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3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7" s="6" t="str">
        <f>IF(_xlfn.IFNA(INDEX(configuracoes!$A$2:$A$10,MATCH(base_tc_geral[[#This Row],[TIPO]],configuracoes!$A$2:$A$10,0)),"NÃO")="NÃO","NÃO","SIM")</f>
        <v>SIM</v>
      </c>
    </row>
    <row r="378" spans="1:31" x14ac:dyDescent="0.25">
      <c r="A378" s="2" t="s">
        <v>981</v>
      </c>
      <c r="B378" s="2">
        <v>102101393</v>
      </c>
      <c r="C378" s="2" t="s">
        <v>15</v>
      </c>
      <c r="D378" s="2" t="s">
        <v>4486</v>
      </c>
      <c r="E378" s="2" t="s">
        <v>106</v>
      </c>
      <c r="F378" s="2" t="s">
        <v>863</v>
      </c>
      <c r="G378" s="2" t="s">
        <v>172</v>
      </c>
      <c r="H378" s="2" t="s">
        <v>427</v>
      </c>
      <c r="I378" s="2" t="s">
        <v>33</v>
      </c>
      <c r="J378" s="2" t="s">
        <v>109</v>
      </c>
      <c r="K378" s="2" t="s">
        <v>13</v>
      </c>
      <c r="L378" s="2" t="s">
        <v>17</v>
      </c>
      <c r="M378" s="2" t="s">
        <v>23</v>
      </c>
      <c r="N378" s="2" t="s">
        <v>15</v>
      </c>
      <c r="O378" s="2" t="s">
        <v>430</v>
      </c>
      <c r="P378" s="2" t="s">
        <v>983</v>
      </c>
      <c r="Q378" s="2" t="s">
        <v>4926</v>
      </c>
      <c r="R378" s="2" t="s">
        <v>735</v>
      </c>
      <c r="S378" s="2" t="s">
        <v>736</v>
      </c>
      <c r="T378" s="2" t="s">
        <v>167</v>
      </c>
      <c r="U378" s="2" t="s">
        <v>12</v>
      </c>
      <c r="V378" s="2" t="s">
        <v>4886</v>
      </c>
      <c r="W378" s="2" t="s">
        <v>17</v>
      </c>
      <c r="X378" s="2" t="s">
        <v>4998</v>
      </c>
      <c r="Y378" s="2" t="s">
        <v>982</v>
      </c>
      <c r="Z378" s="2" t="s">
        <v>5273</v>
      </c>
      <c r="AA3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3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8" s="6" t="str">
        <f>IF(_xlfn.IFNA(INDEX(configuracoes!$A$2:$A$10,MATCH(base_tc_geral[[#This Row],[TIPO]],configuracoes!$A$2:$A$10,0)),"NÃO")="NÃO","NÃO","SIM")</f>
        <v>NÃO</v>
      </c>
    </row>
    <row r="379" spans="1:31" x14ac:dyDescent="0.25">
      <c r="A379" s="2" t="s">
        <v>679</v>
      </c>
      <c r="B379" s="2">
        <v>101010210</v>
      </c>
      <c r="C379" s="2" t="s">
        <v>15</v>
      </c>
      <c r="D379" s="2" t="s">
        <v>4487</v>
      </c>
      <c r="E379" s="2" t="s">
        <v>47</v>
      </c>
      <c r="F379" s="2" t="s">
        <v>264</v>
      </c>
      <c r="G379" s="2" t="s">
        <v>648</v>
      </c>
      <c r="H379" s="2" t="s">
        <v>227</v>
      </c>
      <c r="I379" s="2" t="s">
        <v>16</v>
      </c>
      <c r="J379" s="2" t="s">
        <v>227</v>
      </c>
      <c r="K379" s="2" t="s">
        <v>13</v>
      </c>
      <c r="L379" s="2" t="s">
        <v>25</v>
      </c>
      <c r="M379" s="2" t="s">
        <v>22</v>
      </c>
      <c r="N379" s="2" t="s">
        <v>15</v>
      </c>
      <c r="O379" s="2" t="s">
        <v>266</v>
      </c>
      <c r="P379" s="2" t="s">
        <v>681</v>
      </c>
      <c r="Q379" s="2" t="s">
        <v>4926</v>
      </c>
      <c r="R379" s="2" t="s">
        <v>294</v>
      </c>
      <c r="S379" s="2" t="s">
        <v>101</v>
      </c>
      <c r="T379" s="2" t="s">
        <v>4697</v>
      </c>
      <c r="U379" s="2" t="s">
        <v>12</v>
      </c>
      <c r="V379" s="2" t="s">
        <v>4809</v>
      </c>
      <c r="W379" s="2" t="s">
        <v>4931</v>
      </c>
      <c r="X379" s="2" t="s">
        <v>4925</v>
      </c>
      <c r="Y379" s="2" t="s">
        <v>680</v>
      </c>
      <c r="Z379" s="2" t="s">
        <v>5274</v>
      </c>
      <c r="AA3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3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79" s="6" t="str">
        <f>IF(_xlfn.IFNA(INDEX(configuracoes!$A$2:$A$10,MATCH(base_tc_geral[[#This Row],[TIPO]],configuracoes!$A$2:$A$10,0)),"NÃO")="NÃO","NÃO","SIM")</f>
        <v>SIM</v>
      </c>
    </row>
    <row r="380" spans="1:31" x14ac:dyDescent="0.25">
      <c r="A380" s="2" t="s">
        <v>3415</v>
      </c>
      <c r="B380" s="2">
        <v>101001488</v>
      </c>
      <c r="C380" s="2" t="s">
        <v>15</v>
      </c>
      <c r="D380" s="2" t="s">
        <v>4488</v>
      </c>
      <c r="E380" s="2" t="s">
        <v>47</v>
      </c>
      <c r="F380" s="2" t="s">
        <v>251</v>
      </c>
      <c r="G380" s="2" t="s">
        <v>648</v>
      </c>
      <c r="H380" s="2" t="s">
        <v>224</v>
      </c>
      <c r="I380" s="2" t="s">
        <v>16</v>
      </c>
      <c r="J380" s="2" t="s">
        <v>227</v>
      </c>
      <c r="K380" s="2" t="s">
        <v>13</v>
      </c>
      <c r="L380" s="2" t="s">
        <v>25</v>
      </c>
      <c r="M380" s="2" t="s">
        <v>103</v>
      </c>
      <c r="N380" s="2" t="s">
        <v>15</v>
      </c>
      <c r="O380" s="2" t="s">
        <v>229</v>
      </c>
      <c r="P380" s="2" t="s">
        <v>3417</v>
      </c>
      <c r="Q380" s="2" t="s">
        <v>4926</v>
      </c>
      <c r="R380" s="2" t="s">
        <v>252</v>
      </c>
      <c r="S380" s="2" t="s">
        <v>101</v>
      </c>
      <c r="T380" s="2" t="s">
        <v>4697</v>
      </c>
      <c r="U380" s="2" t="s">
        <v>12</v>
      </c>
      <c r="V380" s="2" t="s">
        <v>4839</v>
      </c>
      <c r="W380" s="2" t="s">
        <v>4931</v>
      </c>
      <c r="X380" s="2" t="s">
        <v>5276</v>
      </c>
      <c r="Y380" s="2" t="s">
        <v>3416</v>
      </c>
      <c r="Z380" s="2" t="s">
        <v>5275</v>
      </c>
      <c r="AA3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3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0" s="6" t="str">
        <f>IF(_xlfn.IFNA(INDEX(configuracoes!$A$2:$A$10,MATCH(base_tc_geral[[#This Row],[TIPO]],configuracoes!$A$2:$A$10,0)),"NÃO")="NÃO","NÃO","SIM")</f>
        <v>SIM</v>
      </c>
    </row>
    <row r="381" spans="1:31" x14ac:dyDescent="0.25">
      <c r="A381" s="2" t="s">
        <v>2753</v>
      </c>
      <c r="B381" s="2">
        <v>108401409</v>
      </c>
      <c r="C381" s="2" t="s">
        <v>15</v>
      </c>
      <c r="D381" s="2" t="s">
        <v>4499</v>
      </c>
      <c r="E381" s="2" t="s">
        <v>47</v>
      </c>
      <c r="F381" s="2" t="s">
        <v>57</v>
      </c>
      <c r="G381" s="2" t="s">
        <v>41</v>
      </c>
      <c r="H381" s="2" t="s">
        <v>56</v>
      </c>
      <c r="I381" s="2" t="s">
        <v>16</v>
      </c>
      <c r="J381" s="2" t="s">
        <v>60</v>
      </c>
      <c r="K381" s="2" t="s">
        <v>20</v>
      </c>
      <c r="L381" s="2" t="s">
        <v>42</v>
      </c>
      <c r="M381" s="2" t="s">
        <v>22</v>
      </c>
      <c r="N381" s="2" t="s">
        <v>15</v>
      </c>
      <c r="O381" s="2" t="s">
        <v>63</v>
      </c>
      <c r="P381" s="2" t="s">
        <v>2755</v>
      </c>
      <c r="Q381" s="2" t="s">
        <v>4926</v>
      </c>
      <c r="R381" s="2" t="s">
        <v>2738</v>
      </c>
      <c r="S381" s="2" t="s">
        <v>359</v>
      </c>
      <c r="T381" s="2" t="s">
        <v>4697</v>
      </c>
      <c r="U381" s="2" t="s">
        <v>12</v>
      </c>
      <c r="V381" s="2" t="s">
        <v>4821</v>
      </c>
      <c r="W381" s="2" t="s">
        <v>42</v>
      </c>
      <c r="X381" s="2" t="s">
        <v>4925</v>
      </c>
      <c r="Y381" s="2" t="s">
        <v>2754</v>
      </c>
      <c r="Z381" s="2" t="s">
        <v>5627</v>
      </c>
      <c r="AA3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3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3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1" s="6" t="str">
        <f>IF(_xlfn.IFNA(INDEX(configuracoes!$A$2:$A$10,MATCH(base_tc_geral[[#This Row],[TIPO]],configuracoes!$A$2:$A$10,0)),"NÃO")="NÃO","NÃO","SIM")</f>
        <v>SIM</v>
      </c>
    </row>
    <row r="382" spans="1:31" x14ac:dyDescent="0.25">
      <c r="A382" s="2" t="s">
        <v>3508</v>
      </c>
      <c r="B382" s="2">
        <v>102100917</v>
      </c>
      <c r="C382" s="2" t="s">
        <v>15</v>
      </c>
      <c r="D382" s="2" t="s">
        <v>4499</v>
      </c>
      <c r="E382" s="2" t="s">
        <v>106</v>
      </c>
      <c r="F382" s="2" t="s">
        <v>116</v>
      </c>
      <c r="G382" s="2" t="s">
        <v>245</v>
      </c>
      <c r="H382" s="2" t="s">
        <v>115</v>
      </c>
      <c r="I382" s="2" t="s">
        <v>33</v>
      </c>
      <c r="J382" s="2" t="s">
        <v>109</v>
      </c>
      <c r="K382" s="2" t="s">
        <v>20</v>
      </c>
      <c r="L382" s="2" t="s">
        <v>21</v>
      </c>
      <c r="M382" s="2" t="s">
        <v>22</v>
      </c>
      <c r="N382" s="2" t="s">
        <v>15</v>
      </c>
      <c r="O382" s="2" t="s">
        <v>119</v>
      </c>
      <c r="P382" s="2" t="s">
        <v>3510</v>
      </c>
      <c r="Q382" s="2" t="s">
        <v>4926</v>
      </c>
      <c r="R382" s="2" t="s">
        <v>117</v>
      </c>
      <c r="S382" s="2" t="s">
        <v>736</v>
      </c>
      <c r="T382" s="2" t="s">
        <v>167</v>
      </c>
      <c r="U382" s="2" t="s">
        <v>12</v>
      </c>
      <c r="V382" s="2" t="s">
        <v>4902</v>
      </c>
      <c r="W382" s="2" t="s">
        <v>4982</v>
      </c>
      <c r="X382" s="2" t="s">
        <v>4925</v>
      </c>
      <c r="Y382" s="2" t="s">
        <v>3509</v>
      </c>
      <c r="Z382" s="2" t="s">
        <v>5628</v>
      </c>
      <c r="AA3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3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2" s="6" t="str">
        <f>IF(_xlfn.IFNA(INDEX(configuracoes!$A$2:$A$10,MATCH(base_tc_geral[[#This Row],[TIPO]],configuracoes!$A$2:$A$10,0)),"NÃO")="NÃO","NÃO","SIM")</f>
        <v>SIM</v>
      </c>
    </row>
    <row r="383" spans="1:31" x14ac:dyDescent="0.25">
      <c r="A383" s="2" t="s">
        <v>3126</v>
      </c>
      <c r="B383" s="2">
        <v>109501286</v>
      </c>
      <c r="C383" s="2" t="s">
        <v>15</v>
      </c>
      <c r="D383" s="2" t="s">
        <v>4615</v>
      </c>
      <c r="E383" s="2" t="s">
        <v>86</v>
      </c>
      <c r="F383" s="2" t="s">
        <v>497</v>
      </c>
      <c r="G383" s="2" t="s">
        <v>245</v>
      </c>
      <c r="H383" s="2" t="s">
        <v>164</v>
      </c>
      <c r="I383" s="2" t="s">
        <v>33</v>
      </c>
      <c r="J383" s="2" t="s">
        <v>124</v>
      </c>
      <c r="K383" s="2" t="s">
        <v>20</v>
      </c>
      <c r="L383" s="2" t="s">
        <v>21</v>
      </c>
      <c r="M383" s="2" t="s">
        <v>22</v>
      </c>
      <c r="N383" s="2" t="s">
        <v>15</v>
      </c>
      <c r="O383" s="2" t="s">
        <v>169</v>
      </c>
      <c r="P383" s="2" t="s">
        <v>3128</v>
      </c>
      <c r="Q383" s="2" t="s">
        <v>4926</v>
      </c>
      <c r="R383" s="2" t="s">
        <v>498</v>
      </c>
      <c r="S383" s="2" t="s">
        <v>93</v>
      </c>
      <c r="T383" s="2" t="s">
        <v>4696</v>
      </c>
      <c r="U383" s="2" t="s">
        <v>12</v>
      </c>
      <c r="V383" s="2" t="s">
        <v>4766</v>
      </c>
      <c r="W383" s="2" t="s">
        <v>4982</v>
      </c>
      <c r="X383" s="2" t="s">
        <v>4925</v>
      </c>
      <c r="Y383" s="2" t="s">
        <v>3127</v>
      </c>
      <c r="Z383" s="2" t="s">
        <v>5629</v>
      </c>
      <c r="AA3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3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3" s="6" t="str">
        <f>IF(_xlfn.IFNA(INDEX(configuracoes!$A$2:$A$10,MATCH(base_tc_geral[[#This Row],[TIPO]],configuracoes!$A$2:$A$10,0)),"NÃO")="NÃO","NÃO","SIM")</f>
        <v>SIM</v>
      </c>
    </row>
    <row r="384" spans="1:31" x14ac:dyDescent="0.25">
      <c r="A384" s="2" t="s">
        <v>3141</v>
      </c>
      <c r="B384" s="2">
        <v>109505858</v>
      </c>
      <c r="C384" s="2" t="s">
        <v>15</v>
      </c>
      <c r="D384" s="2" t="s">
        <v>4515</v>
      </c>
      <c r="E384" s="2" t="s">
        <v>86</v>
      </c>
      <c r="F384" s="2" t="s">
        <v>817</v>
      </c>
      <c r="G384" s="2" t="s">
        <v>637</v>
      </c>
      <c r="H384" s="2" t="s">
        <v>217</v>
      </c>
      <c r="I384" s="2" t="s">
        <v>33</v>
      </c>
      <c r="J384" s="2" t="s">
        <v>91</v>
      </c>
      <c r="K384" s="2" t="s">
        <v>20</v>
      </c>
      <c r="L384" s="2" t="s">
        <v>19</v>
      </c>
      <c r="M384" s="2" t="s">
        <v>22</v>
      </c>
      <c r="N384" s="2" t="s">
        <v>15</v>
      </c>
      <c r="O384" s="2" t="s">
        <v>221</v>
      </c>
      <c r="P384" s="2" t="s">
        <v>3143</v>
      </c>
      <c r="Q384" s="2" t="s">
        <v>4926</v>
      </c>
      <c r="R384" s="2" t="s">
        <v>1466</v>
      </c>
      <c r="S384" s="2" t="s">
        <v>93</v>
      </c>
      <c r="T384" s="2" t="s">
        <v>4696</v>
      </c>
      <c r="U384" s="2" t="s">
        <v>12</v>
      </c>
      <c r="V384" s="2" t="s">
        <v>4802</v>
      </c>
      <c r="W384" s="2" t="s">
        <v>4982</v>
      </c>
      <c r="X384" s="2" t="s">
        <v>4925</v>
      </c>
      <c r="Y384" s="2" t="s">
        <v>3142</v>
      </c>
      <c r="Z384" s="2" t="s">
        <v>5630</v>
      </c>
      <c r="AA3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3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4" s="6" t="str">
        <f>IF(_xlfn.IFNA(INDEX(configuracoes!$A$2:$A$10,MATCH(base_tc_geral[[#This Row],[TIPO]],configuracoes!$A$2:$A$10,0)),"NÃO")="NÃO","NÃO","SIM")</f>
        <v>SIM</v>
      </c>
    </row>
    <row r="385" spans="1:31" x14ac:dyDescent="0.25">
      <c r="A385" s="2" t="s">
        <v>480</v>
      </c>
      <c r="B385" s="2">
        <v>101006255</v>
      </c>
      <c r="C385" s="2" t="s">
        <v>15</v>
      </c>
      <c r="D385" s="2" t="s">
        <v>4595</v>
      </c>
      <c r="E385" s="2" t="s">
        <v>47</v>
      </c>
      <c r="F385" s="2" t="s">
        <v>225</v>
      </c>
      <c r="G385" s="2" t="s">
        <v>883</v>
      </c>
      <c r="H385" s="2" t="s">
        <v>224</v>
      </c>
      <c r="I385" s="2" t="s">
        <v>16</v>
      </c>
      <c r="J385" s="2" t="s">
        <v>227</v>
      </c>
      <c r="K385" s="2" t="s">
        <v>20</v>
      </c>
      <c r="L385" s="2" t="s">
        <v>21</v>
      </c>
      <c r="M385" s="2" t="s">
        <v>22</v>
      </c>
      <c r="N385" s="2" t="s">
        <v>15</v>
      </c>
      <c r="O385" s="2" t="s">
        <v>229</v>
      </c>
      <c r="P385" s="2" t="s">
        <v>482</v>
      </c>
      <c r="Q385" s="2" t="s">
        <v>4926</v>
      </c>
      <c r="R385" s="2" t="s">
        <v>369</v>
      </c>
      <c r="S385" s="2" t="s">
        <v>4698</v>
      </c>
      <c r="T385" s="2" t="s">
        <v>4697</v>
      </c>
      <c r="U385" s="2" t="s">
        <v>12</v>
      </c>
      <c r="V385" s="2" t="s">
        <v>4817</v>
      </c>
      <c r="W385" s="2" t="s">
        <v>4982</v>
      </c>
      <c r="X385" s="2" t="s">
        <v>4925</v>
      </c>
      <c r="Y385" s="2" t="s">
        <v>481</v>
      </c>
      <c r="Z385" s="2" t="s">
        <v>5631</v>
      </c>
      <c r="AA3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3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3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5" s="6" t="str">
        <f>IF(_xlfn.IFNA(INDEX(configuracoes!$A$2:$A$10,MATCH(base_tc_geral[[#This Row],[TIPO]],configuracoes!$A$2:$A$10,0)),"NÃO")="NÃO","NÃO","SIM")</f>
        <v>SIM</v>
      </c>
    </row>
    <row r="386" spans="1:31" x14ac:dyDescent="0.25">
      <c r="A386" s="2" t="s">
        <v>2239</v>
      </c>
      <c r="B386" s="2">
        <v>105303134</v>
      </c>
      <c r="C386" s="2" t="s">
        <v>15</v>
      </c>
      <c r="D386" s="2" t="s">
        <v>4587</v>
      </c>
      <c r="E386" s="2" t="s">
        <v>28</v>
      </c>
      <c r="F386" s="2" t="s">
        <v>290</v>
      </c>
      <c r="G386" s="2" t="s">
        <v>245</v>
      </c>
      <c r="H386" s="2" t="s">
        <v>34</v>
      </c>
      <c r="I386" s="2" t="s">
        <v>33</v>
      </c>
      <c r="J386" s="2" t="s">
        <v>34</v>
      </c>
      <c r="K386" s="2" t="s">
        <v>20</v>
      </c>
      <c r="L386" s="2" t="s">
        <v>21</v>
      </c>
      <c r="M386" s="2" t="s">
        <v>22</v>
      </c>
      <c r="N386" s="2" t="s">
        <v>15</v>
      </c>
      <c r="O386" s="2" t="s">
        <v>156</v>
      </c>
      <c r="P386" s="2" t="s">
        <v>2241</v>
      </c>
      <c r="Q386" s="2" t="s">
        <v>4926</v>
      </c>
      <c r="R386" s="2" t="s">
        <v>442</v>
      </c>
      <c r="S386" s="2" t="s">
        <v>167</v>
      </c>
      <c r="T386" s="2" t="s">
        <v>167</v>
      </c>
      <c r="U386" s="2" t="s">
        <v>12</v>
      </c>
      <c r="V386" s="2" t="s">
        <v>4763</v>
      </c>
      <c r="W386" s="2" t="s">
        <v>4982</v>
      </c>
      <c r="X386" s="2" t="s">
        <v>4925</v>
      </c>
      <c r="Y386" s="2" t="s">
        <v>2240</v>
      </c>
      <c r="Z386" s="2" t="s">
        <v>5632</v>
      </c>
      <c r="AA3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3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6" s="6" t="str">
        <f>IF(_xlfn.IFNA(INDEX(configuracoes!$A$2:$A$10,MATCH(base_tc_geral[[#This Row],[TIPO]],configuracoes!$A$2:$A$10,0)),"NÃO")="NÃO","NÃO","SIM")</f>
        <v>SIM</v>
      </c>
    </row>
    <row r="387" spans="1:31" x14ac:dyDescent="0.25">
      <c r="A387" s="2" t="s">
        <v>2075</v>
      </c>
      <c r="B387" s="2">
        <v>109000926</v>
      </c>
      <c r="C387" s="2" t="s">
        <v>24</v>
      </c>
      <c r="D387" s="2" t="s">
        <v>4482</v>
      </c>
      <c r="E387" s="2" t="s">
        <v>86</v>
      </c>
      <c r="F387" s="2" t="s">
        <v>325</v>
      </c>
      <c r="G387" s="2" t="s">
        <v>245</v>
      </c>
      <c r="H387" s="2" t="s">
        <v>283</v>
      </c>
      <c r="I387" s="2" t="s">
        <v>33</v>
      </c>
      <c r="J387" s="2" t="s">
        <v>124</v>
      </c>
      <c r="K387" s="2" t="s">
        <v>20</v>
      </c>
      <c r="L387" s="2" t="s">
        <v>21</v>
      </c>
      <c r="M387" s="2" t="s">
        <v>22</v>
      </c>
      <c r="N387" s="2" t="s">
        <v>24</v>
      </c>
      <c r="O387" s="2" t="s">
        <v>287</v>
      </c>
      <c r="P387" s="2" t="s">
        <v>2077</v>
      </c>
      <c r="Q387" s="2" t="s">
        <v>4926</v>
      </c>
      <c r="R387" s="2" t="s">
        <v>285</v>
      </c>
      <c r="S387" s="2" t="s">
        <v>125</v>
      </c>
      <c r="T387" s="2" t="s">
        <v>4696</v>
      </c>
      <c r="U387" s="2" t="s">
        <v>39</v>
      </c>
      <c r="V387" s="2" t="s">
        <v>4777</v>
      </c>
      <c r="W387" s="2" t="s">
        <v>4982</v>
      </c>
      <c r="X387" s="2" t="s">
        <v>4925</v>
      </c>
      <c r="Y387" s="2" t="s">
        <v>2076</v>
      </c>
      <c r="Z387" s="2" t="s">
        <v>5633</v>
      </c>
      <c r="AA3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3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3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87" s="6" t="str">
        <f>IF(_xlfn.IFNA(INDEX(configuracoes!$A$2:$A$10,MATCH(base_tc_geral[[#This Row],[TIPO]],configuracoes!$A$2:$A$10,0)),"NÃO")="NÃO","NÃO","SIM")</f>
        <v>SIM</v>
      </c>
    </row>
    <row r="388" spans="1:31" x14ac:dyDescent="0.25">
      <c r="A388" s="2" t="s">
        <v>4464</v>
      </c>
      <c r="B388" s="2">
        <v>101008003</v>
      </c>
      <c r="C388" s="2" t="s">
        <v>15</v>
      </c>
      <c r="D388" s="2" t="s">
        <v>4487</v>
      </c>
      <c r="E388" s="2" t="s">
        <v>47</v>
      </c>
      <c r="F388" s="2" t="s">
        <v>159</v>
      </c>
      <c r="G388" s="2" t="s">
        <v>99</v>
      </c>
      <c r="H388" s="2" t="s">
        <v>60</v>
      </c>
      <c r="I388" s="2" t="s">
        <v>16</v>
      </c>
      <c r="J388" s="2" t="s">
        <v>60</v>
      </c>
      <c r="K388" s="2" t="s">
        <v>13</v>
      </c>
      <c r="L388" s="2" t="s">
        <v>25</v>
      </c>
      <c r="M388" s="2" t="s">
        <v>22</v>
      </c>
      <c r="N388" s="2" t="s">
        <v>15</v>
      </c>
      <c r="O388" s="2" t="s">
        <v>161</v>
      </c>
      <c r="P388" s="2" t="s">
        <v>4466</v>
      </c>
      <c r="Q388" s="2" t="s">
        <v>4926</v>
      </c>
      <c r="R388" s="2" t="s">
        <v>100</v>
      </c>
      <c r="S388" s="2" t="s">
        <v>101</v>
      </c>
      <c r="T388" s="2" t="s">
        <v>4697</v>
      </c>
      <c r="U388" s="2" t="s">
        <v>12</v>
      </c>
      <c r="V388" s="2" t="s">
        <v>4806</v>
      </c>
      <c r="W388" s="2" t="s">
        <v>4931</v>
      </c>
      <c r="X388" s="2" t="s">
        <v>4925</v>
      </c>
      <c r="Y388" s="2" t="s">
        <v>4465</v>
      </c>
      <c r="Z388" s="2" t="s">
        <v>5634</v>
      </c>
      <c r="AA3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3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8" s="6" t="str">
        <f>IF(_xlfn.IFNA(INDEX(configuracoes!$A$2:$A$10,MATCH(base_tc_geral[[#This Row],[TIPO]],configuracoes!$A$2:$A$10,0)),"NÃO")="NÃO","NÃO","SIM")</f>
        <v>SIM</v>
      </c>
    </row>
    <row r="389" spans="1:31" x14ac:dyDescent="0.25">
      <c r="A389" s="2" t="s">
        <v>2184</v>
      </c>
      <c r="B389" s="2">
        <v>105303134</v>
      </c>
      <c r="C389" s="2" t="s">
        <v>15</v>
      </c>
      <c r="D389" s="2" t="s">
        <v>4781</v>
      </c>
      <c r="E389" s="2" t="s">
        <v>28</v>
      </c>
      <c r="F389" s="2" t="s">
        <v>290</v>
      </c>
      <c r="G389" s="2" t="s">
        <v>89</v>
      </c>
      <c r="H389" s="2" t="s">
        <v>34</v>
      </c>
      <c r="I389" s="2" t="s">
        <v>33</v>
      </c>
      <c r="J389" s="2" t="s">
        <v>34</v>
      </c>
      <c r="K389" s="2" t="s">
        <v>13</v>
      </c>
      <c r="L389" s="2" t="s">
        <v>37</v>
      </c>
      <c r="M389" s="2" t="s">
        <v>38</v>
      </c>
      <c r="N389" s="2" t="s">
        <v>15</v>
      </c>
      <c r="O389" s="2" t="s">
        <v>156</v>
      </c>
      <c r="P389" s="2" t="s">
        <v>2186</v>
      </c>
      <c r="Q389" s="2" t="s">
        <v>4926</v>
      </c>
      <c r="R389" s="2" t="s">
        <v>442</v>
      </c>
      <c r="S389" s="2" t="s">
        <v>167</v>
      </c>
      <c r="T389" s="2" t="s">
        <v>167</v>
      </c>
      <c r="U389" s="2" t="s">
        <v>12</v>
      </c>
      <c r="V389" s="2" t="s">
        <v>4763</v>
      </c>
      <c r="W389" s="2" t="s">
        <v>5013</v>
      </c>
      <c r="X389" s="2" t="s">
        <v>38</v>
      </c>
      <c r="Y389" s="2" t="s">
        <v>2185</v>
      </c>
      <c r="Z389" s="2" t="s">
        <v>5635</v>
      </c>
      <c r="AA3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3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89" s="6" t="str">
        <f>IF(_xlfn.IFNA(INDEX(configuracoes!$A$2:$A$10,MATCH(base_tc_geral[[#This Row],[TIPO]],configuracoes!$A$2:$A$10,0)),"NÃO")="NÃO","NÃO","SIM")</f>
        <v>NÃO</v>
      </c>
    </row>
    <row r="390" spans="1:31" x14ac:dyDescent="0.25">
      <c r="A390" s="2" t="s">
        <v>2030</v>
      </c>
      <c r="B390" s="2">
        <v>109500315</v>
      </c>
      <c r="C390" s="2" t="s">
        <v>15</v>
      </c>
      <c r="D390" s="2" t="s">
        <v>4481</v>
      </c>
      <c r="E390" s="2" t="s">
        <v>86</v>
      </c>
      <c r="F390" s="2" t="s">
        <v>165</v>
      </c>
      <c r="G390" s="2" t="s">
        <v>172</v>
      </c>
      <c r="H390" s="2" t="s">
        <v>164</v>
      </c>
      <c r="I390" s="2" t="s">
        <v>33</v>
      </c>
      <c r="J390" s="2" t="s">
        <v>124</v>
      </c>
      <c r="K390" s="2" t="s">
        <v>13</v>
      </c>
      <c r="L390" s="2" t="s">
        <v>17</v>
      </c>
      <c r="M390" s="2" t="s">
        <v>23</v>
      </c>
      <c r="N390" s="2" t="s">
        <v>15</v>
      </c>
      <c r="O390" s="2" t="s">
        <v>169</v>
      </c>
      <c r="P390" s="2" t="s">
        <v>2032</v>
      </c>
      <c r="Q390" s="2" t="s">
        <v>4926</v>
      </c>
      <c r="R390" s="2" t="s">
        <v>173</v>
      </c>
      <c r="S390" s="2" t="s">
        <v>93</v>
      </c>
      <c r="T390" s="2" t="s">
        <v>4696</v>
      </c>
      <c r="U390" s="2" t="s">
        <v>12</v>
      </c>
      <c r="V390" s="2" t="s">
        <v>4887</v>
      </c>
      <c r="W390" s="2" t="s">
        <v>17</v>
      </c>
      <c r="X390" s="2" t="s">
        <v>4998</v>
      </c>
      <c r="Y390" s="2" t="s">
        <v>2031</v>
      </c>
      <c r="Z390" s="2" t="s">
        <v>5636</v>
      </c>
      <c r="AA3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3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0" s="6" t="str">
        <f>IF(_xlfn.IFNA(INDEX(configuracoes!$A$2:$A$10,MATCH(base_tc_geral[[#This Row],[TIPO]],configuracoes!$A$2:$A$10,0)),"NÃO")="NÃO","NÃO","SIM")</f>
        <v>NÃO</v>
      </c>
    </row>
    <row r="391" spans="1:31" x14ac:dyDescent="0.25">
      <c r="A391" s="2" t="s">
        <v>4822</v>
      </c>
      <c r="B391" s="2">
        <v>101006255</v>
      </c>
      <c r="C391" s="2" t="s">
        <v>15</v>
      </c>
      <c r="D391" s="2" t="s">
        <v>4516</v>
      </c>
      <c r="E391" s="2" t="s">
        <v>47</v>
      </c>
      <c r="F391" s="2" t="s">
        <v>1112</v>
      </c>
      <c r="G391" s="2" t="s">
        <v>136</v>
      </c>
      <c r="H391" s="2" t="s">
        <v>224</v>
      </c>
      <c r="I391" s="2" t="s">
        <v>16</v>
      </c>
      <c r="J391" s="2" t="s">
        <v>227</v>
      </c>
      <c r="K391" s="2" t="s">
        <v>13</v>
      </c>
      <c r="L391" s="2" t="s">
        <v>72</v>
      </c>
      <c r="M391" s="2" t="s">
        <v>73</v>
      </c>
      <c r="N391" s="2" t="s">
        <v>15</v>
      </c>
      <c r="O391" s="2" t="s">
        <v>229</v>
      </c>
      <c r="P391" s="2" t="s">
        <v>4824</v>
      </c>
      <c r="Q391" s="2" t="s">
        <v>4926</v>
      </c>
      <c r="R391" s="2" t="s">
        <v>369</v>
      </c>
      <c r="S391" s="2" t="s">
        <v>4698</v>
      </c>
      <c r="T391" s="2" t="s">
        <v>4697</v>
      </c>
      <c r="U391" s="2" t="s">
        <v>39</v>
      </c>
      <c r="V391" s="2" t="s">
        <v>4817</v>
      </c>
      <c r="W391" s="2" t="s">
        <v>72</v>
      </c>
      <c r="X391" s="2" t="s">
        <v>5011</v>
      </c>
      <c r="Y391" s="2" t="s">
        <v>4823</v>
      </c>
      <c r="Z391" s="2" t="s">
        <v>5637</v>
      </c>
      <c r="AA3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3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3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1" s="6" t="str">
        <f>IF(_xlfn.IFNA(INDEX(configuracoes!$A$2:$A$10,MATCH(base_tc_geral[[#This Row],[TIPO]],configuracoes!$A$2:$A$10,0)),"NÃO")="NÃO","NÃO","SIM")</f>
        <v>NÃO</v>
      </c>
    </row>
    <row r="392" spans="1:31" x14ac:dyDescent="0.25">
      <c r="A392" s="2" t="s">
        <v>3655</v>
      </c>
      <c r="B392" s="2">
        <v>109500315</v>
      </c>
      <c r="C392" s="2" t="s">
        <v>15</v>
      </c>
      <c r="D392" s="2" t="s">
        <v>4516</v>
      </c>
      <c r="E392" s="2" t="s">
        <v>86</v>
      </c>
      <c r="F392" s="2" t="s">
        <v>497</v>
      </c>
      <c r="G392" s="2" t="s">
        <v>172</v>
      </c>
      <c r="H392" s="2" t="s">
        <v>164</v>
      </c>
      <c r="I392" s="2" t="s">
        <v>33</v>
      </c>
      <c r="J392" s="2" t="s">
        <v>124</v>
      </c>
      <c r="K392" s="2" t="s">
        <v>13</v>
      </c>
      <c r="L392" s="2" t="s">
        <v>17</v>
      </c>
      <c r="M392" s="2" t="s">
        <v>23</v>
      </c>
      <c r="N392" s="2" t="s">
        <v>15</v>
      </c>
      <c r="O392" s="2" t="s">
        <v>169</v>
      </c>
      <c r="P392" s="2" t="s">
        <v>3657</v>
      </c>
      <c r="Q392" s="2" t="s">
        <v>4926</v>
      </c>
      <c r="R392" s="2" t="s">
        <v>173</v>
      </c>
      <c r="S392" s="2" t="s">
        <v>93</v>
      </c>
      <c r="T392" s="2" t="s">
        <v>4696</v>
      </c>
      <c r="U392" s="2" t="s">
        <v>12</v>
      </c>
      <c r="V392" s="2" t="s">
        <v>4887</v>
      </c>
      <c r="W392" s="2" t="s">
        <v>17</v>
      </c>
      <c r="X392" s="2" t="s">
        <v>4998</v>
      </c>
      <c r="Y392" s="2" t="s">
        <v>3656</v>
      </c>
      <c r="Z392" s="2" t="s">
        <v>5638</v>
      </c>
      <c r="AA3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3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3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3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2" s="6" t="str">
        <f>IF(_xlfn.IFNA(INDEX(configuracoes!$A$2:$A$10,MATCH(base_tc_geral[[#This Row],[TIPO]],configuracoes!$A$2:$A$10,0)),"NÃO")="NÃO","NÃO","SIM")</f>
        <v>NÃO</v>
      </c>
    </row>
    <row r="393" spans="1:31" x14ac:dyDescent="0.25">
      <c r="A393" s="2" t="s">
        <v>1201</v>
      </c>
      <c r="B393" s="2">
        <v>105000986</v>
      </c>
      <c r="C393" s="2" t="s">
        <v>15</v>
      </c>
      <c r="D393" s="2" t="s">
        <v>4546</v>
      </c>
      <c r="E393" s="2" t="s">
        <v>28</v>
      </c>
      <c r="F393" s="2" t="s">
        <v>80</v>
      </c>
      <c r="G393" s="2" t="s">
        <v>883</v>
      </c>
      <c r="H393" s="2" t="s">
        <v>79</v>
      </c>
      <c r="I393" s="2" t="s">
        <v>33</v>
      </c>
      <c r="J393" s="2" t="s">
        <v>34</v>
      </c>
      <c r="K393" s="2" t="s">
        <v>20</v>
      </c>
      <c r="L393" s="2" t="s">
        <v>21</v>
      </c>
      <c r="M393" s="2" t="s">
        <v>22</v>
      </c>
      <c r="N393" s="2" t="s">
        <v>15</v>
      </c>
      <c r="O393" s="2" t="s">
        <v>83</v>
      </c>
      <c r="P393" s="2" t="s">
        <v>1203</v>
      </c>
      <c r="Q393" s="2" t="s">
        <v>4926</v>
      </c>
      <c r="R393" s="2" t="s">
        <v>81</v>
      </c>
      <c r="S393" s="2" t="s">
        <v>167</v>
      </c>
      <c r="T393" s="2" t="s">
        <v>167</v>
      </c>
      <c r="U393" s="2" t="s">
        <v>12</v>
      </c>
      <c r="V393" s="2" t="s">
        <v>4767</v>
      </c>
      <c r="W393" s="2" t="s">
        <v>4982</v>
      </c>
      <c r="X393" s="2" t="s">
        <v>4925</v>
      </c>
      <c r="Y393" s="2" t="s">
        <v>1202</v>
      </c>
      <c r="Z393" s="2" t="s">
        <v>5639</v>
      </c>
      <c r="AA3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3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3" s="6" t="str">
        <f>IF(_xlfn.IFNA(INDEX(configuracoes!$A$2:$A$10,MATCH(base_tc_geral[[#This Row],[TIPO]],configuracoes!$A$2:$A$10,0)),"NÃO")="NÃO","NÃO","SIM")</f>
        <v>SIM</v>
      </c>
    </row>
    <row r="394" spans="1:31" x14ac:dyDescent="0.25">
      <c r="A394" s="2" t="s">
        <v>565</v>
      </c>
      <c r="B394" s="2">
        <v>105303207</v>
      </c>
      <c r="C394" s="2" t="s">
        <v>15</v>
      </c>
      <c r="D394" s="2" t="s">
        <v>4638</v>
      </c>
      <c r="E394" s="2" t="s">
        <v>28</v>
      </c>
      <c r="F394" s="2" t="s">
        <v>423</v>
      </c>
      <c r="G394" s="2" t="s">
        <v>245</v>
      </c>
      <c r="H394" s="2" t="s">
        <v>34</v>
      </c>
      <c r="I394" s="2" t="s">
        <v>33</v>
      </c>
      <c r="J394" s="2" t="s">
        <v>34</v>
      </c>
      <c r="K394" s="2" t="s">
        <v>20</v>
      </c>
      <c r="L394" s="2" t="s">
        <v>21</v>
      </c>
      <c r="M394" s="2" t="s">
        <v>22</v>
      </c>
      <c r="N394" s="2" t="s">
        <v>15</v>
      </c>
      <c r="O394" s="2" t="s">
        <v>156</v>
      </c>
      <c r="P394" s="2" t="s">
        <v>567</v>
      </c>
      <c r="Q394" s="2" t="s">
        <v>4926</v>
      </c>
      <c r="R394" s="2" t="s">
        <v>2243</v>
      </c>
      <c r="S394" s="2" t="s">
        <v>167</v>
      </c>
      <c r="T394" s="2" t="s">
        <v>167</v>
      </c>
      <c r="U394" s="2" t="s">
        <v>12</v>
      </c>
      <c r="V394" s="2" t="s">
        <v>4852</v>
      </c>
      <c r="W394" s="2" t="s">
        <v>4982</v>
      </c>
      <c r="X394" s="2" t="s">
        <v>4925</v>
      </c>
      <c r="Y394" s="2" t="s">
        <v>566</v>
      </c>
      <c r="Z394" s="2" t="s">
        <v>5277</v>
      </c>
      <c r="AA3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3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3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4" s="6" t="str">
        <f>IF(_xlfn.IFNA(INDEX(configuracoes!$A$2:$A$10,MATCH(base_tc_geral[[#This Row],[TIPO]],configuracoes!$A$2:$A$10,0)),"NÃO")="NÃO","NÃO","SIM")</f>
        <v>SIM</v>
      </c>
    </row>
    <row r="395" spans="1:31" x14ac:dyDescent="0.25">
      <c r="A395" s="2" t="s">
        <v>3688</v>
      </c>
      <c r="B395" s="2">
        <v>101008003</v>
      </c>
      <c r="C395" s="2" t="s">
        <v>15</v>
      </c>
      <c r="D395" s="2" t="s">
        <v>4515</v>
      </c>
      <c r="E395" s="2" t="s">
        <v>47</v>
      </c>
      <c r="F395" s="2" t="s">
        <v>98</v>
      </c>
      <c r="G395" s="2" t="s">
        <v>648</v>
      </c>
      <c r="H395" s="2" t="s">
        <v>56</v>
      </c>
      <c r="I395" s="2" t="s">
        <v>16</v>
      </c>
      <c r="J395" s="2" t="s">
        <v>60</v>
      </c>
      <c r="K395" s="2" t="s">
        <v>13</v>
      </c>
      <c r="L395" s="2" t="s">
        <v>25</v>
      </c>
      <c r="M395" s="2" t="s">
        <v>22</v>
      </c>
      <c r="N395" s="2" t="s">
        <v>15</v>
      </c>
      <c r="O395" s="2" t="s">
        <v>63</v>
      </c>
      <c r="P395" s="2" t="s">
        <v>3690</v>
      </c>
      <c r="Q395" s="2" t="s">
        <v>4926</v>
      </c>
      <c r="R395" s="2" t="s">
        <v>100</v>
      </c>
      <c r="S395" s="2" t="s">
        <v>101</v>
      </c>
      <c r="T395" s="2" t="s">
        <v>4697</v>
      </c>
      <c r="U395" s="2" t="s">
        <v>12</v>
      </c>
      <c r="V395" s="2" t="s">
        <v>4806</v>
      </c>
      <c r="W395" s="2" t="s">
        <v>4931</v>
      </c>
      <c r="X395" s="2" t="s">
        <v>4925</v>
      </c>
      <c r="Y395" s="2" t="s">
        <v>3689</v>
      </c>
      <c r="Z395" s="2" t="s">
        <v>5278</v>
      </c>
      <c r="AA3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3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3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5" s="6" t="str">
        <f>IF(_xlfn.IFNA(INDEX(configuracoes!$A$2:$A$10,MATCH(base_tc_geral[[#This Row],[TIPO]],configuracoes!$A$2:$A$10,0)),"NÃO")="NÃO","NÃO","SIM")</f>
        <v>SIM</v>
      </c>
    </row>
    <row r="396" spans="1:31" x14ac:dyDescent="0.25">
      <c r="A396" s="2" t="s">
        <v>2393</v>
      </c>
      <c r="B396" s="2">
        <v>102101393</v>
      </c>
      <c r="C396" s="2" t="s">
        <v>15</v>
      </c>
      <c r="D396" s="2" t="s">
        <v>4499</v>
      </c>
      <c r="E396" s="2" t="s">
        <v>106</v>
      </c>
      <c r="F396" s="2" t="s">
        <v>863</v>
      </c>
      <c r="G396" s="2" t="s">
        <v>58</v>
      </c>
      <c r="H396" s="2" t="s">
        <v>427</v>
      </c>
      <c r="I396" s="2" t="s">
        <v>33</v>
      </c>
      <c r="J396" s="2" t="s">
        <v>109</v>
      </c>
      <c r="K396" s="2" t="s">
        <v>92</v>
      </c>
      <c r="L396" s="2" t="s">
        <v>61</v>
      </c>
      <c r="M396" s="2" t="s">
        <v>44</v>
      </c>
      <c r="N396" s="2" t="s">
        <v>15</v>
      </c>
      <c r="O396" s="2" t="s">
        <v>430</v>
      </c>
      <c r="P396" s="2" t="s">
        <v>2395</v>
      </c>
      <c r="Q396" s="2" t="s">
        <v>4926</v>
      </c>
      <c r="R396" s="2" t="s">
        <v>735</v>
      </c>
      <c r="S396" s="2" t="s">
        <v>736</v>
      </c>
      <c r="T396" s="2" t="s">
        <v>167</v>
      </c>
      <c r="U396" s="2" t="s">
        <v>12</v>
      </c>
      <c r="V396" s="2" t="s">
        <v>4886</v>
      </c>
      <c r="W396" s="2" t="s">
        <v>5013</v>
      </c>
      <c r="X396" s="2" t="s">
        <v>44</v>
      </c>
      <c r="Y396" s="2" t="s">
        <v>2394</v>
      </c>
      <c r="Z396" s="2" t="s">
        <v>5279</v>
      </c>
      <c r="AA3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3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6" s="6" t="str">
        <f>IF(_xlfn.IFNA(INDEX(configuracoes!$A$2:$A$10,MATCH(base_tc_geral[[#This Row],[TIPO]],configuracoes!$A$2:$A$10,0)),"NÃO")="NÃO","NÃO","SIM")</f>
        <v>NÃO</v>
      </c>
    </row>
    <row r="397" spans="1:31" x14ac:dyDescent="0.25">
      <c r="A397" s="2" t="s">
        <v>3613</v>
      </c>
      <c r="B397" s="2">
        <v>101003771</v>
      </c>
      <c r="C397" s="2" t="s">
        <v>15</v>
      </c>
      <c r="D397" s="2" t="s">
        <v>4499</v>
      </c>
      <c r="E397" s="2" t="s">
        <v>47</v>
      </c>
      <c r="F397" s="2" t="s">
        <v>1112</v>
      </c>
      <c r="G397" s="2" t="s">
        <v>172</v>
      </c>
      <c r="H397" s="2" t="s">
        <v>224</v>
      </c>
      <c r="I397" s="2" t="s">
        <v>16</v>
      </c>
      <c r="J397" s="2" t="s">
        <v>227</v>
      </c>
      <c r="K397" s="2" t="s">
        <v>92</v>
      </c>
      <c r="L397" s="2" t="s">
        <v>17</v>
      </c>
      <c r="M397" s="2" t="s">
        <v>23</v>
      </c>
      <c r="N397" s="2" t="s">
        <v>15</v>
      </c>
      <c r="O397" s="2" t="s">
        <v>229</v>
      </c>
      <c r="P397" s="2" t="s">
        <v>3615</v>
      </c>
      <c r="Q397" s="2" t="s">
        <v>4926</v>
      </c>
      <c r="R397" s="2" t="s">
        <v>465</v>
      </c>
      <c r="S397" s="2" t="s">
        <v>51</v>
      </c>
      <c r="T397" s="2" t="s">
        <v>4697</v>
      </c>
      <c r="U397" s="2" t="s">
        <v>12</v>
      </c>
      <c r="V397" s="2" t="s">
        <v>4810</v>
      </c>
      <c r="W397" s="2" t="s">
        <v>17</v>
      </c>
      <c r="X397" s="2" t="s">
        <v>4998</v>
      </c>
      <c r="Y397" s="2" t="s">
        <v>3614</v>
      </c>
      <c r="Z397" s="2" t="s">
        <v>5280</v>
      </c>
      <c r="AA3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3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3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3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7" s="6" t="str">
        <f>IF(_xlfn.IFNA(INDEX(configuracoes!$A$2:$A$10,MATCH(base_tc_geral[[#This Row],[TIPO]],configuracoes!$A$2:$A$10,0)),"NÃO")="NÃO","NÃO","SIM")</f>
        <v>NÃO</v>
      </c>
    </row>
    <row r="398" spans="1:31" x14ac:dyDescent="0.25">
      <c r="A398" s="2" t="s">
        <v>1441</v>
      </c>
      <c r="B398" s="2">
        <v>102002917</v>
      </c>
      <c r="C398" s="2" t="s">
        <v>15</v>
      </c>
      <c r="D398" s="2" t="s">
        <v>4526</v>
      </c>
      <c r="E398" s="2" t="s">
        <v>106</v>
      </c>
      <c r="F398" s="2" t="s">
        <v>863</v>
      </c>
      <c r="G398" s="2" t="s">
        <v>245</v>
      </c>
      <c r="H398" s="2" t="s">
        <v>427</v>
      </c>
      <c r="I398" s="2" t="s">
        <v>33</v>
      </c>
      <c r="J398" s="2" t="s">
        <v>109</v>
      </c>
      <c r="K398" s="2" t="s">
        <v>13</v>
      </c>
      <c r="L398" s="2" t="s">
        <v>21</v>
      </c>
      <c r="M398" s="2" t="s">
        <v>22</v>
      </c>
      <c r="N398" s="2" t="s">
        <v>15</v>
      </c>
      <c r="O398" s="2" t="s">
        <v>430</v>
      </c>
      <c r="P398" s="2" t="s">
        <v>1443</v>
      </c>
      <c r="Q398" s="2" t="s">
        <v>4926</v>
      </c>
      <c r="R398" s="2" t="s">
        <v>5069</v>
      </c>
      <c r="S398" s="2" t="s">
        <v>736</v>
      </c>
      <c r="T398" s="2" t="s">
        <v>167</v>
      </c>
      <c r="U398" s="2" t="s">
        <v>12</v>
      </c>
      <c r="V398" s="2" t="s">
        <v>4773</v>
      </c>
      <c r="W398" s="2" t="s">
        <v>4982</v>
      </c>
      <c r="X398" s="2" t="s">
        <v>4925</v>
      </c>
      <c r="Y398" s="2" t="s">
        <v>1442</v>
      </c>
      <c r="Z398" s="2" t="s">
        <v>5281</v>
      </c>
      <c r="AA3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3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398" s="6" t="str">
        <f>IF(_xlfn.IFNA(INDEX(configuracoes!$A$2:$A$10,MATCH(base_tc_geral[[#This Row],[TIPO]],configuracoes!$A$2:$A$10,0)),"NÃO")="NÃO","NÃO","SIM")</f>
        <v>SIM</v>
      </c>
    </row>
    <row r="399" spans="1:31" x14ac:dyDescent="0.25">
      <c r="A399" s="2" t="s">
        <v>3539</v>
      </c>
      <c r="B399" s="2">
        <v>102101634</v>
      </c>
      <c r="C399" s="2" t="s">
        <v>24</v>
      </c>
      <c r="D399" s="2" t="s">
        <v>4768</v>
      </c>
      <c r="E399" s="2" t="s">
        <v>106</v>
      </c>
      <c r="F399" s="2" t="s">
        <v>186</v>
      </c>
      <c r="G399" s="2" t="s">
        <v>245</v>
      </c>
      <c r="H399" s="2" t="s">
        <v>107</v>
      </c>
      <c r="I399" s="2" t="s">
        <v>33</v>
      </c>
      <c r="J399" s="2" t="s">
        <v>109</v>
      </c>
      <c r="K399" s="2" t="s">
        <v>20</v>
      </c>
      <c r="L399" s="2" t="s">
        <v>21</v>
      </c>
      <c r="M399" s="2" t="s">
        <v>22</v>
      </c>
      <c r="N399" s="2" t="s">
        <v>24</v>
      </c>
      <c r="O399" s="2" t="s">
        <v>112</v>
      </c>
      <c r="P399" s="2" t="s">
        <v>3541</v>
      </c>
      <c r="Q399" s="2" t="s">
        <v>4926</v>
      </c>
      <c r="R399" s="2" t="s">
        <v>406</v>
      </c>
      <c r="S399" s="2" t="s">
        <v>736</v>
      </c>
      <c r="T399" s="2" t="s">
        <v>167</v>
      </c>
      <c r="U399" s="2" t="s">
        <v>39</v>
      </c>
      <c r="V399" s="2" t="s">
        <v>4853</v>
      </c>
      <c r="W399" s="2" t="s">
        <v>4982</v>
      </c>
      <c r="X399" s="2" t="s">
        <v>4925</v>
      </c>
      <c r="Y399" s="2" t="s">
        <v>3540</v>
      </c>
      <c r="Z399" s="2" t="s">
        <v>5282</v>
      </c>
      <c r="AA3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3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3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3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399" s="6" t="str">
        <f>IF(_xlfn.IFNA(INDEX(configuracoes!$A$2:$A$10,MATCH(base_tc_geral[[#This Row],[TIPO]],configuracoes!$A$2:$A$10,0)),"NÃO")="NÃO","NÃO","SIM")</f>
        <v>SIM</v>
      </c>
    </row>
    <row r="400" spans="1:31" x14ac:dyDescent="0.25">
      <c r="A400" s="2" t="s">
        <v>2396</v>
      </c>
      <c r="B400" s="2">
        <v>105000986</v>
      </c>
      <c r="C400" s="2" t="s">
        <v>15</v>
      </c>
      <c r="D400" s="2" t="s">
        <v>4569</v>
      </c>
      <c r="E400" s="2" t="s">
        <v>28</v>
      </c>
      <c r="F400" s="2" t="s">
        <v>80</v>
      </c>
      <c r="G400" s="2" t="s">
        <v>630</v>
      </c>
      <c r="H400" s="2" t="s">
        <v>79</v>
      </c>
      <c r="I400" s="2" t="s">
        <v>33</v>
      </c>
      <c r="J400" s="2" t="s">
        <v>34</v>
      </c>
      <c r="K400" s="2" t="s">
        <v>20</v>
      </c>
      <c r="L400" s="2" t="s">
        <v>21</v>
      </c>
      <c r="M400" s="2" t="s">
        <v>22</v>
      </c>
      <c r="N400" s="2" t="s">
        <v>15</v>
      </c>
      <c r="O400" s="2" t="s">
        <v>83</v>
      </c>
      <c r="P400" s="2" t="s">
        <v>2398</v>
      </c>
      <c r="Q400" s="2" t="s">
        <v>4926</v>
      </c>
      <c r="R400" s="2" t="s">
        <v>81</v>
      </c>
      <c r="S400" s="2" t="s">
        <v>167</v>
      </c>
      <c r="T400" s="2" t="s">
        <v>167</v>
      </c>
      <c r="U400" s="2" t="s">
        <v>12</v>
      </c>
      <c r="V400" s="2" t="s">
        <v>4767</v>
      </c>
      <c r="W400" s="2" t="s">
        <v>4982</v>
      </c>
      <c r="X400" s="2" t="s">
        <v>4925</v>
      </c>
      <c r="Y400" s="2" t="s">
        <v>2397</v>
      </c>
      <c r="Z400" s="2" t="s">
        <v>5640</v>
      </c>
      <c r="AA4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4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0" s="6" t="str">
        <f>IF(_xlfn.IFNA(INDEX(configuracoes!$A$2:$A$10,MATCH(base_tc_geral[[#This Row],[TIPO]],configuracoes!$A$2:$A$10,0)),"NÃO")="NÃO","NÃO","SIM")</f>
        <v>SIM</v>
      </c>
    </row>
    <row r="401" spans="1:31" x14ac:dyDescent="0.25">
      <c r="A401" s="2" t="s">
        <v>3463</v>
      </c>
      <c r="B401" s="2">
        <v>109501286</v>
      </c>
      <c r="C401" s="2" t="s">
        <v>15</v>
      </c>
      <c r="D401" s="2" t="s">
        <v>4623</v>
      </c>
      <c r="E401" s="2" t="s">
        <v>86</v>
      </c>
      <c r="F401" s="2" t="s">
        <v>497</v>
      </c>
      <c r="G401" s="2" t="s">
        <v>711</v>
      </c>
      <c r="H401" s="2" t="s">
        <v>164</v>
      </c>
      <c r="I401" s="2" t="s">
        <v>33</v>
      </c>
      <c r="J401" s="2" t="s">
        <v>124</v>
      </c>
      <c r="K401" s="2" t="s">
        <v>13</v>
      </c>
      <c r="L401" s="2" t="s">
        <v>126</v>
      </c>
      <c r="M401" s="2" t="s">
        <v>128</v>
      </c>
      <c r="N401" s="2" t="s">
        <v>15</v>
      </c>
      <c r="O401" s="2" t="s">
        <v>169</v>
      </c>
      <c r="P401" s="2" t="s">
        <v>3465</v>
      </c>
      <c r="Q401" s="2" t="s">
        <v>4926</v>
      </c>
      <c r="R401" s="2" t="s">
        <v>498</v>
      </c>
      <c r="S401" s="2" t="s">
        <v>93</v>
      </c>
      <c r="T401" s="2" t="s">
        <v>4696</v>
      </c>
      <c r="U401" s="2" t="s">
        <v>12</v>
      </c>
      <c r="V401" s="2" t="s">
        <v>4766</v>
      </c>
      <c r="W401" s="2" t="s">
        <v>4987</v>
      </c>
      <c r="X401" s="2" t="s">
        <v>4989</v>
      </c>
      <c r="Y401" s="2" t="s">
        <v>3464</v>
      </c>
      <c r="Z401" s="2" t="s">
        <v>5641</v>
      </c>
      <c r="AA4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4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1" s="6" t="str">
        <f>IF(_xlfn.IFNA(INDEX(configuracoes!$A$2:$A$10,MATCH(base_tc_geral[[#This Row],[TIPO]],configuracoes!$A$2:$A$10,0)),"NÃO")="NÃO","NÃO","SIM")</f>
        <v>SIM</v>
      </c>
    </row>
    <row r="402" spans="1:31" x14ac:dyDescent="0.25">
      <c r="A402" s="2" t="s">
        <v>468</v>
      </c>
      <c r="B402" s="2">
        <v>109000340</v>
      </c>
      <c r="C402" s="2" t="s">
        <v>15</v>
      </c>
      <c r="D402" s="2" t="s">
        <v>4916</v>
      </c>
      <c r="E402" s="2" t="s">
        <v>86</v>
      </c>
      <c r="F402" s="2" t="s">
        <v>199</v>
      </c>
      <c r="G402" s="2" t="s">
        <v>58</v>
      </c>
      <c r="H402" s="2" t="s">
        <v>198</v>
      </c>
      <c r="I402" s="2" t="s">
        <v>33</v>
      </c>
      <c r="J402" s="2" t="s">
        <v>91</v>
      </c>
      <c r="K402" s="2" t="s">
        <v>20</v>
      </c>
      <c r="L402" s="2" t="s">
        <v>61</v>
      </c>
      <c r="M402" s="2" t="s">
        <v>22</v>
      </c>
      <c r="N402" s="2" t="s">
        <v>15</v>
      </c>
      <c r="O402" s="2" t="s">
        <v>201</v>
      </c>
      <c r="P402" s="2" t="s">
        <v>470</v>
      </c>
      <c r="Q402" s="2" t="s">
        <v>4926</v>
      </c>
      <c r="R402" s="2" t="s">
        <v>90</v>
      </c>
      <c r="S402" s="2" t="s">
        <v>93</v>
      </c>
      <c r="T402" s="2" t="s">
        <v>4696</v>
      </c>
      <c r="U402" s="2" t="s">
        <v>12</v>
      </c>
      <c r="V402" s="2" t="s">
        <v>4796</v>
      </c>
      <c r="W402" s="2" t="s">
        <v>4982</v>
      </c>
      <c r="X402" s="2" t="s">
        <v>4925</v>
      </c>
      <c r="Y402" s="2" t="s">
        <v>469</v>
      </c>
      <c r="Z402" s="2" t="s">
        <v>5642</v>
      </c>
      <c r="AA4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4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2" s="6" t="str">
        <f>IF(_xlfn.IFNA(INDEX(configuracoes!$A$2:$A$10,MATCH(base_tc_geral[[#This Row],[TIPO]],configuracoes!$A$2:$A$10,0)),"NÃO")="NÃO","NÃO","SIM")</f>
        <v>NÃO</v>
      </c>
    </row>
    <row r="403" spans="1:31" x14ac:dyDescent="0.25">
      <c r="A403" s="2" t="s">
        <v>2806</v>
      </c>
      <c r="B403" s="2">
        <v>109506174</v>
      </c>
      <c r="C403" s="2" t="s">
        <v>15</v>
      </c>
      <c r="D403" s="2" t="s">
        <v>4535</v>
      </c>
      <c r="E403" s="2" t="s">
        <v>86</v>
      </c>
      <c r="F403" s="2" t="s">
        <v>459</v>
      </c>
      <c r="G403" s="2" t="s">
        <v>630</v>
      </c>
      <c r="H403" s="2" t="s">
        <v>458</v>
      </c>
      <c r="I403" s="2" t="s">
        <v>33</v>
      </c>
      <c r="J403" s="2" t="s">
        <v>91</v>
      </c>
      <c r="K403" s="2" t="s">
        <v>20</v>
      </c>
      <c r="L403" s="2" t="s">
        <v>21</v>
      </c>
      <c r="M403" s="2" t="s">
        <v>22</v>
      </c>
      <c r="N403" s="2" t="s">
        <v>15</v>
      </c>
      <c r="O403" s="2" t="s">
        <v>461</v>
      </c>
      <c r="P403" s="2" t="s">
        <v>2808</v>
      </c>
      <c r="Q403" s="2" t="s">
        <v>4926</v>
      </c>
      <c r="R403" s="2" t="s">
        <v>2782</v>
      </c>
      <c r="S403" s="2" t="s">
        <v>93</v>
      </c>
      <c r="T403" s="2" t="s">
        <v>4696</v>
      </c>
      <c r="U403" s="2" t="s">
        <v>12</v>
      </c>
      <c r="V403" s="2" t="s">
        <v>4796</v>
      </c>
      <c r="W403" s="2" t="s">
        <v>4982</v>
      </c>
      <c r="X403" s="2" t="s">
        <v>4925</v>
      </c>
      <c r="Y403" s="2" t="s">
        <v>2807</v>
      </c>
      <c r="Z403" s="2" t="s">
        <v>5643</v>
      </c>
      <c r="AA4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4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3" s="6" t="str">
        <f>IF(_xlfn.IFNA(INDEX(configuracoes!$A$2:$A$10,MATCH(base_tc_geral[[#This Row],[TIPO]],configuracoes!$A$2:$A$10,0)),"NÃO")="NÃO","NÃO","SIM")</f>
        <v>SIM</v>
      </c>
    </row>
    <row r="404" spans="1:31" x14ac:dyDescent="0.25">
      <c r="A404" s="2" t="s">
        <v>3821</v>
      </c>
      <c r="B404" s="2">
        <v>109000943</v>
      </c>
      <c r="C404" s="2" t="s">
        <v>15</v>
      </c>
      <c r="D404" s="2" t="s">
        <v>4626</v>
      </c>
      <c r="E404" s="2" t="s">
        <v>86</v>
      </c>
      <c r="F404" s="2" t="s">
        <v>205</v>
      </c>
      <c r="G404" s="2" t="s">
        <v>245</v>
      </c>
      <c r="H404" s="2" t="s">
        <v>122</v>
      </c>
      <c r="I404" s="2" t="s">
        <v>33</v>
      </c>
      <c r="J404" s="2" t="s">
        <v>124</v>
      </c>
      <c r="K404" s="2" t="s">
        <v>20</v>
      </c>
      <c r="L404" s="2" t="s">
        <v>21</v>
      </c>
      <c r="M404" s="2" t="s">
        <v>22</v>
      </c>
      <c r="N404" s="2" t="s">
        <v>15</v>
      </c>
      <c r="O404" s="2" t="s">
        <v>129</v>
      </c>
      <c r="P404" s="2" t="s">
        <v>3823</v>
      </c>
      <c r="Q404" s="2" t="s">
        <v>4926</v>
      </c>
      <c r="R404" s="2" t="s">
        <v>206</v>
      </c>
      <c r="S404" s="2" t="s">
        <v>125</v>
      </c>
      <c r="T404" s="2" t="s">
        <v>4696</v>
      </c>
      <c r="U404" s="2" t="s">
        <v>12</v>
      </c>
      <c r="V404" s="2" t="s">
        <v>4784</v>
      </c>
      <c r="W404" s="2" t="s">
        <v>4982</v>
      </c>
      <c r="X404" s="2" t="s">
        <v>4925</v>
      </c>
      <c r="Y404" s="2" t="s">
        <v>3822</v>
      </c>
      <c r="Z404" s="2" t="s">
        <v>5644</v>
      </c>
      <c r="AA4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4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4" s="6" t="str">
        <f>IF(_xlfn.IFNA(INDEX(configuracoes!$A$2:$A$10,MATCH(base_tc_geral[[#This Row],[TIPO]],configuracoes!$A$2:$A$10,0)),"NÃO")="NÃO","NÃO","SIM")</f>
        <v>SIM</v>
      </c>
    </row>
    <row r="405" spans="1:31" x14ac:dyDescent="0.25">
      <c r="A405" s="2" t="s">
        <v>4157</v>
      </c>
      <c r="B405" s="2">
        <v>109506174</v>
      </c>
      <c r="C405" s="2" t="s">
        <v>15</v>
      </c>
      <c r="D405" s="2" t="s">
        <v>4527</v>
      </c>
      <c r="E405" s="2" t="s">
        <v>86</v>
      </c>
      <c r="F405" s="2" t="s">
        <v>840</v>
      </c>
      <c r="G405" s="2" t="s">
        <v>41</v>
      </c>
      <c r="H405" s="2" t="s">
        <v>198</v>
      </c>
      <c r="I405" s="2" t="s">
        <v>33</v>
      </c>
      <c r="J405" s="2" t="s">
        <v>91</v>
      </c>
      <c r="K405" s="2" t="s">
        <v>13</v>
      </c>
      <c r="L405" s="2" t="s">
        <v>42</v>
      </c>
      <c r="M405" s="2" t="s">
        <v>75</v>
      </c>
      <c r="N405" s="2" t="s">
        <v>15</v>
      </c>
      <c r="O405" s="2" t="s">
        <v>201</v>
      </c>
      <c r="P405" s="2" t="s">
        <v>4159</v>
      </c>
      <c r="Q405" s="2" t="s">
        <v>4926</v>
      </c>
      <c r="R405" s="2" t="s">
        <v>2782</v>
      </c>
      <c r="S405" s="2" t="s">
        <v>93</v>
      </c>
      <c r="T405" s="2" t="s">
        <v>4696</v>
      </c>
      <c r="U405" s="2" t="s">
        <v>12</v>
      </c>
      <c r="V405" s="2" t="s">
        <v>4796</v>
      </c>
      <c r="W405" s="2" t="s">
        <v>42</v>
      </c>
      <c r="X405" s="2" t="s">
        <v>75</v>
      </c>
      <c r="Y405" s="2" t="s">
        <v>4158</v>
      </c>
      <c r="Z405" s="2" t="s">
        <v>5645</v>
      </c>
      <c r="AA4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4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5" s="6" t="str">
        <f>IF(_xlfn.IFNA(INDEX(configuracoes!$A$2:$A$10,MATCH(base_tc_geral[[#This Row],[TIPO]],configuracoes!$A$2:$A$10,0)),"NÃO")="NÃO","NÃO","SIM")</f>
        <v>SIM</v>
      </c>
    </row>
    <row r="406" spans="1:31" x14ac:dyDescent="0.25">
      <c r="A406" s="2" t="s">
        <v>64</v>
      </c>
      <c r="B406" s="2">
        <v>101005380</v>
      </c>
      <c r="C406" s="2" t="s">
        <v>15</v>
      </c>
      <c r="D406" s="2" t="s">
        <v>4487</v>
      </c>
      <c r="E406" s="2" t="s">
        <v>47</v>
      </c>
      <c r="F406" s="2" t="s">
        <v>67</v>
      </c>
      <c r="G406" s="2" t="s">
        <v>172</v>
      </c>
      <c r="H406" s="2" t="s">
        <v>66</v>
      </c>
      <c r="I406" s="2" t="s">
        <v>16</v>
      </c>
      <c r="J406" s="2" t="s">
        <v>66</v>
      </c>
      <c r="K406" s="2" t="s">
        <v>13</v>
      </c>
      <c r="L406" s="2" t="s">
        <v>17</v>
      </c>
      <c r="M406" s="2" t="s">
        <v>23</v>
      </c>
      <c r="N406" s="2" t="s">
        <v>15</v>
      </c>
      <c r="O406" s="2" t="s">
        <v>71</v>
      </c>
      <c r="P406" s="2" t="s">
        <v>70</v>
      </c>
      <c r="Q406" s="2" t="s">
        <v>4926</v>
      </c>
      <c r="R406" s="2" t="s">
        <v>69</v>
      </c>
      <c r="S406" s="2" t="s">
        <v>4698</v>
      </c>
      <c r="T406" s="2" t="s">
        <v>4697</v>
      </c>
      <c r="U406" s="2" t="s">
        <v>39</v>
      </c>
      <c r="V406" s="2" t="s">
        <v>4787</v>
      </c>
      <c r="W406" s="2" t="s">
        <v>17</v>
      </c>
      <c r="X406" s="2" t="s">
        <v>4998</v>
      </c>
      <c r="Y406" s="2" t="s">
        <v>65</v>
      </c>
      <c r="Z406" s="2" t="s">
        <v>5646</v>
      </c>
      <c r="AA4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4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4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6" s="6" t="str">
        <f>IF(_xlfn.IFNA(INDEX(configuracoes!$A$2:$A$10,MATCH(base_tc_geral[[#This Row],[TIPO]],configuracoes!$A$2:$A$10,0)),"NÃO")="NÃO","NÃO","SIM")</f>
        <v>NÃO</v>
      </c>
    </row>
    <row r="407" spans="1:31" x14ac:dyDescent="0.25">
      <c r="A407" s="2" t="s">
        <v>782</v>
      </c>
      <c r="B407" s="2">
        <v>101010210</v>
      </c>
      <c r="C407" s="2" t="s">
        <v>15</v>
      </c>
      <c r="D407" s="2" t="s">
        <v>4487</v>
      </c>
      <c r="E407" s="2" t="s">
        <v>47</v>
      </c>
      <c r="F407" s="2" t="s">
        <v>159</v>
      </c>
      <c r="G407" s="2" t="s">
        <v>99</v>
      </c>
      <c r="H407" s="2" t="s">
        <v>60</v>
      </c>
      <c r="I407" s="2" t="s">
        <v>16</v>
      </c>
      <c r="J407" s="2" t="s">
        <v>60</v>
      </c>
      <c r="K407" s="2" t="s">
        <v>13</v>
      </c>
      <c r="L407" s="2" t="s">
        <v>25</v>
      </c>
      <c r="M407" s="2" t="s">
        <v>22</v>
      </c>
      <c r="N407" s="2" t="s">
        <v>15</v>
      </c>
      <c r="O407" s="2" t="s">
        <v>161</v>
      </c>
      <c r="P407" s="2" t="s">
        <v>784</v>
      </c>
      <c r="Q407" s="2" t="s">
        <v>4926</v>
      </c>
      <c r="R407" s="2" t="s">
        <v>294</v>
      </c>
      <c r="S407" s="2" t="s">
        <v>101</v>
      </c>
      <c r="T407" s="2" t="s">
        <v>4697</v>
      </c>
      <c r="U407" s="2" t="s">
        <v>12</v>
      </c>
      <c r="V407" s="2" t="s">
        <v>4903</v>
      </c>
      <c r="W407" s="2" t="s">
        <v>4931</v>
      </c>
      <c r="X407" s="2" t="s">
        <v>4925</v>
      </c>
      <c r="Y407" s="2" t="s">
        <v>783</v>
      </c>
      <c r="Z407" s="2" t="s">
        <v>5647</v>
      </c>
      <c r="AA4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4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4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7" s="6" t="str">
        <f>IF(_xlfn.IFNA(INDEX(configuracoes!$A$2:$A$10,MATCH(base_tc_geral[[#This Row],[TIPO]],configuracoes!$A$2:$A$10,0)),"NÃO")="NÃO","NÃO","SIM")</f>
        <v>SIM</v>
      </c>
    </row>
    <row r="408" spans="1:31" x14ac:dyDescent="0.25">
      <c r="A408" s="2" t="s">
        <v>1773</v>
      </c>
      <c r="B408" s="2">
        <v>102101220</v>
      </c>
      <c r="C408" s="2" t="s">
        <v>15</v>
      </c>
      <c r="D408" s="2" t="s">
        <v>4481</v>
      </c>
      <c r="E408" s="2" t="s">
        <v>106</v>
      </c>
      <c r="F408" s="2" t="s">
        <v>428</v>
      </c>
      <c r="G408" s="2" t="s">
        <v>245</v>
      </c>
      <c r="H408" s="2" t="s">
        <v>427</v>
      </c>
      <c r="I408" s="2" t="s">
        <v>33</v>
      </c>
      <c r="J408" s="2" t="s">
        <v>109</v>
      </c>
      <c r="K408" s="2" t="s">
        <v>20</v>
      </c>
      <c r="L408" s="2" t="s">
        <v>21</v>
      </c>
      <c r="M408" s="2" t="s">
        <v>22</v>
      </c>
      <c r="N408" s="2" t="s">
        <v>15</v>
      </c>
      <c r="O408" s="2" t="s">
        <v>430</v>
      </c>
      <c r="P408" s="2" t="s">
        <v>1775</v>
      </c>
      <c r="Q408" s="2" t="s">
        <v>4926</v>
      </c>
      <c r="R408" s="2" t="s">
        <v>625</v>
      </c>
      <c r="S408" s="2" t="s">
        <v>736</v>
      </c>
      <c r="T408" s="2" t="s">
        <v>167</v>
      </c>
      <c r="U408" s="2" t="s">
        <v>12</v>
      </c>
      <c r="V408" s="2" t="s">
        <v>4896</v>
      </c>
      <c r="W408" s="2" t="s">
        <v>4982</v>
      </c>
      <c r="X408" s="2" t="s">
        <v>4925</v>
      </c>
      <c r="Y408" s="2" t="s">
        <v>1774</v>
      </c>
      <c r="Z408" s="2" t="s">
        <v>5648</v>
      </c>
      <c r="AA4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4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8" s="6" t="str">
        <f>IF(_xlfn.IFNA(INDEX(configuracoes!$A$2:$A$10,MATCH(base_tc_geral[[#This Row],[TIPO]],configuracoes!$A$2:$A$10,0)),"NÃO")="NÃO","NÃO","SIM")</f>
        <v>SIM</v>
      </c>
    </row>
    <row r="409" spans="1:31" x14ac:dyDescent="0.25">
      <c r="A409" s="2" t="s">
        <v>1755</v>
      </c>
      <c r="B409" s="2">
        <v>109504012</v>
      </c>
      <c r="C409" s="2" t="s">
        <v>15</v>
      </c>
      <c r="D409" s="2" t="s">
        <v>4486</v>
      </c>
      <c r="E409" s="2" t="s">
        <v>28</v>
      </c>
      <c r="F409" s="2" t="s">
        <v>570</v>
      </c>
      <c r="G409" s="2" t="s">
        <v>630</v>
      </c>
      <c r="H409" s="2" t="s">
        <v>34</v>
      </c>
      <c r="I409" s="2" t="s">
        <v>33</v>
      </c>
      <c r="J409" s="2" t="s">
        <v>34</v>
      </c>
      <c r="K409" s="2" t="s">
        <v>20</v>
      </c>
      <c r="L409" s="2" t="s">
        <v>21</v>
      </c>
      <c r="M409" s="2" t="s">
        <v>22</v>
      </c>
      <c r="N409" s="2" t="s">
        <v>15</v>
      </c>
      <c r="O409" s="2" t="s">
        <v>156</v>
      </c>
      <c r="P409" s="2" t="s">
        <v>1757</v>
      </c>
      <c r="Q409" s="2" t="s">
        <v>4926</v>
      </c>
      <c r="R409" s="2" t="s">
        <v>166</v>
      </c>
      <c r="S409" s="2" t="s">
        <v>167</v>
      </c>
      <c r="T409" s="2" t="s">
        <v>167</v>
      </c>
      <c r="U409" s="2" t="s">
        <v>12</v>
      </c>
      <c r="V409" s="2" t="s">
        <v>4775</v>
      </c>
      <c r="W409" s="2" t="s">
        <v>4982</v>
      </c>
      <c r="X409" s="2" t="s">
        <v>4925</v>
      </c>
      <c r="Y409" s="2" t="s">
        <v>1756</v>
      </c>
      <c r="Z409" s="2" t="s">
        <v>5649</v>
      </c>
      <c r="AA4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4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09" s="6" t="str">
        <f>IF(_xlfn.IFNA(INDEX(configuracoes!$A$2:$A$10,MATCH(base_tc_geral[[#This Row],[TIPO]],configuracoes!$A$2:$A$10,0)),"NÃO")="NÃO","NÃO","SIM")</f>
        <v>SIM</v>
      </c>
    </row>
    <row r="410" spans="1:31" x14ac:dyDescent="0.25">
      <c r="A410" s="2" t="s">
        <v>3923</v>
      </c>
      <c r="B410" s="2">
        <v>105303134</v>
      </c>
      <c r="C410" s="2" t="s">
        <v>15</v>
      </c>
      <c r="D410" s="2" t="s">
        <v>4633</v>
      </c>
      <c r="E410" s="2" t="s">
        <v>28</v>
      </c>
      <c r="F410" s="2" t="s">
        <v>290</v>
      </c>
      <c r="G410" s="2" t="s">
        <v>58</v>
      </c>
      <c r="H410" s="2" t="s">
        <v>34</v>
      </c>
      <c r="I410" s="2" t="s">
        <v>33</v>
      </c>
      <c r="J410" s="2" t="s">
        <v>34</v>
      </c>
      <c r="K410" s="2" t="s">
        <v>13</v>
      </c>
      <c r="L410" s="2" t="s">
        <v>61</v>
      </c>
      <c r="M410" s="2" t="s">
        <v>38</v>
      </c>
      <c r="N410" s="2" t="s">
        <v>15</v>
      </c>
      <c r="O410" s="2" t="s">
        <v>156</v>
      </c>
      <c r="P410" s="2" t="s">
        <v>3925</v>
      </c>
      <c r="Q410" s="2" t="s">
        <v>4926</v>
      </c>
      <c r="R410" s="2" t="s">
        <v>442</v>
      </c>
      <c r="S410" s="2" t="s">
        <v>167</v>
      </c>
      <c r="T410" s="2" t="s">
        <v>167</v>
      </c>
      <c r="U410" s="2" t="s">
        <v>12</v>
      </c>
      <c r="V410" s="2" t="s">
        <v>4763</v>
      </c>
      <c r="W410" s="2" t="s">
        <v>4999</v>
      </c>
      <c r="X410" s="2" t="s">
        <v>38</v>
      </c>
      <c r="Y410" s="2" t="s">
        <v>3924</v>
      </c>
      <c r="Z410" s="2" t="s">
        <v>5650</v>
      </c>
      <c r="AA4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4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0" s="6" t="str">
        <f>IF(_xlfn.IFNA(INDEX(configuracoes!$A$2:$A$10,MATCH(base_tc_geral[[#This Row],[TIPO]],configuracoes!$A$2:$A$10,0)),"NÃO")="NÃO","NÃO","SIM")</f>
        <v>NÃO</v>
      </c>
    </row>
    <row r="411" spans="1:31" x14ac:dyDescent="0.25">
      <c r="A411" s="2" t="s">
        <v>2273</v>
      </c>
      <c r="B411" s="2">
        <v>109000340</v>
      </c>
      <c r="C411" s="2" t="s">
        <v>15</v>
      </c>
      <c r="D411" s="2" t="s">
        <v>4506</v>
      </c>
      <c r="E411" s="2" t="s">
        <v>86</v>
      </c>
      <c r="F411" s="2" t="s">
        <v>199</v>
      </c>
      <c r="G411" s="2" t="s">
        <v>89</v>
      </c>
      <c r="H411" s="2" t="s">
        <v>198</v>
      </c>
      <c r="I411" s="2" t="s">
        <v>33</v>
      </c>
      <c r="J411" s="2" t="s">
        <v>91</v>
      </c>
      <c r="K411" s="2" t="s">
        <v>92</v>
      </c>
      <c r="L411" s="2" t="s">
        <v>37</v>
      </c>
      <c r="M411" s="2" t="s">
        <v>44</v>
      </c>
      <c r="N411" s="2" t="s">
        <v>15</v>
      </c>
      <c r="O411" s="2" t="s">
        <v>201</v>
      </c>
      <c r="P411" s="2" t="s">
        <v>2275</v>
      </c>
      <c r="Q411" s="2" t="s">
        <v>4926</v>
      </c>
      <c r="R411" s="2" t="s">
        <v>90</v>
      </c>
      <c r="S411" s="2" t="s">
        <v>93</v>
      </c>
      <c r="T411" s="2" t="s">
        <v>4696</v>
      </c>
      <c r="U411" s="2" t="s">
        <v>12</v>
      </c>
      <c r="V411" s="2" t="s">
        <v>4796</v>
      </c>
      <c r="W411" s="2" t="s">
        <v>4999</v>
      </c>
      <c r="X411" s="2" t="s">
        <v>44</v>
      </c>
      <c r="Y411" s="2" t="s">
        <v>2274</v>
      </c>
      <c r="Z411" s="2" t="s">
        <v>5651</v>
      </c>
      <c r="AA4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4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1" s="6" t="str">
        <f>IF(_xlfn.IFNA(INDEX(configuracoes!$A$2:$A$10,MATCH(base_tc_geral[[#This Row],[TIPO]],configuracoes!$A$2:$A$10,0)),"NÃO")="NÃO","NÃO","SIM")</f>
        <v>NÃO</v>
      </c>
    </row>
    <row r="412" spans="1:31" x14ac:dyDescent="0.25">
      <c r="A412" s="2" t="s">
        <v>3515</v>
      </c>
      <c r="B412" s="2">
        <v>102101634</v>
      </c>
      <c r="C412" s="2" t="s">
        <v>15</v>
      </c>
      <c r="D412" s="2" t="s">
        <v>4484</v>
      </c>
      <c r="E412" s="2" t="s">
        <v>106</v>
      </c>
      <c r="F412" s="2" t="s">
        <v>186</v>
      </c>
      <c r="G412" s="2" t="s">
        <v>245</v>
      </c>
      <c r="H412" s="2" t="s">
        <v>107</v>
      </c>
      <c r="I412" s="2" t="s">
        <v>33</v>
      </c>
      <c r="J412" s="2" t="s">
        <v>109</v>
      </c>
      <c r="K412" s="2" t="s">
        <v>20</v>
      </c>
      <c r="L412" s="2" t="s">
        <v>21</v>
      </c>
      <c r="M412" s="2" t="s">
        <v>22</v>
      </c>
      <c r="N412" s="2" t="s">
        <v>15</v>
      </c>
      <c r="O412" s="2" t="s">
        <v>112</v>
      </c>
      <c r="P412" s="2" t="s">
        <v>3517</v>
      </c>
      <c r="Q412" s="2" t="s">
        <v>4926</v>
      </c>
      <c r="R412" s="2" t="s">
        <v>406</v>
      </c>
      <c r="S412" s="2" t="s">
        <v>736</v>
      </c>
      <c r="T412" s="2" t="s">
        <v>167</v>
      </c>
      <c r="U412" s="2" t="s">
        <v>12</v>
      </c>
      <c r="V412" s="2" t="s">
        <v>4853</v>
      </c>
      <c r="W412" s="2" t="s">
        <v>4982</v>
      </c>
      <c r="X412" s="2" t="s">
        <v>4925</v>
      </c>
      <c r="Y412" s="2" t="s">
        <v>3516</v>
      </c>
      <c r="Z412" s="2" t="s">
        <v>5283</v>
      </c>
      <c r="AA4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4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2" s="6" t="str">
        <f>IF(_xlfn.IFNA(INDEX(configuracoes!$A$2:$A$10,MATCH(base_tc_geral[[#This Row],[TIPO]],configuracoes!$A$2:$A$10,0)),"NÃO")="NÃO","NÃO","SIM")</f>
        <v>SIM</v>
      </c>
    </row>
    <row r="413" spans="1:31" x14ac:dyDescent="0.25">
      <c r="A413" s="2" t="s">
        <v>2983</v>
      </c>
      <c r="B413" s="2">
        <v>101010062</v>
      </c>
      <c r="C413" s="2" t="s">
        <v>15</v>
      </c>
      <c r="D413" s="2" t="s">
        <v>4584</v>
      </c>
      <c r="E413" s="2" t="s">
        <v>47</v>
      </c>
      <c r="F413" s="2" t="s">
        <v>181</v>
      </c>
      <c r="G413" s="2" t="s">
        <v>172</v>
      </c>
      <c r="H413" s="2" t="s">
        <v>66</v>
      </c>
      <c r="I413" s="2" t="s">
        <v>16</v>
      </c>
      <c r="J413" s="2" t="s">
        <v>66</v>
      </c>
      <c r="K413" s="2" t="s">
        <v>13</v>
      </c>
      <c r="L413" s="2" t="s">
        <v>17</v>
      </c>
      <c r="M413" s="2" t="s">
        <v>18</v>
      </c>
      <c r="N413" s="2" t="s">
        <v>15</v>
      </c>
      <c r="O413" s="2" t="s">
        <v>71</v>
      </c>
      <c r="P413" s="2" t="s">
        <v>2985</v>
      </c>
      <c r="Q413" s="2" t="s">
        <v>4926</v>
      </c>
      <c r="R413" s="2" t="s">
        <v>1699</v>
      </c>
      <c r="S413" s="2" t="s">
        <v>4698</v>
      </c>
      <c r="T413" s="2" t="s">
        <v>4697</v>
      </c>
      <c r="U413" s="2" t="s">
        <v>12</v>
      </c>
      <c r="V413" s="2" t="s">
        <v>4792</v>
      </c>
      <c r="W413" s="2" t="s">
        <v>17</v>
      </c>
      <c r="X413" s="2" t="s">
        <v>4998</v>
      </c>
      <c r="Y413" s="2" t="s">
        <v>2984</v>
      </c>
      <c r="Z413" s="2" t="s">
        <v>5284</v>
      </c>
      <c r="AA4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4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4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3" s="6" t="str">
        <f>IF(_xlfn.IFNA(INDEX(configuracoes!$A$2:$A$10,MATCH(base_tc_geral[[#This Row],[TIPO]],configuracoes!$A$2:$A$10,0)),"NÃO")="NÃO","NÃO","SIM")</f>
        <v>NÃO</v>
      </c>
    </row>
    <row r="414" spans="1:31" x14ac:dyDescent="0.25">
      <c r="A414" s="2" t="s">
        <v>4184</v>
      </c>
      <c r="B414" s="2">
        <v>101004033</v>
      </c>
      <c r="C414" s="2" t="s">
        <v>24</v>
      </c>
      <c r="D414" s="2" t="s">
        <v>4482</v>
      </c>
      <c r="E414" s="2" t="s">
        <v>47</v>
      </c>
      <c r="F414" s="2" t="s">
        <v>303</v>
      </c>
      <c r="G414" s="2" t="s">
        <v>58</v>
      </c>
      <c r="H414" s="2" t="s">
        <v>60</v>
      </c>
      <c r="I414" s="2" t="s">
        <v>16</v>
      </c>
      <c r="J414" s="2" t="s">
        <v>60</v>
      </c>
      <c r="K414" s="2" t="s">
        <v>92</v>
      </c>
      <c r="L414" s="2" t="s">
        <v>61</v>
      </c>
      <c r="M414" s="2" t="s">
        <v>44</v>
      </c>
      <c r="N414" s="2" t="s">
        <v>24</v>
      </c>
      <c r="O414" s="2" t="s">
        <v>161</v>
      </c>
      <c r="P414" s="2" t="s">
        <v>4186</v>
      </c>
      <c r="Q414" s="2" t="s">
        <v>4926</v>
      </c>
      <c r="R414" s="2" t="s">
        <v>304</v>
      </c>
      <c r="S414" s="2" t="s">
        <v>51</v>
      </c>
      <c r="T414" s="2" t="s">
        <v>4697</v>
      </c>
      <c r="U414" s="2" t="s">
        <v>39</v>
      </c>
      <c r="V414" s="2" t="s">
        <v>4813</v>
      </c>
      <c r="W414" s="2" t="s">
        <v>5013</v>
      </c>
      <c r="X414" s="2" t="s">
        <v>44</v>
      </c>
      <c r="Y414" s="2" t="s">
        <v>4185</v>
      </c>
      <c r="Z414" s="2" t="s">
        <v>5285</v>
      </c>
      <c r="AA4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4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4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14" s="6" t="str">
        <f>IF(_xlfn.IFNA(INDEX(configuracoes!$A$2:$A$10,MATCH(base_tc_geral[[#This Row],[TIPO]],configuracoes!$A$2:$A$10,0)),"NÃO")="NÃO","NÃO","SIM")</f>
        <v>NÃO</v>
      </c>
    </row>
    <row r="415" spans="1:31" x14ac:dyDescent="0.25">
      <c r="A415" s="2" t="s">
        <v>1091</v>
      </c>
      <c r="B415" s="2">
        <v>102100390</v>
      </c>
      <c r="C415" s="2" t="s">
        <v>15</v>
      </c>
      <c r="D415" s="2" t="s">
        <v>4526</v>
      </c>
      <c r="E415" s="2" t="s">
        <v>106</v>
      </c>
      <c r="F415" s="2" t="s">
        <v>405</v>
      </c>
      <c r="G415" s="2" t="s">
        <v>870</v>
      </c>
      <c r="H415" s="2" t="s">
        <v>130</v>
      </c>
      <c r="I415" s="2" t="s">
        <v>33</v>
      </c>
      <c r="J415" s="2" t="s">
        <v>109</v>
      </c>
      <c r="K415" s="2" t="s">
        <v>13</v>
      </c>
      <c r="L415" s="2" t="s">
        <v>76</v>
      </c>
      <c r="M415" s="2" t="s">
        <v>22</v>
      </c>
      <c r="N415" s="2" t="s">
        <v>15</v>
      </c>
      <c r="O415" s="2" t="s">
        <v>132</v>
      </c>
      <c r="P415" s="2" t="s">
        <v>1094</v>
      </c>
      <c r="Q415" s="2" t="s">
        <v>4926</v>
      </c>
      <c r="R415" s="2" t="s">
        <v>1092</v>
      </c>
      <c r="S415" s="2" t="s">
        <v>736</v>
      </c>
      <c r="T415" s="2" t="s">
        <v>167</v>
      </c>
      <c r="U415" s="2" t="s">
        <v>12</v>
      </c>
      <c r="V415" s="2" t="s">
        <v>4901</v>
      </c>
      <c r="W415" s="2" t="s">
        <v>4982</v>
      </c>
      <c r="X415" s="2" t="s">
        <v>4925</v>
      </c>
      <c r="Y415" s="2" t="s">
        <v>1093</v>
      </c>
      <c r="Z415" s="2" t="s">
        <v>5286</v>
      </c>
      <c r="AA4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4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5" s="6" t="str">
        <f>IF(_xlfn.IFNA(INDEX(configuracoes!$A$2:$A$10,MATCH(base_tc_geral[[#This Row],[TIPO]],configuracoes!$A$2:$A$10,0)),"NÃO")="NÃO","NÃO","SIM")</f>
        <v>SIM</v>
      </c>
    </row>
    <row r="416" spans="1:31" x14ac:dyDescent="0.25">
      <c r="A416" s="2" t="s">
        <v>1979</v>
      </c>
      <c r="B416" s="2">
        <v>109000926</v>
      </c>
      <c r="C416" s="2" t="s">
        <v>15</v>
      </c>
      <c r="D416" s="2" t="s">
        <v>4559</v>
      </c>
      <c r="E416" s="2" t="s">
        <v>86</v>
      </c>
      <c r="F416" s="2" t="s">
        <v>590</v>
      </c>
      <c r="G416" s="2" t="s">
        <v>245</v>
      </c>
      <c r="H416" s="2" t="s">
        <v>122</v>
      </c>
      <c r="I416" s="2" t="s">
        <v>33</v>
      </c>
      <c r="J416" s="2" t="s">
        <v>124</v>
      </c>
      <c r="K416" s="2" t="s">
        <v>20</v>
      </c>
      <c r="L416" s="2" t="s">
        <v>21</v>
      </c>
      <c r="M416" s="2" t="s">
        <v>22</v>
      </c>
      <c r="N416" s="2" t="s">
        <v>15</v>
      </c>
      <c r="O416" s="2" t="s">
        <v>129</v>
      </c>
      <c r="P416" s="2" t="s">
        <v>1981</v>
      </c>
      <c r="Q416" s="2" t="s">
        <v>4926</v>
      </c>
      <c r="R416" s="2" t="s">
        <v>285</v>
      </c>
      <c r="S416" s="2" t="s">
        <v>125</v>
      </c>
      <c r="T416" s="2" t="s">
        <v>4696</v>
      </c>
      <c r="U416" s="2" t="s">
        <v>12</v>
      </c>
      <c r="V416" s="2" t="s">
        <v>4777</v>
      </c>
      <c r="W416" s="2" t="s">
        <v>4999</v>
      </c>
      <c r="X416" s="2" t="s">
        <v>4925</v>
      </c>
      <c r="Y416" s="2" t="s">
        <v>1980</v>
      </c>
      <c r="Z416" s="2" t="s">
        <v>5287</v>
      </c>
      <c r="AA4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4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6" s="6" t="str">
        <f>IF(_xlfn.IFNA(INDEX(configuracoes!$A$2:$A$10,MATCH(base_tc_geral[[#This Row],[TIPO]],configuracoes!$A$2:$A$10,0)),"NÃO")="NÃO","NÃO","SIM")</f>
        <v>SIM</v>
      </c>
    </row>
    <row r="417" spans="1:31" x14ac:dyDescent="0.25">
      <c r="A417" s="2" t="s">
        <v>1547</v>
      </c>
      <c r="B417" s="2">
        <v>109505858</v>
      </c>
      <c r="C417" s="2" t="s">
        <v>15</v>
      </c>
      <c r="D417" s="2" t="s">
        <v>4621</v>
      </c>
      <c r="E417" s="2" t="s">
        <v>86</v>
      </c>
      <c r="F417" s="2" t="s">
        <v>817</v>
      </c>
      <c r="G417" s="2" t="s">
        <v>637</v>
      </c>
      <c r="H417" s="2" t="s">
        <v>217</v>
      </c>
      <c r="I417" s="2" t="s">
        <v>33</v>
      </c>
      <c r="J417" s="2" t="s">
        <v>91</v>
      </c>
      <c r="K417" s="2" t="s">
        <v>20</v>
      </c>
      <c r="L417" s="2" t="s">
        <v>19</v>
      </c>
      <c r="M417" s="2" t="s">
        <v>22</v>
      </c>
      <c r="N417" s="2" t="s">
        <v>15</v>
      </c>
      <c r="O417" s="2" t="s">
        <v>221</v>
      </c>
      <c r="P417" s="2" t="s">
        <v>1549</v>
      </c>
      <c r="Q417" s="2" t="s">
        <v>4926</v>
      </c>
      <c r="R417" s="2" t="s">
        <v>1466</v>
      </c>
      <c r="S417" s="2" t="s">
        <v>93</v>
      </c>
      <c r="T417" s="2" t="s">
        <v>4696</v>
      </c>
      <c r="U417" s="2" t="s">
        <v>12</v>
      </c>
      <c r="V417" s="2" t="s">
        <v>4802</v>
      </c>
      <c r="W417" s="2" t="s">
        <v>4982</v>
      </c>
      <c r="X417" s="2" t="s">
        <v>4925</v>
      </c>
      <c r="Y417" s="2" t="s">
        <v>1548</v>
      </c>
      <c r="Z417" s="2" t="s">
        <v>5288</v>
      </c>
      <c r="AA4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7" s="6" t="str">
        <f>IF(_xlfn.IFNA(INDEX(configuracoes!$A$2:$A$10,MATCH(base_tc_geral[[#This Row],[TIPO]],configuracoes!$A$2:$A$10,0)),"NÃO")="NÃO","NÃO","SIM")</f>
        <v>SIM</v>
      </c>
    </row>
    <row r="418" spans="1:31" x14ac:dyDescent="0.25">
      <c r="A418" s="2" t="s">
        <v>575</v>
      </c>
      <c r="B418" s="2">
        <v>109000017</v>
      </c>
      <c r="C418" s="2" t="s">
        <v>15</v>
      </c>
      <c r="D418" s="2" t="s">
        <v>4496</v>
      </c>
      <c r="E418" s="2" t="s">
        <v>86</v>
      </c>
      <c r="F418" s="2" t="s">
        <v>211</v>
      </c>
      <c r="G418" s="2" t="s">
        <v>245</v>
      </c>
      <c r="H418" s="2" t="s">
        <v>210</v>
      </c>
      <c r="I418" s="2" t="s">
        <v>33</v>
      </c>
      <c r="J418" s="2" t="s">
        <v>124</v>
      </c>
      <c r="K418" s="2" t="s">
        <v>20</v>
      </c>
      <c r="L418" s="2" t="s">
        <v>21</v>
      </c>
      <c r="M418" s="2" t="s">
        <v>22</v>
      </c>
      <c r="N418" s="2" t="s">
        <v>15</v>
      </c>
      <c r="O418" s="2" t="s">
        <v>214</v>
      </c>
      <c r="P418" s="2" t="s">
        <v>577</v>
      </c>
      <c r="Q418" s="2" t="s">
        <v>4926</v>
      </c>
      <c r="R418" s="2" t="s">
        <v>212</v>
      </c>
      <c r="S418" s="2" t="s">
        <v>93</v>
      </c>
      <c r="T418" s="2" t="s">
        <v>4696</v>
      </c>
      <c r="U418" s="2" t="s">
        <v>12</v>
      </c>
      <c r="V418" s="2" t="s">
        <v>4820</v>
      </c>
      <c r="W418" s="2" t="s">
        <v>4982</v>
      </c>
      <c r="X418" s="2" t="s">
        <v>4925</v>
      </c>
      <c r="Y418" s="2" t="s">
        <v>576</v>
      </c>
      <c r="Z418" s="2" t="s">
        <v>5652</v>
      </c>
      <c r="AA4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4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8" s="6" t="str">
        <f>IF(_xlfn.IFNA(INDEX(configuracoes!$A$2:$A$10,MATCH(base_tc_geral[[#This Row],[TIPO]],configuracoes!$A$2:$A$10,0)),"NÃO")="NÃO","NÃO","SIM")</f>
        <v>SIM</v>
      </c>
    </row>
    <row r="419" spans="1:31" x14ac:dyDescent="0.25">
      <c r="A419" s="2" t="s">
        <v>45</v>
      </c>
      <c r="B419" s="2">
        <v>101006811</v>
      </c>
      <c r="C419" s="2" t="s">
        <v>15</v>
      </c>
      <c r="D419" s="2" t="s">
        <v>4564</v>
      </c>
      <c r="E419" s="2" t="s">
        <v>47</v>
      </c>
      <c r="F419" s="2" t="s">
        <v>49</v>
      </c>
      <c r="G419" s="2" t="s">
        <v>245</v>
      </c>
      <c r="H419" s="2" t="s">
        <v>48</v>
      </c>
      <c r="I419" s="2" t="s">
        <v>16</v>
      </c>
      <c r="J419" s="2" t="s">
        <v>48</v>
      </c>
      <c r="K419" s="2" t="s">
        <v>20</v>
      </c>
      <c r="L419" s="2" t="s">
        <v>21</v>
      </c>
      <c r="M419" s="2" t="s">
        <v>22</v>
      </c>
      <c r="N419" s="2" t="s">
        <v>15</v>
      </c>
      <c r="O419" s="2" t="s">
        <v>53</v>
      </c>
      <c r="P419" s="2" t="s">
        <v>52</v>
      </c>
      <c r="Q419" s="2" t="s">
        <v>4926</v>
      </c>
      <c r="R419" s="2" t="s">
        <v>50</v>
      </c>
      <c r="S419" s="2" t="s">
        <v>51</v>
      </c>
      <c r="T419" s="2" t="s">
        <v>4697</v>
      </c>
      <c r="U419" s="2" t="s">
        <v>12</v>
      </c>
      <c r="V419" s="2" t="s">
        <v>4860</v>
      </c>
      <c r="W419" s="2" t="s">
        <v>4982</v>
      </c>
      <c r="X419" s="2" t="s">
        <v>4925</v>
      </c>
      <c r="Y419" s="2" t="s">
        <v>46</v>
      </c>
      <c r="Z419" s="2" t="s">
        <v>5653</v>
      </c>
      <c r="AA4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4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4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19" s="6" t="str">
        <f>IF(_xlfn.IFNA(INDEX(configuracoes!$A$2:$A$10,MATCH(base_tc_geral[[#This Row],[TIPO]],configuracoes!$A$2:$A$10,0)),"NÃO")="NÃO","NÃO","SIM")</f>
        <v>SIM</v>
      </c>
    </row>
    <row r="420" spans="1:31" x14ac:dyDescent="0.25">
      <c r="A420" s="2" t="s">
        <v>2595</v>
      </c>
      <c r="B420" s="2">
        <v>109505858</v>
      </c>
      <c r="C420" s="2" t="s">
        <v>15</v>
      </c>
      <c r="D420" s="2" t="s">
        <v>4489</v>
      </c>
      <c r="E420" s="2" t="s">
        <v>86</v>
      </c>
      <c r="F420" s="2" t="s">
        <v>559</v>
      </c>
      <c r="G420" s="2" t="s">
        <v>89</v>
      </c>
      <c r="H420" s="2" t="s">
        <v>558</v>
      </c>
      <c r="I420" s="2" t="s">
        <v>33</v>
      </c>
      <c r="J420" s="2" t="s">
        <v>91</v>
      </c>
      <c r="K420" s="2" t="s">
        <v>92</v>
      </c>
      <c r="L420" s="2" t="s">
        <v>37</v>
      </c>
      <c r="M420" s="2" t="s">
        <v>44</v>
      </c>
      <c r="N420" s="2" t="s">
        <v>15</v>
      </c>
      <c r="O420" s="2" t="s">
        <v>561</v>
      </c>
      <c r="P420" s="2" t="s">
        <v>2597</v>
      </c>
      <c r="Q420" s="2" t="s">
        <v>4926</v>
      </c>
      <c r="R420" s="2" t="s">
        <v>1466</v>
      </c>
      <c r="S420" s="2" t="s">
        <v>93</v>
      </c>
      <c r="T420" s="2" t="s">
        <v>4696</v>
      </c>
      <c r="U420" s="2" t="s">
        <v>12</v>
      </c>
      <c r="V420" s="2" t="s">
        <v>4802</v>
      </c>
      <c r="W420" s="2" t="s">
        <v>4999</v>
      </c>
      <c r="X420" s="2" t="s">
        <v>44</v>
      </c>
      <c r="Y420" s="2" t="s">
        <v>2596</v>
      </c>
      <c r="Z420" s="2" t="s">
        <v>5654</v>
      </c>
      <c r="AA4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20" s="6" t="str">
        <f>IF(_xlfn.IFNA(INDEX(configuracoes!$A$2:$A$10,MATCH(base_tc_geral[[#This Row],[TIPO]],configuracoes!$A$2:$A$10,0)),"NÃO")="NÃO","NÃO","SIM")</f>
        <v>NÃO</v>
      </c>
    </row>
    <row r="421" spans="1:31" x14ac:dyDescent="0.25">
      <c r="A421" s="2" t="s">
        <v>3289</v>
      </c>
      <c r="B421" s="2">
        <v>101008003</v>
      </c>
      <c r="C421" s="2" t="s">
        <v>15</v>
      </c>
      <c r="D421" s="2" t="s">
        <v>4490</v>
      </c>
      <c r="E421" s="2" t="s">
        <v>47</v>
      </c>
      <c r="F421" s="2" t="s">
        <v>159</v>
      </c>
      <c r="G421" s="2" t="s">
        <v>99</v>
      </c>
      <c r="H421" s="2" t="s">
        <v>60</v>
      </c>
      <c r="I421" s="2" t="s">
        <v>16</v>
      </c>
      <c r="J421" s="2" t="s">
        <v>60</v>
      </c>
      <c r="K421" s="2" t="s">
        <v>13</v>
      </c>
      <c r="L421" s="2" t="s">
        <v>25</v>
      </c>
      <c r="M421" s="2" t="s">
        <v>22</v>
      </c>
      <c r="N421" s="2" t="s">
        <v>15</v>
      </c>
      <c r="O421" s="2" t="s">
        <v>161</v>
      </c>
      <c r="P421" s="2" t="s">
        <v>3291</v>
      </c>
      <c r="Q421" s="2" t="s">
        <v>4926</v>
      </c>
      <c r="R421" s="2" t="s">
        <v>100</v>
      </c>
      <c r="S421" s="2" t="s">
        <v>101</v>
      </c>
      <c r="T421" s="2" t="s">
        <v>4697</v>
      </c>
      <c r="U421" s="2" t="s">
        <v>12</v>
      </c>
      <c r="V421" s="2" t="s">
        <v>4808</v>
      </c>
      <c r="W421" s="2" t="s">
        <v>4931</v>
      </c>
      <c r="X421" s="2" t="s">
        <v>4925</v>
      </c>
      <c r="Y421" s="2" t="s">
        <v>3290</v>
      </c>
      <c r="Z421" s="2" t="s">
        <v>5655</v>
      </c>
      <c r="AA4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4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4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21" s="6" t="str">
        <f>IF(_xlfn.IFNA(INDEX(configuracoes!$A$2:$A$10,MATCH(base_tc_geral[[#This Row],[TIPO]],configuracoes!$A$2:$A$10,0)),"NÃO")="NÃO","NÃO","SIM")</f>
        <v>SIM</v>
      </c>
    </row>
    <row r="422" spans="1:31" x14ac:dyDescent="0.25">
      <c r="A422" s="2" t="s">
        <v>649</v>
      </c>
      <c r="B422" s="2">
        <v>101010210</v>
      </c>
      <c r="C422" s="2" t="s">
        <v>15</v>
      </c>
      <c r="D422" s="2" t="s">
        <v>4488</v>
      </c>
      <c r="E422" s="2" t="s">
        <v>47</v>
      </c>
      <c r="F422" s="2" t="s">
        <v>159</v>
      </c>
      <c r="G422" s="2" t="s">
        <v>99</v>
      </c>
      <c r="H422" s="2" t="s">
        <v>60</v>
      </c>
      <c r="I422" s="2" t="s">
        <v>16</v>
      </c>
      <c r="J422" s="2" t="s">
        <v>60</v>
      </c>
      <c r="K422" s="2" t="s">
        <v>13</v>
      </c>
      <c r="L422" s="2" t="s">
        <v>25</v>
      </c>
      <c r="M422" s="2" t="s">
        <v>22</v>
      </c>
      <c r="N422" s="2" t="s">
        <v>15</v>
      </c>
      <c r="O422" s="2" t="s">
        <v>161</v>
      </c>
      <c r="P422" s="2" t="s">
        <v>651</v>
      </c>
      <c r="Q422" s="2" t="s">
        <v>4926</v>
      </c>
      <c r="R422" s="2" t="s">
        <v>294</v>
      </c>
      <c r="S422" s="2" t="s">
        <v>101</v>
      </c>
      <c r="T422" s="2" t="s">
        <v>4697</v>
      </c>
      <c r="U422" s="2" t="s">
        <v>12</v>
      </c>
      <c r="V422" s="2" t="s">
        <v>4809</v>
      </c>
      <c r="W422" s="2" t="s">
        <v>4931</v>
      </c>
      <c r="X422" s="2" t="s">
        <v>4925</v>
      </c>
      <c r="Y422" s="2" t="s">
        <v>650</v>
      </c>
      <c r="Z422" s="2" t="s">
        <v>5656</v>
      </c>
      <c r="AA4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4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4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22" s="6" t="str">
        <f>IF(_xlfn.IFNA(INDEX(configuracoes!$A$2:$A$10,MATCH(base_tc_geral[[#This Row],[TIPO]],configuracoes!$A$2:$A$10,0)),"NÃO")="NÃO","NÃO","SIM")</f>
        <v>SIM</v>
      </c>
    </row>
    <row r="423" spans="1:31" x14ac:dyDescent="0.25">
      <c r="A423" s="2" t="s">
        <v>553</v>
      </c>
      <c r="B423" s="2">
        <v>109506174</v>
      </c>
      <c r="C423" s="2" t="s">
        <v>15</v>
      </c>
      <c r="D423" s="2" t="s">
        <v>4615</v>
      </c>
      <c r="E423" s="2" t="s">
        <v>86</v>
      </c>
      <c r="F423" s="2" t="s">
        <v>459</v>
      </c>
      <c r="G423" s="2" t="s">
        <v>630</v>
      </c>
      <c r="H423" s="2" t="s">
        <v>458</v>
      </c>
      <c r="I423" s="2" t="s">
        <v>33</v>
      </c>
      <c r="J423" s="2" t="s">
        <v>91</v>
      </c>
      <c r="K423" s="2" t="s">
        <v>20</v>
      </c>
      <c r="L423" s="2" t="s">
        <v>21</v>
      </c>
      <c r="M423" s="2" t="s">
        <v>22</v>
      </c>
      <c r="N423" s="2" t="s">
        <v>15</v>
      </c>
      <c r="O423" s="2" t="s">
        <v>461</v>
      </c>
      <c r="P423" s="2" t="s">
        <v>555</v>
      </c>
      <c r="Q423" s="2" t="s">
        <v>4926</v>
      </c>
      <c r="R423" s="2" t="s">
        <v>2782</v>
      </c>
      <c r="S423" s="2" t="s">
        <v>93</v>
      </c>
      <c r="T423" s="2" t="s">
        <v>4696</v>
      </c>
      <c r="U423" s="2" t="s">
        <v>12</v>
      </c>
      <c r="V423" s="2" t="s">
        <v>4796</v>
      </c>
      <c r="W423" s="2" t="s">
        <v>4982</v>
      </c>
      <c r="X423" s="2" t="s">
        <v>4925</v>
      </c>
      <c r="Y423" s="2" t="s">
        <v>554</v>
      </c>
      <c r="Z423" s="2" t="s">
        <v>5657</v>
      </c>
      <c r="AA4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4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23" s="6" t="str">
        <f>IF(_xlfn.IFNA(INDEX(configuracoes!$A$2:$A$10,MATCH(base_tc_geral[[#This Row],[TIPO]],configuracoes!$A$2:$A$10,0)),"NÃO")="NÃO","NÃO","SIM")</f>
        <v>SIM</v>
      </c>
    </row>
    <row r="424" spans="1:31" x14ac:dyDescent="0.25">
      <c r="A424" s="2" t="s">
        <v>4019</v>
      </c>
      <c r="B424" s="2">
        <v>109000340</v>
      </c>
      <c r="C424" s="2" t="s">
        <v>15</v>
      </c>
      <c r="D424" s="2" t="s">
        <v>4548</v>
      </c>
      <c r="E424" s="2" t="s">
        <v>86</v>
      </c>
      <c r="F424" s="2" t="s">
        <v>1320</v>
      </c>
      <c r="G424" s="2" t="s">
        <v>637</v>
      </c>
      <c r="H424" s="2" t="s">
        <v>1321</v>
      </c>
      <c r="I424" s="2" t="s">
        <v>33</v>
      </c>
      <c r="J424" s="2" t="s">
        <v>91</v>
      </c>
      <c r="K424" s="2" t="s">
        <v>20</v>
      </c>
      <c r="L424" s="2" t="s">
        <v>19</v>
      </c>
      <c r="M424" s="2" t="s">
        <v>22</v>
      </c>
      <c r="N424" s="2" t="s">
        <v>15</v>
      </c>
      <c r="O424" s="2" t="s">
        <v>1322</v>
      </c>
      <c r="P424" s="2" t="s">
        <v>4021</v>
      </c>
      <c r="Q424" s="2" t="s">
        <v>4926</v>
      </c>
      <c r="R424" s="2" t="s">
        <v>90</v>
      </c>
      <c r="S424" s="2" t="s">
        <v>93</v>
      </c>
      <c r="T424" s="2" t="s">
        <v>4696</v>
      </c>
      <c r="U424" s="2" t="s">
        <v>12</v>
      </c>
      <c r="V424" s="2" t="s">
        <v>4898</v>
      </c>
      <c r="W424" s="2" t="s">
        <v>4982</v>
      </c>
      <c r="X424" s="2" t="s">
        <v>4925</v>
      </c>
      <c r="Y424" s="2" t="s">
        <v>4020</v>
      </c>
      <c r="Z424" s="2" t="s">
        <v>5658</v>
      </c>
      <c r="AA4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4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24" s="6" t="str">
        <f>IF(_xlfn.IFNA(INDEX(configuracoes!$A$2:$A$10,MATCH(base_tc_geral[[#This Row],[TIPO]],configuracoes!$A$2:$A$10,0)),"NÃO")="NÃO","NÃO","SIM")</f>
        <v>SIM</v>
      </c>
    </row>
    <row r="425" spans="1:31" x14ac:dyDescent="0.25">
      <c r="A425" s="2" t="s">
        <v>3706</v>
      </c>
      <c r="B425" s="2">
        <v>109505819</v>
      </c>
      <c r="C425" s="2" t="s">
        <v>24</v>
      </c>
      <c r="D425" s="2" t="s">
        <v>4482</v>
      </c>
      <c r="E425" s="2" t="s">
        <v>86</v>
      </c>
      <c r="F425" s="2" t="s">
        <v>165</v>
      </c>
      <c r="G425" s="2" t="s">
        <v>245</v>
      </c>
      <c r="H425" s="2" t="s">
        <v>164</v>
      </c>
      <c r="I425" s="2" t="s">
        <v>33</v>
      </c>
      <c r="J425" s="2" t="s">
        <v>124</v>
      </c>
      <c r="K425" s="2" t="s">
        <v>20</v>
      </c>
      <c r="L425" s="2" t="s">
        <v>21</v>
      </c>
      <c r="M425" s="2" t="s">
        <v>22</v>
      </c>
      <c r="N425" s="2" t="s">
        <v>24</v>
      </c>
      <c r="O425" s="2" t="s">
        <v>169</v>
      </c>
      <c r="P425" s="2" t="s">
        <v>3708</v>
      </c>
      <c r="Q425" s="2" t="s">
        <v>4926</v>
      </c>
      <c r="R425" s="2" t="s">
        <v>3459</v>
      </c>
      <c r="S425" s="2" t="s">
        <v>93</v>
      </c>
      <c r="T425" s="2" t="s">
        <v>4696</v>
      </c>
      <c r="U425" s="2" t="s">
        <v>39</v>
      </c>
      <c r="V425" s="2" t="s">
        <v>4785</v>
      </c>
      <c r="W425" s="2" t="s">
        <v>4982</v>
      </c>
      <c r="X425" s="2" t="s">
        <v>4925</v>
      </c>
      <c r="Y425" s="2" t="s">
        <v>3707</v>
      </c>
      <c r="Z425" s="2" t="s">
        <v>5659</v>
      </c>
      <c r="AA4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4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25" s="6" t="str">
        <f>IF(_xlfn.IFNA(INDEX(configuracoes!$A$2:$A$10,MATCH(base_tc_geral[[#This Row],[TIPO]],configuracoes!$A$2:$A$10,0)),"NÃO")="NÃO","NÃO","SIM")</f>
        <v>SIM</v>
      </c>
    </row>
    <row r="426" spans="1:31" x14ac:dyDescent="0.25">
      <c r="A426" s="2" t="s">
        <v>3875</v>
      </c>
      <c r="B426" s="2">
        <v>102101642</v>
      </c>
      <c r="C426" s="2" t="s">
        <v>15</v>
      </c>
      <c r="D426" s="2" t="s">
        <v>4486</v>
      </c>
      <c r="E426" s="2" t="s">
        <v>106</v>
      </c>
      <c r="F426" s="2" t="s">
        <v>509</v>
      </c>
      <c r="G426" s="2" t="s">
        <v>245</v>
      </c>
      <c r="H426" s="2" t="s">
        <v>130</v>
      </c>
      <c r="I426" s="2" t="s">
        <v>33</v>
      </c>
      <c r="J426" s="2" t="s">
        <v>109</v>
      </c>
      <c r="K426" s="2" t="s">
        <v>20</v>
      </c>
      <c r="L426" s="2" t="s">
        <v>21</v>
      </c>
      <c r="M426" s="2" t="s">
        <v>22</v>
      </c>
      <c r="N426" s="2" t="s">
        <v>15</v>
      </c>
      <c r="O426" s="2" t="s">
        <v>132</v>
      </c>
      <c r="P426" s="2" t="s">
        <v>3877</v>
      </c>
      <c r="Q426" s="2" t="s">
        <v>4926</v>
      </c>
      <c r="R426" s="2" t="s">
        <v>187</v>
      </c>
      <c r="S426" s="2" t="s">
        <v>736</v>
      </c>
      <c r="T426" s="2" t="s">
        <v>167</v>
      </c>
      <c r="U426" s="2" t="s">
        <v>12</v>
      </c>
      <c r="V426" s="2" t="s">
        <v>4772</v>
      </c>
      <c r="W426" s="2" t="s">
        <v>4982</v>
      </c>
      <c r="X426" s="2" t="s">
        <v>4925</v>
      </c>
      <c r="Y426" s="2" t="s">
        <v>3876</v>
      </c>
      <c r="Z426" s="2" t="s">
        <v>5660</v>
      </c>
      <c r="AA4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4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26" s="6" t="str">
        <f>IF(_xlfn.IFNA(INDEX(configuracoes!$A$2:$A$10,MATCH(base_tc_geral[[#This Row],[TIPO]],configuracoes!$A$2:$A$10,0)),"NÃO")="NÃO","NÃO","SIM")</f>
        <v>SIM</v>
      </c>
    </row>
    <row r="427" spans="1:31" x14ac:dyDescent="0.25">
      <c r="A427" s="2" t="s">
        <v>2646</v>
      </c>
      <c r="B427" s="2">
        <v>105000985</v>
      </c>
      <c r="C427" s="2" t="s">
        <v>24</v>
      </c>
      <c r="D427" s="2" t="s">
        <v>4768</v>
      </c>
      <c r="E427" s="2" t="s">
        <v>28</v>
      </c>
      <c r="F427" s="2" t="s">
        <v>30</v>
      </c>
      <c r="G427" s="2" t="s">
        <v>58</v>
      </c>
      <c r="H427" s="2" t="s">
        <v>29</v>
      </c>
      <c r="I427" s="2" t="s">
        <v>33</v>
      </c>
      <c r="J427" s="2" t="s">
        <v>34</v>
      </c>
      <c r="K427" s="2" t="s">
        <v>13</v>
      </c>
      <c r="L427" s="2" t="s">
        <v>61</v>
      </c>
      <c r="M427" s="2" t="s">
        <v>38</v>
      </c>
      <c r="N427" s="2" t="s">
        <v>24</v>
      </c>
      <c r="O427" s="2" t="s">
        <v>36</v>
      </c>
      <c r="P427" s="2" t="s">
        <v>2648</v>
      </c>
      <c r="Q427" s="2" t="s">
        <v>4926</v>
      </c>
      <c r="R427" s="2" t="s">
        <v>32</v>
      </c>
      <c r="S427" s="2" t="s">
        <v>167</v>
      </c>
      <c r="T427" s="2" t="s">
        <v>167</v>
      </c>
      <c r="U427" s="2" t="s">
        <v>39</v>
      </c>
      <c r="V427" s="2" t="s">
        <v>4851</v>
      </c>
      <c r="W427" s="2" t="s">
        <v>4999</v>
      </c>
      <c r="X427" s="2" t="s">
        <v>38</v>
      </c>
      <c r="Y427" s="2" t="s">
        <v>2647</v>
      </c>
      <c r="Z427" s="2" t="s">
        <v>5661</v>
      </c>
      <c r="AA4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4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27" s="6" t="str">
        <f>IF(_xlfn.IFNA(INDEX(configuracoes!$A$2:$A$10,MATCH(base_tc_geral[[#This Row],[TIPO]],configuracoes!$A$2:$A$10,0)),"NÃO")="NÃO","NÃO","SIM")</f>
        <v>NÃO</v>
      </c>
    </row>
    <row r="428" spans="1:31" x14ac:dyDescent="0.25">
      <c r="A428" s="2" t="s">
        <v>3230</v>
      </c>
      <c r="B428" s="2">
        <v>109505858</v>
      </c>
      <c r="C428" s="2" t="s">
        <v>15</v>
      </c>
      <c r="D428" s="2" t="s">
        <v>4484</v>
      </c>
      <c r="E428" s="2" t="s">
        <v>86</v>
      </c>
      <c r="F428" s="2" t="s">
        <v>817</v>
      </c>
      <c r="G428" s="2" t="s">
        <v>637</v>
      </c>
      <c r="H428" s="2" t="s">
        <v>217</v>
      </c>
      <c r="I428" s="2" t="s">
        <v>33</v>
      </c>
      <c r="J428" s="2" t="s">
        <v>91</v>
      </c>
      <c r="K428" s="2" t="s">
        <v>20</v>
      </c>
      <c r="L428" s="2" t="s">
        <v>19</v>
      </c>
      <c r="M428" s="2" t="s">
        <v>22</v>
      </c>
      <c r="N428" s="2" t="s">
        <v>15</v>
      </c>
      <c r="O428" s="2" t="s">
        <v>221</v>
      </c>
      <c r="P428" s="2" t="s">
        <v>3232</v>
      </c>
      <c r="Q428" s="2" t="s">
        <v>4926</v>
      </c>
      <c r="R428" s="2" t="s">
        <v>1466</v>
      </c>
      <c r="S428" s="2" t="s">
        <v>93</v>
      </c>
      <c r="T428" s="2" t="s">
        <v>4696</v>
      </c>
      <c r="U428" s="2" t="s">
        <v>12</v>
      </c>
      <c r="V428" s="2" t="s">
        <v>4802</v>
      </c>
      <c r="W428" s="2" t="s">
        <v>4982</v>
      </c>
      <c r="X428" s="2" t="s">
        <v>4925</v>
      </c>
      <c r="Y428" s="2" t="s">
        <v>3231</v>
      </c>
      <c r="Z428" s="2" t="s">
        <v>5662</v>
      </c>
      <c r="AA4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28" s="6" t="str">
        <f>IF(_xlfn.IFNA(INDEX(configuracoes!$A$2:$A$10,MATCH(base_tc_geral[[#This Row],[TIPO]],configuracoes!$A$2:$A$10,0)),"NÃO")="NÃO","NÃO","SIM")</f>
        <v>SIM</v>
      </c>
    </row>
    <row r="429" spans="1:31" x14ac:dyDescent="0.25">
      <c r="A429" s="2" t="s">
        <v>3781</v>
      </c>
      <c r="B429" s="2">
        <v>102101634</v>
      </c>
      <c r="C429" s="2" t="s">
        <v>24</v>
      </c>
      <c r="D429" s="2" t="s">
        <v>4482</v>
      </c>
      <c r="E429" s="2" t="s">
        <v>106</v>
      </c>
      <c r="F429" s="2" t="s">
        <v>108</v>
      </c>
      <c r="G429" s="2" t="s">
        <v>446</v>
      </c>
      <c r="H429" s="2" t="s">
        <v>107</v>
      </c>
      <c r="I429" s="2" t="s">
        <v>33</v>
      </c>
      <c r="J429" s="2" t="s">
        <v>109</v>
      </c>
      <c r="K429" s="2" t="s">
        <v>13</v>
      </c>
      <c r="L429" s="2" t="s">
        <v>72</v>
      </c>
      <c r="M429" s="2" t="s">
        <v>75</v>
      </c>
      <c r="N429" s="2" t="s">
        <v>24</v>
      </c>
      <c r="O429" s="2" t="s">
        <v>112</v>
      </c>
      <c r="P429" s="2" t="s">
        <v>3783</v>
      </c>
      <c r="Q429" s="2" t="s">
        <v>4926</v>
      </c>
      <c r="R429" s="2" t="s">
        <v>406</v>
      </c>
      <c r="S429" s="2" t="s">
        <v>736</v>
      </c>
      <c r="T429" s="2" t="s">
        <v>167</v>
      </c>
      <c r="U429" s="2" t="s">
        <v>39</v>
      </c>
      <c r="V429" s="2" t="s">
        <v>4853</v>
      </c>
      <c r="W429" s="2" t="s">
        <v>42</v>
      </c>
      <c r="X429" s="2" t="s">
        <v>75</v>
      </c>
      <c r="Y429" s="2" t="s">
        <v>3782</v>
      </c>
      <c r="Z429" s="2" t="s">
        <v>5663</v>
      </c>
      <c r="AA4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4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29" s="6" t="str">
        <f>IF(_xlfn.IFNA(INDEX(configuracoes!$A$2:$A$10,MATCH(base_tc_geral[[#This Row],[TIPO]],configuracoes!$A$2:$A$10,0)),"NÃO")="NÃO","NÃO","SIM")</f>
        <v>NÃO</v>
      </c>
    </row>
    <row r="430" spans="1:31" x14ac:dyDescent="0.25">
      <c r="A430" s="2" t="s">
        <v>1788</v>
      </c>
      <c r="B430" s="2">
        <v>109504369</v>
      </c>
      <c r="C430" s="2" t="s">
        <v>15</v>
      </c>
      <c r="D430" s="2" t="s">
        <v>4543</v>
      </c>
      <c r="E430" s="2" t="s">
        <v>86</v>
      </c>
      <c r="F430" s="2" t="s">
        <v>1320</v>
      </c>
      <c r="G430" s="2" t="s">
        <v>58</v>
      </c>
      <c r="H430" s="2" t="s">
        <v>1321</v>
      </c>
      <c r="I430" s="2" t="s">
        <v>33</v>
      </c>
      <c r="J430" s="2" t="s">
        <v>91</v>
      </c>
      <c r="K430" s="2" t="s">
        <v>13</v>
      </c>
      <c r="L430" s="2" t="s">
        <v>61</v>
      </c>
      <c r="M430" s="2" t="s">
        <v>44</v>
      </c>
      <c r="N430" s="2" t="s">
        <v>15</v>
      </c>
      <c r="O430" s="2" t="s">
        <v>1322</v>
      </c>
      <c r="P430" s="2" t="s">
        <v>1790</v>
      </c>
      <c r="Q430" s="2" t="s">
        <v>4926</v>
      </c>
      <c r="R430" s="2" t="s">
        <v>829</v>
      </c>
      <c r="S430" s="2" t="s">
        <v>4699</v>
      </c>
      <c r="T430" s="2" t="s">
        <v>4696</v>
      </c>
      <c r="U430" s="2" t="s">
        <v>12</v>
      </c>
      <c r="V430" s="2" t="s">
        <v>4904</v>
      </c>
      <c r="W430" s="2" t="s">
        <v>4984</v>
      </c>
      <c r="X430" s="2" t="s">
        <v>44</v>
      </c>
      <c r="Y430" s="2" t="s">
        <v>1789</v>
      </c>
      <c r="Z430" s="2" t="s">
        <v>5664</v>
      </c>
      <c r="AA4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4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4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0" s="6" t="str">
        <f>IF(_xlfn.IFNA(INDEX(configuracoes!$A$2:$A$10,MATCH(base_tc_geral[[#This Row],[TIPO]],configuracoes!$A$2:$A$10,0)),"NÃO")="NÃO","NÃO","SIM")</f>
        <v>NÃO</v>
      </c>
    </row>
    <row r="431" spans="1:31" x14ac:dyDescent="0.25">
      <c r="A431" s="2" t="s">
        <v>1837</v>
      </c>
      <c r="B431" s="2">
        <v>109505049</v>
      </c>
      <c r="C431" s="2" t="s">
        <v>15</v>
      </c>
      <c r="D431" s="2" t="s">
        <v>4481</v>
      </c>
      <c r="E431" s="2" t="s">
        <v>86</v>
      </c>
      <c r="F431" s="2" t="s">
        <v>540</v>
      </c>
      <c r="G431" s="2" t="s">
        <v>99</v>
      </c>
      <c r="H431" s="2" t="s">
        <v>283</v>
      </c>
      <c r="I431" s="2" t="s">
        <v>33</v>
      </c>
      <c r="J431" s="2" t="s">
        <v>124</v>
      </c>
      <c r="K431" s="2" t="s">
        <v>20</v>
      </c>
      <c r="L431" s="2" t="s">
        <v>25</v>
      </c>
      <c r="M431" s="2" t="s">
        <v>22</v>
      </c>
      <c r="N431" s="2" t="s">
        <v>15</v>
      </c>
      <c r="O431" s="2" t="s">
        <v>287</v>
      </c>
      <c r="P431" s="2" t="s">
        <v>1839</v>
      </c>
      <c r="Q431" s="2" t="s">
        <v>4926</v>
      </c>
      <c r="R431" s="2" t="s">
        <v>541</v>
      </c>
      <c r="S431" s="2" t="s">
        <v>125</v>
      </c>
      <c r="T431" s="2" t="s">
        <v>4696</v>
      </c>
      <c r="U431" s="2" t="s">
        <v>12</v>
      </c>
      <c r="V431" s="2" t="s">
        <v>4765</v>
      </c>
      <c r="W431" s="2" t="s">
        <v>4931</v>
      </c>
      <c r="X431" s="2" t="s">
        <v>4925</v>
      </c>
      <c r="Y431" s="2" t="s">
        <v>1838</v>
      </c>
      <c r="Z431" s="2" t="s">
        <v>5665</v>
      </c>
      <c r="AA4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4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1" s="6" t="str">
        <f>IF(_xlfn.IFNA(INDEX(configuracoes!$A$2:$A$10,MATCH(base_tc_geral[[#This Row],[TIPO]],configuracoes!$A$2:$A$10,0)),"NÃO")="NÃO","NÃO","SIM")</f>
        <v>SIM</v>
      </c>
    </row>
    <row r="432" spans="1:31" x14ac:dyDescent="0.25">
      <c r="A432" s="2" t="s">
        <v>3286</v>
      </c>
      <c r="B432" s="2">
        <v>101008003</v>
      </c>
      <c r="C432" s="2" t="s">
        <v>15</v>
      </c>
      <c r="D432" s="2" t="s">
        <v>4499</v>
      </c>
      <c r="E432" s="2" t="s">
        <v>47</v>
      </c>
      <c r="F432" s="2" t="s">
        <v>98</v>
      </c>
      <c r="G432" s="2" t="s">
        <v>648</v>
      </c>
      <c r="H432" s="2" t="s">
        <v>56</v>
      </c>
      <c r="I432" s="2" t="s">
        <v>16</v>
      </c>
      <c r="J432" s="2" t="s">
        <v>60</v>
      </c>
      <c r="K432" s="2" t="s">
        <v>20</v>
      </c>
      <c r="L432" s="2" t="s">
        <v>25</v>
      </c>
      <c r="M432" s="2" t="s">
        <v>22</v>
      </c>
      <c r="N432" s="2" t="s">
        <v>15</v>
      </c>
      <c r="O432" s="2" t="s">
        <v>63</v>
      </c>
      <c r="P432" s="2" t="s">
        <v>3288</v>
      </c>
      <c r="Q432" s="2" t="s">
        <v>4926</v>
      </c>
      <c r="R432" s="2" t="s">
        <v>100</v>
      </c>
      <c r="S432" s="2" t="s">
        <v>101</v>
      </c>
      <c r="T432" s="2" t="s">
        <v>4697</v>
      </c>
      <c r="U432" s="2" t="s">
        <v>12</v>
      </c>
      <c r="V432" s="2" t="s">
        <v>4806</v>
      </c>
      <c r="W432" s="2" t="s">
        <v>4931</v>
      </c>
      <c r="X432" s="2" t="s">
        <v>4925</v>
      </c>
      <c r="Y432" s="2" t="s">
        <v>3287</v>
      </c>
      <c r="Z432" s="2" t="s">
        <v>5666</v>
      </c>
      <c r="AA4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4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4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2" s="6" t="str">
        <f>IF(_xlfn.IFNA(INDEX(configuracoes!$A$2:$A$10,MATCH(base_tc_geral[[#This Row],[TIPO]],configuracoes!$A$2:$A$10,0)),"NÃO")="NÃO","NÃO","SIM")</f>
        <v>SIM</v>
      </c>
    </row>
    <row r="433" spans="1:31" x14ac:dyDescent="0.25">
      <c r="A433" s="2" t="s">
        <v>3646</v>
      </c>
      <c r="B433" s="2">
        <v>101003771</v>
      </c>
      <c r="C433" s="2" t="s">
        <v>15</v>
      </c>
      <c r="D433" s="2" t="s">
        <v>4621</v>
      </c>
      <c r="E433" s="2" t="s">
        <v>47</v>
      </c>
      <c r="F433" s="2" t="s">
        <v>464</v>
      </c>
      <c r="G433" s="2" t="s">
        <v>172</v>
      </c>
      <c r="H433" s="2" t="s">
        <v>48</v>
      </c>
      <c r="I433" s="2" t="s">
        <v>16</v>
      </c>
      <c r="J433" s="2" t="s">
        <v>48</v>
      </c>
      <c r="K433" s="2" t="s">
        <v>13</v>
      </c>
      <c r="L433" s="2" t="s">
        <v>17</v>
      </c>
      <c r="M433" s="2" t="s">
        <v>23</v>
      </c>
      <c r="N433" s="2" t="s">
        <v>15</v>
      </c>
      <c r="O433" s="2" t="s">
        <v>53</v>
      </c>
      <c r="P433" s="2" t="s">
        <v>3648</v>
      </c>
      <c r="Q433" s="2" t="s">
        <v>4926</v>
      </c>
      <c r="R433" s="2" t="s">
        <v>465</v>
      </c>
      <c r="S433" s="2" t="s">
        <v>51</v>
      </c>
      <c r="T433" s="2" t="s">
        <v>4697</v>
      </c>
      <c r="U433" s="2" t="s">
        <v>39</v>
      </c>
      <c r="V433" s="2" t="s">
        <v>4810</v>
      </c>
      <c r="W433" s="2" t="s">
        <v>17</v>
      </c>
      <c r="X433" s="2" t="s">
        <v>4998</v>
      </c>
      <c r="Y433" s="2" t="s">
        <v>3647</v>
      </c>
      <c r="Z433" s="2" t="s">
        <v>5667</v>
      </c>
      <c r="AA4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4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4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3" s="6" t="str">
        <f>IF(_xlfn.IFNA(INDEX(configuracoes!$A$2:$A$10,MATCH(base_tc_geral[[#This Row],[TIPO]],configuracoes!$A$2:$A$10,0)),"NÃO")="NÃO","NÃO","SIM")</f>
        <v>NÃO</v>
      </c>
    </row>
    <row r="434" spans="1:31" x14ac:dyDescent="0.25">
      <c r="A434" s="2" t="s">
        <v>1828</v>
      </c>
      <c r="B434" s="2">
        <v>109505049</v>
      </c>
      <c r="C434" s="2" t="s">
        <v>24</v>
      </c>
      <c r="D434" s="2" t="s">
        <v>4768</v>
      </c>
      <c r="E434" s="2" t="s">
        <v>86</v>
      </c>
      <c r="F434" s="2" t="s">
        <v>594</v>
      </c>
      <c r="G434" s="2" t="s">
        <v>99</v>
      </c>
      <c r="H434" s="2" t="s">
        <v>122</v>
      </c>
      <c r="I434" s="2" t="s">
        <v>33</v>
      </c>
      <c r="J434" s="2" t="s">
        <v>124</v>
      </c>
      <c r="K434" s="2" t="s">
        <v>20</v>
      </c>
      <c r="L434" s="2" t="s">
        <v>25</v>
      </c>
      <c r="M434" s="2" t="s">
        <v>22</v>
      </c>
      <c r="N434" s="2" t="s">
        <v>24</v>
      </c>
      <c r="O434" s="2" t="s">
        <v>129</v>
      </c>
      <c r="P434" s="2" t="s">
        <v>1830</v>
      </c>
      <c r="Q434" s="2" t="s">
        <v>4926</v>
      </c>
      <c r="R434" s="2" t="s">
        <v>541</v>
      </c>
      <c r="S434" s="2" t="s">
        <v>125</v>
      </c>
      <c r="T434" s="2" t="s">
        <v>4696</v>
      </c>
      <c r="U434" s="2" t="s">
        <v>39</v>
      </c>
      <c r="V434" s="2" t="s">
        <v>4765</v>
      </c>
      <c r="W434" s="2" t="s">
        <v>4931</v>
      </c>
      <c r="X434" s="2" t="s">
        <v>4925</v>
      </c>
      <c r="Y434" s="2" t="s">
        <v>1829</v>
      </c>
      <c r="Z434" s="2" t="s">
        <v>5668</v>
      </c>
      <c r="AA4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4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34" s="6" t="str">
        <f>IF(_xlfn.IFNA(INDEX(configuracoes!$A$2:$A$10,MATCH(base_tc_geral[[#This Row],[TIPO]],configuracoes!$A$2:$A$10,0)),"NÃO")="NÃO","NÃO","SIM")</f>
        <v>SIM</v>
      </c>
    </row>
    <row r="435" spans="1:31" x14ac:dyDescent="0.25">
      <c r="A435" s="2" t="s">
        <v>4154</v>
      </c>
      <c r="B435" s="2">
        <v>109506174</v>
      </c>
      <c r="C435" s="2" t="s">
        <v>15</v>
      </c>
      <c r="D435" s="2" t="s">
        <v>4516</v>
      </c>
      <c r="E435" s="2" t="s">
        <v>86</v>
      </c>
      <c r="F435" s="2" t="s">
        <v>459</v>
      </c>
      <c r="G435" s="2" t="s">
        <v>89</v>
      </c>
      <c r="H435" s="2" t="s">
        <v>458</v>
      </c>
      <c r="I435" s="2" t="s">
        <v>33</v>
      </c>
      <c r="J435" s="2" t="s">
        <v>91</v>
      </c>
      <c r="K435" s="2" t="s">
        <v>13</v>
      </c>
      <c r="L435" s="2" t="s">
        <v>37</v>
      </c>
      <c r="M435" s="2" t="s">
        <v>44</v>
      </c>
      <c r="N435" s="2" t="s">
        <v>15</v>
      </c>
      <c r="O435" s="2" t="s">
        <v>461</v>
      </c>
      <c r="P435" s="2" t="s">
        <v>4156</v>
      </c>
      <c r="Q435" s="2" t="s">
        <v>4926</v>
      </c>
      <c r="R435" s="2" t="s">
        <v>2782</v>
      </c>
      <c r="S435" s="2" t="s">
        <v>93</v>
      </c>
      <c r="T435" s="2" t="s">
        <v>4696</v>
      </c>
      <c r="U435" s="2" t="s">
        <v>12</v>
      </c>
      <c r="V435" s="2" t="s">
        <v>4796</v>
      </c>
      <c r="W435" s="2" t="s">
        <v>4999</v>
      </c>
      <c r="X435" s="2" t="s">
        <v>44</v>
      </c>
      <c r="Y435" s="2" t="s">
        <v>4155</v>
      </c>
      <c r="Z435" s="2" t="s">
        <v>5669</v>
      </c>
      <c r="AA4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4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5" s="6" t="str">
        <f>IF(_xlfn.IFNA(INDEX(configuracoes!$A$2:$A$10,MATCH(base_tc_geral[[#This Row],[TIPO]],configuracoes!$A$2:$A$10,0)),"NÃO")="NÃO","NÃO","SIM")</f>
        <v>NÃO</v>
      </c>
    </row>
    <row r="436" spans="1:31" x14ac:dyDescent="0.25">
      <c r="A436" s="2" t="s">
        <v>1915</v>
      </c>
      <c r="B436" s="2">
        <v>109000017</v>
      </c>
      <c r="C436" s="2" t="s">
        <v>15</v>
      </c>
      <c r="D436" s="2" t="s">
        <v>4781</v>
      </c>
      <c r="E436" s="2" t="s">
        <v>86</v>
      </c>
      <c r="F436" s="2" t="s">
        <v>363</v>
      </c>
      <c r="G436" s="2" t="s">
        <v>245</v>
      </c>
      <c r="H436" s="2" t="s">
        <v>210</v>
      </c>
      <c r="I436" s="2" t="s">
        <v>33</v>
      </c>
      <c r="J436" s="2" t="s">
        <v>124</v>
      </c>
      <c r="K436" s="2" t="s">
        <v>20</v>
      </c>
      <c r="L436" s="2" t="s">
        <v>21</v>
      </c>
      <c r="M436" s="2" t="s">
        <v>22</v>
      </c>
      <c r="N436" s="2" t="s">
        <v>15</v>
      </c>
      <c r="O436" s="2" t="s">
        <v>214</v>
      </c>
      <c r="P436" s="2" t="s">
        <v>1917</v>
      </c>
      <c r="Q436" s="2" t="s">
        <v>4926</v>
      </c>
      <c r="R436" s="2" t="s">
        <v>212</v>
      </c>
      <c r="S436" s="2" t="s">
        <v>93</v>
      </c>
      <c r="T436" s="2" t="s">
        <v>4696</v>
      </c>
      <c r="U436" s="2" t="s">
        <v>12</v>
      </c>
      <c r="V436" s="2" t="s">
        <v>4794</v>
      </c>
      <c r="W436" s="2" t="s">
        <v>4982</v>
      </c>
      <c r="X436" s="2" t="s">
        <v>4925</v>
      </c>
      <c r="Y436" s="2" t="s">
        <v>1916</v>
      </c>
      <c r="Z436" s="2" t="s">
        <v>5670</v>
      </c>
      <c r="AA4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4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6" s="6" t="str">
        <f>IF(_xlfn.IFNA(INDEX(configuracoes!$A$2:$A$10,MATCH(base_tc_geral[[#This Row],[TIPO]],configuracoes!$A$2:$A$10,0)),"NÃO")="NÃO","NÃO","SIM")</f>
        <v>SIM</v>
      </c>
    </row>
    <row r="437" spans="1:31" x14ac:dyDescent="0.25">
      <c r="A437" s="2" t="s">
        <v>529</v>
      </c>
      <c r="B437" s="2">
        <v>109000017</v>
      </c>
      <c r="C437" s="2" t="s">
        <v>15</v>
      </c>
      <c r="D437" s="2" t="s">
        <v>4781</v>
      </c>
      <c r="E437" s="2" t="s">
        <v>86</v>
      </c>
      <c r="F437" s="2" t="s">
        <v>363</v>
      </c>
      <c r="G437" s="2" t="s">
        <v>4819</v>
      </c>
      <c r="H437" s="2" t="s">
        <v>210</v>
      </c>
      <c r="I437" s="2" t="s">
        <v>33</v>
      </c>
      <c r="J437" s="2" t="s">
        <v>124</v>
      </c>
      <c r="K437" s="2" t="s">
        <v>13</v>
      </c>
      <c r="L437" s="2" t="s">
        <v>76</v>
      </c>
      <c r="M437" s="2" t="s">
        <v>38</v>
      </c>
      <c r="N437" s="2" t="s">
        <v>15</v>
      </c>
      <c r="O437" s="2" t="s">
        <v>214</v>
      </c>
      <c r="P437" s="2" t="s">
        <v>531</v>
      </c>
      <c r="Q437" s="2" t="s">
        <v>4926</v>
      </c>
      <c r="R437" s="2" t="s">
        <v>212</v>
      </c>
      <c r="S437" s="2" t="s">
        <v>93</v>
      </c>
      <c r="T437" s="2" t="s">
        <v>4696</v>
      </c>
      <c r="U437" s="2" t="s">
        <v>12</v>
      </c>
      <c r="V437" s="2" t="s">
        <v>4794</v>
      </c>
      <c r="W437" s="2" t="s">
        <v>4999</v>
      </c>
      <c r="X437" s="2" t="s">
        <v>38</v>
      </c>
      <c r="Y437" s="2" t="s">
        <v>530</v>
      </c>
      <c r="Z437" s="2" t="s">
        <v>5671</v>
      </c>
      <c r="AA4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4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7" s="6" t="str">
        <f>IF(_xlfn.IFNA(INDEX(configuracoes!$A$2:$A$10,MATCH(base_tc_geral[[#This Row],[TIPO]],configuracoes!$A$2:$A$10,0)),"NÃO")="NÃO","NÃO","SIM")</f>
        <v>SIM</v>
      </c>
    </row>
    <row r="438" spans="1:31" x14ac:dyDescent="0.25">
      <c r="A438" s="2" t="s">
        <v>1496</v>
      </c>
      <c r="B438" s="2">
        <v>109505858</v>
      </c>
      <c r="C438" s="2" t="s">
        <v>15</v>
      </c>
      <c r="D438" s="2" t="s">
        <v>4544</v>
      </c>
      <c r="E438" s="2" t="s">
        <v>86</v>
      </c>
      <c r="F438" s="2" t="s">
        <v>817</v>
      </c>
      <c r="G438" s="2" t="s">
        <v>637</v>
      </c>
      <c r="H438" s="2" t="s">
        <v>217</v>
      </c>
      <c r="I438" s="2" t="s">
        <v>33</v>
      </c>
      <c r="J438" s="2" t="s">
        <v>91</v>
      </c>
      <c r="K438" s="2" t="s">
        <v>20</v>
      </c>
      <c r="L438" s="2" t="s">
        <v>19</v>
      </c>
      <c r="M438" s="2" t="s">
        <v>22</v>
      </c>
      <c r="N438" s="2" t="s">
        <v>15</v>
      </c>
      <c r="O438" s="2" t="s">
        <v>221</v>
      </c>
      <c r="P438" s="2" t="s">
        <v>1498</v>
      </c>
      <c r="Q438" s="2" t="s">
        <v>4926</v>
      </c>
      <c r="R438" s="2" t="s">
        <v>1466</v>
      </c>
      <c r="S438" s="2" t="s">
        <v>93</v>
      </c>
      <c r="T438" s="2" t="s">
        <v>4696</v>
      </c>
      <c r="U438" s="2" t="s">
        <v>12</v>
      </c>
      <c r="V438" s="2" t="s">
        <v>4802</v>
      </c>
      <c r="W438" s="2" t="s">
        <v>4982</v>
      </c>
      <c r="X438" s="2" t="s">
        <v>4925</v>
      </c>
      <c r="Y438" s="2" t="s">
        <v>1497</v>
      </c>
      <c r="Z438" s="2" t="s">
        <v>5672</v>
      </c>
      <c r="AA4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8" s="6" t="str">
        <f>IF(_xlfn.IFNA(INDEX(configuracoes!$A$2:$A$10,MATCH(base_tc_geral[[#This Row],[TIPO]],configuracoes!$A$2:$A$10,0)),"NÃO")="NÃO","NÃO","SIM")</f>
        <v>SIM</v>
      </c>
    </row>
    <row r="439" spans="1:31" x14ac:dyDescent="0.25">
      <c r="A439" s="2" t="s">
        <v>4470</v>
      </c>
      <c r="B439" s="2">
        <v>101003771</v>
      </c>
      <c r="C439" s="2" t="s">
        <v>15</v>
      </c>
      <c r="D439" s="2" t="s">
        <v>4522</v>
      </c>
      <c r="E439" s="2" t="s">
        <v>47</v>
      </c>
      <c r="F439" s="2" t="s">
        <v>464</v>
      </c>
      <c r="G439" s="2" t="s">
        <v>172</v>
      </c>
      <c r="H439" s="2" t="s">
        <v>48</v>
      </c>
      <c r="I439" s="2" t="s">
        <v>16</v>
      </c>
      <c r="J439" s="2" t="s">
        <v>48</v>
      </c>
      <c r="K439" s="2" t="s">
        <v>92</v>
      </c>
      <c r="L439" s="2" t="s">
        <v>17</v>
      </c>
      <c r="M439" s="2" t="s">
        <v>18</v>
      </c>
      <c r="N439" s="2" t="s">
        <v>15</v>
      </c>
      <c r="O439" s="2" t="s">
        <v>53</v>
      </c>
      <c r="P439" s="2" t="s">
        <v>4472</v>
      </c>
      <c r="Q439" s="2" t="s">
        <v>4926</v>
      </c>
      <c r="R439" s="2" t="s">
        <v>465</v>
      </c>
      <c r="S439" s="2" t="s">
        <v>51</v>
      </c>
      <c r="T439" s="2" t="s">
        <v>4697</v>
      </c>
      <c r="U439" s="2" t="s">
        <v>12</v>
      </c>
      <c r="V439" s="2" t="s">
        <v>4810</v>
      </c>
      <c r="W439" s="2" t="s">
        <v>17</v>
      </c>
      <c r="X439" s="2" t="s">
        <v>4998</v>
      </c>
      <c r="Y439" s="2" t="s">
        <v>4471</v>
      </c>
      <c r="Z439" s="2" t="s">
        <v>5673</v>
      </c>
      <c r="AA4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4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4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39" s="6" t="str">
        <f>IF(_xlfn.IFNA(INDEX(configuracoes!$A$2:$A$10,MATCH(base_tc_geral[[#This Row],[TIPO]],configuracoes!$A$2:$A$10,0)),"NÃO")="NÃO","NÃO","SIM")</f>
        <v>NÃO</v>
      </c>
    </row>
    <row r="440" spans="1:31" x14ac:dyDescent="0.25">
      <c r="A440" s="2" t="s">
        <v>1963</v>
      </c>
      <c r="B440" s="2">
        <v>109504534</v>
      </c>
      <c r="C440" s="2" t="s">
        <v>15</v>
      </c>
      <c r="D440" s="2" t="s">
        <v>4568</v>
      </c>
      <c r="E440" s="2" t="s">
        <v>86</v>
      </c>
      <c r="F440" s="2" t="s">
        <v>284</v>
      </c>
      <c r="G440" s="2" t="s">
        <v>58</v>
      </c>
      <c r="H440" s="2" t="s">
        <v>283</v>
      </c>
      <c r="I440" s="2" t="s">
        <v>33</v>
      </c>
      <c r="J440" s="2" t="s">
        <v>124</v>
      </c>
      <c r="K440" s="2" t="s">
        <v>13</v>
      </c>
      <c r="L440" s="2" t="s">
        <v>61</v>
      </c>
      <c r="M440" s="2" t="s">
        <v>44</v>
      </c>
      <c r="N440" s="2" t="s">
        <v>15</v>
      </c>
      <c r="O440" s="2" t="s">
        <v>287</v>
      </c>
      <c r="P440" s="2" t="s">
        <v>1965</v>
      </c>
      <c r="Q440" s="2" t="s">
        <v>4926</v>
      </c>
      <c r="R440" s="2" t="s">
        <v>1957</v>
      </c>
      <c r="S440" s="2" t="s">
        <v>4699</v>
      </c>
      <c r="T440" s="2" t="s">
        <v>4696</v>
      </c>
      <c r="U440" s="2" t="s">
        <v>12</v>
      </c>
      <c r="V440" s="2" t="s">
        <v>4797</v>
      </c>
      <c r="W440" s="2" t="s">
        <v>4984</v>
      </c>
      <c r="X440" s="2" t="s">
        <v>44</v>
      </c>
      <c r="Y440" s="2" t="s">
        <v>1964</v>
      </c>
      <c r="Z440" s="2" t="s">
        <v>5674</v>
      </c>
      <c r="AA4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EDSON CARLOS </v>
      </c>
      <c r="AB4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4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0" s="6" t="str">
        <f>IF(_xlfn.IFNA(INDEX(configuracoes!$A$2:$A$10,MATCH(base_tc_geral[[#This Row],[TIPO]],configuracoes!$A$2:$A$10,0)),"NÃO")="NÃO","NÃO","SIM")</f>
        <v>NÃO</v>
      </c>
    </row>
    <row r="441" spans="1:31" x14ac:dyDescent="0.25">
      <c r="A441" s="2" t="s">
        <v>1683</v>
      </c>
      <c r="B441" s="2">
        <v>109501286</v>
      </c>
      <c r="C441" s="2" t="s">
        <v>24</v>
      </c>
      <c r="D441" s="2" t="s">
        <v>4768</v>
      </c>
      <c r="E441" s="2" t="s">
        <v>86</v>
      </c>
      <c r="F441" s="2" t="s">
        <v>497</v>
      </c>
      <c r="G441" s="2" t="s">
        <v>245</v>
      </c>
      <c r="H441" s="2" t="s">
        <v>164</v>
      </c>
      <c r="I441" s="2" t="s">
        <v>33</v>
      </c>
      <c r="J441" s="2" t="s">
        <v>124</v>
      </c>
      <c r="K441" s="2" t="s">
        <v>20</v>
      </c>
      <c r="L441" s="2" t="s">
        <v>21</v>
      </c>
      <c r="M441" s="2" t="s">
        <v>22</v>
      </c>
      <c r="N441" s="2" t="s">
        <v>24</v>
      </c>
      <c r="O441" s="2" t="s">
        <v>169</v>
      </c>
      <c r="P441" s="2" t="s">
        <v>1685</v>
      </c>
      <c r="Q441" s="2" t="s">
        <v>4926</v>
      </c>
      <c r="R441" s="2" t="s">
        <v>498</v>
      </c>
      <c r="S441" s="2" t="s">
        <v>93</v>
      </c>
      <c r="T441" s="2" t="s">
        <v>4696</v>
      </c>
      <c r="U441" s="2" t="s">
        <v>39</v>
      </c>
      <c r="V441" s="2" t="s">
        <v>4766</v>
      </c>
      <c r="W441" s="2" t="s">
        <v>4982</v>
      </c>
      <c r="X441" s="2" t="s">
        <v>4925</v>
      </c>
      <c r="Y441" s="2" t="s">
        <v>1684</v>
      </c>
      <c r="Z441" s="2" t="s">
        <v>5675</v>
      </c>
      <c r="AA4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4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41" s="6" t="str">
        <f>IF(_xlfn.IFNA(INDEX(configuracoes!$A$2:$A$10,MATCH(base_tc_geral[[#This Row],[TIPO]],configuracoes!$A$2:$A$10,0)),"NÃO")="NÃO","NÃO","SIM")</f>
        <v>SIM</v>
      </c>
    </row>
    <row r="442" spans="1:31" x14ac:dyDescent="0.25">
      <c r="A442" s="2" t="s">
        <v>2568</v>
      </c>
      <c r="B442" s="2">
        <v>109505858</v>
      </c>
      <c r="C442" s="2" t="s">
        <v>15</v>
      </c>
      <c r="D442" s="2" t="s">
        <v>4606</v>
      </c>
      <c r="E442" s="2" t="s">
        <v>86</v>
      </c>
      <c r="F442" s="2" t="s">
        <v>559</v>
      </c>
      <c r="G442" s="2" t="s">
        <v>637</v>
      </c>
      <c r="H442" s="2" t="s">
        <v>558</v>
      </c>
      <c r="I442" s="2" t="s">
        <v>33</v>
      </c>
      <c r="J442" s="2" t="s">
        <v>91</v>
      </c>
      <c r="K442" s="2" t="s">
        <v>20</v>
      </c>
      <c r="L442" s="2" t="s">
        <v>19</v>
      </c>
      <c r="M442" s="2" t="s">
        <v>22</v>
      </c>
      <c r="N442" s="2" t="s">
        <v>15</v>
      </c>
      <c r="O442" s="2" t="s">
        <v>561</v>
      </c>
      <c r="P442" s="2" t="s">
        <v>2570</v>
      </c>
      <c r="Q442" s="2" t="s">
        <v>4926</v>
      </c>
      <c r="R442" s="2" t="s">
        <v>1466</v>
      </c>
      <c r="S442" s="2" t="s">
        <v>93</v>
      </c>
      <c r="T442" s="2" t="s">
        <v>4696</v>
      </c>
      <c r="U442" s="2" t="s">
        <v>12</v>
      </c>
      <c r="V442" s="2" t="s">
        <v>4802</v>
      </c>
      <c r="W442" s="2" t="s">
        <v>4982</v>
      </c>
      <c r="X442" s="2" t="s">
        <v>4925</v>
      </c>
      <c r="Y442" s="2" t="s">
        <v>2569</v>
      </c>
      <c r="Z442" s="2" t="s">
        <v>5676</v>
      </c>
      <c r="AA4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2" s="6" t="str">
        <f>IF(_xlfn.IFNA(INDEX(configuracoes!$A$2:$A$10,MATCH(base_tc_geral[[#This Row],[TIPO]],configuracoes!$A$2:$A$10,0)),"NÃO")="NÃO","NÃO","SIM")</f>
        <v>SIM</v>
      </c>
    </row>
    <row r="443" spans="1:31" x14ac:dyDescent="0.25">
      <c r="A443" s="2" t="s">
        <v>507</v>
      </c>
      <c r="B443" s="2">
        <v>102101393</v>
      </c>
      <c r="C443" s="2" t="s">
        <v>15</v>
      </c>
      <c r="D443" s="2" t="s">
        <v>4516</v>
      </c>
      <c r="E443" s="2" t="s">
        <v>106</v>
      </c>
      <c r="F443" s="2" t="s">
        <v>509</v>
      </c>
      <c r="G443" s="2" t="s">
        <v>58</v>
      </c>
      <c r="H443" s="2" t="s">
        <v>130</v>
      </c>
      <c r="I443" s="2" t="s">
        <v>33</v>
      </c>
      <c r="J443" s="2" t="s">
        <v>109</v>
      </c>
      <c r="K443" s="2" t="s">
        <v>13</v>
      </c>
      <c r="L443" s="2" t="s">
        <v>61</v>
      </c>
      <c r="M443" s="2" t="s">
        <v>44</v>
      </c>
      <c r="N443" s="2" t="s">
        <v>15</v>
      </c>
      <c r="O443" s="2" t="s">
        <v>132</v>
      </c>
      <c r="P443" s="2" t="s">
        <v>510</v>
      </c>
      <c r="Q443" s="2" t="s">
        <v>4926</v>
      </c>
      <c r="R443" s="2" t="s">
        <v>735</v>
      </c>
      <c r="S443" s="2" t="s">
        <v>736</v>
      </c>
      <c r="T443" s="2" t="s">
        <v>167</v>
      </c>
      <c r="U443" s="2" t="s">
        <v>12</v>
      </c>
      <c r="V443" s="2" t="s">
        <v>4886</v>
      </c>
      <c r="W443" s="2" t="s">
        <v>4999</v>
      </c>
      <c r="X443" s="2" t="s">
        <v>44</v>
      </c>
      <c r="Y443" s="2" t="s">
        <v>508</v>
      </c>
      <c r="Z443" s="2" t="s">
        <v>5677</v>
      </c>
      <c r="AA4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4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3" s="6" t="str">
        <f>IF(_xlfn.IFNA(INDEX(configuracoes!$A$2:$A$10,MATCH(base_tc_geral[[#This Row],[TIPO]],configuracoes!$A$2:$A$10,0)),"NÃO")="NÃO","NÃO","SIM")</f>
        <v>NÃO</v>
      </c>
    </row>
    <row r="444" spans="1:31" x14ac:dyDescent="0.25">
      <c r="A444" s="2" t="s">
        <v>1258</v>
      </c>
      <c r="B444" s="2">
        <v>102100390</v>
      </c>
      <c r="C444" s="2" t="s">
        <v>15</v>
      </c>
      <c r="D444" s="2" t="s">
        <v>4489</v>
      </c>
      <c r="E444" s="2" t="s">
        <v>106</v>
      </c>
      <c r="F444" s="2" t="s">
        <v>131</v>
      </c>
      <c r="G444" s="2" t="s">
        <v>89</v>
      </c>
      <c r="H444" s="2" t="s">
        <v>130</v>
      </c>
      <c r="I444" s="2" t="s">
        <v>33</v>
      </c>
      <c r="J444" s="2" t="s">
        <v>109</v>
      </c>
      <c r="K444" s="2" t="s">
        <v>13</v>
      </c>
      <c r="L444" s="2" t="s">
        <v>37</v>
      </c>
      <c r="M444" s="2" t="s">
        <v>44</v>
      </c>
      <c r="N444" s="2" t="s">
        <v>15</v>
      </c>
      <c r="O444" s="2" t="s">
        <v>132</v>
      </c>
      <c r="P444" s="2" t="s">
        <v>1260</v>
      </c>
      <c r="Q444" s="2" t="s">
        <v>4926</v>
      </c>
      <c r="R444" s="2" t="s">
        <v>1092</v>
      </c>
      <c r="S444" s="2" t="s">
        <v>736</v>
      </c>
      <c r="T444" s="2" t="s">
        <v>167</v>
      </c>
      <c r="U444" s="2" t="s">
        <v>12</v>
      </c>
      <c r="V444" s="2" t="s">
        <v>4901</v>
      </c>
      <c r="W444" s="2" t="s">
        <v>4999</v>
      </c>
      <c r="X444" s="2" t="s">
        <v>44</v>
      </c>
      <c r="Y444" s="2" t="s">
        <v>1259</v>
      </c>
      <c r="Z444" s="2" t="s">
        <v>5678</v>
      </c>
      <c r="AA4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4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4" s="6" t="str">
        <f>IF(_xlfn.IFNA(INDEX(configuracoes!$A$2:$A$10,MATCH(base_tc_geral[[#This Row],[TIPO]],configuracoes!$A$2:$A$10,0)),"NÃO")="NÃO","NÃO","SIM")</f>
        <v>NÃO</v>
      </c>
    </row>
    <row r="445" spans="1:31" x14ac:dyDescent="0.25">
      <c r="A445" s="2" t="s">
        <v>3450</v>
      </c>
      <c r="B445" s="2">
        <v>109500315</v>
      </c>
      <c r="C445" s="2" t="s">
        <v>15</v>
      </c>
      <c r="D445" s="2" t="s">
        <v>4483</v>
      </c>
      <c r="E445" s="2" t="s">
        <v>86</v>
      </c>
      <c r="F445" s="2" t="s">
        <v>274</v>
      </c>
      <c r="G445" s="2" t="s">
        <v>172</v>
      </c>
      <c r="H445" s="2" t="s">
        <v>210</v>
      </c>
      <c r="I445" s="2" t="s">
        <v>33</v>
      </c>
      <c r="J445" s="2" t="s">
        <v>124</v>
      </c>
      <c r="K445" s="2" t="s">
        <v>92</v>
      </c>
      <c r="L445" s="2" t="s">
        <v>17</v>
      </c>
      <c r="M445" s="2" t="s">
        <v>23</v>
      </c>
      <c r="N445" s="2" t="s">
        <v>15</v>
      </c>
      <c r="O445" s="2" t="s">
        <v>214</v>
      </c>
      <c r="P445" s="2" t="s">
        <v>3452</v>
      </c>
      <c r="Q445" s="2" t="s">
        <v>4926</v>
      </c>
      <c r="R445" s="2" t="s">
        <v>173</v>
      </c>
      <c r="S445" s="2" t="s">
        <v>93</v>
      </c>
      <c r="T445" s="2" t="s">
        <v>4696</v>
      </c>
      <c r="U445" s="2" t="s">
        <v>12</v>
      </c>
      <c r="V445" s="2" t="s">
        <v>4887</v>
      </c>
      <c r="W445" s="2" t="s">
        <v>17</v>
      </c>
      <c r="X445" s="2" t="s">
        <v>4998</v>
      </c>
      <c r="Y445" s="2" t="s">
        <v>3451</v>
      </c>
      <c r="Z445" s="2" t="s">
        <v>5679</v>
      </c>
      <c r="AA4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4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5" s="6" t="str">
        <f>IF(_xlfn.IFNA(INDEX(configuracoes!$A$2:$A$10,MATCH(base_tc_geral[[#This Row],[TIPO]],configuracoes!$A$2:$A$10,0)),"NÃO")="NÃO","NÃO","SIM")</f>
        <v>NÃO</v>
      </c>
    </row>
    <row r="446" spans="1:31" x14ac:dyDescent="0.25">
      <c r="A446" s="2" t="s">
        <v>1204</v>
      </c>
      <c r="B446" s="2">
        <v>105000986</v>
      </c>
      <c r="C446" s="2" t="s">
        <v>15</v>
      </c>
      <c r="D446" s="2" t="s">
        <v>4515</v>
      </c>
      <c r="E446" s="2" t="s">
        <v>28</v>
      </c>
      <c r="F446" s="2" t="s">
        <v>586</v>
      </c>
      <c r="G446" s="2" t="s">
        <v>883</v>
      </c>
      <c r="H446" s="2" t="s">
        <v>79</v>
      </c>
      <c r="I446" s="2" t="s">
        <v>33</v>
      </c>
      <c r="J446" s="2" t="s">
        <v>34</v>
      </c>
      <c r="K446" s="2" t="s">
        <v>20</v>
      </c>
      <c r="L446" s="2" t="s">
        <v>21</v>
      </c>
      <c r="M446" s="2" t="s">
        <v>22</v>
      </c>
      <c r="N446" s="2" t="s">
        <v>15</v>
      </c>
      <c r="O446" s="2" t="s">
        <v>83</v>
      </c>
      <c r="P446" s="2" t="s">
        <v>1206</v>
      </c>
      <c r="Q446" s="2" t="s">
        <v>4926</v>
      </c>
      <c r="R446" s="2" t="s">
        <v>81</v>
      </c>
      <c r="S446" s="2" t="s">
        <v>167</v>
      </c>
      <c r="T446" s="2" t="s">
        <v>167</v>
      </c>
      <c r="U446" s="2" t="s">
        <v>12</v>
      </c>
      <c r="V446" s="2" t="s">
        <v>4767</v>
      </c>
      <c r="W446" s="2" t="s">
        <v>4982</v>
      </c>
      <c r="X446" s="2" t="s">
        <v>4925</v>
      </c>
      <c r="Y446" s="2" t="s">
        <v>1205</v>
      </c>
      <c r="Z446" s="2" t="s">
        <v>5680</v>
      </c>
      <c r="AA4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4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6" s="6" t="str">
        <f>IF(_xlfn.IFNA(INDEX(configuracoes!$A$2:$A$10,MATCH(base_tc_geral[[#This Row],[TIPO]],configuracoes!$A$2:$A$10,0)),"NÃO")="NÃO","NÃO","SIM")</f>
        <v>SIM</v>
      </c>
    </row>
    <row r="447" spans="1:31" x14ac:dyDescent="0.25">
      <c r="A447" s="2" t="s">
        <v>735</v>
      </c>
      <c r="B447" s="2">
        <v>102101680</v>
      </c>
      <c r="C447" s="2" t="s">
        <v>15</v>
      </c>
      <c r="D447" s="2" t="s">
        <v>4481</v>
      </c>
      <c r="E447" s="2" t="s">
        <v>106</v>
      </c>
      <c r="F447" s="2" t="s">
        <v>428</v>
      </c>
      <c r="G447" s="2" t="s">
        <v>149</v>
      </c>
      <c r="H447" s="2" t="s">
        <v>427</v>
      </c>
      <c r="I447" s="2" t="s">
        <v>33</v>
      </c>
      <c r="J447" s="2" t="s">
        <v>109</v>
      </c>
      <c r="K447" s="2" t="s">
        <v>13</v>
      </c>
      <c r="L447" s="2" t="s">
        <v>61</v>
      </c>
      <c r="M447" s="2" t="s">
        <v>738</v>
      </c>
      <c r="N447" s="2" t="s">
        <v>15</v>
      </c>
      <c r="O447" s="2" t="s">
        <v>430</v>
      </c>
      <c r="P447" s="2" t="s">
        <v>739</v>
      </c>
      <c r="Q447" s="2" t="s">
        <v>4926</v>
      </c>
      <c r="R447" s="2" t="s">
        <v>736</v>
      </c>
      <c r="S447" s="2" t="s">
        <v>736</v>
      </c>
      <c r="T447" s="2" t="s">
        <v>167</v>
      </c>
      <c r="U447" s="2" t="s">
        <v>39</v>
      </c>
      <c r="V447" s="2" t="s">
        <v>4803</v>
      </c>
      <c r="W447" s="2" t="s">
        <v>4982</v>
      </c>
      <c r="X447" s="2" t="s">
        <v>4995</v>
      </c>
      <c r="Y447" s="2" t="s">
        <v>737</v>
      </c>
      <c r="Z447" s="2" t="s">
        <v>5681</v>
      </c>
      <c r="AA4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REINILSON IGLESIAS </v>
      </c>
      <c r="AB4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7" s="6" t="str">
        <f>IF(_xlfn.IFNA(INDEX(configuracoes!$A$2:$A$10,MATCH(base_tc_geral[[#This Row],[TIPO]],configuracoes!$A$2:$A$10,0)),"NÃO")="NÃO","NÃO","SIM")</f>
        <v>NÃO</v>
      </c>
    </row>
    <row r="448" spans="1:31" x14ac:dyDescent="0.25">
      <c r="A448" s="2" t="s">
        <v>1565</v>
      </c>
      <c r="B448" s="2">
        <v>109505858</v>
      </c>
      <c r="C448" s="2" t="s">
        <v>15</v>
      </c>
      <c r="D448" s="2" t="s">
        <v>4554</v>
      </c>
      <c r="E448" s="2" t="s">
        <v>86</v>
      </c>
      <c r="F448" s="2" t="s">
        <v>817</v>
      </c>
      <c r="G448" s="2" t="s">
        <v>630</v>
      </c>
      <c r="H448" s="2" t="s">
        <v>217</v>
      </c>
      <c r="I448" s="2" t="s">
        <v>33</v>
      </c>
      <c r="J448" s="2" t="s">
        <v>91</v>
      </c>
      <c r="K448" s="2" t="s">
        <v>20</v>
      </c>
      <c r="L448" s="2" t="s">
        <v>21</v>
      </c>
      <c r="M448" s="2" t="s">
        <v>22</v>
      </c>
      <c r="N448" s="2" t="s">
        <v>15</v>
      </c>
      <c r="O448" s="2" t="s">
        <v>221</v>
      </c>
      <c r="P448" s="2" t="s">
        <v>1567</v>
      </c>
      <c r="Q448" s="2" t="s">
        <v>4926</v>
      </c>
      <c r="R448" s="2" t="s">
        <v>1466</v>
      </c>
      <c r="S448" s="2" t="s">
        <v>93</v>
      </c>
      <c r="T448" s="2" t="s">
        <v>4696</v>
      </c>
      <c r="U448" s="2" t="s">
        <v>12</v>
      </c>
      <c r="V448" s="2" t="s">
        <v>4802</v>
      </c>
      <c r="W448" s="2" t="s">
        <v>4982</v>
      </c>
      <c r="X448" s="2" t="s">
        <v>4925</v>
      </c>
      <c r="Y448" s="2" t="s">
        <v>1566</v>
      </c>
      <c r="Z448" s="2" t="s">
        <v>5682</v>
      </c>
      <c r="AA4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8" s="6" t="str">
        <f>IF(_xlfn.IFNA(INDEX(configuracoes!$A$2:$A$10,MATCH(base_tc_geral[[#This Row],[TIPO]],configuracoes!$A$2:$A$10,0)),"NÃO")="NÃO","NÃO","SIM")</f>
        <v>SIM</v>
      </c>
    </row>
    <row r="449" spans="1:31" x14ac:dyDescent="0.25">
      <c r="A449" s="2" t="s">
        <v>635</v>
      </c>
      <c r="B449" s="2">
        <v>102101220</v>
      </c>
      <c r="C449" s="2" t="s">
        <v>15</v>
      </c>
      <c r="D449" s="2" t="s">
        <v>4483</v>
      </c>
      <c r="E449" s="2" t="s">
        <v>106</v>
      </c>
      <c r="F449" s="2" t="s">
        <v>428</v>
      </c>
      <c r="G449" s="2" t="s">
        <v>637</v>
      </c>
      <c r="H449" s="2" t="s">
        <v>427</v>
      </c>
      <c r="I449" s="2" t="s">
        <v>33</v>
      </c>
      <c r="J449" s="2" t="s">
        <v>109</v>
      </c>
      <c r="K449" s="2" t="s">
        <v>20</v>
      </c>
      <c r="L449" s="2" t="s">
        <v>19</v>
      </c>
      <c r="M449" s="2" t="s">
        <v>22</v>
      </c>
      <c r="N449" s="2" t="s">
        <v>15</v>
      </c>
      <c r="O449" s="2" t="s">
        <v>430</v>
      </c>
      <c r="P449" s="2" t="s">
        <v>638</v>
      </c>
      <c r="Q449" s="2" t="s">
        <v>4926</v>
      </c>
      <c r="R449" s="2" t="s">
        <v>625</v>
      </c>
      <c r="S449" s="2" t="s">
        <v>736</v>
      </c>
      <c r="T449" s="2" t="s">
        <v>167</v>
      </c>
      <c r="U449" s="2" t="s">
        <v>12</v>
      </c>
      <c r="V449" s="2" t="s">
        <v>4895</v>
      </c>
      <c r="W449" s="2" t="s">
        <v>4982</v>
      </c>
      <c r="X449" s="2" t="s">
        <v>4925</v>
      </c>
      <c r="Y449" s="2" t="s">
        <v>636</v>
      </c>
      <c r="Z449" s="2" t="s">
        <v>5289</v>
      </c>
      <c r="AA4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4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49" s="6" t="str">
        <f>IF(_xlfn.IFNA(INDEX(configuracoes!$A$2:$A$10,MATCH(base_tc_geral[[#This Row],[TIPO]],configuracoes!$A$2:$A$10,0)),"NÃO")="NÃO","NÃO","SIM")</f>
        <v>SIM</v>
      </c>
    </row>
    <row r="450" spans="1:31" x14ac:dyDescent="0.25">
      <c r="A450" s="2" t="s">
        <v>1831</v>
      </c>
      <c r="B450" s="2">
        <v>109505049</v>
      </c>
      <c r="C450" s="2" t="s">
        <v>15</v>
      </c>
      <c r="D450" s="2" t="s">
        <v>4516</v>
      </c>
      <c r="E450" s="2" t="s">
        <v>86</v>
      </c>
      <c r="F450" s="2" t="s">
        <v>594</v>
      </c>
      <c r="G450" s="2" t="s">
        <v>99</v>
      </c>
      <c r="H450" s="2" t="s">
        <v>122</v>
      </c>
      <c r="I450" s="2" t="s">
        <v>33</v>
      </c>
      <c r="J450" s="2" t="s">
        <v>124</v>
      </c>
      <c r="K450" s="2" t="s">
        <v>13</v>
      </c>
      <c r="L450" s="2" t="s">
        <v>25</v>
      </c>
      <c r="M450" s="2" t="s">
        <v>128</v>
      </c>
      <c r="N450" s="2" t="s">
        <v>15</v>
      </c>
      <c r="O450" s="2" t="s">
        <v>129</v>
      </c>
      <c r="P450" s="2" t="s">
        <v>1833</v>
      </c>
      <c r="Q450" s="2" t="s">
        <v>4926</v>
      </c>
      <c r="R450" s="2" t="s">
        <v>541</v>
      </c>
      <c r="S450" s="2" t="s">
        <v>125</v>
      </c>
      <c r="T450" s="2" t="s">
        <v>4696</v>
      </c>
      <c r="U450" s="2" t="s">
        <v>12</v>
      </c>
      <c r="V450" s="2" t="s">
        <v>4770</v>
      </c>
      <c r="W450" s="2" t="s">
        <v>4931</v>
      </c>
      <c r="X450" s="2" t="s">
        <v>4989</v>
      </c>
      <c r="Y450" s="2" t="s">
        <v>1832</v>
      </c>
      <c r="Z450" s="2" t="s">
        <v>5290</v>
      </c>
      <c r="AA4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4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0" s="6" t="str">
        <f>IF(_xlfn.IFNA(INDEX(configuracoes!$A$2:$A$10,MATCH(base_tc_geral[[#This Row],[TIPO]],configuracoes!$A$2:$A$10,0)),"NÃO")="NÃO","NÃO","SIM")</f>
        <v>SIM</v>
      </c>
    </row>
    <row r="451" spans="1:31" x14ac:dyDescent="0.25">
      <c r="A451" s="2" t="s">
        <v>978</v>
      </c>
      <c r="B451" s="2">
        <v>102101393</v>
      </c>
      <c r="C451" s="2" t="s">
        <v>15</v>
      </c>
      <c r="D451" s="2" t="s">
        <v>4486</v>
      </c>
      <c r="E451" s="2" t="s">
        <v>106</v>
      </c>
      <c r="F451" s="2" t="s">
        <v>428</v>
      </c>
      <c r="G451" s="2" t="s">
        <v>172</v>
      </c>
      <c r="H451" s="2" t="s">
        <v>427</v>
      </c>
      <c r="I451" s="2" t="s">
        <v>33</v>
      </c>
      <c r="J451" s="2" t="s">
        <v>109</v>
      </c>
      <c r="K451" s="2" t="s">
        <v>13</v>
      </c>
      <c r="L451" s="2" t="s">
        <v>17</v>
      </c>
      <c r="M451" s="2" t="s">
        <v>18</v>
      </c>
      <c r="N451" s="2" t="s">
        <v>15</v>
      </c>
      <c r="O451" s="2" t="s">
        <v>430</v>
      </c>
      <c r="P451" s="2" t="s">
        <v>980</v>
      </c>
      <c r="Q451" s="2" t="s">
        <v>4926</v>
      </c>
      <c r="R451" s="2" t="s">
        <v>735</v>
      </c>
      <c r="S451" s="2" t="s">
        <v>736</v>
      </c>
      <c r="T451" s="2" t="s">
        <v>167</v>
      </c>
      <c r="U451" s="2" t="s">
        <v>12</v>
      </c>
      <c r="V451" s="2" t="s">
        <v>4886</v>
      </c>
      <c r="W451" s="2" t="s">
        <v>17</v>
      </c>
      <c r="X451" s="2" t="s">
        <v>4998</v>
      </c>
      <c r="Y451" s="2" t="s">
        <v>979</v>
      </c>
      <c r="Z451" s="2" t="s">
        <v>5291</v>
      </c>
      <c r="AA4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4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1" s="6" t="str">
        <f>IF(_xlfn.IFNA(INDEX(configuracoes!$A$2:$A$10,MATCH(base_tc_geral[[#This Row],[TIPO]],configuracoes!$A$2:$A$10,0)),"NÃO")="NÃO","NÃO","SIM")</f>
        <v>NÃO</v>
      </c>
    </row>
    <row r="452" spans="1:31" x14ac:dyDescent="0.25">
      <c r="A452" s="2" t="s">
        <v>726</v>
      </c>
      <c r="B452" s="2">
        <v>109505149</v>
      </c>
      <c r="C452" s="2" t="s">
        <v>15</v>
      </c>
      <c r="D452" s="2" t="s">
        <v>4544</v>
      </c>
      <c r="E452" s="2" t="s">
        <v>86</v>
      </c>
      <c r="F452" s="2" t="s">
        <v>540</v>
      </c>
      <c r="G452" s="2" t="s">
        <v>99</v>
      </c>
      <c r="H452" s="2" t="s">
        <v>283</v>
      </c>
      <c r="I452" s="2" t="s">
        <v>33</v>
      </c>
      <c r="J452" s="2" t="s">
        <v>124</v>
      </c>
      <c r="K452" s="2" t="s">
        <v>13</v>
      </c>
      <c r="L452" s="2" t="s">
        <v>25</v>
      </c>
      <c r="M452" s="2" t="s">
        <v>22</v>
      </c>
      <c r="N452" s="2" t="s">
        <v>15</v>
      </c>
      <c r="O452" s="2" t="s">
        <v>287</v>
      </c>
      <c r="P452" s="2" t="s">
        <v>728</v>
      </c>
      <c r="Q452" s="2" t="s">
        <v>4926</v>
      </c>
      <c r="R452" s="2" t="s">
        <v>125</v>
      </c>
      <c r="S452" s="2" t="s">
        <v>125</v>
      </c>
      <c r="T452" s="2" t="s">
        <v>4696</v>
      </c>
      <c r="U452" s="2" t="s">
        <v>12</v>
      </c>
      <c r="V452" s="2" t="s">
        <v>4765</v>
      </c>
      <c r="W452" s="2" t="s">
        <v>4931</v>
      </c>
      <c r="X452" s="2" t="s">
        <v>4925</v>
      </c>
      <c r="Y452" s="2" t="s">
        <v>727</v>
      </c>
      <c r="Z452" s="2" t="s">
        <v>5292</v>
      </c>
      <c r="AA4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VINICIUS </v>
      </c>
      <c r="AB4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2" s="6" t="str">
        <f>IF(_xlfn.IFNA(INDEX(configuracoes!$A$2:$A$10,MATCH(base_tc_geral[[#This Row],[TIPO]],configuracoes!$A$2:$A$10,0)),"NÃO")="NÃO","NÃO","SIM")</f>
        <v>SIM</v>
      </c>
    </row>
    <row r="453" spans="1:31" x14ac:dyDescent="0.25">
      <c r="A453" s="2" t="s">
        <v>2791</v>
      </c>
      <c r="B453" s="2">
        <v>109506174</v>
      </c>
      <c r="C453" s="2" t="s">
        <v>15</v>
      </c>
      <c r="D453" s="2" t="s">
        <v>4514</v>
      </c>
      <c r="E453" s="2" t="s">
        <v>86</v>
      </c>
      <c r="F453" s="2" t="s">
        <v>459</v>
      </c>
      <c r="G453" s="2" t="s">
        <v>637</v>
      </c>
      <c r="H453" s="2" t="s">
        <v>458</v>
      </c>
      <c r="I453" s="2" t="s">
        <v>33</v>
      </c>
      <c r="J453" s="2" t="s">
        <v>91</v>
      </c>
      <c r="K453" s="2" t="s">
        <v>20</v>
      </c>
      <c r="L453" s="2" t="s">
        <v>19</v>
      </c>
      <c r="M453" s="2" t="s">
        <v>22</v>
      </c>
      <c r="N453" s="2" t="s">
        <v>15</v>
      </c>
      <c r="O453" s="2" t="s">
        <v>461</v>
      </c>
      <c r="P453" s="2" t="s">
        <v>2793</v>
      </c>
      <c r="Q453" s="2" t="s">
        <v>4926</v>
      </c>
      <c r="R453" s="2" t="s">
        <v>2782</v>
      </c>
      <c r="S453" s="2" t="s">
        <v>93</v>
      </c>
      <c r="T453" s="2" t="s">
        <v>4696</v>
      </c>
      <c r="U453" s="2" t="s">
        <v>12</v>
      </c>
      <c r="V453" s="2" t="s">
        <v>4796</v>
      </c>
      <c r="W453" s="2" t="s">
        <v>4982</v>
      </c>
      <c r="X453" s="2" t="s">
        <v>4925</v>
      </c>
      <c r="Y453" s="2" t="s">
        <v>2792</v>
      </c>
      <c r="Z453" s="2" t="s">
        <v>5293</v>
      </c>
      <c r="AA4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4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3" s="6" t="str">
        <f>IF(_xlfn.IFNA(INDEX(configuracoes!$A$2:$A$10,MATCH(base_tc_geral[[#This Row],[TIPO]],configuracoes!$A$2:$A$10,0)),"NÃO")="NÃO","NÃO","SIM")</f>
        <v>SIM</v>
      </c>
    </row>
    <row r="454" spans="1:31" x14ac:dyDescent="0.25">
      <c r="A454" s="2" t="s">
        <v>96</v>
      </c>
      <c r="B454" s="2">
        <v>101008003</v>
      </c>
      <c r="C454" s="2" t="s">
        <v>15</v>
      </c>
      <c r="D454" s="2" t="s">
        <v>4488</v>
      </c>
      <c r="E454" s="2" t="s">
        <v>47</v>
      </c>
      <c r="F454" s="2" t="s">
        <v>98</v>
      </c>
      <c r="G454" s="2" t="s">
        <v>648</v>
      </c>
      <c r="H454" s="2" t="s">
        <v>56</v>
      </c>
      <c r="I454" s="2" t="s">
        <v>16</v>
      </c>
      <c r="J454" s="2" t="s">
        <v>60</v>
      </c>
      <c r="K454" s="2" t="s">
        <v>13</v>
      </c>
      <c r="L454" s="2" t="s">
        <v>25</v>
      </c>
      <c r="M454" s="2" t="s">
        <v>22</v>
      </c>
      <c r="N454" s="2" t="s">
        <v>15</v>
      </c>
      <c r="O454" s="2" t="s">
        <v>63</v>
      </c>
      <c r="P454" s="2" t="s">
        <v>102</v>
      </c>
      <c r="Q454" s="2" t="s">
        <v>4926</v>
      </c>
      <c r="R454" s="2" t="s">
        <v>100</v>
      </c>
      <c r="S454" s="2" t="s">
        <v>101</v>
      </c>
      <c r="T454" s="2" t="s">
        <v>4697</v>
      </c>
      <c r="U454" s="2" t="s">
        <v>12</v>
      </c>
      <c r="V454" s="2" t="s">
        <v>4806</v>
      </c>
      <c r="W454" s="2" t="s">
        <v>4931</v>
      </c>
      <c r="X454" s="2" t="s">
        <v>4925</v>
      </c>
      <c r="Y454" s="2" t="s">
        <v>97</v>
      </c>
      <c r="Z454" s="2" t="s">
        <v>5294</v>
      </c>
      <c r="AA4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4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4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4" s="6" t="str">
        <f>IF(_xlfn.IFNA(INDEX(configuracoes!$A$2:$A$10,MATCH(base_tc_geral[[#This Row],[TIPO]],configuracoes!$A$2:$A$10,0)),"NÃO")="NÃO","NÃO","SIM")</f>
        <v>SIM</v>
      </c>
    </row>
    <row r="455" spans="1:31" x14ac:dyDescent="0.25">
      <c r="A455" s="2" t="s">
        <v>1453</v>
      </c>
      <c r="B455" s="2">
        <v>109501286</v>
      </c>
      <c r="C455" s="2" t="s">
        <v>15</v>
      </c>
      <c r="D455" s="2" t="s">
        <v>4516</v>
      </c>
      <c r="E455" s="2" t="s">
        <v>86</v>
      </c>
      <c r="F455" s="2" t="s">
        <v>497</v>
      </c>
      <c r="G455" s="2" t="s">
        <v>58</v>
      </c>
      <c r="H455" s="2" t="s">
        <v>164</v>
      </c>
      <c r="I455" s="2" t="s">
        <v>33</v>
      </c>
      <c r="J455" s="2" t="s">
        <v>124</v>
      </c>
      <c r="K455" s="2" t="s">
        <v>13</v>
      </c>
      <c r="L455" s="2" t="s">
        <v>61</v>
      </c>
      <c r="M455" s="2" t="s">
        <v>44</v>
      </c>
      <c r="N455" s="2" t="s">
        <v>15</v>
      </c>
      <c r="O455" s="2" t="s">
        <v>169</v>
      </c>
      <c r="P455" s="2" t="s">
        <v>1455</v>
      </c>
      <c r="Q455" s="2" t="s">
        <v>4926</v>
      </c>
      <c r="R455" s="2" t="s">
        <v>498</v>
      </c>
      <c r="S455" s="2" t="s">
        <v>93</v>
      </c>
      <c r="T455" s="2" t="s">
        <v>4696</v>
      </c>
      <c r="U455" s="2" t="s">
        <v>12</v>
      </c>
      <c r="V455" s="2" t="s">
        <v>4785</v>
      </c>
      <c r="W455" s="2" t="s">
        <v>4982</v>
      </c>
      <c r="X455" s="2" t="s">
        <v>44</v>
      </c>
      <c r="Y455" s="2" t="s">
        <v>1454</v>
      </c>
      <c r="Z455" s="2" t="s">
        <v>5683</v>
      </c>
      <c r="AA4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4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5" s="6" t="str">
        <f>IF(_xlfn.IFNA(INDEX(configuracoes!$A$2:$A$10,MATCH(base_tc_geral[[#This Row],[TIPO]],configuracoes!$A$2:$A$10,0)),"NÃO")="NÃO","NÃO","SIM")</f>
        <v>NÃO</v>
      </c>
    </row>
    <row r="456" spans="1:31" x14ac:dyDescent="0.25">
      <c r="A456" s="2" t="s">
        <v>4260</v>
      </c>
      <c r="B456" s="2">
        <v>101005241</v>
      </c>
      <c r="C456" s="2" t="s">
        <v>15</v>
      </c>
      <c r="D456" s="2" t="s">
        <v>4487</v>
      </c>
      <c r="E456" s="2" t="s">
        <v>47</v>
      </c>
      <c r="F456" s="2" t="s">
        <v>142</v>
      </c>
      <c r="G456" s="2" t="s">
        <v>883</v>
      </c>
      <c r="H456" s="2" t="s">
        <v>141</v>
      </c>
      <c r="I456" s="2" t="s">
        <v>16</v>
      </c>
      <c r="J456" s="2" t="s">
        <v>141</v>
      </c>
      <c r="K456" s="2" t="s">
        <v>20</v>
      </c>
      <c r="L456" s="2" t="s">
        <v>21</v>
      </c>
      <c r="M456" s="2" t="s">
        <v>22</v>
      </c>
      <c r="N456" s="2" t="s">
        <v>15</v>
      </c>
      <c r="O456" s="2" t="s">
        <v>145</v>
      </c>
      <c r="P456" s="2" t="s">
        <v>4262</v>
      </c>
      <c r="Q456" s="2" t="s">
        <v>4926</v>
      </c>
      <c r="R456" s="2" t="s">
        <v>143</v>
      </c>
      <c r="S456" s="2" t="s">
        <v>4698</v>
      </c>
      <c r="T456" s="2" t="s">
        <v>4697</v>
      </c>
      <c r="U456" s="2" t="s">
        <v>12</v>
      </c>
      <c r="V456" s="2" t="s">
        <v>4845</v>
      </c>
      <c r="W456" s="2" t="s">
        <v>4982</v>
      </c>
      <c r="X456" s="2" t="s">
        <v>4925</v>
      </c>
      <c r="Y456" s="2" t="s">
        <v>4261</v>
      </c>
      <c r="Z456" s="2" t="s">
        <v>5684</v>
      </c>
      <c r="AA4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4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4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6" s="6" t="str">
        <f>IF(_xlfn.IFNA(INDEX(configuracoes!$A$2:$A$10,MATCH(base_tc_geral[[#This Row],[TIPO]],configuracoes!$A$2:$A$10,0)),"NÃO")="NÃO","NÃO","SIM")</f>
        <v>SIM</v>
      </c>
    </row>
    <row r="457" spans="1:31" x14ac:dyDescent="0.25">
      <c r="A457" s="2" t="s">
        <v>2033</v>
      </c>
      <c r="B457" s="2">
        <v>102101642</v>
      </c>
      <c r="C457" s="2" t="s">
        <v>15</v>
      </c>
      <c r="D457" s="2" t="s">
        <v>4514</v>
      </c>
      <c r="E457" s="2" t="s">
        <v>106</v>
      </c>
      <c r="F457" s="2" t="s">
        <v>509</v>
      </c>
      <c r="G457" s="2" t="s">
        <v>245</v>
      </c>
      <c r="H457" s="2" t="s">
        <v>130</v>
      </c>
      <c r="I457" s="2" t="s">
        <v>33</v>
      </c>
      <c r="J457" s="2" t="s">
        <v>109</v>
      </c>
      <c r="K457" s="2" t="s">
        <v>20</v>
      </c>
      <c r="L457" s="2" t="s">
        <v>21</v>
      </c>
      <c r="M457" s="2" t="s">
        <v>22</v>
      </c>
      <c r="N457" s="2" t="s">
        <v>15</v>
      </c>
      <c r="O457" s="2" t="s">
        <v>132</v>
      </c>
      <c r="P457" s="2" t="s">
        <v>2035</v>
      </c>
      <c r="Q457" s="2" t="s">
        <v>4926</v>
      </c>
      <c r="R457" s="2" t="s">
        <v>187</v>
      </c>
      <c r="S457" s="2" t="s">
        <v>736</v>
      </c>
      <c r="T457" s="2" t="s">
        <v>167</v>
      </c>
      <c r="U457" s="2" t="s">
        <v>12</v>
      </c>
      <c r="V457" s="2" t="s">
        <v>4772</v>
      </c>
      <c r="W457" s="2" t="s">
        <v>4982</v>
      </c>
      <c r="X457" s="2" t="s">
        <v>4925</v>
      </c>
      <c r="Y457" s="2" t="s">
        <v>2034</v>
      </c>
      <c r="Z457" s="2" t="s">
        <v>5685</v>
      </c>
      <c r="AA4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4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7" s="6" t="str">
        <f>IF(_xlfn.IFNA(INDEX(configuracoes!$A$2:$A$10,MATCH(base_tc_geral[[#This Row],[TIPO]],configuracoes!$A$2:$A$10,0)),"NÃO")="NÃO","NÃO","SIM")</f>
        <v>SIM</v>
      </c>
    </row>
    <row r="458" spans="1:31" x14ac:dyDescent="0.25">
      <c r="A458" s="2" t="s">
        <v>1484</v>
      </c>
      <c r="B458" s="2">
        <v>109505858</v>
      </c>
      <c r="C458" s="2" t="s">
        <v>15</v>
      </c>
      <c r="D458" s="2" t="s">
        <v>4516</v>
      </c>
      <c r="E458" s="2" t="s">
        <v>86</v>
      </c>
      <c r="F458" s="2" t="s">
        <v>218</v>
      </c>
      <c r="G458" s="2" t="s">
        <v>172</v>
      </c>
      <c r="H458" s="2" t="s">
        <v>217</v>
      </c>
      <c r="I458" s="2" t="s">
        <v>33</v>
      </c>
      <c r="J458" s="2" t="s">
        <v>91</v>
      </c>
      <c r="K458" s="2" t="s">
        <v>13</v>
      </c>
      <c r="L458" s="2" t="s">
        <v>17</v>
      </c>
      <c r="M458" s="2" t="s">
        <v>22</v>
      </c>
      <c r="N458" s="2" t="s">
        <v>15</v>
      </c>
      <c r="O458" s="2" t="s">
        <v>221</v>
      </c>
      <c r="P458" s="2" t="s">
        <v>1486</v>
      </c>
      <c r="Q458" s="2" t="s">
        <v>4926</v>
      </c>
      <c r="R458" s="2" t="s">
        <v>1466</v>
      </c>
      <c r="S458" s="2" t="s">
        <v>93</v>
      </c>
      <c r="T458" s="2" t="s">
        <v>4696</v>
      </c>
      <c r="U458" s="2" t="s">
        <v>12</v>
      </c>
      <c r="V458" s="2" t="s">
        <v>4802</v>
      </c>
      <c r="W458" s="2" t="s">
        <v>17</v>
      </c>
      <c r="X458" s="2" t="s">
        <v>4925</v>
      </c>
      <c r="Y458" s="2" t="s">
        <v>1485</v>
      </c>
      <c r="Z458" s="2" t="s">
        <v>5686</v>
      </c>
      <c r="AA4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8" s="6" t="str">
        <f>IF(_xlfn.IFNA(INDEX(configuracoes!$A$2:$A$10,MATCH(base_tc_geral[[#This Row],[TIPO]],configuracoes!$A$2:$A$10,0)),"NÃO")="NÃO","NÃO","SIM")</f>
        <v>NÃO</v>
      </c>
    </row>
    <row r="459" spans="1:31" x14ac:dyDescent="0.25">
      <c r="A459" s="2" t="s">
        <v>2643</v>
      </c>
      <c r="B459" s="2">
        <v>105000985</v>
      </c>
      <c r="C459" s="2" t="s">
        <v>15</v>
      </c>
      <c r="D459" s="2" t="s">
        <v>4509</v>
      </c>
      <c r="E459" s="2" t="s">
        <v>28</v>
      </c>
      <c r="F459" s="2" t="s">
        <v>30</v>
      </c>
      <c r="G459" s="2" t="s">
        <v>630</v>
      </c>
      <c r="H459" s="2" t="s">
        <v>29</v>
      </c>
      <c r="I459" s="2" t="s">
        <v>33</v>
      </c>
      <c r="J459" s="2" t="s">
        <v>34</v>
      </c>
      <c r="K459" s="2" t="s">
        <v>20</v>
      </c>
      <c r="L459" s="2" t="s">
        <v>21</v>
      </c>
      <c r="M459" s="2" t="s">
        <v>22</v>
      </c>
      <c r="N459" s="2" t="s">
        <v>15</v>
      </c>
      <c r="O459" s="2" t="s">
        <v>36</v>
      </c>
      <c r="P459" s="2" t="s">
        <v>2645</v>
      </c>
      <c r="Q459" s="2" t="s">
        <v>4926</v>
      </c>
      <c r="R459" s="2" t="s">
        <v>32</v>
      </c>
      <c r="S459" s="2" t="s">
        <v>167</v>
      </c>
      <c r="T459" s="2" t="s">
        <v>167</v>
      </c>
      <c r="U459" s="2" t="s">
        <v>12</v>
      </c>
      <c r="V459" s="2" t="s">
        <v>4851</v>
      </c>
      <c r="W459" s="2" t="s">
        <v>4982</v>
      </c>
      <c r="X459" s="2" t="s">
        <v>4925</v>
      </c>
      <c r="Y459" s="2" t="s">
        <v>2644</v>
      </c>
      <c r="Z459" s="2" t="s">
        <v>5687</v>
      </c>
      <c r="AA4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4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59" s="6" t="str">
        <f>IF(_xlfn.IFNA(INDEX(configuracoes!$A$2:$A$10,MATCH(base_tc_geral[[#This Row],[TIPO]],configuracoes!$A$2:$A$10,0)),"NÃO")="NÃO","NÃO","SIM")</f>
        <v>SIM</v>
      </c>
    </row>
    <row r="460" spans="1:31" x14ac:dyDescent="0.25">
      <c r="A460" s="2" t="s">
        <v>4263</v>
      </c>
      <c r="B460" s="2">
        <v>101005241</v>
      </c>
      <c r="C460" s="2" t="s">
        <v>24</v>
      </c>
      <c r="D460" s="2" t="s">
        <v>4768</v>
      </c>
      <c r="E460" s="2" t="s">
        <v>47</v>
      </c>
      <c r="F460" s="2" t="s">
        <v>142</v>
      </c>
      <c r="G460" s="2" t="s">
        <v>58</v>
      </c>
      <c r="H460" s="2" t="s">
        <v>141</v>
      </c>
      <c r="I460" s="2" t="s">
        <v>16</v>
      </c>
      <c r="J460" s="2" t="s">
        <v>141</v>
      </c>
      <c r="K460" s="2" t="s">
        <v>13</v>
      </c>
      <c r="L460" s="2" t="s">
        <v>61</v>
      </c>
      <c r="M460" s="2" t="s">
        <v>18</v>
      </c>
      <c r="N460" s="2" t="s">
        <v>24</v>
      </c>
      <c r="O460" s="2" t="s">
        <v>145</v>
      </c>
      <c r="P460" s="2" t="s">
        <v>4265</v>
      </c>
      <c r="Q460" s="2" t="s">
        <v>4926</v>
      </c>
      <c r="R460" s="2" t="s">
        <v>143</v>
      </c>
      <c r="S460" s="2" t="s">
        <v>4698</v>
      </c>
      <c r="T460" s="2" t="s">
        <v>4697</v>
      </c>
      <c r="U460" s="2" t="s">
        <v>39</v>
      </c>
      <c r="V460" s="2" t="s">
        <v>4845</v>
      </c>
      <c r="W460" s="2" t="s">
        <v>4982</v>
      </c>
      <c r="X460" s="2" t="s">
        <v>4998</v>
      </c>
      <c r="Y460" s="2" t="s">
        <v>4264</v>
      </c>
      <c r="Z460" s="2" t="s">
        <v>5688</v>
      </c>
      <c r="AA4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4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4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60" s="6" t="str">
        <f>IF(_xlfn.IFNA(INDEX(configuracoes!$A$2:$A$10,MATCH(base_tc_geral[[#This Row],[TIPO]],configuracoes!$A$2:$A$10,0)),"NÃO")="NÃO","NÃO","SIM")</f>
        <v>NÃO</v>
      </c>
    </row>
    <row r="461" spans="1:31" x14ac:dyDescent="0.25">
      <c r="A461" s="2" t="s">
        <v>3941</v>
      </c>
      <c r="B461" s="2">
        <v>105303134</v>
      </c>
      <c r="C461" s="2" t="s">
        <v>15</v>
      </c>
      <c r="D461" s="2" t="s">
        <v>4524</v>
      </c>
      <c r="E461" s="2" t="s">
        <v>28</v>
      </c>
      <c r="F461" s="2" t="s">
        <v>290</v>
      </c>
      <c r="G461" s="2" t="s">
        <v>58</v>
      </c>
      <c r="H461" s="2" t="s">
        <v>34</v>
      </c>
      <c r="I461" s="2" t="s">
        <v>33</v>
      </c>
      <c r="J461" s="2" t="s">
        <v>34</v>
      </c>
      <c r="K461" s="2" t="s">
        <v>13</v>
      </c>
      <c r="L461" s="2" t="s">
        <v>61</v>
      </c>
      <c r="M461" s="2" t="s">
        <v>44</v>
      </c>
      <c r="N461" s="2" t="s">
        <v>15</v>
      </c>
      <c r="O461" s="2" t="s">
        <v>156</v>
      </c>
      <c r="P461" s="2" t="s">
        <v>3943</v>
      </c>
      <c r="Q461" s="2" t="s">
        <v>4926</v>
      </c>
      <c r="R461" s="2" t="s">
        <v>442</v>
      </c>
      <c r="S461" s="2" t="s">
        <v>167</v>
      </c>
      <c r="T461" s="2" t="s">
        <v>167</v>
      </c>
      <c r="U461" s="2" t="s">
        <v>12</v>
      </c>
      <c r="V461" s="2" t="s">
        <v>4763</v>
      </c>
      <c r="W461" s="2" t="s">
        <v>4999</v>
      </c>
      <c r="X461" s="2" t="s">
        <v>44</v>
      </c>
      <c r="Y461" s="2" t="s">
        <v>3942</v>
      </c>
      <c r="Z461" s="2" t="s">
        <v>5295</v>
      </c>
      <c r="AA4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4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1" s="6" t="str">
        <f>IF(_xlfn.IFNA(INDEX(configuracoes!$A$2:$A$10,MATCH(base_tc_geral[[#This Row],[TIPO]],configuracoes!$A$2:$A$10,0)),"NÃO")="NÃO","NÃO","SIM")</f>
        <v>NÃO</v>
      </c>
    </row>
    <row r="462" spans="1:31" x14ac:dyDescent="0.25">
      <c r="A462" s="2" t="s">
        <v>903</v>
      </c>
      <c r="B462" s="2">
        <v>102002917</v>
      </c>
      <c r="C462" s="2" t="s">
        <v>15</v>
      </c>
      <c r="D462" s="2" t="s">
        <v>4511</v>
      </c>
      <c r="E462" s="2" t="s">
        <v>106</v>
      </c>
      <c r="F462" s="2" t="s">
        <v>863</v>
      </c>
      <c r="G462" s="2" t="s">
        <v>630</v>
      </c>
      <c r="H462" s="2" t="s">
        <v>427</v>
      </c>
      <c r="I462" s="2" t="s">
        <v>33</v>
      </c>
      <c r="J462" s="2" t="s">
        <v>109</v>
      </c>
      <c r="K462" s="2" t="s">
        <v>20</v>
      </c>
      <c r="L462" s="2" t="s">
        <v>21</v>
      </c>
      <c r="M462" s="2" t="s">
        <v>22</v>
      </c>
      <c r="N462" s="2" t="s">
        <v>15</v>
      </c>
      <c r="O462" s="2" t="s">
        <v>430</v>
      </c>
      <c r="P462" s="2" t="s">
        <v>905</v>
      </c>
      <c r="Q462" s="2" t="s">
        <v>4926</v>
      </c>
      <c r="R462" s="2" t="s">
        <v>5069</v>
      </c>
      <c r="S462" s="2" t="s">
        <v>736</v>
      </c>
      <c r="T462" s="2" t="s">
        <v>167</v>
      </c>
      <c r="U462" s="2" t="s">
        <v>12</v>
      </c>
      <c r="V462" s="2" t="s">
        <v>4773</v>
      </c>
      <c r="W462" s="2" t="s">
        <v>4982</v>
      </c>
      <c r="X462" s="2" t="s">
        <v>4925</v>
      </c>
      <c r="Y462" s="2" t="s">
        <v>904</v>
      </c>
      <c r="Z462" s="2" t="s">
        <v>5296</v>
      </c>
      <c r="AA4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4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2" s="6" t="str">
        <f>IF(_xlfn.IFNA(INDEX(configuracoes!$A$2:$A$10,MATCH(base_tc_geral[[#This Row],[TIPO]],configuracoes!$A$2:$A$10,0)),"NÃO")="NÃO","NÃO","SIM")</f>
        <v>SIM</v>
      </c>
    </row>
    <row r="463" spans="1:31" x14ac:dyDescent="0.25">
      <c r="A463" s="2" t="s">
        <v>1040</v>
      </c>
      <c r="B463" s="2">
        <v>109504012</v>
      </c>
      <c r="C463" s="2" t="s">
        <v>15</v>
      </c>
      <c r="D463" s="2" t="s">
        <v>4527</v>
      </c>
      <c r="E463" s="2" t="s">
        <v>28</v>
      </c>
      <c r="F463" s="2" t="s">
        <v>586</v>
      </c>
      <c r="G463" s="2" t="s">
        <v>172</v>
      </c>
      <c r="H463" s="2" t="s">
        <v>79</v>
      </c>
      <c r="I463" s="2" t="s">
        <v>33</v>
      </c>
      <c r="J463" s="2" t="s">
        <v>34</v>
      </c>
      <c r="K463" s="2" t="s">
        <v>13</v>
      </c>
      <c r="L463" s="2" t="s">
        <v>17</v>
      </c>
      <c r="M463" s="2" t="s">
        <v>18</v>
      </c>
      <c r="N463" s="2" t="s">
        <v>15</v>
      </c>
      <c r="O463" s="2" t="s">
        <v>83</v>
      </c>
      <c r="P463" s="2" t="s">
        <v>1042</v>
      </c>
      <c r="Q463" s="2" t="s">
        <v>4926</v>
      </c>
      <c r="R463" s="2" t="s">
        <v>166</v>
      </c>
      <c r="S463" s="2" t="s">
        <v>167</v>
      </c>
      <c r="T463" s="2" t="s">
        <v>167</v>
      </c>
      <c r="U463" s="2" t="s">
        <v>12</v>
      </c>
      <c r="V463" s="2" t="s">
        <v>4774</v>
      </c>
      <c r="W463" s="2" t="s">
        <v>17</v>
      </c>
      <c r="X463" s="2" t="s">
        <v>4998</v>
      </c>
      <c r="Y463" s="2" t="s">
        <v>1041</v>
      </c>
      <c r="Z463" s="2" t="s">
        <v>5297</v>
      </c>
      <c r="AA4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4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3" s="6" t="str">
        <f>IF(_xlfn.IFNA(INDEX(configuracoes!$A$2:$A$10,MATCH(base_tc_geral[[#This Row],[TIPO]],configuracoes!$A$2:$A$10,0)),"NÃO")="NÃO","NÃO","SIM")</f>
        <v>NÃO</v>
      </c>
    </row>
    <row r="464" spans="1:31" x14ac:dyDescent="0.25">
      <c r="A464" s="2" t="s">
        <v>1210</v>
      </c>
      <c r="B464" s="2">
        <v>105000986</v>
      </c>
      <c r="C464" s="2" t="s">
        <v>15</v>
      </c>
      <c r="D464" s="2" t="s">
        <v>4530</v>
      </c>
      <c r="E464" s="2" t="s">
        <v>28</v>
      </c>
      <c r="F464" s="2" t="s">
        <v>80</v>
      </c>
      <c r="G464" s="2" t="s">
        <v>89</v>
      </c>
      <c r="H464" s="2" t="s">
        <v>79</v>
      </c>
      <c r="I464" s="2" t="s">
        <v>33</v>
      </c>
      <c r="J464" s="2" t="s">
        <v>34</v>
      </c>
      <c r="K464" s="2" t="s">
        <v>13</v>
      </c>
      <c r="L464" s="2" t="s">
        <v>37</v>
      </c>
      <c r="M464" s="2" t="s">
        <v>44</v>
      </c>
      <c r="N464" s="2" t="s">
        <v>15</v>
      </c>
      <c r="O464" s="2" t="s">
        <v>83</v>
      </c>
      <c r="P464" s="2" t="s">
        <v>1212</v>
      </c>
      <c r="Q464" s="2" t="s">
        <v>4926</v>
      </c>
      <c r="R464" s="2" t="s">
        <v>81</v>
      </c>
      <c r="S464" s="2" t="s">
        <v>167</v>
      </c>
      <c r="T464" s="2" t="s">
        <v>167</v>
      </c>
      <c r="U464" s="2" t="s">
        <v>12</v>
      </c>
      <c r="V464" s="2" t="s">
        <v>4767</v>
      </c>
      <c r="W464" s="2" t="s">
        <v>4999</v>
      </c>
      <c r="X464" s="2" t="s">
        <v>44</v>
      </c>
      <c r="Y464" s="2" t="s">
        <v>1211</v>
      </c>
      <c r="Z464" s="2" t="s">
        <v>5298</v>
      </c>
      <c r="AA4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4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4" s="6" t="str">
        <f>IF(_xlfn.IFNA(INDEX(configuracoes!$A$2:$A$10,MATCH(base_tc_geral[[#This Row],[TIPO]],configuracoes!$A$2:$A$10,0)),"NÃO")="NÃO","NÃO","SIM")</f>
        <v>NÃO</v>
      </c>
    </row>
    <row r="465" spans="1:31" x14ac:dyDescent="0.25">
      <c r="A465" s="2" t="s">
        <v>513</v>
      </c>
      <c r="B465" s="2">
        <v>109000340</v>
      </c>
      <c r="C465" s="2" t="s">
        <v>15</v>
      </c>
      <c r="D465" s="2" t="s">
        <v>4576</v>
      </c>
      <c r="E465" s="2" t="s">
        <v>86</v>
      </c>
      <c r="F465" s="2" t="s">
        <v>88</v>
      </c>
      <c r="G465" s="2" t="s">
        <v>172</v>
      </c>
      <c r="H465" s="2" t="s">
        <v>87</v>
      </c>
      <c r="I465" s="2" t="s">
        <v>33</v>
      </c>
      <c r="J465" s="2" t="s">
        <v>91</v>
      </c>
      <c r="K465" s="2" t="s">
        <v>13</v>
      </c>
      <c r="L465" s="2" t="s">
        <v>17</v>
      </c>
      <c r="M465" s="2" t="s">
        <v>23</v>
      </c>
      <c r="N465" s="2" t="s">
        <v>15</v>
      </c>
      <c r="O465" s="2" t="s">
        <v>95</v>
      </c>
      <c r="P465" s="2" t="s">
        <v>515</v>
      </c>
      <c r="Q465" s="2" t="s">
        <v>4926</v>
      </c>
      <c r="R465" s="2" t="s">
        <v>90</v>
      </c>
      <c r="S465" s="2" t="s">
        <v>93</v>
      </c>
      <c r="T465" s="2" t="s">
        <v>4696</v>
      </c>
      <c r="U465" s="2" t="s">
        <v>12</v>
      </c>
      <c r="V465" s="2" t="s">
        <v>4796</v>
      </c>
      <c r="W465" s="2" t="s">
        <v>17</v>
      </c>
      <c r="X465" s="2" t="s">
        <v>4998</v>
      </c>
      <c r="Y465" s="2" t="s">
        <v>514</v>
      </c>
      <c r="Z465" s="2" t="s">
        <v>5299</v>
      </c>
      <c r="AA4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4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5" s="6" t="str">
        <f>IF(_xlfn.IFNA(INDEX(configuracoes!$A$2:$A$10,MATCH(base_tc_geral[[#This Row],[TIPO]],configuracoes!$A$2:$A$10,0)),"NÃO")="NÃO","NÃO","SIM")</f>
        <v>NÃO</v>
      </c>
    </row>
    <row r="466" spans="1:31" x14ac:dyDescent="0.25">
      <c r="A466" s="2" t="s">
        <v>3721</v>
      </c>
      <c r="B466" s="2">
        <v>102100917</v>
      </c>
      <c r="C466" s="2" t="s">
        <v>15</v>
      </c>
      <c r="D466" s="2" t="s">
        <v>4629</v>
      </c>
      <c r="E466" s="2" t="s">
        <v>106</v>
      </c>
      <c r="F466" s="2" t="s">
        <v>116</v>
      </c>
      <c r="G466" s="2" t="s">
        <v>41</v>
      </c>
      <c r="H466" s="2" t="s">
        <v>115</v>
      </c>
      <c r="I466" s="2" t="s">
        <v>33</v>
      </c>
      <c r="J466" s="2" t="s">
        <v>109</v>
      </c>
      <c r="K466" s="2" t="s">
        <v>13</v>
      </c>
      <c r="L466" s="2" t="s">
        <v>42</v>
      </c>
      <c r="M466" s="2" t="s">
        <v>75</v>
      </c>
      <c r="N466" s="2" t="s">
        <v>15</v>
      </c>
      <c r="O466" s="2" t="s">
        <v>119</v>
      </c>
      <c r="P466" s="2" t="s">
        <v>3723</v>
      </c>
      <c r="Q466" s="2" t="s">
        <v>4926</v>
      </c>
      <c r="R466" s="2" t="s">
        <v>117</v>
      </c>
      <c r="S466" s="2" t="s">
        <v>736</v>
      </c>
      <c r="T466" s="2" t="s">
        <v>167</v>
      </c>
      <c r="U466" s="2" t="s">
        <v>12</v>
      </c>
      <c r="V466" s="2" t="s">
        <v>4902</v>
      </c>
      <c r="W466" s="2" t="s">
        <v>42</v>
      </c>
      <c r="X466" s="2" t="s">
        <v>75</v>
      </c>
      <c r="Y466" s="2" t="s">
        <v>3722</v>
      </c>
      <c r="Z466" s="2" t="s">
        <v>5300</v>
      </c>
      <c r="AA4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4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6" s="6" t="str">
        <f>IF(_xlfn.IFNA(INDEX(configuracoes!$A$2:$A$10,MATCH(base_tc_geral[[#This Row],[TIPO]],configuracoes!$A$2:$A$10,0)),"NÃO")="NÃO","NÃO","SIM")</f>
        <v>SIM</v>
      </c>
    </row>
    <row r="467" spans="1:31" x14ac:dyDescent="0.25">
      <c r="A467" s="2" t="s">
        <v>1743</v>
      </c>
      <c r="B467" s="2">
        <v>109505049</v>
      </c>
      <c r="C467" s="2" t="s">
        <v>15</v>
      </c>
      <c r="D467" s="2" t="s">
        <v>4493</v>
      </c>
      <c r="E467" s="2" t="s">
        <v>86</v>
      </c>
      <c r="F467" s="2" t="s">
        <v>594</v>
      </c>
      <c r="G467" s="2" t="s">
        <v>99</v>
      </c>
      <c r="H467" s="2" t="s">
        <v>122</v>
      </c>
      <c r="I467" s="2" t="s">
        <v>33</v>
      </c>
      <c r="J467" s="2" t="s">
        <v>124</v>
      </c>
      <c r="K467" s="2" t="s">
        <v>13</v>
      </c>
      <c r="L467" s="2" t="s">
        <v>25</v>
      </c>
      <c r="M467" s="2" t="s">
        <v>22</v>
      </c>
      <c r="N467" s="2" t="s">
        <v>15</v>
      </c>
      <c r="O467" s="2" t="s">
        <v>129</v>
      </c>
      <c r="P467" s="2" t="s">
        <v>1745</v>
      </c>
      <c r="Q467" s="2" t="s">
        <v>4926</v>
      </c>
      <c r="R467" s="2" t="s">
        <v>541</v>
      </c>
      <c r="S467" s="2" t="s">
        <v>125</v>
      </c>
      <c r="T467" s="2" t="s">
        <v>4696</v>
      </c>
      <c r="U467" s="2" t="s">
        <v>12</v>
      </c>
      <c r="V467" s="2" t="s">
        <v>4765</v>
      </c>
      <c r="W467" s="2" t="s">
        <v>4931</v>
      </c>
      <c r="X467" s="2" t="s">
        <v>4925</v>
      </c>
      <c r="Y467" s="2" t="s">
        <v>1744</v>
      </c>
      <c r="Z467" s="2" t="s">
        <v>5301</v>
      </c>
      <c r="AA4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4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7" s="6" t="str">
        <f>IF(_xlfn.IFNA(INDEX(configuracoes!$A$2:$A$10,MATCH(base_tc_geral[[#This Row],[TIPO]],configuracoes!$A$2:$A$10,0)),"NÃO")="NÃO","NÃO","SIM")</f>
        <v>SIM</v>
      </c>
    </row>
    <row r="468" spans="1:31" x14ac:dyDescent="0.25">
      <c r="A468" s="2" t="s">
        <v>2686</v>
      </c>
      <c r="B468" s="2">
        <v>109506091</v>
      </c>
      <c r="C468" s="2" t="s">
        <v>15</v>
      </c>
      <c r="D468" s="2" t="s">
        <v>4529</v>
      </c>
      <c r="E468" s="2" t="s">
        <v>86</v>
      </c>
      <c r="F468" s="2" t="s">
        <v>123</v>
      </c>
      <c r="G468" s="2" t="s">
        <v>41</v>
      </c>
      <c r="H468" s="2" t="s">
        <v>122</v>
      </c>
      <c r="I468" s="2" t="s">
        <v>33</v>
      </c>
      <c r="J468" s="2" t="s">
        <v>124</v>
      </c>
      <c r="K468" s="2" t="s">
        <v>13</v>
      </c>
      <c r="L468" s="2" t="s">
        <v>42</v>
      </c>
      <c r="M468" s="2" t="s">
        <v>75</v>
      </c>
      <c r="N468" s="2" t="s">
        <v>15</v>
      </c>
      <c r="O468" s="2" t="s">
        <v>129</v>
      </c>
      <c r="P468" s="2" t="s">
        <v>2688</v>
      </c>
      <c r="Q468" s="2" t="s">
        <v>4926</v>
      </c>
      <c r="R468" s="2" t="s">
        <v>2683</v>
      </c>
      <c r="S468" s="2" t="s">
        <v>125</v>
      </c>
      <c r="T468" s="2" t="s">
        <v>4696</v>
      </c>
      <c r="U468" s="2" t="s">
        <v>12</v>
      </c>
      <c r="V468" s="2" t="s">
        <v>4771</v>
      </c>
      <c r="W468" s="2" t="s">
        <v>42</v>
      </c>
      <c r="X468" s="2" t="s">
        <v>75</v>
      </c>
      <c r="Y468" s="2" t="s">
        <v>2687</v>
      </c>
      <c r="Z468" s="2" t="s">
        <v>5302</v>
      </c>
      <c r="AA4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4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8" s="6" t="str">
        <f>IF(_xlfn.IFNA(INDEX(configuracoes!$A$2:$A$10,MATCH(base_tc_geral[[#This Row],[TIPO]],configuracoes!$A$2:$A$10,0)),"NÃO")="NÃO","NÃO","SIM")</f>
        <v>SIM</v>
      </c>
    </row>
    <row r="469" spans="1:31" x14ac:dyDescent="0.25">
      <c r="A469" s="2" t="s">
        <v>2704</v>
      </c>
      <c r="B469" s="2">
        <v>105000985</v>
      </c>
      <c r="C469" s="2" t="s">
        <v>15</v>
      </c>
      <c r="D469" s="2" t="s">
        <v>4481</v>
      </c>
      <c r="E469" s="2" t="s">
        <v>28</v>
      </c>
      <c r="F469" s="2" t="s">
        <v>30</v>
      </c>
      <c r="G469" s="2" t="s">
        <v>89</v>
      </c>
      <c r="H469" s="2" t="s">
        <v>29</v>
      </c>
      <c r="I469" s="2" t="s">
        <v>33</v>
      </c>
      <c r="J469" s="2" t="s">
        <v>34</v>
      </c>
      <c r="K469" s="2" t="s">
        <v>13</v>
      </c>
      <c r="L469" s="2" t="s">
        <v>37</v>
      </c>
      <c r="M469" s="2" t="s">
        <v>74</v>
      </c>
      <c r="N469" s="2" t="s">
        <v>15</v>
      </c>
      <c r="O469" s="2" t="s">
        <v>36</v>
      </c>
      <c r="P469" s="2" t="s">
        <v>2706</v>
      </c>
      <c r="Q469" s="2" t="s">
        <v>4926</v>
      </c>
      <c r="R469" s="2" t="s">
        <v>32</v>
      </c>
      <c r="S469" s="2" t="s">
        <v>167</v>
      </c>
      <c r="T469" s="2" t="s">
        <v>167</v>
      </c>
      <c r="U469" s="2" t="s">
        <v>12</v>
      </c>
      <c r="V469" s="2" t="s">
        <v>4851</v>
      </c>
      <c r="W469" s="2" t="s">
        <v>4999</v>
      </c>
      <c r="X469" s="2" t="s">
        <v>74</v>
      </c>
      <c r="Y469" s="2" t="s">
        <v>2705</v>
      </c>
      <c r="Z469" s="2" t="s">
        <v>5303</v>
      </c>
      <c r="AA4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4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69" s="6" t="str">
        <f>IF(_xlfn.IFNA(INDEX(configuracoes!$A$2:$A$10,MATCH(base_tc_geral[[#This Row],[TIPO]],configuracoes!$A$2:$A$10,0)),"NÃO")="NÃO","NÃO","SIM")</f>
        <v>NÃO</v>
      </c>
    </row>
    <row r="470" spans="1:31" x14ac:dyDescent="0.25">
      <c r="A470" s="2" t="s">
        <v>1897</v>
      </c>
      <c r="B470" s="2">
        <v>101006255</v>
      </c>
      <c r="C470" s="2" t="s">
        <v>15</v>
      </c>
      <c r="D470" s="2" t="s">
        <v>4519</v>
      </c>
      <c r="E470" s="2" t="s">
        <v>47</v>
      </c>
      <c r="F470" s="2" t="s">
        <v>1112</v>
      </c>
      <c r="G470" s="2" t="s">
        <v>870</v>
      </c>
      <c r="H470" s="2" t="s">
        <v>224</v>
      </c>
      <c r="I470" s="2" t="s">
        <v>16</v>
      </c>
      <c r="J470" s="2" t="s">
        <v>227</v>
      </c>
      <c r="K470" s="2" t="s">
        <v>13</v>
      </c>
      <c r="L470" s="2" t="s">
        <v>76</v>
      </c>
      <c r="M470" s="2" t="s">
        <v>22</v>
      </c>
      <c r="N470" s="2" t="s">
        <v>15</v>
      </c>
      <c r="O470" s="2" t="s">
        <v>229</v>
      </c>
      <c r="P470" s="2" t="s">
        <v>1899</v>
      </c>
      <c r="Q470" s="2" t="s">
        <v>4926</v>
      </c>
      <c r="R470" s="2" t="s">
        <v>369</v>
      </c>
      <c r="S470" s="2" t="s">
        <v>4698</v>
      </c>
      <c r="T470" s="2" t="s">
        <v>4697</v>
      </c>
      <c r="U470" s="2" t="s">
        <v>12</v>
      </c>
      <c r="V470" s="2" t="s">
        <v>4817</v>
      </c>
      <c r="W470" s="2" t="s">
        <v>4982</v>
      </c>
      <c r="X470" s="2" t="s">
        <v>4925</v>
      </c>
      <c r="Y470" s="2" t="s">
        <v>1898</v>
      </c>
      <c r="Z470" s="2" t="s">
        <v>5304</v>
      </c>
      <c r="AA4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4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4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0" s="6" t="str">
        <f>IF(_xlfn.IFNA(INDEX(configuracoes!$A$2:$A$10,MATCH(base_tc_geral[[#This Row],[TIPO]],configuracoes!$A$2:$A$10,0)),"NÃO")="NÃO","NÃO","SIM")</f>
        <v>SIM</v>
      </c>
    </row>
    <row r="471" spans="1:31" x14ac:dyDescent="0.25">
      <c r="A471" s="2" t="s">
        <v>1294</v>
      </c>
      <c r="B471" s="2">
        <v>105303124</v>
      </c>
      <c r="C471" s="2" t="s">
        <v>15</v>
      </c>
      <c r="D471" s="2" t="s">
        <v>4507</v>
      </c>
      <c r="E471" s="2" t="s">
        <v>86</v>
      </c>
      <c r="F471" s="2" t="s">
        <v>363</v>
      </c>
      <c r="G471" s="2" t="s">
        <v>245</v>
      </c>
      <c r="H471" s="2" t="s">
        <v>210</v>
      </c>
      <c r="I471" s="2" t="s">
        <v>33</v>
      </c>
      <c r="J471" s="2" t="s">
        <v>124</v>
      </c>
      <c r="K471" s="2" t="s">
        <v>13</v>
      </c>
      <c r="L471" s="2" t="s">
        <v>21</v>
      </c>
      <c r="M471" s="2" t="s">
        <v>22</v>
      </c>
      <c r="N471" s="2" t="s">
        <v>15</v>
      </c>
      <c r="O471" s="2" t="s">
        <v>214</v>
      </c>
      <c r="P471" s="2" t="s">
        <v>1296</v>
      </c>
      <c r="Q471" s="2" t="s">
        <v>4926</v>
      </c>
      <c r="R471" s="2" t="s">
        <v>551</v>
      </c>
      <c r="S471" s="2" t="s">
        <v>4700</v>
      </c>
      <c r="T471" s="2" t="s">
        <v>4701</v>
      </c>
      <c r="U471" s="2" t="s">
        <v>12</v>
      </c>
      <c r="V471" s="2" t="s">
        <v>4799</v>
      </c>
      <c r="W471" s="2" t="s">
        <v>5024</v>
      </c>
      <c r="X471" s="2" t="s">
        <v>4925</v>
      </c>
      <c r="Y471" s="2" t="s">
        <v>1295</v>
      </c>
      <c r="Z471" s="2" t="s">
        <v>5305</v>
      </c>
      <c r="AA4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GENELSON AUGUSTO </v>
      </c>
      <c r="AB4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4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4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1" s="6" t="str">
        <f>IF(_xlfn.IFNA(INDEX(configuracoes!$A$2:$A$10,MATCH(base_tc_geral[[#This Row],[TIPO]],configuracoes!$A$2:$A$10,0)),"NÃO")="NÃO","NÃO","SIM")</f>
        <v>SIM</v>
      </c>
    </row>
    <row r="472" spans="1:31" x14ac:dyDescent="0.25">
      <c r="A472" s="2" t="s">
        <v>1969</v>
      </c>
      <c r="B472" s="2">
        <v>109000926</v>
      </c>
      <c r="C472" s="2" t="s">
        <v>15</v>
      </c>
      <c r="D472" s="2" t="s">
        <v>4881</v>
      </c>
      <c r="E472" s="2" t="s">
        <v>86</v>
      </c>
      <c r="F472" s="2" t="s">
        <v>1099</v>
      </c>
      <c r="G472" s="2" t="s">
        <v>245</v>
      </c>
      <c r="H472" s="2" t="s">
        <v>283</v>
      </c>
      <c r="I472" s="2" t="s">
        <v>33</v>
      </c>
      <c r="J472" s="2" t="s">
        <v>124</v>
      </c>
      <c r="K472" s="2" t="s">
        <v>20</v>
      </c>
      <c r="L472" s="2" t="s">
        <v>21</v>
      </c>
      <c r="M472" s="2" t="s">
        <v>22</v>
      </c>
      <c r="N472" s="2" t="s">
        <v>15</v>
      </c>
      <c r="O472" s="2" t="s">
        <v>287</v>
      </c>
      <c r="P472" s="2" t="s">
        <v>1971</v>
      </c>
      <c r="Q472" s="2" t="s">
        <v>4926</v>
      </c>
      <c r="R472" s="2" t="s">
        <v>285</v>
      </c>
      <c r="S472" s="2" t="s">
        <v>125</v>
      </c>
      <c r="T472" s="2" t="s">
        <v>4696</v>
      </c>
      <c r="U472" s="2" t="s">
        <v>12</v>
      </c>
      <c r="V472" s="2" t="s">
        <v>4777</v>
      </c>
      <c r="W472" s="2" t="s">
        <v>4982</v>
      </c>
      <c r="X472" s="2" t="s">
        <v>4925</v>
      </c>
      <c r="Y472" s="2" t="s">
        <v>1970</v>
      </c>
      <c r="Z472" s="2" t="s">
        <v>5306</v>
      </c>
      <c r="AA4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4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2" s="6" t="str">
        <f>IF(_xlfn.IFNA(INDEX(configuracoes!$A$2:$A$10,MATCH(base_tc_geral[[#This Row],[TIPO]],configuracoes!$A$2:$A$10,0)),"NÃO")="NÃO","NÃO","SIM")</f>
        <v>SIM</v>
      </c>
    </row>
    <row r="473" spans="1:31" x14ac:dyDescent="0.25">
      <c r="A473" s="2" t="s">
        <v>2580</v>
      </c>
      <c r="B473" s="2">
        <v>109505858</v>
      </c>
      <c r="C473" s="2" t="s">
        <v>15</v>
      </c>
      <c r="D473" s="2" t="s">
        <v>4607</v>
      </c>
      <c r="E473" s="2" t="s">
        <v>86</v>
      </c>
      <c r="F473" s="2" t="s">
        <v>559</v>
      </c>
      <c r="G473" s="2" t="s">
        <v>58</v>
      </c>
      <c r="H473" s="2" t="s">
        <v>558</v>
      </c>
      <c r="I473" s="2" t="s">
        <v>33</v>
      </c>
      <c r="J473" s="2" t="s">
        <v>91</v>
      </c>
      <c r="K473" s="2" t="s">
        <v>92</v>
      </c>
      <c r="L473" s="2" t="s">
        <v>61</v>
      </c>
      <c r="M473" s="2" t="s">
        <v>44</v>
      </c>
      <c r="N473" s="2" t="s">
        <v>15</v>
      </c>
      <c r="O473" s="2" t="s">
        <v>561</v>
      </c>
      <c r="P473" s="2" t="s">
        <v>2582</v>
      </c>
      <c r="Q473" s="2" t="s">
        <v>4926</v>
      </c>
      <c r="R473" s="2" t="s">
        <v>1466</v>
      </c>
      <c r="S473" s="2" t="s">
        <v>93</v>
      </c>
      <c r="T473" s="2" t="s">
        <v>4696</v>
      </c>
      <c r="U473" s="2" t="s">
        <v>12</v>
      </c>
      <c r="V473" s="2" t="s">
        <v>4802</v>
      </c>
      <c r="W473" s="2" t="s">
        <v>4999</v>
      </c>
      <c r="X473" s="2" t="s">
        <v>44</v>
      </c>
      <c r="Y473" s="2" t="s">
        <v>2581</v>
      </c>
      <c r="Z473" s="2" t="s">
        <v>5307</v>
      </c>
      <c r="AA4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3" s="6" t="str">
        <f>IF(_xlfn.IFNA(INDEX(configuracoes!$A$2:$A$10,MATCH(base_tc_geral[[#This Row],[TIPO]],configuracoes!$A$2:$A$10,0)),"NÃO")="NÃO","NÃO","SIM")</f>
        <v>NÃO</v>
      </c>
    </row>
    <row r="474" spans="1:31" x14ac:dyDescent="0.25">
      <c r="A474" s="2" t="s">
        <v>3505</v>
      </c>
      <c r="B474" s="2">
        <v>102100917</v>
      </c>
      <c r="C474" s="2" t="s">
        <v>24</v>
      </c>
      <c r="D474" s="2" t="s">
        <v>4768</v>
      </c>
      <c r="E474" s="2" t="s">
        <v>106</v>
      </c>
      <c r="F474" s="2" t="s">
        <v>116</v>
      </c>
      <c r="G474" s="2" t="s">
        <v>245</v>
      </c>
      <c r="H474" s="2" t="s">
        <v>115</v>
      </c>
      <c r="I474" s="2" t="s">
        <v>33</v>
      </c>
      <c r="J474" s="2" t="s">
        <v>109</v>
      </c>
      <c r="K474" s="2" t="s">
        <v>20</v>
      </c>
      <c r="L474" s="2" t="s">
        <v>21</v>
      </c>
      <c r="M474" s="2" t="s">
        <v>22</v>
      </c>
      <c r="N474" s="2" t="s">
        <v>24</v>
      </c>
      <c r="O474" s="2" t="s">
        <v>119</v>
      </c>
      <c r="P474" s="2" t="s">
        <v>3507</v>
      </c>
      <c r="Q474" s="2" t="s">
        <v>4926</v>
      </c>
      <c r="R474" s="2" t="s">
        <v>117</v>
      </c>
      <c r="S474" s="2" t="s">
        <v>736</v>
      </c>
      <c r="T474" s="2" t="s">
        <v>167</v>
      </c>
      <c r="U474" s="2" t="s">
        <v>39</v>
      </c>
      <c r="V474" s="2" t="s">
        <v>4902</v>
      </c>
      <c r="W474" s="2" t="s">
        <v>4982</v>
      </c>
      <c r="X474" s="2" t="s">
        <v>4925</v>
      </c>
      <c r="Y474" s="2" t="s">
        <v>3506</v>
      </c>
      <c r="Z474" s="2" t="s">
        <v>5308</v>
      </c>
      <c r="AA4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4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74" s="6" t="str">
        <f>IF(_xlfn.IFNA(INDEX(configuracoes!$A$2:$A$10,MATCH(base_tc_geral[[#This Row],[TIPO]],configuracoes!$A$2:$A$10,0)),"NÃO")="NÃO","NÃO","SIM")</f>
        <v>SIM</v>
      </c>
    </row>
    <row r="475" spans="1:31" x14ac:dyDescent="0.25">
      <c r="A475" s="2" t="s">
        <v>3063</v>
      </c>
      <c r="B475" s="2">
        <v>109505049</v>
      </c>
      <c r="C475" s="2" t="s">
        <v>15</v>
      </c>
      <c r="D475" s="2" t="s">
        <v>4493</v>
      </c>
      <c r="E475" s="2" t="s">
        <v>86</v>
      </c>
      <c r="F475" s="2" t="s">
        <v>594</v>
      </c>
      <c r="G475" s="2" t="s">
        <v>99</v>
      </c>
      <c r="H475" s="2" t="s">
        <v>122</v>
      </c>
      <c r="I475" s="2" t="s">
        <v>33</v>
      </c>
      <c r="J475" s="2" t="s">
        <v>124</v>
      </c>
      <c r="K475" s="2" t="s">
        <v>13</v>
      </c>
      <c r="L475" s="2" t="s">
        <v>25</v>
      </c>
      <c r="M475" s="2" t="s">
        <v>22</v>
      </c>
      <c r="N475" s="2" t="s">
        <v>15</v>
      </c>
      <c r="O475" s="2" t="s">
        <v>129</v>
      </c>
      <c r="P475" s="2" t="s">
        <v>3065</v>
      </c>
      <c r="Q475" s="2" t="s">
        <v>4926</v>
      </c>
      <c r="R475" s="2" t="s">
        <v>541</v>
      </c>
      <c r="S475" s="2" t="s">
        <v>125</v>
      </c>
      <c r="T475" s="2" t="s">
        <v>4696</v>
      </c>
      <c r="U475" s="2" t="s">
        <v>12</v>
      </c>
      <c r="V475" s="2" t="s">
        <v>4765</v>
      </c>
      <c r="W475" s="2" t="s">
        <v>4931</v>
      </c>
      <c r="X475" s="2" t="s">
        <v>4925</v>
      </c>
      <c r="Y475" s="2" t="s">
        <v>3064</v>
      </c>
      <c r="Z475" s="2" t="s">
        <v>5309</v>
      </c>
      <c r="AA4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4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5" s="6" t="str">
        <f>IF(_xlfn.IFNA(INDEX(configuracoes!$A$2:$A$10,MATCH(base_tc_geral[[#This Row],[TIPO]],configuracoes!$A$2:$A$10,0)),"NÃO")="NÃO","NÃO","SIM")</f>
        <v>SIM</v>
      </c>
    </row>
    <row r="476" spans="1:31" x14ac:dyDescent="0.25">
      <c r="A476" s="2" t="s">
        <v>3072</v>
      </c>
      <c r="B476" s="2">
        <v>109505049</v>
      </c>
      <c r="C476" s="2" t="s">
        <v>15</v>
      </c>
      <c r="D476" s="2" t="s">
        <v>4493</v>
      </c>
      <c r="E476" s="2" t="s">
        <v>86</v>
      </c>
      <c r="F476" s="2" t="s">
        <v>540</v>
      </c>
      <c r="G476" s="2" t="s">
        <v>99</v>
      </c>
      <c r="H476" s="2" t="s">
        <v>283</v>
      </c>
      <c r="I476" s="2" t="s">
        <v>33</v>
      </c>
      <c r="J476" s="2" t="s">
        <v>124</v>
      </c>
      <c r="K476" s="2" t="s">
        <v>13</v>
      </c>
      <c r="L476" s="2" t="s">
        <v>25</v>
      </c>
      <c r="M476" s="2" t="s">
        <v>22</v>
      </c>
      <c r="N476" s="2" t="s">
        <v>15</v>
      </c>
      <c r="O476" s="2" t="s">
        <v>287</v>
      </c>
      <c r="P476" s="2" t="s">
        <v>3074</v>
      </c>
      <c r="Q476" s="2" t="s">
        <v>4926</v>
      </c>
      <c r="R476" s="2" t="s">
        <v>541</v>
      </c>
      <c r="S476" s="2" t="s">
        <v>125</v>
      </c>
      <c r="T476" s="2" t="s">
        <v>4696</v>
      </c>
      <c r="U476" s="2" t="s">
        <v>12</v>
      </c>
      <c r="V476" s="2" t="s">
        <v>4765</v>
      </c>
      <c r="W476" s="2" t="s">
        <v>4931</v>
      </c>
      <c r="X476" s="2" t="s">
        <v>4925</v>
      </c>
      <c r="Y476" s="2" t="s">
        <v>3073</v>
      </c>
      <c r="Z476" s="2" t="s">
        <v>5310</v>
      </c>
      <c r="AA4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4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6" s="6" t="str">
        <f>IF(_xlfn.IFNA(INDEX(configuracoes!$A$2:$A$10,MATCH(base_tc_geral[[#This Row],[TIPO]],configuracoes!$A$2:$A$10,0)),"NÃO")="NÃO","NÃO","SIM")</f>
        <v>SIM</v>
      </c>
    </row>
    <row r="477" spans="1:31" x14ac:dyDescent="0.25">
      <c r="A477" s="2" t="s">
        <v>193</v>
      </c>
      <c r="B477" s="2">
        <v>105000985</v>
      </c>
      <c r="C477" s="2" t="s">
        <v>15</v>
      </c>
      <c r="D477" s="2" t="s">
        <v>4613</v>
      </c>
      <c r="E477" s="2" t="s">
        <v>28</v>
      </c>
      <c r="F477" s="2" t="s">
        <v>30</v>
      </c>
      <c r="G477" s="2" t="s">
        <v>883</v>
      </c>
      <c r="H477" s="2" t="s">
        <v>29</v>
      </c>
      <c r="I477" s="2" t="s">
        <v>33</v>
      </c>
      <c r="J477" s="2" t="s">
        <v>34</v>
      </c>
      <c r="K477" s="2" t="s">
        <v>20</v>
      </c>
      <c r="L477" s="2" t="s">
        <v>21</v>
      </c>
      <c r="M477" s="2" t="s">
        <v>22</v>
      </c>
      <c r="N477" s="2" t="s">
        <v>15</v>
      </c>
      <c r="O477" s="2" t="s">
        <v>36</v>
      </c>
      <c r="P477" s="2" t="s">
        <v>195</v>
      </c>
      <c r="Q477" s="2" t="s">
        <v>4926</v>
      </c>
      <c r="R477" s="2" t="s">
        <v>32</v>
      </c>
      <c r="S477" s="2" t="s">
        <v>167</v>
      </c>
      <c r="T477" s="2" t="s">
        <v>167</v>
      </c>
      <c r="U477" s="2" t="s">
        <v>12</v>
      </c>
      <c r="V477" s="2" t="s">
        <v>4851</v>
      </c>
      <c r="W477" s="2" t="s">
        <v>4982</v>
      </c>
      <c r="X477" s="2" t="s">
        <v>4925</v>
      </c>
      <c r="Y477" s="2" t="s">
        <v>194</v>
      </c>
      <c r="Z477" s="2" t="s">
        <v>5311</v>
      </c>
      <c r="AA4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4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7" s="6" t="str">
        <f>IF(_xlfn.IFNA(INDEX(configuracoes!$A$2:$A$10,MATCH(base_tc_geral[[#This Row],[TIPO]],configuracoes!$A$2:$A$10,0)),"NÃO")="NÃO","NÃO","SIM")</f>
        <v>SIM</v>
      </c>
    </row>
    <row r="478" spans="1:31" x14ac:dyDescent="0.25">
      <c r="A478" s="2" t="s">
        <v>486</v>
      </c>
      <c r="B478" s="2">
        <v>109500177</v>
      </c>
      <c r="C478" s="2" t="s">
        <v>24</v>
      </c>
      <c r="D478" s="2" t="s">
        <v>4768</v>
      </c>
      <c r="E478" s="2" t="s">
        <v>86</v>
      </c>
      <c r="F478" s="2" t="s">
        <v>445</v>
      </c>
      <c r="G478" s="2" t="s">
        <v>245</v>
      </c>
      <c r="H478" s="2" t="s">
        <v>122</v>
      </c>
      <c r="I478" s="2" t="s">
        <v>33</v>
      </c>
      <c r="J478" s="2" t="s">
        <v>124</v>
      </c>
      <c r="K478" s="2" t="s">
        <v>20</v>
      </c>
      <c r="L478" s="2" t="s">
        <v>21</v>
      </c>
      <c r="M478" s="2" t="s">
        <v>22</v>
      </c>
      <c r="N478" s="2" t="s">
        <v>24</v>
      </c>
      <c r="O478" s="2" t="s">
        <v>129</v>
      </c>
      <c r="P478" s="2" t="s">
        <v>488</v>
      </c>
      <c r="Q478" s="2" t="s">
        <v>4926</v>
      </c>
      <c r="R478" s="2" t="s">
        <v>447</v>
      </c>
      <c r="S478" s="2" t="s">
        <v>125</v>
      </c>
      <c r="T478" s="2" t="s">
        <v>4696</v>
      </c>
      <c r="U478" s="2" t="s">
        <v>39</v>
      </c>
      <c r="V478" s="2" t="s">
        <v>4771</v>
      </c>
      <c r="W478" s="2" t="s">
        <v>4982</v>
      </c>
      <c r="X478" s="2" t="s">
        <v>4925</v>
      </c>
      <c r="Y478" s="2" t="s">
        <v>487</v>
      </c>
      <c r="Z478" s="2" t="s">
        <v>5312</v>
      </c>
      <c r="AA4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4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78" s="6" t="str">
        <f>IF(_xlfn.IFNA(INDEX(configuracoes!$A$2:$A$10,MATCH(base_tc_geral[[#This Row],[TIPO]],configuracoes!$A$2:$A$10,0)),"NÃO")="NÃO","NÃO","SIM")</f>
        <v>SIM</v>
      </c>
    </row>
    <row r="479" spans="1:31" x14ac:dyDescent="0.25">
      <c r="A479" s="2" t="s">
        <v>2436</v>
      </c>
      <c r="B479" s="2">
        <v>109500177</v>
      </c>
      <c r="C479" s="2" t="s">
        <v>15</v>
      </c>
      <c r="D479" s="2" t="s">
        <v>4573</v>
      </c>
      <c r="E479" s="2" t="s">
        <v>86</v>
      </c>
      <c r="F479" s="2" t="s">
        <v>590</v>
      </c>
      <c r="G479" s="2" t="s">
        <v>245</v>
      </c>
      <c r="H479" s="2" t="s">
        <v>122</v>
      </c>
      <c r="I479" s="2" t="s">
        <v>33</v>
      </c>
      <c r="J479" s="2" t="s">
        <v>124</v>
      </c>
      <c r="K479" s="2" t="s">
        <v>13</v>
      </c>
      <c r="L479" s="2" t="s">
        <v>21</v>
      </c>
      <c r="M479" s="2" t="s">
        <v>22</v>
      </c>
      <c r="N479" s="2" t="s">
        <v>15</v>
      </c>
      <c r="O479" s="2" t="s">
        <v>129</v>
      </c>
      <c r="P479" s="2" t="s">
        <v>2438</v>
      </c>
      <c r="Q479" s="2" t="s">
        <v>4926</v>
      </c>
      <c r="R479" s="2" t="s">
        <v>447</v>
      </c>
      <c r="S479" s="2" t="s">
        <v>125</v>
      </c>
      <c r="T479" s="2" t="s">
        <v>4696</v>
      </c>
      <c r="U479" s="2" t="s">
        <v>12</v>
      </c>
      <c r="V479" s="2" t="s">
        <v>4799</v>
      </c>
      <c r="W479" s="2" t="s">
        <v>5024</v>
      </c>
      <c r="X479" s="2" t="s">
        <v>4925</v>
      </c>
      <c r="Y479" s="2" t="s">
        <v>2437</v>
      </c>
      <c r="Z479" s="2" t="s">
        <v>5313</v>
      </c>
      <c r="AA4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4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79" s="6" t="str">
        <f>IF(_xlfn.IFNA(INDEX(configuracoes!$A$2:$A$10,MATCH(base_tc_geral[[#This Row],[TIPO]],configuracoes!$A$2:$A$10,0)),"NÃO")="NÃO","NÃO","SIM")</f>
        <v>SIM</v>
      </c>
    </row>
    <row r="480" spans="1:31" x14ac:dyDescent="0.25">
      <c r="A480" s="2" t="s">
        <v>4281</v>
      </c>
      <c r="B480" s="2">
        <v>109506032</v>
      </c>
      <c r="C480" s="2" t="s">
        <v>15</v>
      </c>
      <c r="D480" s="2" t="s">
        <v>4516</v>
      </c>
      <c r="E480" s="2" t="s">
        <v>86</v>
      </c>
      <c r="F480" s="2" t="s">
        <v>2894</v>
      </c>
      <c r="G480" s="2" t="s">
        <v>89</v>
      </c>
      <c r="H480" s="2" t="s">
        <v>164</v>
      </c>
      <c r="I480" s="2" t="s">
        <v>33</v>
      </c>
      <c r="J480" s="2" t="s">
        <v>124</v>
      </c>
      <c r="K480" s="2" t="s">
        <v>92</v>
      </c>
      <c r="L480" s="2" t="s">
        <v>37</v>
      </c>
      <c r="M480" s="2" t="s">
        <v>44</v>
      </c>
      <c r="N480" s="2" t="s">
        <v>15</v>
      </c>
      <c r="O480" s="2" t="s">
        <v>169</v>
      </c>
      <c r="P480" s="2" t="s">
        <v>4283</v>
      </c>
      <c r="Q480" s="2" t="s">
        <v>4926</v>
      </c>
      <c r="R480" s="2" t="s">
        <v>2892</v>
      </c>
      <c r="S480" s="2" t="s">
        <v>93</v>
      </c>
      <c r="T480" s="2" t="s">
        <v>4696</v>
      </c>
      <c r="U480" s="2" t="s">
        <v>12</v>
      </c>
      <c r="V480" s="2" t="s">
        <v>4785</v>
      </c>
      <c r="W480" s="2" t="s">
        <v>5013</v>
      </c>
      <c r="X480" s="2" t="s">
        <v>44</v>
      </c>
      <c r="Y480" s="2" t="s">
        <v>4282</v>
      </c>
      <c r="Z480" s="2" t="s">
        <v>5689</v>
      </c>
      <c r="AA4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4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0" s="6" t="str">
        <f>IF(_xlfn.IFNA(INDEX(configuracoes!$A$2:$A$10,MATCH(base_tc_geral[[#This Row],[TIPO]],configuracoes!$A$2:$A$10,0)),"NÃO")="NÃO","NÃO","SIM")</f>
        <v>NÃO</v>
      </c>
    </row>
    <row r="481" spans="1:31" x14ac:dyDescent="0.25">
      <c r="A481" s="2" t="s">
        <v>2460</v>
      </c>
      <c r="B481" s="2">
        <v>109504193</v>
      </c>
      <c r="C481" s="2" t="s">
        <v>15</v>
      </c>
      <c r="D481" s="2" t="s">
        <v>4585</v>
      </c>
      <c r="E481" s="2" t="s">
        <v>86</v>
      </c>
      <c r="F481" s="2" t="s">
        <v>205</v>
      </c>
      <c r="G481" s="2" t="s">
        <v>58</v>
      </c>
      <c r="H481" s="2" t="s">
        <v>122</v>
      </c>
      <c r="I481" s="2" t="s">
        <v>33</v>
      </c>
      <c r="J481" s="2" t="s">
        <v>124</v>
      </c>
      <c r="K481" s="2" t="s">
        <v>13</v>
      </c>
      <c r="L481" s="2" t="s">
        <v>61</v>
      </c>
      <c r="M481" s="2" t="s">
        <v>23</v>
      </c>
      <c r="N481" s="2" t="s">
        <v>15</v>
      </c>
      <c r="O481" s="2" t="s">
        <v>129</v>
      </c>
      <c r="P481" s="2" t="s">
        <v>2462</v>
      </c>
      <c r="Q481" s="2" t="s">
        <v>4926</v>
      </c>
      <c r="R481" s="2" t="s">
        <v>639</v>
      </c>
      <c r="S481" s="2" t="s">
        <v>4699</v>
      </c>
      <c r="T481" s="2" t="s">
        <v>4696</v>
      </c>
      <c r="U481" s="2" t="s">
        <v>39</v>
      </c>
      <c r="V481" s="2" t="s">
        <v>4799</v>
      </c>
      <c r="W481" s="2" t="s">
        <v>5024</v>
      </c>
      <c r="X481" s="2" t="s">
        <v>4998</v>
      </c>
      <c r="Y481" s="2" t="s">
        <v>2461</v>
      </c>
      <c r="Z481" s="2" t="s">
        <v>5690</v>
      </c>
      <c r="AA4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4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4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1" s="6" t="str">
        <f>IF(_xlfn.IFNA(INDEX(configuracoes!$A$2:$A$10,MATCH(base_tc_geral[[#This Row],[TIPO]],configuracoes!$A$2:$A$10,0)),"NÃO")="NÃO","NÃO","SIM")</f>
        <v>NÃO</v>
      </c>
    </row>
    <row r="482" spans="1:31" x14ac:dyDescent="0.25">
      <c r="A482" s="2" t="s">
        <v>2430</v>
      </c>
      <c r="B482" s="2">
        <v>102101393</v>
      </c>
      <c r="C482" s="2" t="s">
        <v>15</v>
      </c>
      <c r="D482" s="2" t="s">
        <v>4516</v>
      </c>
      <c r="E482" s="2" t="s">
        <v>106</v>
      </c>
      <c r="F482" s="2" t="s">
        <v>116</v>
      </c>
      <c r="G482" s="2" t="s">
        <v>172</v>
      </c>
      <c r="H482" s="2" t="s">
        <v>115</v>
      </c>
      <c r="I482" s="2" t="s">
        <v>33</v>
      </c>
      <c r="J482" s="2" t="s">
        <v>109</v>
      </c>
      <c r="K482" s="2" t="s">
        <v>13</v>
      </c>
      <c r="L482" s="2" t="s">
        <v>17</v>
      </c>
      <c r="M482" s="2" t="s">
        <v>23</v>
      </c>
      <c r="N482" s="2" t="s">
        <v>15</v>
      </c>
      <c r="O482" s="2" t="s">
        <v>119</v>
      </c>
      <c r="P482" s="2" t="s">
        <v>2432</v>
      </c>
      <c r="Q482" s="2" t="s">
        <v>4926</v>
      </c>
      <c r="R482" s="2" t="s">
        <v>735</v>
      </c>
      <c r="S482" s="2" t="s">
        <v>736</v>
      </c>
      <c r="T482" s="2" t="s">
        <v>167</v>
      </c>
      <c r="U482" s="2" t="s">
        <v>12</v>
      </c>
      <c r="V482" s="2" t="s">
        <v>4886</v>
      </c>
      <c r="W482" s="2" t="s">
        <v>17</v>
      </c>
      <c r="X482" s="2" t="s">
        <v>4998</v>
      </c>
      <c r="Y482" s="2" t="s">
        <v>2431</v>
      </c>
      <c r="Z482" s="2" t="s">
        <v>5691</v>
      </c>
      <c r="AA4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4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2" s="6" t="str">
        <f>IF(_xlfn.IFNA(INDEX(configuracoes!$A$2:$A$10,MATCH(base_tc_geral[[#This Row],[TIPO]],configuracoes!$A$2:$A$10,0)),"NÃO")="NÃO","NÃO","SIM")</f>
        <v>NÃO</v>
      </c>
    </row>
    <row r="483" spans="1:31" x14ac:dyDescent="0.25">
      <c r="A483" s="2" t="s">
        <v>845</v>
      </c>
      <c r="B483" s="2">
        <v>109504369</v>
      </c>
      <c r="C483" s="2" t="s">
        <v>15</v>
      </c>
      <c r="D483" s="2" t="s">
        <v>4519</v>
      </c>
      <c r="E483" s="2" t="s">
        <v>86</v>
      </c>
      <c r="F483" s="2" t="s">
        <v>840</v>
      </c>
      <c r="G483" s="2" t="s">
        <v>58</v>
      </c>
      <c r="H483" s="2" t="s">
        <v>198</v>
      </c>
      <c r="I483" s="2" t="s">
        <v>33</v>
      </c>
      <c r="J483" s="2" t="s">
        <v>91</v>
      </c>
      <c r="K483" s="2" t="s">
        <v>13</v>
      </c>
      <c r="L483" s="2" t="s">
        <v>61</v>
      </c>
      <c r="M483" s="2" t="s">
        <v>44</v>
      </c>
      <c r="N483" s="2" t="s">
        <v>15</v>
      </c>
      <c r="O483" s="2" t="s">
        <v>201</v>
      </c>
      <c r="P483" s="2" t="s">
        <v>847</v>
      </c>
      <c r="Q483" s="2" t="s">
        <v>4926</v>
      </c>
      <c r="R483" s="2" t="s">
        <v>829</v>
      </c>
      <c r="S483" s="2" t="s">
        <v>4699</v>
      </c>
      <c r="T483" s="2" t="s">
        <v>4696</v>
      </c>
      <c r="U483" s="2" t="s">
        <v>12</v>
      </c>
      <c r="V483" s="2" t="s">
        <v>4904</v>
      </c>
      <c r="W483" s="2" t="s">
        <v>4984</v>
      </c>
      <c r="X483" s="2" t="s">
        <v>44</v>
      </c>
      <c r="Y483" s="2" t="s">
        <v>846</v>
      </c>
      <c r="Z483" s="2" t="s">
        <v>5692</v>
      </c>
      <c r="AA4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4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4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3" s="6" t="str">
        <f>IF(_xlfn.IFNA(INDEX(configuracoes!$A$2:$A$10,MATCH(base_tc_geral[[#This Row],[TIPO]],configuracoes!$A$2:$A$10,0)),"NÃO")="NÃO","NÃO","SIM")</f>
        <v>NÃO</v>
      </c>
    </row>
    <row r="484" spans="1:31" x14ac:dyDescent="0.25">
      <c r="A484" s="2" t="s">
        <v>2710</v>
      </c>
      <c r="B484" s="2">
        <v>105301785</v>
      </c>
      <c r="C484" s="2" t="s">
        <v>15</v>
      </c>
      <c r="D484" s="2" t="s">
        <v>4515</v>
      </c>
      <c r="E484" s="2" t="s">
        <v>28</v>
      </c>
      <c r="F484" s="2" t="s">
        <v>80</v>
      </c>
      <c r="G484" s="2" t="s">
        <v>149</v>
      </c>
      <c r="H484" s="2" t="s">
        <v>79</v>
      </c>
      <c r="I484" s="2" t="s">
        <v>33</v>
      </c>
      <c r="J484" s="2" t="s">
        <v>34</v>
      </c>
      <c r="K484" s="2" t="s">
        <v>13</v>
      </c>
      <c r="L484" s="2" t="s">
        <v>61</v>
      </c>
      <c r="M484" s="2" t="s">
        <v>2195</v>
      </c>
      <c r="N484" s="2" t="s">
        <v>15</v>
      </c>
      <c r="O484" s="2" t="s">
        <v>83</v>
      </c>
      <c r="P484" s="2" t="s">
        <v>2712</v>
      </c>
      <c r="Q484" s="2" t="s">
        <v>4926</v>
      </c>
      <c r="R484" s="2" t="s">
        <v>4361</v>
      </c>
      <c r="S484" s="2" t="s">
        <v>4704</v>
      </c>
      <c r="T484" s="2" t="s">
        <v>4701</v>
      </c>
      <c r="U484" s="2" t="s">
        <v>12</v>
      </c>
      <c r="V484" s="2" t="s">
        <v>4767</v>
      </c>
      <c r="W484" s="2" t="s">
        <v>4982</v>
      </c>
      <c r="X484" s="2" t="s">
        <v>5527</v>
      </c>
      <c r="Y484" s="2" t="s">
        <v>2711</v>
      </c>
      <c r="Z484" s="2" t="s">
        <v>5693</v>
      </c>
      <c r="AA4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TOSCANO </v>
      </c>
      <c r="AB4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ANDRE LUIS </v>
      </c>
      <c r="AC4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4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4" s="6" t="str">
        <f>IF(_xlfn.IFNA(INDEX(configuracoes!$A$2:$A$10,MATCH(base_tc_geral[[#This Row],[TIPO]],configuracoes!$A$2:$A$10,0)),"NÃO")="NÃO","NÃO","SIM")</f>
        <v>NÃO</v>
      </c>
    </row>
    <row r="485" spans="1:31" x14ac:dyDescent="0.25">
      <c r="A485" s="2" t="s">
        <v>2469</v>
      </c>
      <c r="B485" s="2">
        <v>109500177</v>
      </c>
      <c r="C485" s="2" t="s">
        <v>15</v>
      </c>
      <c r="D485" s="2" t="s">
        <v>4586</v>
      </c>
      <c r="E485" s="2" t="s">
        <v>86</v>
      </c>
      <c r="F485" s="2" t="s">
        <v>497</v>
      </c>
      <c r="G485" s="2" t="s">
        <v>58</v>
      </c>
      <c r="H485" s="2" t="s">
        <v>164</v>
      </c>
      <c r="I485" s="2" t="s">
        <v>33</v>
      </c>
      <c r="J485" s="2" t="s">
        <v>124</v>
      </c>
      <c r="K485" s="2" t="s">
        <v>13</v>
      </c>
      <c r="L485" s="2" t="s">
        <v>61</v>
      </c>
      <c r="M485" s="2" t="s">
        <v>22</v>
      </c>
      <c r="N485" s="2" t="s">
        <v>15</v>
      </c>
      <c r="O485" s="2" t="s">
        <v>169</v>
      </c>
      <c r="P485" s="2" t="s">
        <v>2471</v>
      </c>
      <c r="Q485" s="2" t="s">
        <v>4926</v>
      </c>
      <c r="R485" s="2" t="s">
        <v>447</v>
      </c>
      <c r="S485" s="2" t="s">
        <v>125</v>
      </c>
      <c r="T485" s="2" t="s">
        <v>4696</v>
      </c>
      <c r="U485" s="2" t="s">
        <v>12</v>
      </c>
      <c r="V485" s="2" t="s">
        <v>4799</v>
      </c>
      <c r="W485" s="2" t="s">
        <v>5024</v>
      </c>
      <c r="X485" s="2" t="s">
        <v>4925</v>
      </c>
      <c r="Y485" s="2" t="s">
        <v>2470</v>
      </c>
      <c r="Z485" s="2" t="s">
        <v>5694</v>
      </c>
      <c r="AA4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4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5" s="6" t="str">
        <f>IF(_xlfn.IFNA(INDEX(configuracoes!$A$2:$A$10,MATCH(base_tc_geral[[#This Row],[TIPO]],configuracoes!$A$2:$A$10,0)),"NÃO")="NÃO","NÃO","SIM")</f>
        <v>NÃO</v>
      </c>
    </row>
    <row r="486" spans="1:31" x14ac:dyDescent="0.25">
      <c r="A486" s="2" t="s">
        <v>3027</v>
      </c>
      <c r="B486" s="2">
        <v>109000499</v>
      </c>
      <c r="C486" s="2" t="s">
        <v>15</v>
      </c>
      <c r="D486" s="2" t="s">
        <v>4481</v>
      </c>
      <c r="E486" s="2" t="s">
        <v>86</v>
      </c>
      <c r="F486" s="2" t="s">
        <v>325</v>
      </c>
      <c r="G486" s="2" t="s">
        <v>136</v>
      </c>
      <c r="H486" s="2" t="s">
        <v>283</v>
      </c>
      <c r="I486" s="2" t="s">
        <v>33</v>
      </c>
      <c r="J486" s="2" t="s">
        <v>124</v>
      </c>
      <c r="K486" s="2" t="s">
        <v>13</v>
      </c>
      <c r="L486" s="2" t="s">
        <v>72</v>
      </c>
      <c r="M486" s="2" t="s">
        <v>14</v>
      </c>
      <c r="N486" s="2" t="s">
        <v>15</v>
      </c>
      <c r="O486" s="2" t="s">
        <v>287</v>
      </c>
      <c r="P486" s="2" t="s">
        <v>3029</v>
      </c>
      <c r="Q486" s="2" t="s">
        <v>4926</v>
      </c>
      <c r="R486" s="2" t="s">
        <v>321</v>
      </c>
      <c r="S486" s="2" t="s">
        <v>93</v>
      </c>
      <c r="T486" s="2" t="s">
        <v>4696</v>
      </c>
      <c r="U486" s="2" t="s">
        <v>39</v>
      </c>
      <c r="V486" s="2" t="s">
        <v>4783</v>
      </c>
      <c r="W486" s="2" t="s">
        <v>72</v>
      </c>
      <c r="X486" s="2" t="s">
        <v>5011</v>
      </c>
      <c r="Y486" s="2" t="s">
        <v>3028</v>
      </c>
      <c r="Z486" s="2" t="s">
        <v>5695</v>
      </c>
      <c r="AA4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4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6" s="6" t="str">
        <f>IF(_xlfn.IFNA(INDEX(configuracoes!$A$2:$A$10,MATCH(base_tc_geral[[#This Row],[TIPO]],configuracoes!$A$2:$A$10,0)),"NÃO")="NÃO","NÃO","SIM")</f>
        <v>NÃO</v>
      </c>
    </row>
    <row r="487" spans="1:31" x14ac:dyDescent="0.25">
      <c r="A487" s="2" t="s">
        <v>5314</v>
      </c>
      <c r="B487" s="2">
        <v>102101679</v>
      </c>
      <c r="C487" s="2" t="s">
        <v>15</v>
      </c>
      <c r="D487" s="2" t="s">
        <v>4513</v>
      </c>
      <c r="E487" s="2" t="s">
        <v>106</v>
      </c>
      <c r="F487" s="2" t="s">
        <v>863</v>
      </c>
      <c r="G487" s="2" t="s">
        <v>58</v>
      </c>
      <c r="H487" s="2" t="s">
        <v>427</v>
      </c>
      <c r="I487" s="2" t="s">
        <v>33</v>
      </c>
      <c r="J487" s="2" t="s">
        <v>109</v>
      </c>
      <c r="K487" s="2" t="s">
        <v>13</v>
      </c>
      <c r="L487" s="2" t="s">
        <v>61</v>
      </c>
      <c r="M487" s="2" t="s">
        <v>44</v>
      </c>
      <c r="N487" s="2" t="s">
        <v>15</v>
      </c>
      <c r="O487" s="2" t="s">
        <v>430</v>
      </c>
      <c r="P487" s="2" t="s">
        <v>5317</v>
      </c>
      <c r="Q487" s="2" t="s">
        <v>4926</v>
      </c>
      <c r="R487" s="2" t="s">
        <v>5315</v>
      </c>
      <c r="S487" s="2" t="s">
        <v>260</v>
      </c>
      <c r="T487" s="2" t="s">
        <v>167</v>
      </c>
      <c r="U487" s="2" t="s">
        <v>12</v>
      </c>
      <c r="V487" s="2" t="s">
        <v>5318</v>
      </c>
      <c r="W487" s="2" t="s">
        <v>5037</v>
      </c>
      <c r="X487" s="2" t="s">
        <v>44</v>
      </c>
      <c r="Y487" s="2" t="s">
        <v>5316</v>
      </c>
      <c r="Z487" s="2" t="s">
        <v>5319</v>
      </c>
      <c r="AA4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GONCALVES </v>
      </c>
      <c r="AB4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4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7" s="6" t="str">
        <f>IF(_xlfn.IFNA(INDEX(configuracoes!$A$2:$A$10,MATCH(base_tc_geral[[#This Row],[TIPO]],configuracoes!$A$2:$A$10,0)),"NÃO")="NÃO","NÃO","SIM")</f>
        <v>NÃO</v>
      </c>
    </row>
    <row r="488" spans="1:31" x14ac:dyDescent="0.25">
      <c r="A488" s="2" t="s">
        <v>3685</v>
      </c>
      <c r="B488" s="2">
        <v>109505819</v>
      </c>
      <c r="C488" s="2" t="s">
        <v>15</v>
      </c>
      <c r="D488" s="2" t="s">
        <v>4653</v>
      </c>
      <c r="E488" s="2" t="s">
        <v>86</v>
      </c>
      <c r="F488" s="2" t="s">
        <v>165</v>
      </c>
      <c r="G488" s="2" t="s">
        <v>89</v>
      </c>
      <c r="H488" s="2" t="s">
        <v>164</v>
      </c>
      <c r="I488" s="2" t="s">
        <v>33</v>
      </c>
      <c r="J488" s="2" t="s">
        <v>124</v>
      </c>
      <c r="K488" s="2" t="s">
        <v>13</v>
      </c>
      <c r="L488" s="2" t="s">
        <v>37</v>
      </c>
      <c r="M488" s="2" t="s">
        <v>74</v>
      </c>
      <c r="N488" s="2" t="s">
        <v>15</v>
      </c>
      <c r="O488" s="2" t="s">
        <v>169</v>
      </c>
      <c r="P488" s="2" t="s">
        <v>3687</v>
      </c>
      <c r="Q488" s="2" t="s">
        <v>4926</v>
      </c>
      <c r="R488" s="2" t="s">
        <v>3459</v>
      </c>
      <c r="S488" s="2" t="s">
        <v>93</v>
      </c>
      <c r="T488" s="2" t="s">
        <v>4696</v>
      </c>
      <c r="U488" s="2" t="s">
        <v>12</v>
      </c>
      <c r="V488" s="2" t="s">
        <v>4785</v>
      </c>
      <c r="W488" s="2" t="s">
        <v>5013</v>
      </c>
      <c r="X488" s="2" t="s">
        <v>74</v>
      </c>
      <c r="Y488" s="2" t="s">
        <v>3686</v>
      </c>
      <c r="Z488" s="2" t="s">
        <v>5320</v>
      </c>
      <c r="AA4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4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88" s="6" t="str">
        <f>IF(_xlfn.IFNA(INDEX(configuracoes!$A$2:$A$10,MATCH(base_tc_geral[[#This Row],[TIPO]],configuracoes!$A$2:$A$10,0)),"NÃO")="NÃO","NÃO","SIM")</f>
        <v>NÃO</v>
      </c>
    </row>
    <row r="489" spans="1:31" x14ac:dyDescent="0.25">
      <c r="A489" s="2" t="s">
        <v>1650</v>
      </c>
      <c r="B489" s="2">
        <v>109500177</v>
      </c>
      <c r="C489" s="2" t="s">
        <v>24</v>
      </c>
      <c r="D489" s="2" t="s">
        <v>4768</v>
      </c>
      <c r="E489" s="2" t="s">
        <v>86</v>
      </c>
      <c r="F489" s="2" t="s">
        <v>445</v>
      </c>
      <c r="G489" s="2" t="s">
        <v>245</v>
      </c>
      <c r="H489" s="2" t="s">
        <v>122</v>
      </c>
      <c r="I489" s="2" t="s">
        <v>33</v>
      </c>
      <c r="J489" s="2" t="s">
        <v>124</v>
      </c>
      <c r="K489" s="2" t="s">
        <v>20</v>
      </c>
      <c r="L489" s="2" t="s">
        <v>21</v>
      </c>
      <c r="M489" s="2" t="s">
        <v>22</v>
      </c>
      <c r="N489" s="2" t="s">
        <v>24</v>
      </c>
      <c r="O489" s="2" t="s">
        <v>129</v>
      </c>
      <c r="P489" s="2" t="s">
        <v>1652</v>
      </c>
      <c r="Q489" s="2" t="s">
        <v>4926</v>
      </c>
      <c r="R489" s="2" t="s">
        <v>447</v>
      </c>
      <c r="S489" s="2" t="s">
        <v>125</v>
      </c>
      <c r="T489" s="2" t="s">
        <v>4696</v>
      </c>
      <c r="U489" s="2" t="s">
        <v>39</v>
      </c>
      <c r="V489" s="2" t="s">
        <v>4771</v>
      </c>
      <c r="W489" s="2" t="s">
        <v>4982</v>
      </c>
      <c r="X489" s="2" t="s">
        <v>4925</v>
      </c>
      <c r="Y489" s="2" t="s">
        <v>1651</v>
      </c>
      <c r="Z489" s="2" t="s">
        <v>5321</v>
      </c>
      <c r="AA4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4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4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489" s="6" t="str">
        <f>IF(_xlfn.IFNA(INDEX(configuracoes!$A$2:$A$10,MATCH(base_tc_geral[[#This Row],[TIPO]],configuracoes!$A$2:$A$10,0)),"NÃO")="NÃO","NÃO","SIM")</f>
        <v>SIM</v>
      </c>
    </row>
    <row r="490" spans="1:31" x14ac:dyDescent="0.25">
      <c r="A490" s="2" t="s">
        <v>1544</v>
      </c>
      <c r="B490" s="2">
        <v>109505858</v>
      </c>
      <c r="C490" s="2" t="s">
        <v>15</v>
      </c>
      <c r="D490" s="2" t="s">
        <v>4548</v>
      </c>
      <c r="E490" s="2" t="s">
        <v>86</v>
      </c>
      <c r="F490" s="2" t="s">
        <v>559</v>
      </c>
      <c r="G490" s="2" t="s">
        <v>630</v>
      </c>
      <c r="H490" s="2" t="s">
        <v>558</v>
      </c>
      <c r="I490" s="2" t="s">
        <v>33</v>
      </c>
      <c r="J490" s="2" t="s">
        <v>91</v>
      </c>
      <c r="K490" s="2" t="s">
        <v>20</v>
      </c>
      <c r="L490" s="2" t="s">
        <v>21</v>
      </c>
      <c r="M490" s="2" t="s">
        <v>22</v>
      </c>
      <c r="N490" s="2" t="s">
        <v>15</v>
      </c>
      <c r="O490" s="2" t="s">
        <v>561</v>
      </c>
      <c r="P490" s="2" t="s">
        <v>1546</v>
      </c>
      <c r="Q490" s="2" t="s">
        <v>4926</v>
      </c>
      <c r="R490" s="2" t="s">
        <v>1466</v>
      </c>
      <c r="S490" s="2" t="s">
        <v>93</v>
      </c>
      <c r="T490" s="2" t="s">
        <v>4696</v>
      </c>
      <c r="U490" s="2" t="s">
        <v>12</v>
      </c>
      <c r="V490" s="2" t="s">
        <v>4802</v>
      </c>
      <c r="W490" s="2" t="s">
        <v>4982</v>
      </c>
      <c r="X490" s="2" t="s">
        <v>4925</v>
      </c>
      <c r="Y490" s="2" t="s">
        <v>1545</v>
      </c>
      <c r="Z490" s="2" t="s">
        <v>5322</v>
      </c>
      <c r="AA4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0" s="6" t="str">
        <f>IF(_xlfn.IFNA(INDEX(configuracoes!$A$2:$A$10,MATCH(base_tc_geral[[#This Row],[TIPO]],configuracoes!$A$2:$A$10,0)),"NÃO")="NÃO","NÃO","SIM")</f>
        <v>SIM</v>
      </c>
    </row>
    <row r="491" spans="1:31" x14ac:dyDescent="0.25">
      <c r="A491" s="2" t="s">
        <v>1249</v>
      </c>
      <c r="B491" s="2">
        <v>105000986</v>
      </c>
      <c r="C491" s="2" t="s">
        <v>15</v>
      </c>
      <c r="D491" s="2" t="s">
        <v>4598</v>
      </c>
      <c r="E491" s="2" t="s">
        <v>28</v>
      </c>
      <c r="F491" s="2" t="s">
        <v>586</v>
      </c>
      <c r="G491" s="2" t="s">
        <v>883</v>
      </c>
      <c r="H491" s="2" t="s">
        <v>79</v>
      </c>
      <c r="I491" s="2" t="s">
        <v>33</v>
      </c>
      <c r="J491" s="2" t="s">
        <v>34</v>
      </c>
      <c r="K491" s="2" t="s">
        <v>20</v>
      </c>
      <c r="L491" s="2" t="s">
        <v>21</v>
      </c>
      <c r="M491" s="2" t="s">
        <v>22</v>
      </c>
      <c r="N491" s="2" t="s">
        <v>15</v>
      </c>
      <c r="O491" s="2" t="s">
        <v>83</v>
      </c>
      <c r="P491" s="2" t="s">
        <v>1251</v>
      </c>
      <c r="Q491" s="2" t="s">
        <v>4926</v>
      </c>
      <c r="R491" s="2" t="s">
        <v>81</v>
      </c>
      <c r="S491" s="2" t="s">
        <v>167</v>
      </c>
      <c r="T491" s="2" t="s">
        <v>167</v>
      </c>
      <c r="U491" s="2" t="s">
        <v>12</v>
      </c>
      <c r="V491" s="2" t="s">
        <v>4767</v>
      </c>
      <c r="W491" s="2" t="s">
        <v>4982</v>
      </c>
      <c r="X491" s="2" t="s">
        <v>4925</v>
      </c>
      <c r="Y491" s="2" t="s">
        <v>1250</v>
      </c>
      <c r="Z491" s="2" t="s">
        <v>5323</v>
      </c>
      <c r="AA4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4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4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1" s="6" t="str">
        <f>IF(_xlfn.IFNA(INDEX(configuracoes!$A$2:$A$10,MATCH(base_tc_geral[[#This Row],[TIPO]],configuracoes!$A$2:$A$10,0)),"NÃO")="NÃO","NÃO","SIM")</f>
        <v>SIM</v>
      </c>
    </row>
    <row r="492" spans="1:31" x14ac:dyDescent="0.25">
      <c r="A492" s="2" t="s">
        <v>966</v>
      </c>
      <c r="B492" s="2">
        <v>105302862</v>
      </c>
      <c r="C492" s="2" t="s">
        <v>15</v>
      </c>
      <c r="D492" s="2" t="s">
        <v>4484</v>
      </c>
      <c r="E492" s="2" t="s">
        <v>28</v>
      </c>
      <c r="F492" s="2" t="s">
        <v>80</v>
      </c>
      <c r="G492" s="2" t="s">
        <v>58</v>
      </c>
      <c r="H492" s="2" t="s">
        <v>79</v>
      </c>
      <c r="I492" s="2" t="s">
        <v>33</v>
      </c>
      <c r="J492" s="2" t="s">
        <v>34</v>
      </c>
      <c r="K492" s="2" t="s">
        <v>13</v>
      </c>
      <c r="L492" s="2" t="s">
        <v>61</v>
      </c>
      <c r="M492" s="2" t="s">
        <v>38</v>
      </c>
      <c r="N492" s="2" t="s">
        <v>15</v>
      </c>
      <c r="O492" s="2" t="s">
        <v>83</v>
      </c>
      <c r="P492" s="2" t="s">
        <v>968</v>
      </c>
      <c r="Q492" s="2" t="s">
        <v>4926</v>
      </c>
      <c r="R492" s="2" t="s">
        <v>963</v>
      </c>
      <c r="S492" s="2" t="s">
        <v>260</v>
      </c>
      <c r="T492" s="2" t="s">
        <v>167</v>
      </c>
      <c r="U492" s="2" t="s">
        <v>12</v>
      </c>
      <c r="V492" s="2" t="s">
        <v>4804</v>
      </c>
      <c r="W492" s="2" t="s">
        <v>4984</v>
      </c>
      <c r="X492" s="2" t="s">
        <v>38</v>
      </c>
      <c r="Y492" s="2" t="s">
        <v>967</v>
      </c>
      <c r="Z492" s="2" t="s">
        <v>5324</v>
      </c>
      <c r="AA4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PEREIRA </v>
      </c>
      <c r="AB4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4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2" s="6" t="str">
        <f>IF(_xlfn.IFNA(INDEX(configuracoes!$A$2:$A$10,MATCH(base_tc_geral[[#This Row],[TIPO]],configuracoes!$A$2:$A$10,0)),"NÃO")="NÃO","NÃO","SIM")</f>
        <v>NÃO</v>
      </c>
    </row>
    <row r="493" spans="1:31" x14ac:dyDescent="0.25">
      <c r="A493" s="2" t="s">
        <v>2971</v>
      </c>
      <c r="B493" s="2">
        <v>101010062</v>
      </c>
      <c r="C493" s="2" t="s">
        <v>15</v>
      </c>
      <c r="D493" s="2" t="s">
        <v>4523</v>
      </c>
      <c r="E493" s="2" t="s">
        <v>47</v>
      </c>
      <c r="F493" s="2" t="s">
        <v>341</v>
      </c>
      <c r="G493" s="2" t="s">
        <v>41</v>
      </c>
      <c r="H493" s="2" t="s">
        <v>56</v>
      </c>
      <c r="I493" s="2" t="s">
        <v>16</v>
      </c>
      <c r="J493" s="2" t="s">
        <v>60</v>
      </c>
      <c r="K493" s="2" t="s">
        <v>20</v>
      </c>
      <c r="L493" s="2" t="s">
        <v>42</v>
      </c>
      <c r="M493" s="2" t="s">
        <v>22</v>
      </c>
      <c r="N493" s="2" t="s">
        <v>15</v>
      </c>
      <c r="O493" s="2" t="s">
        <v>63</v>
      </c>
      <c r="P493" s="2" t="s">
        <v>2973</v>
      </c>
      <c r="Q493" s="2" t="s">
        <v>4926</v>
      </c>
      <c r="R493" s="2" t="s">
        <v>1699</v>
      </c>
      <c r="S493" s="2" t="s">
        <v>4698</v>
      </c>
      <c r="T493" s="2" t="s">
        <v>4697</v>
      </c>
      <c r="U493" s="2" t="s">
        <v>12</v>
      </c>
      <c r="V493" s="2" t="s">
        <v>4792</v>
      </c>
      <c r="W493" s="2" t="s">
        <v>4982</v>
      </c>
      <c r="X493" s="2" t="s">
        <v>4925</v>
      </c>
      <c r="Y493" s="2" t="s">
        <v>2972</v>
      </c>
      <c r="Z493" s="2" t="s">
        <v>5696</v>
      </c>
      <c r="AA4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4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4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3" s="6" t="str">
        <f>IF(_xlfn.IFNA(INDEX(configuracoes!$A$2:$A$10,MATCH(base_tc_geral[[#This Row],[TIPO]],configuracoes!$A$2:$A$10,0)),"NÃO")="NÃO","NÃO","SIM")</f>
        <v>SIM</v>
      </c>
    </row>
    <row r="494" spans="1:31" x14ac:dyDescent="0.25">
      <c r="A494" s="2" t="s">
        <v>1505</v>
      </c>
      <c r="B494" s="2">
        <v>109505858</v>
      </c>
      <c r="C494" s="2" t="s">
        <v>15</v>
      </c>
      <c r="D494" s="2" t="s">
        <v>4481</v>
      </c>
      <c r="E494" s="2" t="s">
        <v>86</v>
      </c>
      <c r="F494" s="2" t="s">
        <v>559</v>
      </c>
      <c r="G494" s="2" t="s">
        <v>172</v>
      </c>
      <c r="H494" s="2" t="s">
        <v>558</v>
      </c>
      <c r="I494" s="2" t="s">
        <v>33</v>
      </c>
      <c r="J494" s="2" t="s">
        <v>91</v>
      </c>
      <c r="K494" s="2" t="s">
        <v>20</v>
      </c>
      <c r="L494" s="2" t="s">
        <v>17</v>
      </c>
      <c r="M494" s="2" t="s">
        <v>22</v>
      </c>
      <c r="N494" s="2" t="s">
        <v>15</v>
      </c>
      <c r="O494" s="2" t="s">
        <v>561</v>
      </c>
      <c r="P494" s="2" t="s">
        <v>1507</v>
      </c>
      <c r="Q494" s="2" t="s">
        <v>4926</v>
      </c>
      <c r="R494" s="2" t="s">
        <v>1466</v>
      </c>
      <c r="S494" s="2" t="s">
        <v>93</v>
      </c>
      <c r="T494" s="2" t="s">
        <v>4696</v>
      </c>
      <c r="U494" s="2" t="s">
        <v>12</v>
      </c>
      <c r="V494" s="2" t="s">
        <v>4802</v>
      </c>
      <c r="W494" s="2" t="s">
        <v>4982</v>
      </c>
      <c r="X494" s="2" t="s">
        <v>4925</v>
      </c>
      <c r="Y494" s="2" t="s">
        <v>1506</v>
      </c>
      <c r="Z494" s="2" t="s">
        <v>5697</v>
      </c>
      <c r="AA4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4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4" s="6" t="str">
        <f>IF(_xlfn.IFNA(INDEX(configuracoes!$A$2:$A$10,MATCH(base_tc_geral[[#This Row],[TIPO]],configuracoes!$A$2:$A$10,0)),"NÃO")="NÃO","NÃO","SIM")</f>
        <v>NÃO</v>
      </c>
    </row>
    <row r="495" spans="1:31" x14ac:dyDescent="0.25">
      <c r="A495" s="2" t="s">
        <v>2369</v>
      </c>
      <c r="B495" s="2">
        <v>102101393</v>
      </c>
      <c r="C495" s="2" t="s">
        <v>15</v>
      </c>
      <c r="D495" s="2" t="s">
        <v>4566</v>
      </c>
      <c r="E495" s="2" t="s">
        <v>106</v>
      </c>
      <c r="F495" s="2" t="s">
        <v>108</v>
      </c>
      <c r="G495" s="2" t="s">
        <v>172</v>
      </c>
      <c r="H495" s="2" t="s">
        <v>107</v>
      </c>
      <c r="I495" s="2" t="s">
        <v>33</v>
      </c>
      <c r="J495" s="2" t="s">
        <v>109</v>
      </c>
      <c r="K495" s="2" t="s">
        <v>13</v>
      </c>
      <c r="L495" s="2" t="s">
        <v>17</v>
      </c>
      <c r="M495" s="2" t="s">
        <v>23</v>
      </c>
      <c r="N495" s="2" t="s">
        <v>15</v>
      </c>
      <c r="O495" s="2" t="s">
        <v>112</v>
      </c>
      <c r="P495" s="2" t="s">
        <v>2371</v>
      </c>
      <c r="Q495" s="2" t="s">
        <v>4926</v>
      </c>
      <c r="R495" s="2" t="s">
        <v>735</v>
      </c>
      <c r="S495" s="2" t="s">
        <v>736</v>
      </c>
      <c r="T495" s="2" t="s">
        <v>167</v>
      </c>
      <c r="U495" s="2" t="s">
        <v>12</v>
      </c>
      <c r="V495" s="2" t="s">
        <v>4886</v>
      </c>
      <c r="W495" s="2" t="s">
        <v>17</v>
      </c>
      <c r="X495" s="2" t="s">
        <v>4998</v>
      </c>
      <c r="Y495" s="2" t="s">
        <v>2370</v>
      </c>
      <c r="Z495" s="2" t="s">
        <v>5698</v>
      </c>
      <c r="AA4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4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5" s="6" t="str">
        <f>IF(_xlfn.IFNA(INDEX(configuracoes!$A$2:$A$10,MATCH(base_tc_geral[[#This Row],[TIPO]],configuracoes!$A$2:$A$10,0)),"NÃO")="NÃO","NÃO","SIM")</f>
        <v>NÃO</v>
      </c>
    </row>
    <row r="496" spans="1:31" x14ac:dyDescent="0.25">
      <c r="A496" s="2" t="s">
        <v>3554</v>
      </c>
      <c r="B496" s="2">
        <v>101005380</v>
      </c>
      <c r="C496" s="2" t="s">
        <v>15</v>
      </c>
      <c r="D496" s="2" t="s">
        <v>4495</v>
      </c>
      <c r="E496" s="2" t="s">
        <v>47</v>
      </c>
      <c r="F496" s="2" t="s">
        <v>67</v>
      </c>
      <c r="G496" s="2" t="s">
        <v>172</v>
      </c>
      <c r="H496" s="2" t="s">
        <v>66</v>
      </c>
      <c r="I496" s="2" t="s">
        <v>16</v>
      </c>
      <c r="J496" s="2" t="s">
        <v>66</v>
      </c>
      <c r="K496" s="2" t="s">
        <v>13</v>
      </c>
      <c r="L496" s="2" t="s">
        <v>17</v>
      </c>
      <c r="M496" s="2" t="s">
        <v>23</v>
      </c>
      <c r="N496" s="2" t="s">
        <v>15</v>
      </c>
      <c r="O496" s="2" t="s">
        <v>71</v>
      </c>
      <c r="P496" s="2" t="s">
        <v>3556</v>
      </c>
      <c r="Q496" s="2" t="s">
        <v>4926</v>
      </c>
      <c r="R496" s="2" t="s">
        <v>69</v>
      </c>
      <c r="S496" s="2" t="s">
        <v>4698</v>
      </c>
      <c r="T496" s="2" t="s">
        <v>4697</v>
      </c>
      <c r="U496" s="2" t="s">
        <v>12</v>
      </c>
      <c r="V496" s="2" t="s">
        <v>4787</v>
      </c>
      <c r="W496" s="2" t="s">
        <v>17</v>
      </c>
      <c r="X496" s="2" t="s">
        <v>4998</v>
      </c>
      <c r="Y496" s="2" t="s">
        <v>3555</v>
      </c>
      <c r="Z496" s="2" t="s">
        <v>5699</v>
      </c>
      <c r="AA4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4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4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4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6" s="6" t="str">
        <f>IF(_xlfn.IFNA(INDEX(configuracoes!$A$2:$A$10,MATCH(base_tc_geral[[#This Row],[TIPO]],configuracoes!$A$2:$A$10,0)),"NÃO")="NÃO","NÃO","SIM")</f>
        <v>NÃO</v>
      </c>
    </row>
    <row r="497" spans="1:31" x14ac:dyDescent="0.25">
      <c r="A497" s="2" t="s">
        <v>3117</v>
      </c>
      <c r="B497" s="2">
        <v>109000017</v>
      </c>
      <c r="C497" s="2" t="s">
        <v>15</v>
      </c>
      <c r="D497" s="2" t="s">
        <v>4622</v>
      </c>
      <c r="E497" s="2" t="s">
        <v>86</v>
      </c>
      <c r="F497" s="2" t="s">
        <v>363</v>
      </c>
      <c r="G497" s="2" t="s">
        <v>58</v>
      </c>
      <c r="H497" s="2" t="s">
        <v>210</v>
      </c>
      <c r="I497" s="2" t="s">
        <v>33</v>
      </c>
      <c r="J497" s="2" t="s">
        <v>124</v>
      </c>
      <c r="K497" s="2" t="s">
        <v>13</v>
      </c>
      <c r="L497" s="2" t="s">
        <v>61</v>
      </c>
      <c r="M497" s="2" t="s">
        <v>44</v>
      </c>
      <c r="N497" s="2" t="s">
        <v>15</v>
      </c>
      <c r="O497" s="2" t="s">
        <v>214</v>
      </c>
      <c r="P497" s="2" t="s">
        <v>3119</v>
      </c>
      <c r="Q497" s="2" t="s">
        <v>4926</v>
      </c>
      <c r="R497" s="2" t="s">
        <v>212</v>
      </c>
      <c r="S497" s="2" t="s">
        <v>93</v>
      </c>
      <c r="T497" s="2" t="s">
        <v>4696</v>
      </c>
      <c r="U497" s="2" t="s">
        <v>12</v>
      </c>
      <c r="V497" s="2" t="s">
        <v>4820</v>
      </c>
      <c r="W497" s="2" t="s">
        <v>5013</v>
      </c>
      <c r="X497" s="2" t="s">
        <v>44</v>
      </c>
      <c r="Y497" s="2" t="s">
        <v>3118</v>
      </c>
      <c r="Z497" s="2" t="s">
        <v>5700</v>
      </c>
      <c r="AA4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4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7" s="6" t="str">
        <f>IF(_xlfn.IFNA(INDEX(configuracoes!$A$2:$A$10,MATCH(base_tc_geral[[#This Row],[TIPO]],configuracoes!$A$2:$A$10,0)),"NÃO")="NÃO","NÃO","SIM")</f>
        <v>NÃO</v>
      </c>
    </row>
    <row r="498" spans="1:31" x14ac:dyDescent="0.25">
      <c r="A498" s="2" t="s">
        <v>4443</v>
      </c>
      <c r="B498" s="2">
        <v>109506172</v>
      </c>
      <c r="C498" s="2" t="s">
        <v>15</v>
      </c>
      <c r="D498" s="2" t="s">
        <v>4528</v>
      </c>
      <c r="E498" s="2" t="s">
        <v>86</v>
      </c>
      <c r="F498" s="2" t="s">
        <v>177</v>
      </c>
      <c r="G498" s="2" t="s">
        <v>58</v>
      </c>
      <c r="H498" s="2" t="s">
        <v>164</v>
      </c>
      <c r="I498" s="2" t="s">
        <v>33</v>
      </c>
      <c r="J498" s="2" t="s">
        <v>124</v>
      </c>
      <c r="K498" s="2" t="s">
        <v>13</v>
      </c>
      <c r="L498" s="2" t="s">
        <v>61</v>
      </c>
      <c r="M498" s="2" t="s">
        <v>44</v>
      </c>
      <c r="N498" s="2" t="s">
        <v>15</v>
      </c>
      <c r="O498" s="2" t="s">
        <v>169</v>
      </c>
      <c r="P498" s="2" t="s">
        <v>4445</v>
      </c>
      <c r="Q498" s="2" t="s">
        <v>4926</v>
      </c>
      <c r="R498" s="2" t="s">
        <v>3588</v>
      </c>
      <c r="S498" s="2" t="s">
        <v>93</v>
      </c>
      <c r="T498" s="2" t="s">
        <v>4696</v>
      </c>
      <c r="U498" s="2" t="s">
        <v>12</v>
      </c>
      <c r="V498" s="2" t="s">
        <v>4798</v>
      </c>
      <c r="W498" s="2" t="s">
        <v>5013</v>
      </c>
      <c r="X498" s="2" t="s">
        <v>44</v>
      </c>
      <c r="Y498" s="2" t="s">
        <v>4444</v>
      </c>
      <c r="Z498" s="2" t="s">
        <v>5701</v>
      </c>
      <c r="AA4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4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4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4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8" s="6" t="str">
        <f>IF(_xlfn.IFNA(INDEX(configuracoes!$A$2:$A$10,MATCH(base_tc_geral[[#This Row],[TIPO]],configuracoes!$A$2:$A$10,0)),"NÃO")="NÃO","NÃO","SIM")</f>
        <v>NÃO</v>
      </c>
    </row>
    <row r="499" spans="1:31" x14ac:dyDescent="0.25">
      <c r="A499" s="2" t="s">
        <v>2039</v>
      </c>
      <c r="B499" s="2">
        <v>102101642</v>
      </c>
      <c r="C499" s="2" t="s">
        <v>15</v>
      </c>
      <c r="D499" s="2" t="s">
        <v>4526</v>
      </c>
      <c r="E499" s="2" t="s">
        <v>106</v>
      </c>
      <c r="F499" s="2" t="s">
        <v>509</v>
      </c>
      <c r="G499" s="2" t="s">
        <v>245</v>
      </c>
      <c r="H499" s="2" t="s">
        <v>130</v>
      </c>
      <c r="I499" s="2" t="s">
        <v>33</v>
      </c>
      <c r="J499" s="2" t="s">
        <v>109</v>
      </c>
      <c r="K499" s="2" t="s">
        <v>13</v>
      </c>
      <c r="L499" s="2" t="s">
        <v>21</v>
      </c>
      <c r="M499" s="2" t="s">
        <v>22</v>
      </c>
      <c r="N499" s="2" t="s">
        <v>15</v>
      </c>
      <c r="O499" s="2" t="s">
        <v>132</v>
      </c>
      <c r="P499" s="2" t="s">
        <v>2041</v>
      </c>
      <c r="Q499" s="2" t="s">
        <v>4926</v>
      </c>
      <c r="R499" s="2" t="s">
        <v>187</v>
      </c>
      <c r="S499" s="2" t="s">
        <v>736</v>
      </c>
      <c r="T499" s="2" t="s">
        <v>167</v>
      </c>
      <c r="U499" s="2" t="s">
        <v>12</v>
      </c>
      <c r="V499" s="2" t="s">
        <v>4772</v>
      </c>
      <c r="W499" s="2" t="s">
        <v>4982</v>
      </c>
      <c r="X499" s="2" t="s">
        <v>4925</v>
      </c>
      <c r="Y499" s="2" t="s">
        <v>2040</v>
      </c>
      <c r="Z499" s="2" t="s">
        <v>5702</v>
      </c>
      <c r="AA4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4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4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4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499" s="6" t="str">
        <f>IF(_xlfn.IFNA(INDEX(configuracoes!$A$2:$A$10,MATCH(base_tc_geral[[#This Row],[TIPO]],configuracoes!$A$2:$A$10,0)),"NÃO")="NÃO","NÃO","SIM")</f>
        <v>SIM</v>
      </c>
    </row>
    <row r="500" spans="1:31" x14ac:dyDescent="0.25">
      <c r="A500" s="2" t="s">
        <v>2788</v>
      </c>
      <c r="B500" s="2">
        <v>109506174</v>
      </c>
      <c r="C500" s="2" t="s">
        <v>15</v>
      </c>
      <c r="D500" s="2" t="s">
        <v>4678</v>
      </c>
      <c r="E500" s="2" t="s">
        <v>86</v>
      </c>
      <c r="F500" s="2" t="s">
        <v>840</v>
      </c>
      <c r="G500" s="2" t="s">
        <v>630</v>
      </c>
      <c r="H500" s="2" t="s">
        <v>198</v>
      </c>
      <c r="I500" s="2" t="s">
        <v>33</v>
      </c>
      <c r="J500" s="2" t="s">
        <v>91</v>
      </c>
      <c r="K500" s="2" t="s">
        <v>20</v>
      </c>
      <c r="L500" s="2" t="s">
        <v>21</v>
      </c>
      <c r="M500" s="2" t="s">
        <v>22</v>
      </c>
      <c r="N500" s="2" t="s">
        <v>15</v>
      </c>
      <c r="O500" s="2" t="s">
        <v>201</v>
      </c>
      <c r="P500" s="2" t="s">
        <v>2790</v>
      </c>
      <c r="Q500" s="2" t="s">
        <v>4926</v>
      </c>
      <c r="R500" s="2" t="s">
        <v>2782</v>
      </c>
      <c r="S500" s="2" t="s">
        <v>93</v>
      </c>
      <c r="T500" s="2" t="s">
        <v>4696</v>
      </c>
      <c r="U500" s="2" t="s">
        <v>12</v>
      </c>
      <c r="V500" s="2" t="s">
        <v>4796</v>
      </c>
      <c r="W500" s="2" t="s">
        <v>4982</v>
      </c>
      <c r="X500" s="2" t="s">
        <v>4925</v>
      </c>
      <c r="Y500" s="2" t="s">
        <v>2789</v>
      </c>
      <c r="Z500" s="2" t="s">
        <v>5325</v>
      </c>
      <c r="AA5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5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0" s="6" t="str">
        <f>IF(_xlfn.IFNA(INDEX(configuracoes!$A$2:$A$10,MATCH(base_tc_geral[[#This Row],[TIPO]],configuracoes!$A$2:$A$10,0)),"NÃO")="NÃO","NÃO","SIM")</f>
        <v>SIM</v>
      </c>
    </row>
    <row r="501" spans="1:31" x14ac:dyDescent="0.25">
      <c r="A501" s="2" t="s">
        <v>3367</v>
      </c>
      <c r="B501" s="2">
        <v>101001488</v>
      </c>
      <c r="C501" s="2" t="s">
        <v>15</v>
      </c>
      <c r="D501" s="2" t="s">
        <v>4490</v>
      </c>
      <c r="E501" s="2" t="s">
        <v>47</v>
      </c>
      <c r="F501" s="2" t="s">
        <v>251</v>
      </c>
      <c r="G501" s="2" t="s">
        <v>613</v>
      </c>
      <c r="H501" s="2" t="s">
        <v>224</v>
      </c>
      <c r="I501" s="2" t="s">
        <v>16</v>
      </c>
      <c r="J501" s="2" t="s">
        <v>227</v>
      </c>
      <c r="K501" s="2" t="s">
        <v>20</v>
      </c>
      <c r="L501" s="2" t="s">
        <v>25</v>
      </c>
      <c r="M501" s="2" t="s">
        <v>22</v>
      </c>
      <c r="N501" s="2" t="s">
        <v>15</v>
      </c>
      <c r="O501" s="2" t="s">
        <v>229</v>
      </c>
      <c r="P501" s="2" t="s">
        <v>3369</v>
      </c>
      <c r="Q501" s="2" t="s">
        <v>4926</v>
      </c>
      <c r="R501" s="2" t="s">
        <v>252</v>
      </c>
      <c r="S501" s="2" t="s">
        <v>101</v>
      </c>
      <c r="T501" s="2" t="s">
        <v>4697</v>
      </c>
      <c r="U501" s="2" t="s">
        <v>12</v>
      </c>
      <c r="V501" s="2" t="s">
        <v>4811</v>
      </c>
      <c r="W501" s="2" t="s">
        <v>4931</v>
      </c>
      <c r="X501" s="2" t="s">
        <v>4925</v>
      </c>
      <c r="Y501" s="2" t="s">
        <v>3368</v>
      </c>
      <c r="Z501" s="2" t="s">
        <v>5326</v>
      </c>
      <c r="AA5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5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5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5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1" s="6" t="str">
        <f>IF(_xlfn.IFNA(INDEX(configuracoes!$A$2:$A$10,MATCH(base_tc_geral[[#This Row],[TIPO]],configuracoes!$A$2:$A$10,0)),"NÃO")="NÃO","NÃO","SIM")</f>
        <v>SIM</v>
      </c>
    </row>
    <row r="502" spans="1:31" x14ac:dyDescent="0.25">
      <c r="A502" s="2" t="s">
        <v>3974</v>
      </c>
      <c r="B502" s="2">
        <v>105303207</v>
      </c>
      <c r="C502" s="2" t="s">
        <v>15</v>
      </c>
      <c r="D502" s="2" t="s">
        <v>4481</v>
      </c>
      <c r="E502" s="2" t="s">
        <v>28</v>
      </c>
      <c r="F502" s="2" t="s">
        <v>423</v>
      </c>
      <c r="G502" s="2" t="s">
        <v>41</v>
      </c>
      <c r="H502" s="2" t="s">
        <v>34</v>
      </c>
      <c r="I502" s="2" t="s">
        <v>33</v>
      </c>
      <c r="J502" s="2" t="s">
        <v>34</v>
      </c>
      <c r="K502" s="2" t="s">
        <v>13</v>
      </c>
      <c r="L502" s="2" t="s">
        <v>42</v>
      </c>
      <c r="M502" s="2" t="s">
        <v>75</v>
      </c>
      <c r="N502" s="2" t="s">
        <v>15</v>
      </c>
      <c r="O502" s="2" t="s">
        <v>156</v>
      </c>
      <c r="P502" s="2" t="s">
        <v>3976</v>
      </c>
      <c r="Q502" s="2" t="s">
        <v>4926</v>
      </c>
      <c r="R502" s="2" t="s">
        <v>2243</v>
      </c>
      <c r="S502" s="2" t="s">
        <v>167</v>
      </c>
      <c r="T502" s="2" t="s">
        <v>167</v>
      </c>
      <c r="U502" s="2" t="s">
        <v>12</v>
      </c>
      <c r="V502" s="2" t="s">
        <v>4764</v>
      </c>
      <c r="W502" s="2" t="s">
        <v>42</v>
      </c>
      <c r="X502" s="2" t="s">
        <v>75</v>
      </c>
      <c r="Y502" s="2" t="s">
        <v>3975</v>
      </c>
      <c r="Z502" s="2" t="s">
        <v>5327</v>
      </c>
      <c r="AA5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5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2" s="6" t="str">
        <f>IF(_xlfn.IFNA(INDEX(configuracoes!$A$2:$A$10,MATCH(base_tc_geral[[#This Row],[TIPO]],configuracoes!$A$2:$A$10,0)),"NÃO")="NÃO","NÃO","SIM")</f>
        <v>SIM</v>
      </c>
    </row>
    <row r="503" spans="1:31" x14ac:dyDescent="0.25">
      <c r="A503" s="2" t="s">
        <v>3202</v>
      </c>
      <c r="B503" s="2">
        <v>109000119</v>
      </c>
      <c r="C503" s="2" t="s">
        <v>15</v>
      </c>
      <c r="D503" s="2" t="s">
        <v>4687</v>
      </c>
      <c r="E503" s="2" t="s">
        <v>86</v>
      </c>
      <c r="F503" s="2" t="s">
        <v>274</v>
      </c>
      <c r="G503" s="2" t="s">
        <v>58</v>
      </c>
      <c r="H503" s="2" t="s">
        <v>210</v>
      </c>
      <c r="I503" s="2" t="s">
        <v>33</v>
      </c>
      <c r="J503" s="2" t="s">
        <v>124</v>
      </c>
      <c r="K503" s="2" t="s">
        <v>13</v>
      </c>
      <c r="L503" s="2" t="s">
        <v>61</v>
      </c>
      <c r="M503" s="2" t="s">
        <v>44</v>
      </c>
      <c r="N503" s="2" t="s">
        <v>15</v>
      </c>
      <c r="O503" s="2" t="s">
        <v>214</v>
      </c>
      <c r="P503" s="2" t="s">
        <v>3204</v>
      </c>
      <c r="Q503" s="2" t="s">
        <v>4926</v>
      </c>
      <c r="R503" s="2" t="s">
        <v>191</v>
      </c>
      <c r="S503" s="2" t="s">
        <v>4699</v>
      </c>
      <c r="T503" s="2" t="s">
        <v>4696</v>
      </c>
      <c r="U503" s="2" t="s">
        <v>12</v>
      </c>
      <c r="V503" s="2" t="s">
        <v>4849</v>
      </c>
      <c r="W503" s="2" t="s">
        <v>4984</v>
      </c>
      <c r="X503" s="2" t="s">
        <v>44</v>
      </c>
      <c r="Y503" s="2" t="s">
        <v>3203</v>
      </c>
      <c r="Z503" s="2" t="s">
        <v>5328</v>
      </c>
      <c r="AA5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5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5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3" s="6" t="str">
        <f>IF(_xlfn.IFNA(INDEX(configuracoes!$A$2:$A$10,MATCH(base_tc_geral[[#This Row],[TIPO]],configuracoes!$A$2:$A$10,0)),"NÃO")="NÃO","NÃO","SIM")</f>
        <v>NÃO</v>
      </c>
    </row>
    <row r="504" spans="1:31" x14ac:dyDescent="0.25">
      <c r="A504" s="2" t="s">
        <v>2466</v>
      </c>
      <c r="B504" s="2">
        <v>105303124</v>
      </c>
      <c r="C504" s="2" t="s">
        <v>15</v>
      </c>
      <c r="D504" s="2" t="s">
        <v>4536</v>
      </c>
      <c r="E504" s="2" t="s">
        <v>86</v>
      </c>
      <c r="F504" s="2" t="s">
        <v>205</v>
      </c>
      <c r="G504" s="2" t="s">
        <v>245</v>
      </c>
      <c r="H504" s="2" t="s">
        <v>122</v>
      </c>
      <c r="I504" s="2" t="s">
        <v>33</v>
      </c>
      <c r="J504" s="2" t="s">
        <v>124</v>
      </c>
      <c r="K504" s="2" t="s">
        <v>13</v>
      </c>
      <c r="L504" s="2" t="s">
        <v>21</v>
      </c>
      <c r="M504" s="2" t="s">
        <v>22</v>
      </c>
      <c r="N504" s="2" t="s">
        <v>15</v>
      </c>
      <c r="O504" s="2" t="s">
        <v>129</v>
      </c>
      <c r="P504" s="2" t="s">
        <v>2468</v>
      </c>
      <c r="Q504" s="2" t="s">
        <v>4926</v>
      </c>
      <c r="R504" s="2" t="s">
        <v>551</v>
      </c>
      <c r="S504" s="2" t="s">
        <v>4700</v>
      </c>
      <c r="T504" s="2" t="s">
        <v>4701</v>
      </c>
      <c r="U504" s="2" t="s">
        <v>12</v>
      </c>
      <c r="V504" s="2" t="s">
        <v>4799</v>
      </c>
      <c r="W504" s="2" t="s">
        <v>5024</v>
      </c>
      <c r="X504" s="2" t="s">
        <v>4925</v>
      </c>
      <c r="Y504" s="2" t="s">
        <v>2467</v>
      </c>
      <c r="Z504" s="2" t="s">
        <v>5329</v>
      </c>
      <c r="AA5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GENELSON AUGUSTO </v>
      </c>
      <c r="AB5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5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5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4" s="6" t="str">
        <f>IF(_xlfn.IFNA(INDEX(configuracoes!$A$2:$A$10,MATCH(base_tc_geral[[#This Row],[TIPO]],configuracoes!$A$2:$A$10,0)),"NÃO")="NÃO","NÃO","SIM")</f>
        <v>SIM</v>
      </c>
    </row>
    <row r="505" spans="1:31" x14ac:dyDescent="0.25">
      <c r="A505" s="2" t="s">
        <v>596</v>
      </c>
      <c r="B505" s="2">
        <v>105303208</v>
      </c>
      <c r="C505" s="2" t="s">
        <v>15</v>
      </c>
      <c r="D505" s="2" t="s">
        <v>4517</v>
      </c>
      <c r="E505" s="2" t="s">
        <v>28</v>
      </c>
      <c r="F505" s="2" t="s">
        <v>440</v>
      </c>
      <c r="G505" s="2" t="s">
        <v>883</v>
      </c>
      <c r="H505" s="2" t="s">
        <v>34</v>
      </c>
      <c r="I505" s="2" t="s">
        <v>33</v>
      </c>
      <c r="J505" s="2" t="s">
        <v>34</v>
      </c>
      <c r="K505" s="2" t="s">
        <v>20</v>
      </c>
      <c r="L505" s="2" t="s">
        <v>21</v>
      </c>
      <c r="M505" s="2" t="s">
        <v>22</v>
      </c>
      <c r="N505" s="2" t="s">
        <v>15</v>
      </c>
      <c r="O505" s="2" t="s">
        <v>156</v>
      </c>
      <c r="P505" s="2" t="s">
        <v>598</v>
      </c>
      <c r="Q505" s="2" t="s">
        <v>4926</v>
      </c>
      <c r="R505" s="2" t="s">
        <v>849</v>
      </c>
      <c r="S505" s="2" t="s">
        <v>167</v>
      </c>
      <c r="T505" s="2" t="s">
        <v>167</v>
      </c>
      <c r="U505" s="2" t="s">
        <v>12</v>
      </c>
      <c r="V505" s="2" t="s">
        <v>4850</v>
      </c>
      <c r="W505" s="2" t="s">
        <v>4982</v>
      </c>
      <c r="X505" s="2" t="s">
        <v>4925</v>
      </c>
      <c r="Y505" s="2" t="s">
        <v>597</v>
      </c>
      <c r="Z505" s="2" t="s">
        <v>5330</v>
      </c>
      <c r="AA5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5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5" s="6" t="str">
        <f>IF(_xlfn.IFNA(INDEX(configuracoes!$A$2:$A$10,MATCH(base_tc_geral[[#This Row],[TIPO]],configuracoes!$A$2:$A$10,0)),"NÃO")="NÃO","NÃO","SIM")</f>
        <v>SIM</v>
      </c>
    </row>
    <row r="506" spans="1:31" x14ac:dyDescent="0.25">
      <c r="A506" s="2" t="s">
        <v>196</v>
      </c>
      <c r="B506" s="2">
        <v>109000340</v>
      </c>
      <c r="C506" s="2" t="s">
        <v>15</v>
      </c>
      <c r="D506" s="2" t="s">
        <v>4519</v>
      </c>
      <c r="E506" s="2" t="s">
        <v>86</v>
      </c>
      <c r="F506" s="2" t="s">
        <v>199</v>
      </c>
      <c r="G506" s="2" t="s">
        <v>172</v>
      </c>
      <c r="H506" s="2" t="s">
        <v>198</v>
      </c>
      <c r="I506" s="2" t="s">
        <v>33</v>
      </c>
      <c r="J506" s="2" t="s">
        <v>91</v>
      </c>
      <c r="K506" s="2" t="s">
        <v>92</v>
      </c>
      <c r="L506" s="2" t="s">
        <v>17</v>
      </c>
      <c r="M506" s="2" t="s">
        <v>18</v>
      </c>
      <c r="N506" s="2" t="s">
        <v>15</v>
      </c>
      <c r="O506" s="2" t="s">
        <v>201</v>
      </c>
      <c r="P506" s="2" t="s">
        <v>200</v>
      </c>
      <c r="Q506" s="2" t="s">
        <v>4926</v>
      </c>
      <c r="R506" s="2" t="s">
        <v>90</v>
      </c>
      <c r="S506" s="2" t="s">
        <v>93</v>
      </c>
      <c r="T506" s="2" t="s">
        <v>4696</v>
      </c>
      <c r="U506" s="2" t="s">
        <v>12</v>
      </c>
      <c r="V506" s="2" t="s">
        <v>4796</v>
      </c>
      <c r="W506" s="2" t="s">
        <v>17</v>
      </c>
      <c r="X506" s="2" t="s">
        <v>4998</v>
      </c>
      <c r="Y506" s="2" t="s">
        <v>197</v>
      </c>
      <c r="Z506" s="2" t="s">
        <v>5703</v>
      </c>
      <c r="AA5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5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6" s="6" t="str">
        <f>IF(_xlfn.IFNA(INDEX(configuracoes!$A$2:$A$10,MATCH(base_tc_geral[[#This Row],[TIPO]],configuracoes!$A$2:$A$10,0)),"NÃO")="NÃO","NÃO","SIM")</f>
        <v>NÃO</v>
      </c>
    </row>
    <row r="507" spans="1:31" x14ac:dyDescent="0.25">
      <c r="A507" s="2" t="s">
        <v>3712</v>
      </c>
      <c r="B507" s="2">
        <v>101010666</v>
      </c>
      <c r="C507" s="2" t="s">
        <v>15</v>
      </c>
      <c r="D507" s="2" t="s">
        <v>4553</v>
      </c>
      <c r="E507" s="2" t="s">
        <v>47</v>
      </c>
      <c r="F507" s="2" t="s">
        <v>341</v>
      </c>
      <c r="G507" s="2" t="s">
        <v>58</v>
      </c>
      <c r="H507" s="2" t="s">
        <v>56</v>
      </c>
      <c r="I507" s="2" t="s">
        <v>16</v>
      </c>
      <c r="J507" s="2" t="s">
        <v>60</v>
      </c>
      <c r="K507" s="2" t="s">
        <v>13</v>
      </c>
      <c r="L507" s="2" t="s">
        <v>61</v>
      </c>
      <c r="M507" s="2" t="s">
        <v>134</v>
      </c>
      <c r="N507" s="2" t="s">
        <v>15</v>
      </c>
      <c r="O507" s="2" t="s">
        <v>63</v>
      </c>
      <c r="P507" s="2" t="s">
        <v>3714</v>
      </c>
      <c r="Q507" s="2" t="s">
        <v>4926</v>
      </c>
      <c r="R507" s="2" t="s">
        <v>3483</v>
      </c>
      <c r="S507" s="2" t="s">
        <v>1925</v>
      </c>
      <c r="T507" s="2" t="s">
        <v>110</v>
      </c>
      <c r="U507" s="2" t="s">
        <v>12</v>
      </c>
      <c r="V507" s="2" t="s">
        <v>4830</v>
      </c>
      <c r="W507" s="2" t="s">
        <v>4993</v>
      </c>
      <c r="X507" s="2" t="s">
        <v>5532</v>
      </c>
      <c r="Y507" s="2" t="s">
        <v>3713</v>
      </c>
      <c r="Z507" s="2" t="s">
        <v>5704</v>
      </c>
      <c r="AA5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MARDEM </v>
      </c>
      <c r="AB5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ADOLFO </v>
      </c>
      <c r="AC5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5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7" s="6" t="str">
        <f>IF(_xlfn.IFNA(INDEX(configuracoes!$A$2:$A$10,MATCH(base_tc_geral[[#This Row],[TIPO]],configuracoes!$A$2:$A$10,0)),"NÃO")="NÃO","NÃO","SIM")</f>
        <v>NÃO</v>
      </c>
    </row>
    <row r="508" spans="1:31" x14ac:dyDescent="0.25">
      <c r="A508" s="2" t="s">
        <v>621</v>
      </c>
      <c r="B508" s="2">
        <v>101010821</v>
      </c>
      <c r="C508" s="2" t="s">
        <v>15</v>
      </c>
      <c r="D508" s="2" t="s">
        <v>4490</v>
      </c>
      <c r="E508" s="2" t="s">
        <v>47</v>
      </c>
      <c r="F508" s="2" t="s">
        <v>98</v>
      </c>
      <c r="G508" s="2" t="s">
        <v>613</v>
      </c>
      <c r="H508" s="2" t="s">
        <v>56</v>
      </c>
      <c r="I508" s="2" t="s">
        <v>16</v>
      </c>
      <c r="J508" s="2" t="s">
        <v>60</v>
      </c>
      <c r="K508" s="2" t="s">
        <v>13</v>
      </c>
      <c r="L508" s="2" t="s">
        <v>25</v>
      </c>
      <c r="M508" s="2" t="s">
        <v>22</v>
      </c>
      <c r="N508" s="2" t="s">
        <v>15</v>
      </c>
      <c r="O508" s="2" t="s">
        <v>63</v>
      </c>
      <c r="P508" s="2" t="s">
        <v>623</v>
      </c>
      <c r="Q508" s="2" t="s">
        <v>4926</v>
      </c>
      <c r="R508" s="2" t="s">
        <v>4894</v>
      </c>
      <c r="S508" s="2" t="s">
        <v>101</v>
      </c>
      <c r="T508" s="2" t="s">
        <v>4697</v>
      </c>
      <c r="U508" s="2" t="s">
        <v>12</v>
      </c>
      <c r="V508" s="2" t="s">
        <v>4808</v>
      </c>
      <c r="W508" s="2" t="s">
        <v>4931</v>
      </c>
      <c r="X508" s="2" t="s">
        <v>4925</v>
      </c>
      <c r="Y508" s="2" t="s">
        <v>622</v>
      </c>
      <c r="Z508" s="2" t="s">
        <v>5705</v>
      </c>
      <c r="AA5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SILVA </v>
      </c>
      <c r="AB5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5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5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8" s="6" t="str">
        <f>IF(_xlfn.IFNA(INDEX(configuracoes!$A$2:$A$10,MATCH(base_tc_geral[[#This Row],[TIPO]],configuracoes!$A$2:$A$10,0)),"NÃO")="NÃO","NÃO","SIM")</f>
        <v>SIM</v>
      </c>
    </row>
    <row r="509" spans="1:31" x14ac:dyDescent="0.25">
      <c r="A509" s="2" t="s">
        <v>3295</v>
      </c>
      <c r="B509" s="2">
        <v>101008003</v>
      </c>
      <c r="C509" s="2" t="s">
        <v>15</v>
      </c>
      <c r="D509" s="2" t="s">
        <v>4490</v>
      </c>
      <c r="E509" s="2" t="s">
        <v>47</v>
      </c>
      <c r="F509" s="2" t="s">
        <v>264</v>
      </c>
      <c r="G509" s="2" t="s">
        <v>613</v>
      </c>
      <c r="H509" s="2" t="s">
        <v>227</v>
      </c>
      <c r="I509" s="2" t="s">
        <v>16</v>
      </c>
      <c r="J509" s="2" t="s">
        <v>227</v>
      </c>
      <c r="K509" s="2" t="s">
        <v>20</v>
      </c>
      <c r="L509" s="2" t="s">
        <v>25</v>
      </c>
      <c r="M509" s="2" t="s">
        <v>22</v>
      </c>
      <c r="N509" s="2" t="s">
        <v>15</v>
      </c>
      <c r="O509" s="2" t="s">
        <v>266</v>
      </c>
      <c r="P509" s="2" t="s">
        <v>3297</v>
      </c>
      <c r="Q509" s="2" t="s">
        <v>4926</v>
      </c>
      <c r="R509" s="2" t="s">
        <v>100</v>
      </c>
      <c r="S509" s="2" t="s">
        <v>101</v>
      </c>
      <c r="T509" s="2" t="s">
        <v>4697</v>
      </c>
      <c r="U509" s="2" t="s">
        <v>12</v>
      </c>
      <c r="V509" s="2" t="s">
        <v>4809</v>
      </c>
      <c r="W509" s="2" t="s">
        <v>4931</v>
      </c>
      <c r="X509" s="2" t="s">
        <v>4925</v>
      </c>
      <c r="Y509" s="2" t="s">
        <v>3296</v>
      </c>
      <c r="Z509" s="2" t="s">
        <v>5706</v>
      </c>
      <c r="AA5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5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5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5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09" s="6" t="str">
        <f>IF(_xlfn.IFNA(INDEX(configuracoes!$A$2:$A$10,MATCH(base_tc_geral[[#This Row],[TIPO]],configuracoes!$A$2:$A$10,0)),"NÃO")="NÃO","NÃO","SIM")</f>
        <v>SIM</v>
      </c>
    </row>
    <row r="510" spans="1:31" x14ac:dyDescent="0.25">
      <c r="A510" s="2" t="s">
        <v>723</v>
      </c>
      <c r="B510" s="2">
        <v>109000427</v>
      </c>
      <c r="C510" s="2" t="s">
        <v>15</v>
      </c>
      <c r="D510" s="2" t="s">
        <v>4504</v>
      </c>
      <c r="E510" s="2" t="s">
        <v>86</v>
      </c>
      <c r="F510" s="2" t="s">
        <v>123</v>
      </c>
      <c r="G510" s="2" t="s">
        <v>58</v>
      </c>
      <c r="H510" s="2" t="s">
        <v>122</v>
      </c>
      <c r="I510" s="2" t="s">
        <v>33</v>
      </c>
      <c r="J510" s="2" t="s">
        <v>124</v>
      </c>
      <c r="K510" s="2" t="s">
        <v>13</v>
      </c>
      <c r="L510" s="2" t="s">
        <v>61</v>
      </c>
      <c r="M510" s="2" t="s">
        <v>338</v>
      </c>
      <c r="N510" s="2" t="s">
        <v>15</v>
      </c>
      <c r="O510" s="2" t="s">
        <v>129</v>
      </c>
      <c r="P510" s="2" t="s">
        <v>725</v>
      </c>
      <c r="Q510" s="2" t="s">
        <v>4926</v>
      </c>
      <c r="R510" s="2" t="s">
        <v>259</v>
      </c>
      <c r="S510" s="2" t="s">
        <v>4699</v>
      </c>
      <c r="T510" s="2" t="s">
        <v>4696</v>
      </c>
      <c r="U510" s="2" t="s">
        <v>12</v>
      </c>
      <c r="V510" s="2" t="s">
        <v>4795</v>
      </c>
      <c r="W510" s="2" t="s">
        <v>4984</v>
      </c>
      <c r="X510" s="2" t="s">
        <v>338</v>
      </c>
      <c r="Y510" s="2" t="s">
        <v>724</v>
      </c>
      <c r="Z510" s="2" t="s">
        <v>5707</v>
      </c>
      <c r="AA5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5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5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0" s="6" t="str">
        <f>IF(_xlfn.IFNA(INDEX(configuracoes!$A$2:$A$10,MATCH(base_tc_geral[[#This Row],[TIPO]],configuracoes!$A$2:$A$10,0)),"NÃO")="NÃO","NÃO","SIM")</f>
        <v>NÃO</v>
      </c>
    </row>
    <row r="511" spans="1:31" x14ac:dyDescent="0.25">
      <c r="A511" s="2" t="s">
        <v>1429</v>
      </c>
      <c r="B511" s="2">
        <v>105303208</v>
      </c>
      <c r="C511" s="2" t="s">
        <v>15</v>
      </c>
      <c r="D511" s="2" t="s">
        <v>4486</v>
      </c>
      <c r="E511" s="2" t="s">
        <v>28</v>
      </c>
      <c r="F511" s="2" t="s">
        <v>440</v>
      </c>
      <c r="G511" s="2" t="s">
        <v>637</v>
      </c>
      <c r="H511" s="2" t="s">
        <v>34</v>
      </c>
      <c r="I511" s="2" t="s">
        <v>33</v>
      </c>
      <c r="J511" s="2" t="s">
        <v>34</v>
      </c>
      <c r="K511" s="2" t="s">
        <v>20</v>
      </c>
      <c r="L511" s="2" t="s">
        <v>19</v>
      </c>
      <c r="M511" s="2" t="s">
        <v>22</v>
      </c>
      <c r="N511" s="2" t="s">
        <v>15</v>
      </c>
      <c r="O511" s="2" t="s">
        <v>156</v>
      </c>
      <c r="P511" s="2" t="s">
        <v>1431</v>
      </c>
      <c r="Q511" s="2" t="s">
        <v>4926</v>
      </c>
      <c r="R511" s="2" t="s">
        <v>849</v>
      </c>
      <c r="S511" s="2" t="s">
        <v>167</v>
      </c>
      <c r="T511" s="2" t="s">
        <v>167</v>
      </c>
      <c r="U511" s="2" t="s">
        <v>12</v>
      </c>
      <c r="V511" s="2" t="s">
        <v>4850</v>
      </c>
      <c r="W511" s="2" t="s">
        <v>4982</v>
      </c>
      <c r="X511" s="2" t="s">
        <v>4925</v>
      </c>
      <c r="Y511" s="2" t="s">
        <v>1430</v>
      </c>
      <c r="Z511" s="2" t="s">
        <v>5708</v>
      </c>
      <c r="AA5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5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1" s="6" t="str">
        <f>IF(_xlfn.IFNA(INDEX(configuracoes!$A$2:$A$10,MATCH(base_tc_geral[[#This Row],[TIPO]],configuracoes!$A$2:$A$10,0)),"NÃO")="NÃO","NÃO","SIM")</f>
        <v>SIM</v>
      </c>
    </row>
    <row r="512" spans="1:31" x14ac:dyDescent="0.25">
      <c r="A512" s="2" t="s">
        <v>288</v>
      </c>
      <c r="B512" s="2">
        <v>109504012</v>
      </c>
      <c r="C512" s="2" t="s">
        <v>24</v>
      </c>
      <c r="D512" s="2" t="s">
        <v>4482</v>
      </c>
      <c r="E512" s="2" t="s">
        <v>28</v>
      </c>
      <c r="F512" s="2" t="s">
        <v>290</v>
      </c>
      <c r="G512" s="2" t="s">
        <v>172</v>
      </c>
      <c r="H512" s="2" t="s">
        <v>34</v>
      </c>
      <c r="I512" s="2" t="s">
        <v>33</v>
      </c>
      <c r="J512" s="2" t="s">
        <v>34</v>
      </c>
      <c r="K512" s="2" t="s">
        <v>13</v>
      </c>
      <c r="L512" s="2" t="s">
        <v>17</v>
      </c>
      <c r="M512" s="2" t="s">
        <v>23</v>
      </c>
      <c r="N512" s="2" t="s">
        <v>24</v>
      </c>
      <c r="O512" s="2" t="s">
        <v>156</v>
      </c>
      <c r="P512" s="2" t="s">
        <v>291</v>
      </c>
      <c r="Q512" s="2" t="s">
        <v>4926</v>
      </c>
      <c r="R512" s="2" t="s">
        <v>166</v>
      </c>
      <c r="S512" s="2" t="s">
        <v>167</v>
      </c>
      <c r="T512" s="2" t="s">
        <v>167</v>
      </c>
      <c r="U512" s="2" t="s">
        <v>39</v>
      </c>
      <c r="V512" s="2" t="s">
        <v>4764</v>
      </c>
      <c r="W512" s="2" t="s">
        <v>17</v>
      </c>
      <c r="X512" s="2" t="s">
        <v>4998</v>
      </c>
      <c r="Y512" s="2" t="s">
        <v>289</v>
      </c>
      <c r="Z512" s="2" t="s">
        <v>5331</v>
      </c>
      <c r="AA5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5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12" s="6" t="str">
        <f>IF(_xlfn.IFNA(INDEX(configuracoes!$A$2:$A$10,MATCH(base_tc_geral[[#This Row],[TIPO]],configuracoes!$A$2:$A$10,0)),"NÃO")="NÃO","NÃO","SIM")</f>
        <v>NÃO</v>
      </c>
    </row>
    <row r="513" spans="1:31" x14ac:dyDescent="0.25">
      <c r="A513" s="2" t="s">
        <v>943</v>
      </c>
      <c r="B513" s="2">
        <v>109000017</v>
      </c>
      <c r="C513" s="2" t="s">
        <v>15</v>
      </c>
      <c r="D513" s="2" t="s">
        <v>4578</v>
      </c>
      <c r="E513" s="2" t="s">
        <v>86</v>
      </c>
      <c r="F513" s="2" t="s">
        <v>211</v>
      </c>
      <c r="G513" s="2" t="s">
        <v>245</v>
      </c>
      <c r="H513" s="2" t="s">
        <v>210</v>
      </c>
      <c r="I513" s="2" t="s">
        <v>33</v>
      </c>
      <c r="J513" s="2" t="s">
        <v>124</v>
      </c>
      <c r="K513" s="2" t="s">
        <v>20</v>
      </c>
      <c r="L513" s="2" t="s">
        <v>21</v>
      </c>
      <c r="M513" s="2" t="s">
        <v>22</v>
      </c>
      <c r="N513" s="2" t="s">
        <v>15</v>
      </c>
      <c r="O513" s="2" t="s">
        <v>214</v>
      </c>
      <c r="P513" s="2" t="s">
        <v>945</v>
      </c>
      <c r="Q513" s="2" t="s">
        <v>4926</v>
      </c>
      <c r="R513" s="2" t="s">
        <v>212</v>
      </c>
      <c r="S513" s="2" t="s">
        <v>93</v>
      </c>
      <c r="T513" s="2" t="s">
        <v>4696</v>
      </c>
      <c r="U513" s="2" t="s">
        <v>12</v>
      </c>
      <c r="V513" s="2" t="s">
        <v>4820</v>
      </c>
      <c r="W513" s="2" t="s">
        <v>4982</v>
      </c>
      <c r="X513" s="2" t="s">
        <v>4925</v>
      </c>
      <c r="Y513" s="2" t="s">
        <v>944</v>
      </c>
      <c r="Z513" s="2" t="s">
        <v>5332</v>
      </c>
      <c r="AA5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5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3" s="6" t="str">
        <f>IF(_xlfn.IFNA(INDEX(configuracoes!$A$2:$A$10,MATCH(base_tc_geral[[#This Row],[TIPO]],configuracoes!$A$2:$A$10,0)),"NÃO")="NÃO","NÃO","SIM")</f>
        <v>SIM</v>
      </c>
    </row>
    <row r="514" spans="1:31" x14ac:dyDescent="0.25">
      <c r="A514" s="2" t="s">
        <v>3078</v>
      </c>
      <c r="B514" s="2">
        <v>109505049</v>
      </c>
      <c r="C514" s="2" t="s">
        <v>15</v>
      </c>
      <c r="D514" s="2" t="s">
        <v>4616</v>
      </c>
      <c r="E514" s="2" t="s">
        <v>86</v>
      </c>
      <c r="F514" s="2" t="s">
        <v>594</v>
      </c>
      <c r="G514" s="2" t="s">
        <v>99</v>
      </c>
      <c r="H514" s="2" t="s">
        <v>122</v>
      </c>
      <c r="I514" s="2" t="s">
        <v>33</v>
      </c>
      <c r="J514" s="2" t="s">
        <v>124</v>
      </c>
      <c r="K514" s="2" t="s">
        <v>20</v>
      </c>
      <c r="L514" s="2" t="s">
        <v>25</v>
      </c>
      <c r="M514" s="2" t="s">
        <v>22</v>
      </c>
      <c r="N514" s="2" t="s">
        <v>15</v>
      </c>
      <c r="O514" s="2" t="s">
        <v>129</v>
      </c>
      <c r="P514" s="2" t="s">
        <v>3080</v>
      </c>
      <c r="Q514" s="2" t="s">
        <v>4926</v>
      </c>
      <c r="R514" s="2" t="s">
        <v>541</v>
      </c>
      <c r="S514" s="2" t="s">
        <v>125</v>
      </c>
      <c r="T514" s="2" t="s">
        <v>4696</v>
      </c>
      <c r="U514" s="2" t="s">
        <v>12</v>
      </c>
      <c r="V514" s="2" t="s">
        <v>4765</v>
      </c>
      <c r="W514" s="2" t="s">
        <v>4931</v>
      </c>
      <c r="X514" s="2" t="s">
        <v>4925</v>
      </c>
      <c r="Y514" s="2" t="s">
        <v>3079</v>
      </c>
      <c r="Z514" s="2" t="s">
        <v>5333</v>
      </c>
      <c r="AA5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4" s="6" t="str">
        <f>IF(_xlfn.IFNA(INDEX(configuracoes!$A$2:$A$10,MATCH(base_tc_geral[[#This Row],[TIPO]],configuracoes!$A$2:$A$10,0)),"NÃO")="NÃO","NÃO","SIM")</f>
        <v>SIM</v>
      </c>
    </row>
    <row r="515" spans="1:31" x14ac:dyDescent="0.25">
      <c r="A515" s="2" t="s">
        <v>1809</v>
      </c>
      <c r="B515" s="2">
        <v>109505049</v>
      </c>
      <c r="C515" s="2" t="s">
        <v>15</v>
      </c>
      <c r="D515" s="2" t="s">
        <v>4616</v>
      </c>
      <c r="E515" s="2" t="s">
        <v>86</v>
      </c>
      <c r="F515" s="2" t="s">
        <v>594</v>
      </c>
      <c r="G515" s="2" t="s">
        <v>99</v>
      </c>
      <c r="H515" s="2" t="s">
        <v>122</v>
      </c>
      <c r="I515" s="2" t="s">
        <v>33</v>
      </c>
      <c r="J515" s="2" t="s">
        <v>124</v>
      </c>
      <c r="K515" s="2" t="s">
        <v>20</v>
      </c>
      <c r="L515" s="2" t="s">
        <v>25</v>
      </c>
      <c r="M515" s="2" t="s">
        <v>22</v>
      </c>
      <c r="N515" s="2" t="s">
        <v>15</v>
      </c>
      <c r="O515" s="2" t="s">
        <v>129</v>
      </c>
      <c r="P515" s="2" t="s">
        <v>1811</v>
      </c>
      <c r="Q515" s="2" t="s">
        <v>4926</v>
      </c>
      <c r="R515" s="2" t="s">
        <v>541</v>
      </c>
      <c r="S515" s="2" t="s">
        <v>125</v>
      </c>
      <c r="T515" s="2" t="s">
        <v>4696</v>
      </c>
      <c r="U515" s="2" t="s">
        <v>12</v>
      </c>
      <c r="V515" s="2" t="s">
        <v>4765</v>
      </c>
      <c r="W515" s="2" t="s">
        <v>4931</v>
      </c>
      <c r="X515" s="2" t="s">
        <v>4925</v>
      </c>
      <c r="Y515" s="2" t="s">
        <v>1810</v>
      </c>
      <c r="Z515" s="2" t="s">
        <v>5334</v>
      </c>
      <c r="AA5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5" s="6" t="str">
        <f>IF(_xlfn.IFNA(INDEX(configuracoes!$A$2:$A$10,MATCH(base_tc_geral[[#This Row],[TIPO]],configuracoes!$A$2:$A$10,0)),"NÃO")="NÃO","NÃO","SIM")</f>
        <v>SIM</v>
      </c>
    </row>
    <row r="516" spans="1:31" x14ac:dyDescent="0.25">
      <c r="A516" s="2" t="s">
        <v>1686</v>
      </c>
      <c r="B516" s="2">
        <v>109501286</v>
      </c>
      <c r="C516" s="2" t="s">
        <v>15</v>
      </c>
      <c r="D516" s="2" t="s">
        <v>4550</v>
      </c>
      <c r="E516" s="2" t="s">
        <v>86</v>
      </c>
      <c r="F516" s="2" t="s">
        <v>497</v>
      </c>
      <c r="G516" s="2" t="s">
        <v>711</v>
      </c>
      <c r="H516" s="2" t="s">
        <v>164</v>
      </c>
      <c r="I516" s="2" t="s">
        <v>33</v>
      </c>
      <c r="J516" s="2" t="s">
        <v>124</v>
      </c>
      <c r="K516" s="2" t="s">
        <v>13</v>
      </c>
      <c r="L516" s="2" t="s">
        <v>126</v>
      </c>
      <c r="M516" s="2" t="s">
        <v>22</v>
      </c>
      <c r="N516" s="2" t="s">
        <v>15</v>
      </c>
      <c r="O516" s="2" t="s">
        <v>169</v>
      </c>
      <c r="P516" s="2" t="s">
        <v>1688</v>
      </c>
      <c r="Q516" s="2" t="s">
        <v>4926</v>
      </c>
      <c r="R516" s="2" t="s">
        <v>498</v>
      </c>
      <c r="S516" s="2" t="s">
        <v>93</v>
      </c>
      <c r="T516" s="2" t="s">
        <v>4696</v>
      </c>
      <c r="U516" s="2" t="s">
        <v>12</v>
      </c>
      <c r="V516" s="2" t="s">
        <v>4766</v>
      </c>
      <c r="W516" s="2" t="s">
        <v>4982</v>
      </c>
      <c r="X516" s="2" t="s">
        <v>4925</v>
      </c>
      <c r="Y516" s="2" t="s">
        <v>1687</v>
      </c>
      <c r="Z516" s="2" t="s">
        <v>5335</v>
      </c>
      <c r="AA5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5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6" s="6" t="str">
        <f>IF(_xlfn.IFNA(INDEX(configuracoes!$A$2:$A$10,MATCH(base_tc_geral[[#This Row],[TIPO]],configuracoes!$A$2:$A$10,0)),"NÃO")="NÃO","NÃO","SIM")</f>
        <v>SIM</v>
      </c>
    </row>
    <row r="517" spans="1:31" x14ac:dyDescent="0.25">
      <c r="A517" s="2" t="s">
        <v>230</v>
      </c>
      <c r="B517" s="2">
        <v>102101634</v>
      </c>
      <c r="C517" s="2" t="s">
        <v>15</v>
      </c>
      <c r="D517" s="2" t="s">
        <v>4603</v>
      </c>
      <c r="E517" s="2" t="s">
        <v>106</v>
      </c>
      <c r="F517" s="2" t="s">
        <v>108</v>
      </c>
      <c r="G517" s="2" t="s">
        <v>41</v>
      </c>
      <c r="H517" s="2" t="s">
        <v>107</v>
      </c>
      <c r="I517" s="2" t="s">
        <v>33</v>
      </c>
      <c r="J517" s="2" t="s">
        <v>109</v>
      </c>
      <c r="K517" s="2" t="s">
        <v>20</v>
      </c>
      <c r="L517" s="2" t="s">
        <v>42</v>
      </c>
      <c r="M517" s="2" t="s">
        <v>22</v>
      </c>
      <c r="N517" s="2" t="s">
        <v>15</v>
      </c>
      <c r="O517" s="2" t="s">
        <v>112</v>
      </c>
      <c r="P517" s="2" t="s">
        <v>232</v>
      </c>
      <c r="Q517" s="2" t="s">
        <v>4926</v>
      </c>
      <c r="R517" s="2" t="s">
        <v>406</v>
      </c>
      <c r="S517" s="2" t="s">
        <v>736</v>
      </c>
      <c r="T517" s="2" t="s">
        <v>167</v>
      </c>
      <c r="U517" s="2" t="s">
        <v>12</v>
      </c>
      <c r="V517" s="2" t="s">
        <v>4853</v>
      </c>
      <c r="W517" s="2" t="s">
        <v>4982</v>
      </c>
      <c r="X517" s="2" t="s">
        <v>4925</v>
      </c>
      <c r="Y517" s="2" t="s">
        <v>231</v>
      </c>
      <c r="Z517" s="2" t="s">
        <v>5336</v>
      </c>
      <c r="AA5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5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7" s="6" t="str">
        <f>IF(_xlfn.IFNA(INDEX(configuracoes!$A$2:$A$10,MATCH(base_tc_geral[[#This Row],[TIPO]],configuracoes!$A$2:$A$10,0)),"NÃO")="NÃO","NÃO","SIM")</f>
        <v>SIM</v>
      </c>
    </row>
    <row r="518" spans="1:31" x14ac:dyDescent="0.25">
      <c r="A518" s="2" t="s">
        <v>2692</v>
      </c>
      <c r="B518" s="2">
        <v>109506091</v>
      </c>
      <c r="C518" s="2" t="s">
        <v>24</v>
      </c>
      <c r="D518" s="2" t="s">
        <v>4768</v>
      </c>
      <c r="E518" s="2" t="s">
        <v>86</v>
      </c>
      <c r="F518" s="2" t="s">
        <v>123</v>
      </c>
      <c r="G518" s="2" t="s">
        <v>149</v>
      </c>
      <c r="H518" s="2" t="s">
        <v>122</v>
      </c>
      <c r="I518" s="2" t="s">
        <v>33</v>
      </c>
      <c r="J518" s="2" t="s">
        <v>124</v>
      </c>
      <c r="K518" s="2" t="s">
        <v>20</v>
      </c>
      <c r="L518" s="2" t="s">
        <v>61</v>
      </c>
      <c r="M518" s="2" t="s">
        <v>22</v>
      </c>
      <c r="N518" s="2" t="s">
        <v>24</v>
      </c>
      <c r="O518" s="2" t="s">
        <v>129</v>
      </c>
      <c r="P518" s="2" t="s">
        <v>2694</v>
      </c>
      <c r="Q518" s="2" t="s">
        <v>4926</v>
      </c>
      <c r="R518" s="2" t="s">
        <v>2683</v>
      </c>
      <c r="S518" s="2" t="s">
        <v>125</v>
      </c>
      <c r="T518" s="2" t="s">
        <v>4696</v>
      </c>
      <c r="U518" s="2" t="s">
        <v>39</v>
      </c>
      <c r="V518" s="2" t="s">
        <v>4771</v>
      </c>
      <c r="W518" s="2" t="s">
        <v>4982</v>
      </c>
      <c r="X518" s="2" t="s">
        <v>4925</v>
      </c>
      <c r="Y518" s="2" t="s">
        <v>2693</v>
      </c>
      <c r="Z518" s="2" t="s">
        <v>5709</v>
      </c>
      <c r="AA5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5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18" s="6" t="str">
        <f>IF(_xlfn.IFNA(INDEX(configuracoes!$A$2:$A$10,MATCH(base_tc_geral[[#This Row],[TIPO]],configuracoes!$A$2:$A$10,0)),"NÃO")="NÃO","NÃO","SIM")</f>
        <v>NÃO</v>
      </c>
    </row>
    <row r="519" spans="1:31" x14ac:dyDescent="0.25">
      <c r="A519" s="2" t="s">
        <v>3060</v>
      </c>
      <c r="B519" s="2">
        <v>109505049</v>
      </c>
      <c r="C519" s="2" t="s">
        <v>15</v>
      </c>
      <c r="D519" s="2" t="s">
        <v>4493</v>
      </c>
      <c r="E519" s="2" t="s">
        <v>86</v>
      </c>
      <c r="F519" s="2" t="s">
        <v>594</v>
      </c>
      <c r="G519" s="2" t="s">
        <v>99</v>
      </c>
      <c r="H519" s="2" t="s">
        <v>122</v>
      </c>
      <c r="I519" s="2" t="s">
        <v>33</v>
      </c>
      <c r="J519" s="2" t="s">
        <v>124</v>
      </c>
      <c r="K519" s="2" t="s">
        <v>13</v>
      </c>
      <c r="L519" s="2" t="s">
        <v>25</v>
      </c>
      <c r="M519" s="2" t="s">
        <v>22</v>
      </c>
      <c r="N519" s="2" t="s">
        <v>15</v>
      </c>
      <c r="O519" s="2" t="s">
        <v>129</v>
      </c>
      <c r="P519" s="2" t="s">
        <v>3062</v>
      </c>
      <c r="Q519" s="2" t="s">
        <v>4926</v>
      </c>
      <c r="R519" s="2" t="s">
        <v>541</v>
      </c>
      <c r="S519" s="2" t="s">
        <v>125</v>
      </c>
      <c r="T519" s="2" t="s">
        <v>4696</v>
      </c>
      <c r="U519" s="2" t="s">
        <v>12</v>
      </c>
      <c r="V519" s="2" t="s">
        <v>4765</v>
      </c>
      <c r="W519" s="2" t="s">
        <v>4931</v>
      </c>
      <c r="X519" s="2" t="s">
        <v>4925</v>
      </c>
      <c r="Y519" s="2" t="s">
        <v>3061</v>
      </c>
      <c r="Z519" s="2" t="s">
        <v>5710</v>
      </c>
      <c r="AA5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19" s="6" t="str">
        <f>IF(_xlfn.IFNA(INDEX(configuracoes!$A$2:$A$10,MATCH(base_tc_geral[[#This Row],[TIPO]],configuracoes!$A$2:$A$10,0)),"NÃO")="NÃO","NÃO","SIM")</f>
        <v>SIM</v>
      </c>
    </row>
    <row r="520" spans="1:31" x14ac:dyDescent="0.25">
      <c r="A520" s="2" t="s">
        <v>184</v>
      </c>
      <c r="B520" s="2">
        <v>102101634</v>
      </c>
      <c r="C520" s="2" t="s">
        <v>15</v>
      </c>
      <c r="D520" s="2" t="s">
        <v>4481</v>
      </c>
      <c r="E520" s="2" t="s">
        <v>106</v>
      </c>
      <c r="F520" s="2" t="s">
        <v>186</v>
      </c>
      <c r="G520" s="2" t="s">
        <v>136</v>
      </c>
      <c r="H520" s="2" t="s">
        <v>107</v>
      </c>
      <c r="I520" s="2" t="s">
        <v>33</v>
      </c>
      <c r="J520" s="2" t="s">
        <v>109</v>
      </c>
      <c r="K520" s="2" t="s">
        <v>13</v>
      </c>
      <c r="L520" s="2" t="s">
        <v>72</v>
      </c>
      <c r="M520" s="2" t="s">
        <v>73</v>
      </c>
      <c r="N520" s="2" t="s">
        <v>15</v>
      </c>
      <c r="O520" s="2" t="s">
        <v>112</v>
      </c>
      <c r="P520" s="2" t="s">
        <v>188</v>
      </c>
      <c r="Q520" s="2" t="s">
        <v>4926</v>
      </c>
      <c r="R520" s="2" t="s">
        <v>406</v>
      </c>
      <c r="S520" s="2" t="s">
        <v>736</v>
      </c>
      <c r="T520" s="2" t="s">
        <v>167</v>
      </c>
      <c r="U520" s="2" t="s">
        <v>39</v>
      </c>
      <c r="V520" s="2" t="s">
        <v>4772</v>
      </c>
      <c r="W520" s="2" t="s">
        <v>72</v>
      </c>
      <c r="X520" s="2" t="s">
        <v>5011</v>
      </c>
      <c r="Y520" s="2" t="s">
        <v>185</v>
      </c>
      <c r="Z520" s="2" t="s">
        <v>5711</v>
      </c>
      <c r="AA5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5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0" s="6" t="str">
        <f>IF(_xlfn.IFNA(INDEX(configuracoes!$A$2:$A$10,MATCH(base_tc_geral[[#This Row],[TIPO]],configuracoes!$A$2:$A$10,0)),"NÃO")="NÃO","NÃO","SIM")</f>
        <v>NÃO</v>
      </c>
    </row>
    <row r="521" spans="1:31" x14ac:dyDescent="0.25">
      <c r="A521" s="2" t="s">
        <v>1728</v>
      </c>
      <c r="B521" s="2">
        <v>109505049</v>
      </c>
      <c r="C521" s="2" t="s">
        <v>15</v>
      </c>
      <c r="D521" s="2" t="s">
        <v>4487</v>
      </c>
      <c r="E521" s="2" t="s">
        <v>86</v>
      </c>
      <c r="F521" s="2" t="s">
        <v>594</v>
      </c>
      <c r="G521" s="2" t="s">
        <v>99</v>
      </c>
      <c r="H521" s="2" t="s">
        <v>122</v>
      </c>
      <c r="I521" s="2" t="s">
        <v>33</v>
      </c>
      <c r="J521" s="2" t="s">
        <v>124</v>
      </c>
      <c r="K521" s="2" t="s">
        <v>20</v>
      </c>
      <c r="L521" s="2" t="s">
        <v>25</v>
      </c>
      <c r="M521" s="2" t="s">
        <v>22</v>
      </c>
      <c r="N521" s="2" t="s">
        <v>15</v>
      </c>
      <c r="O521" s="2" t="s">
        <v>129</v>
      </c>
      <c r="P521" s="2" t="s">
        <v>1730</v>
      </c>
      <c r="Q521" s="2" t="s">
        <v>4926</v>
      </c>
      <c r="R521" s="2" t="s">
        <v>541</v>
      </c>
      <c r="S521" s="2" t="s">
        <v>125</v>
      </c>
      <c r="T521" s="2" t="s">
        <v>4696</v>
      </c>
      <c r="U521" s="2" t="s">
        <v>12</v>
      </c>
      <c r="V521" s="2" t="s">
        <v>4765</v>
      </c>
      <c r="W521" s="2" t="s">
        <v>4931</v>
      </c>
      <c r="X521" s="2" t="s">
        <v>4925</v>
      </c>
      <c r="Y521" s="2" t="s">
        <v>1729</v>
      </c>
      <c r="Z521" s="2" t="s">
        <v>5712</v>
      </c>
      <c r="AA5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1" s="6" t="str">
        <f>IF(_xlfn.IFNA(INDEX(configuracoes!$A$2:$A$10,MATCH(base_tc_geral[[#This Row],[TIPO]],configuracoes!$A$2:$A$10,0)),"NÃO")="NÃO","NÃO","SIM")</f>
        <v>SIM</v>
      </c>
    </row>
    <row r="522" spans="1:31" x14ac:dyDescent="0.25">
      <c r="A522" s="2" t="s">
        <v>984</v>
      </c>
      <c r="B522" s="2">
        <v>102101393</v>
      </c>
      <c r="C522" s="2" t="s">
        <v>15</v>
      </c>
      <c r="D522" s="2" t="s">
        <v>4489</v>
      </c>
      <c r="E522" s="2" t="s">
        <v>106</v>
      </c>
      <c r="F522" s="2" t="s">
        <v>428</v>
      </c>
      <c r="G522" s="2" t="s">
        <v>172</v>
      </c>
      <c r="H522" s="2" t="s">
        <v>427</v>
      </c>
      <c r="I522" s="2" t="s">
        <v>33</v>
      </c>
      <c r="J522" s="2" t="s">
        <v>109</v>
      </c>
      <c r="K522" s="2" t="s">
        <v>13</v>
      </c>
      <c r="L522" s="2" t="s">
        <v>17</v>
      </c>
      <c r="M522" s="2" t="s">
        <v>23</v>
      </c>
      <c r="N522" s="2" t="s">
        <v>15</v>
      </c>
      <c r="O522" s="2" t="s">
        <v>430</v>
      </c>
      <c r="P522" s="2" t="s">
        <v>986</v>
      </c>
      <c r="Q522" s="2" t="s">
        <v>4926</v>
      </c>
      <c r="R522" s="2" t="s">
        <v>735</v>
      </c>
      <c r="S522" s="2" t="s">
        <v>736</v>
      </c>
      <c r="T522" s="2" t="s">
        <v>167</v>
      </c>
      <c r="U522" s="2" t="s">
        <v>12</v>
      </c>
      <c r="V522" s="2" t="s">
        <v>4886</v>
      </c>
      <c r="W522" s="2" t="s">
        <v>17</v>
      </c>
      <c r="X522" s="2" t="s">
        <v>4998</v>
      </c>
      <c r="Y522" s="2" t="s">
        <v>985</v>
      </c>
      <c r="Z522" s="2" t="s">
        <v>5713</v>
      </c>
      <c r="AA5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2" s="6" t="str">
        <f>IF(_xlfn.IFNA(INDEX(configuracoes!$A$2:$A$10,MATCH(base_tc_geral[[#This Row],[TIPO]],configuracoes!$A$2:$A$10,0)),"NÃO")="NÃO","NÃO","SIM")</f>
        <v>NÃO</v>
      </c>
    </row>
    <row r="523" spans="1:31" x14ac:dyDescent="0.25">
      <c r="A523" s="2" t="s">
        <v>1941</v>
      </c>
      <c r="B523" s="2">
        <v>102101187</v>
      </c>
      <c r="C523" s="2" t="s">
        <v>15</v>
      </c>
      <c r="D523" s="2" t="s">
        <v>4499</v>
      </c>
      <c r="E523" s="2" t="s">
        <v>106</v>
      </c>
      <c r="F523" s="2" t="s">
        <v>131</v>
      </c>
      <c r="G523" s="2" t="s">
        <v>58</v>
      </c>
      <c r="H523" s="2" t="s">
        <v>130</v>
      </c>
      <c r="I523" s="2" t="s">
        <v>33</v>
      </c>
      <c r="J523" s="2" t="s">
        <v>109</v>
      </c>
      <c r="K523" s="2" t="s">
        <v>13</v>
      </c>
      <c r="L523" s="2" t="s">
        <v>61</v>
      </c>
      <c r="M523" s="2" t="s">
        <v>44</v>
      </c>
      <c r="N523" s="2" t="s">
        <v>15</v>
      </c>
      <c r="O523" s="2" t="s">
        <v>132</v>
      </c>
      <c r="P523" s="2" t="s">
        <v>1943</v>
      </c>
      <c r="Q523" s="2" t="s">
        <v>4926</v>
      </c>
      <c r="R523" s="2" t="s">
        <v>527</v>
      </c>
      <c r="S523" s="2" t="s">
        <v>260</v>
      </c>
      <c r="T523" s="2" t="s">
        <v>167</v>
      </c>
      <c r="U523" s="2" t="s">
        <v>12</v>
      </c>
      <c r="V523" s="2" t="s">
        <v>4888</v>
      </c>
      <c r="W523" s="2" t="s">
        <v>4984</v>
      </c>
      <c r="X523" s="2" t="s">
        <v>44</v>
      </c>
      <c r="Y523" s="2" t="s">
        <v>1942</v>
      </c>
      <c r="Z523" s="2" t="s">
        <v>5714</v>
      </c>
      <c r="AA5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ONASSIS </v>
      </c>
      <c r="AB5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5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3" s="6" t="str">
        <f>IF(_xlfn.IFNA(INDEX(configuracoes!$A$2:$A$10,MATCH(base_tc_geral[[#This Row],[TIPO]],configuracoes!$A$2:$A$10,0)),"NÃO")="NÃO","NÃO","SIM")</f>
        <v>NÃO</v>
      </c>
    </row>
    <row r="524" spans="1:31" x14ac:dyDescent="0.25">
      <c r="A524" s="2" t="s">
        <v>3482</v>
      </c>
      <c r="B524" s="2">
        <v>101010666</v>
      </c>
      <c r="C524" s="2" t="s">
        <v>15</v>
      </c>
      <c r="D524" s="2" t="s">
        <v>4516</v>
      </c>
      <c r="E524" s="2" t="s">
        <v>47</v>
      </c>
      <c r="F524" s="2" t="s">
        <v>398</v>
      </c>
      <c r="G524" s="2" t="s">
        <v>58</v>
      </c>
      <c r="H524" s="2" t="s">
        <v>60</v>
      </c>
      <c r="I524" s="2" t="s">
        <v>16</v>
      </c>
      <c r="J524" s="2" t="s">
        <v>60</v>
      </c>
      <c r="K524" s="2" t="s">
        <v>13</v>
      </c>
      <c r="L524" s="2" t="s">
        <v>61</v>
      </c>
      <c r="M524" s="2" t="s">
        <v>103</v>
      </c>
      <c r="N524" s="2" t="s">
        <v>15</v>
      </c>
      <c r="O524" s="2" t="s">
        <v>161</v>
      </c>
      <c r="P524" s="2" t="s">
        <v>3485</v>
      </c>
      <c r="Q524" s="2" t="s">
        <v>4926</v>
      </c>
      <c r="R524" s="2" t="s">
        <v>3483</v>
      </c>
      <c r="S524" s="2" t="s">
        <v>1925</v>
      </c>
      <c r="T524" s="2" t="s">
        <v>110</v>
      </c>
      <c r="U524" s="2" t="s">
        <v>12</v>
      </c>
      <c r="V524" s="2" t="s">
        <v>4801</v>
      </c>
      <c r="W524" s="2" t="s">
        <v>4993</v>
      </c>
      <c r="X524" s="2" t="s">
        <v>5276</v>
      </c>
      <c r="Y524" s="2" t="s">
        <v>3484</v>
      </c>
      <c r="Z524" s="2" t="s">
        <v>5715</v>
      </c>
      <c r="AA5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MARDEM </v>
      </c>
      <c r="AB5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ADOLFO </v>
      </c>
      <c r="AC5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5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4" s="6" t="str">
        <f>IF(_xlfn.IFNA(INDEX(configuracoes!$A$2:$A$10,MATCH(base_tc_geral[[#This Row],[TIPO]],configuracoes!$A$2:$A$10,0)),"NÃO")="NÃO","NÃO","SIM")</f>
        <v>NÃO</v>
      </c>
    </row>
    <row r="525" spans="1:31" x14ac:dyDescent="0.25">
      <c r="A525" s="2" t="s">
        <v>872</v>
      </c>
      <c r="B525" s="2">
        <v>102002917</v>
      </c>
      <c r="C525" s="2" t="s">
        <v>24</v>
      </c>
      <c r="D525" s="2" t="s">
        <v>4768</v>
      </c>
      <c r="E525" s="2" t="s">
        <v>106</v>
      </c>
      <c r="F525" s="2" t="s">
        <v>863</v>
      </c>
      <c r="G525" s="2" t="s">
        <v>245</v>
      </c>
      <c r="H525" s="2" t="s">
        <v>427</v>
      </c>
      <c r="I525" s="2" t="s">
        <v>33</v>
      </c>
      <c r="J525" s="2" t="s">
        <v>109</v>
      </c>
      <c r="K525" s="2" t="s">
        <v>20</v>
      </c>
      <c r="L525" s="2" t="s">
        <v>21</v>
      </c>
      <c r="M525" s="2" t="s">
        <v>22</v>
      </c>
      <c r="N525" s="2" t="s">
        <v>24</v>
      </c>
      <c r="O525" s="2" t="s">
        <v>430</v>
      </c>
      <c r="P525" s="2" t="s">
        <v>874</v>
      </c>
      <c r="Q525" s="2" t="s">
        <v>4926</v>
      </c>
      <c r="R525" s="2" t="s">
        <v>5069</v>
      </c>
      <c r="S525" s="2" t="s">
        <v>736</v>
      </c>
      <c r="T525" s="2" t="s">
        <v>167</v>
      </c>
      <c r="U525" s="2" t="s">
        <v>39</v>
      </c>
      <c r="V525" s="2" t="s">
        <v>4773</v>
      </c>
      <c r="W525" s="2" t="s">
        <v>4982</v>
      </c>
      <c r="X525" s="2" t="s">
        <v>4925</v>
      </c>
      <c r="Y525" s="2" t="s">
        <v>873</v>
      </c>
      <c r="Z525" s="2" t="s">
        <v>5716</v>
      </c>
      <c r="AA5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5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25" s="6" t="str">
        <f>IF(_xlfn.IFNA(INDEX(configuracoes!$A$2:$A$10,MATCH(base_tc_geral[[#This Row],[TIPO]],configuracoes!$A$2:$A$10,0)),"NÃO")="NÃO","NÃO","SIM")</f>
        <v>SIM</v>
      </c>
    </row>
    <row r="526" spans="1:31" x14ac:dyDescent="0.25">
      <c r="A526" s="2" t="s">
        <v>2384</v>
      </c>
      <c r="B526" s="2">
        <v>102101393</v>
      </c>
      <c r="C526" s="2" t="s">
        <v>15</v>
      </c>
      <c r="D526" s="2" t="s">
        <v>4481</v>
      </c>
      <c r="E526" s="2" t="s">
        <v>106</v>
      </c>
      <c r="F526" s="2" t="s">
        <v>329</v>
      </c>
      <c r="G526" s="2" t="s">
        <v>58</v>
      </c>
      <c r="H526" s="2" t="s">
        <v>107</v>
      </c>
      <c r="I526" s="2" t="s">
        <v>33</v>
      </c>
      <c r="J526" s="2" t="s">
        <v>109</v>
      </c>
      <c r="K526" s="2" t="s">
        <v>92</v>
      </c>
      <c r="L526" s="2" t="s">
        <v>61</v>
      </c>
      <c r="M526" s="2" t="s">
        <v>74</v>
      </c>
      <c r="N526" s="2" t="s">
        <v>15</v>
      </c>
      <c r="O526" s="2" t="s">
        <v>112</v>
      </c>
      <c r="P526" s="2" t="s">
        <v>2386</v>
      </c>
      <c r="Q526" s="2" t="s">
        <v>4926</v>
      </c>
      <c r="R526" s="2" t="s">
        <v>735</v>
      </c>
      <c r="S526" s="2" t="s">
        <v>736</v>
      </c>
      <c r="T526" s="2" t="s">
        <v>167</v>
      </c>
      <c r="U526" s="2" t="s">
        <v>12</v>
      </c>
      <c r="V526" s="2" t="s">
        <v>4818</v>
      </c>
      <c r="W526" s="2" t="s">
        <v>5013</v>
      </c>
      <c r="X526" s="2" t="s">
        <v>74</v>
      </c>
      <c r="Y526" s="2" t="s">
        <v>2385</v>
      </c>
      <c r="Z526" s="2" t="s">
        <v>5717</v>
      </c>
      <c r="AA5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6" s="6" t="str">
        <f>IF(_xlfn.IFNA(INDEX(configuracoes!$A$2:$A$10,MATCH(base_tc_geral[[#This Row],[TIPO]],configuracoes!$A$2:$A$10,0)),"NÃO")="NÃO","NÃO","SIM")</f>
        <v>NÃO</v>
      </c>
    </row>
    <row r="527" spans="1:31" x14ac:dyDescent="0.25">
      <c r="A527" s="2" t="s">
        <v>3283</v>
      </c>
      <c r="B527" s="2">
        <v>101008003</v>
      </c>
      <c r="C527" s="2" t="s">
        <v>15</v>
      </c>
      <c r="D527" s="2" t="s">
        <v>4488</v>
      </c>
      <c r="E527" s="2" t="s">
        <v>47</v>
      </c>
      <c r="F527" s="2" t="s">
        <v>159</v>
      </c>
      <c r="G527" s="2" t="s">
        <v>99</v>
      </c>
      <c r="H527" s="2" t="s">
        <v>60</v>
      </c>
      <c r="I527" s="2" t="s">
        <v>16</v>
      </c>
      <c r="J527" s="2" t="s">
        <v>60</v>
      </c>
      <c r="K527" s="2" t="s">
        <v>13</v>
      </c>
      <c r="L527" s="2" t="s">
        <v>25</v>
      </c>
      <c r="M527" s="2" t="s">
        <v>22</v>
      </c>
      <c r="N527" s="2" t="s">
        <v>15</v>
      </c>
      <c r="O527" s="2" t="s">
        <v>161</v>
      </c>
      <c r="P527" s="2" t="s">
        <v>3285</v>
      </c>
      <c r="Q527" s="2" t="s">
        <v>4926</v>
      </c>
      <c r="R527" s="2" t="s">
        <v>100</v>
      </c>
      <c r="S527" s="2" t="s">
        <v>101</v>
      </c>
      <c r="T527" s="2" t="s">
        <v>4697</v>
      </c>
      <c r="U527" s="2" t="s">
        <v>12</v>
      </c>
      <c r="V527" s="2" t="s">
        <v>4806</v>
      </c>
      <c r="W527" s="2" t="s">
        <v>4931</v>
      </c>
      <c r="X527" s="2" t="s">
        <v>4925</v>
      </c>
      <c r="Y527" s="2" t="s">
        <v>3284</v>
      </c>
      <c r="Z527" s="2" t="s">
        <v>5718</v>
      </c>
      <c r="AA5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5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5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5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7" s="6" t="str">
        <f>IF(_xlfn.IFNA(INDEX(configuracoes!$A$2:$A$10,MATCH(base_tc_geral[[#This Row],[TIPO]],configuracoes!$A$2:$A$10,0)),"NÃO")="NÃO","NÃO","SIM")</f>
        <v>SIM</v>
      </c>
    </row>
    <row r="528" spans="1:31" x14ac:dyDescent="0.25">
      <c r="A528" s="2" t="s">
        <v>1994</v>
      </c>
      <c r="B528" s="2">
        <v>109504534</v>
      </c>
      <c r="C528" s="2" t="s">
        <v>15</v>
      </c>
      <c r="D528" s="2" t="s">
        <v>4527</v>
      </c>
      <c r="E528" s="2" t="s">
        <v>86</v>
      </c>
      <c r="F528" s="2" t="s">
        <v>284</v>
      </c>
      <c r="G528" s="2" t="s">
        <v>58</v>
      </c>
      <c r="H528" s="2" t="s">
        <v>283</v>
      </c>
      <c r="I528" s="2" t="s">
        <v>33</v>
      </c>
      <c r="J528" s="2" t="s">
        <v>124</v>
      </c>
      <c r="K528" s="2" t="s">
        <v>13</v>
      </c>
      <c r="L528" s="2" t="s">
        <v>61</v>
      </c>
      <c r="M528" s="2" t="s">
        <v>44</v>
      </c>
      <c r="N528" s="2" t="s">
        <v>15</v>
      </c>
      <c r="O528" s="2" t="s">
        <v>287</v>
      </c>
      <c r="P528" s="2" t="s">
        <v>1996</v>
      </c>
      <c r="Q528" s="2" t="s">
        <v>4926</v>
      </c>
      <c r="R528" s="2" t="s">
        <v>1957</v>
      </c>
      <c r="S528" s="2" t="s">
        <v>4699</v>
      </c>
      <c r="T528" s="2" t="s">
        <v>4696</v>
      </c>
      <c r="U528" s="2" t="s">
        <v>12</v>
      </c>
      <c r="V528" s="2" t="s">
        <v>4797</v>
      </c>
      <c r="W528" s="2" t="s">
        <v>4984</v>
      </c>
      <c r="X528" s="2" t="s">
        <v>44</v>
      </c>
      <c r="Y528" s="2" t="s">
        <v>1995</v>
      </c>
      <c r="Z528" s="2" t="s">
        <v>5719</v>
      </c>
      <c r="AA5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EDSON CARLOS </v>
      </c>
      <c r="AB5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5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8" s="6" t="str">
        <f>IF(_xlfn.IFNA(INDEX(configuracoes!$A$2:$A$10,MATCH(base_tc_geral[[#This Row],[TIPO]],configuracoes!$A$2:$A$10,0)),"NÃO")="NÃO","NÃO","SIM")</f>
        <v>NÃO</v>
      </c>
    </row>
    <row r="529" spans="1:31" x14ac:dyDescent="0.25">
      <c r="A529" s="2" t="s">
        <v>2093</v>
      </c>
      <c r="B529" s="2">
        <v>102101642</v>
      </c>
      <c r="C529" s="2" t="s">
        <v>15</v>
      </c>
      <c r="D529" s="2" t="s">
        <v>4514</v>
      </c>
      <c r="E529" s="2" t="s">
        <v>106</v>
      </c>
      <c r="F529" s="2" t="s">
        <v>329</v>
      </c>
      <c r="G529" s="2" t="s">
        <v>245</v>
      </c>
      <c r="H529" s="2" t="s">
        <v>107</v>
      </c>
      <c r="I529" s="2" t="s">
        <v>33</v>
      </c>
      <c r="J529" s="2" t="s">
        <v>109</v>
      </c>
      <c r="K529" s="2" t="s">
        <v>20</v>
      </c>
      <c r="L529" s="2" t="s">
        <v>21</v>
      </c>
      <c r="M529" s="2" t="s">
        <v>22</v>
      </c>
      <c r="N529" s="2" t="s">
        <v>15</v>
      </c>
      <c r="O529" s="2" t="s">
        <v>112</v>
      </c>
      <c r="P529" s="2" t="s">
        <v>2095</v>
      </c>
      <c r="Q529" s="2" t="s">
        <v>4926</v>
      </c>
      <c r="R529" s="2" t="s">
        <v>187</v>
      </c>
      <c r="S529" s="2" t="s">
        <v>736</v>
      </c>
      <c r="T529" s="2" t="s">
        <v>167</v>
      </c>
      <c r="U529" s="2" t="s">
        <v>12</v>
      </c>
      <c r="V529" s="2" t="s">
        <v>4772</v>
      </c>
      <c r="W529" s="2" t="s">
        <v>4982</v>
      </c>
      <c r="X529" s="2" t="s">
        <v>4925</v>
      </c>
      <c r="Y529" s="2" t="s">
        <v>2094</v>
      </c>
      <c r="Z529" s="2" t="s">
        <v>5720</v>
      </c>
      <c r="AA5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5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29" s="6" t="str">
        <f>IF(_xlfn.IFNA(INDEX(configuracoes!$A$2:$A$10,MATCH(base_tc_geral[[#This Row],[TIPO]],configuracoes!$A$2:$A$10,0)),"NÃO")="NÃO","NÃO","SIM")</f>
        <v>SIM</v>
      </c>
    </row>
    <row r="530" spans="1:31" x14ac:dyDescent="0.25">
      <c r="A530" s="2" t="s">
        <v>1843</v>
      </c>
      <c r="B530" s="2">
        <v>109505049</v>
      </c>
      <c r="C530" s="2" t="s">
        <v>15</v>
      </c>
      <c r="D530" s="2" t="s">
        <v>4493</v>
      </c>
      <c r="E530" s="2" t="s">
        <v>86</v>
      </c>
      <c r="F530" s="2" t="s">
        <v>594</v>
      </c>
      <c r="G530" s="2" t="s">
        <v>99</v>
      </c>
      <c r="H530" s="2" t="s">
        <v>122</v>
      </c>
      <c r="I530" s="2" t="s">
        <v>33</v>
      </c>
      <c r="J530" s="2" t="s">
        <v>124</v>
      </c>
      <c r="K530" s="2" t="s">
        <v>13</v>
      </c>
      <c r="L530" s="2" t="s">
        <v>25</v>
      </c>
      <c r="M530" s="2" t="s">
        <v>22</v>
      </c>
      <c r="N530" s="2" t="s">
        <v>15</v>
      </c>
      <c r="O530" s="2" t="s">
        <v>129</v>
      </c>
      <c r="P530" s="2" t="s">
        <v>1845</v>
      </c>
      <c r="Q530" s="2" t="s">
        <v>4926</v>
      </c>
      <c r="R530" s="2" t="s">
        <v>541</v>
      </c>
      <c r="S530" s="2" t="s">
        <v>125</v>
      </c>
      <c r="T530" s="2" t="s">
        <v>4696</v>
      </c>
      <c r="U530" s="2" t="s">
        <v>12</v>
      </c>
      <c r="V530" s="2" t="s">
        <v>4765</v>
      </c>
      <c r="W530" s="2" t="s">
        <v>4931</v>
      </c>
      <c r="X530" s="2" t="s">
        <v>4925</v>
      </c>
      <c r="Y530" s="2" t="s">
        <v>1844</v>
      </c>
      <c r="Z530" s="2" t="s">
        <v>5721</v>
      </c>
      <c r="AA5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0" s="6" t="str">
        <f>IF(_xlfn.IFNA(INDEX(configuracoes!$A$2:$A$10,MATCH(base_tc_geral[[#This Row],[TIPO]],configuracoes!$A$2:$A$10,0)),"NÃO")="NÃO","NÃO","SIM")</f>
        <v>SIM</v>
      </c>
    </row>
    <row r="531" spans="1:31" x14ac:dyDescent="0.25">
      <c r="A531" s="2" t="s">
        <v>3048</v>
      </c>
      <c r="B531" s="2">
        <v>109505049</v>
      </c>
      <c r="C531" s="2" t="s">
        <v>15</v>
      </c>
      <c r="D531" s="2" t="s">
        <v>4616</v>
      </c>
      <c r="E531" s="2" t="s">
        <v>86</v>
      </c>
      <c r="F531" s="2" t="s">
        <v>594</v>
      </c>
      <c r="G531" s="2" t="s">
        <v>99</v>
      </c>
      <c r="H531" s="2" t="s">
        <v>122</v>
      </c>
      <c r="I531" s="2" t="s">
        <v>33</v>
      </c>
      <c r="J531" s="2" t="s">
        <v>124</v>
      </c>
      <c r="K531" s="2" t="s">
        <v>20</v>
      </c>
      <c r="L531" s="2" t="s">
        <v>25</v>
      </c>
      <c r="M531" s="2" t="s">
        <v>22</v>
      </c>
      <c r="N531" s="2" t="s">
        <v>15</v>
      </c>
      <c r="O531" s="2" t="s">
        <v>129</v>
      </c>
      <c r="P531" s="2" t="s">
        <v>3050</v>
      </c>
      <c r="Q531" s="2" t="s">
        <v>4926</v>
      </c>
      <c r="R531" s="2" t="s">
        <v>541</v>
      </c>
      <c r="S531" s="2" t="s">
        <v>125</v>
      </c>
      <c r="T531" s="2" t="s">
        <v>4696</v>
      </c>
      <c r="U531" s="2" t="s">
        <v>12</v>
      </c>
      <c r="V531" s="2" t="s">
        <v>4765</v>
      </c>
      <c r="W531" s="2" t="s">
        <v>4931</v>
      </c>
      <c r="X531" s="2" t="s">
        <v>4925</v>
      </c>
      <c r="Y531" s="2" t="s">
        <v>3049</v>
      </c>
      <c r="Z531" s="2" t="s">
        <v>5722</v>
      </c>
      <c r="AA5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1" s="6" t="str">
        <f>IF(_xlfn.IFNA(INDEX(configuracoes!$A$2:$A$10,MATCH(base_tc_geral[[#This Row],[TIPO]],configuracoes!$A$2:$A$10,0)),"NÃO")="NÃO","NÃO","SIM")</f>
        <v>SIM</v>
      </c>
    </row>
    <row r="532" spans="1:31" x14ac:dyDescent="0.25">
      <c r="A532" s="2" t="s">
        <v>549</v>
      </c>
      <c r="B532" s="2">
        <v>109500177</v>
      </c>
      <c r="C532" s="2" t="s">
        <v>15</v>
      </c>
      <c r="D532" s="2" t="s">
        <v>4499</v>
      </c>
      <c r="E532" s="2" t="s">
        <v>86</v>
      </c>
      <c r="F532" s="2" t="s">
        <v>445</v>
      </c>
      <c r="G532" s="2" t="s">
        <v>58</v>
      </c>
      <c r="H532" s="2" t="s">
        <v>122</v>
      </c>
      <c r="I532" s="2" t="s">
        <v>33</v>
      </c>
      <c r="J532" s="2" t="s">
        <v>124</v>
      </c>
      <c r="K532" s="2" t="s">
        <v>13</v>
      </c>
      <c r="L532" s="2" t="s">
        <v>61</v>
      </c>
      <c r="M532" s="2" t="s">
        <v>22</v>
      </c>
      <c r="N532" s="2" t="s">
        <v>15</v>
      </c>
      <c r="O532" s="2" t="s">
        <v>129</v>
      </c>
      <c r="P532" s="2" t="s">
        <v>552</v>
      </c>
      <c r="Q532" s="2" t="s">
        <v>4926</v>
      </c>
      <c r="R532" s="2" t="s">
        <v>447</v>
      </c>
      <c r="S532" s="2" t="s">
        <v>125</v>
      </c>
      <c r="T532" s="2" t="s">
        <v>4696</v>
      </c>
      <c r="U532" s="2" t="s">
        <v>12</v>
      </c>
      <c r="V532" s="2" t="s">
        <v>4799</v>
      </c>
      <c r="W532" s="2" t="s">
        <v>5024</v>
      </c>
      <c r="X532" s="2" t="s">
        <v>4925</v>
      </c>
      <c r="Y532" s="2" t="s">
        <v>550</v>
      </c>
      <c r="Z532" s="2" t="s">
        <v>5723</v>
      </c>
      <c r="AA5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5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2" s="6" t="str">
        <f>IF(_xlfn.IFNA(INDEX(configuracoes!$A$2:$A$10,MATCH(base_tc_geral[[#This Row],[TIPO]],configuracoes!$A$2:$A$10,0)),"NÃO")="NÃO","NÃO","SIM")</f>
        <v>NÃO</v>
      </c>
    </row>
    <row r="533" spans="1:31" x14ac:dyDescent="0.25">
      <c r="A533" s="2" t="s">
        <v>4367</v>
      </c>
      <c r="B533" s="2">
        <v>102101634</v>
      </c>
      <c r="C533" s="2" t="s">
        <v>15</v>
      </c>
      <c r="D533" s="2" t="s">
        <v>4665</v>
      </c>
      <c r="E533" s="2" t="s">
        <v>106</v>
      </c>
      <c r="F533" s="2" t="s">
        <v>186</v>
      </c>
      <c r="G533" s="2" t="s">
        <v>245</v>
      </c>
      <c r="H533" s="2" t="s">
        <v>107</v>
      </c>
      <c r="I533" s="2" t="s">
        <v>33</v>
      </c>
      <c r="J533" s="2" t="s">
        <v>109</v>
      </c>
      <c r="K533" s="2" t="s">
        <v>20</v>
      </c>
      <c r="L533" s="2" t="s">
        <v>21</v>
      </c>
      <c r="M533" s="2" t="s">
        <v>22</v>
      </c>
      <c r="N533" s="2" t="s">
        <v>15</v>
      </c>
      <c r="O533" s="2" t="s">
        <v>112</v>
      </c>
      <c r="P533" s="2" t="s">
        <v>4369</v>
      </c>
      <c r="Q533" s="2" t="s">
        <v>4926</v>
      </c>
      <c r="R533" s="2" t="s">
        <v>406</v>
      </c>
      <c r="S533" s="2" t="s">
        <v>736</v>
      </c>
      <c r="T533" s="2" t="s">
        <v>167</v>
      </c>
      <c r="U533" s="2" t="s">
        <v>12</v>
      </c>
      <c r="V533" s="2" t="s">
        <v>4853</v>
      </c>
      <c r="W533" s="2" t="s">
        <v>4982</v>
      </c>
      <c r="X533" s="2" t="s">
        <v>4925</v>
      </c>
      <c r="Y533" s="2" t="s">
        <v>4368</v>
      </c>
      <c r="Z533" s="2" t="s">
        <v>5724</v>
      </c>
      <c r="AA5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5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3" s="6" t="str">
        <f>IF(_xlfn.IFNA(INDEX(configuracoes!$A$2:$A$10,MATCH(base_tc_geral[[#This Row],[TIPO]],configuracoes!$A$2:$A$10,0)),"NÃO")="NÃO","NÃO","SIM")</f>
        <v>SIM</v>
      </c>
    </row>
    <row r="534" spans="1:31" x14ac:dyDescent="0.25">
      <c r="A534" s="2" t="s">
        <v>1677</v>
      </c>
      <c r="B534" s="2">
        <v>105000985</v>
      </c>
      <c r="C534" s="2" t="s">
        <v>24</v>
      </c>
      <c r="D534" s="2" t="s">
        <v>4482</v>
      </c>
      <c r="E534" s="2" t="s">
        <v>28</v>
      </c>
      <c r="F534" s="2" t="s">
        <v>30</v>
      </c>
      <c r="G534" s="2" t="s">
        <v>41</v>
      </c>
      <c r="H534" s="2" t="s">
        <v>29</v>
      </c>
      <c r="I534" s="2" t="s">
        <v>33</v>
      </c>
      <c r="J534" s="2" t="s">
        <v>34</v>
      </c>
      <c r="K534" s="2" t="s">
        <v>13</v>
      </c>
      <c r="L534" s="2" t="s">
        <v>42</v>
      </c>
      <c r="M534" s="2" t="s">
        <v>75</v>
      </c>
      <c r="N534" s="2" t="s">
        <v>24</v>
      </c>
      <c r="O534" s="2" t="s">
        <v>36</v>
      </c>
      <c r="P534" s="2" t="s">
        <v>1679</v>
      </c>
      <c r="Q534" s="2" t="s">
        <v>4926</v>
      </c>
      <c r="R534" s="2" t="s">
        <v>32</v>
      </c>
      <c r="S534" s="2" t="s">
        <v>167</v>
      </c>
      <c r="T534" s="2" t="s">
        <v>167</v>
      </c>
      <c r="U534" s="2" t="s">
        <v>39</v>
      </c>
      <c r="V534" s="2" t="s">
        <v>4851</v>
      </c>
      <c r="W534" s="2" t="s">
        <v>42</v>
      </c>
      <c r="X534" s="2" t="s">
        <v>75</v>
      </c>
      <c r="Y534" s="2" t="s">
        <v>1678</v>
      </c>
      <c r="Z534" s="2" t="s">
        <v>5725</v>
      </c>
      <c r="AA5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5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34" s="6" t="str">
        <f>IF(_xlfn.IFNA(INDEX(configuracoes!$A$2:$A$10,MATCH(base_tc_geral[[#This Row],[TIPO]],configuracoes!$A$2:$A$10,0)),"NÃO")="NÃO","NÃO","SIM")</f>
        <v>SIM</v>
      </c>
    </row>
    <row r="535" spans="1:31" x14ac:dyDescent="0.25">
      <c r="A535" s="2" t="s">
        <v>2770</v>
      </c>
      <c r="B535" s="2">
        <v>321454</v>
      </c>
      <c r="C535" s="2" t="s">
        <v>24</v>
      </c>
      <c r="D535" s="2" t="s">
        <v>4768</v>
      </c>
      <c r="E535" s="2" t="s">
        <v>106</v>
      </c>
      <c r="F535" s="2" t="s">
        <v>131</v>
      </c>
      <c r="G535" s="2" t="s">
        <v>149</v>
      </c>
      <c r="H535" s="2" t="s">
        <v>130</v>
      </c>
      <c r="I535" s="2" t="s">
        <v>33</v>
      </c>
      <c r="J535" s="2" t="s">
        <v>109</v>
      </c>
      <c r="K535" s="2" t="s">
        <v>20</v>
      </c>
      <c r="L535" s="2" t="s">
        <v>61</v>
      </c>
      <c r="M535" s="2" t="s">
        <v>133</v>
      </c>
      <c r="N535" s="2" t="s">
        <v>24</v>
      </c>
      <c r="O535" s="2" t="s">
        <v>132</v>
      </c>
      <c r="P535" s="2" t="s">
        <v>2773</v>
      </c>
      <c r="Q535" s="2" t="s">
        <v>4926</v>
      </c>
      <c r="R535" s="2" t="s">
        <v>2771</v>
      </c>
      <c r="S535" s="2" t="s">
        <v>2771</v>
      </c>
      <c r="T535" s="2" t="s">
        <v>2771</v>
      </c>
      <c r="U535" s="2" t="s">
        <v>39</v>
      </c>
      <c r="V535" s="2" t="s">
        <v>4853</v>
      </c>
      <c r="W535" s="2" t="s">
        <v>5597</v>
      </c>
      <c r="X535" s="2" t="s">
        <v>5599</v>
      </c>
      <c r="Y535" s="2" t="s">
        <v>2772</v>
      </c>
      <c r="Z535" s="2" t="s">
        <v>5726</v>
      </c>
      <c r="AA5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ALBUQUERQUE </v>
      </c>
      <c r="AB5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RODRIGO ALBUQUERQUE </v>
      </c>
      <c r="AC5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RODRIGO ALBUQUERQUE </v>
      </c>
      <c r="AD5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35" s="6" t="str">
        <f>IF(_xlfn.IFNA(INDEX(configuracoes!$A$2:$A$10,MATCH(base_tc_geral[[#This Row],[TIPO]],configuracoes!$A$2:$A$10,0)),"NÃO")="NÃO","NÃO","SIM")</f>
        <v>NÃO</v>
      </c>
    </row>
    <row r="536" spans="1:31" x14ac:dyDescent="0.25">
      <c r="A536" s="2" t="s">
        <v>4122</v>
      </c>
      <c r="B536" s="2">
        <v>321454</v>
      </c>
      <c r="C536" s="2" t="s">
        <v>15</v>
      </c>
      <c r="D536" s="2" t="s">
        <v>4487</v>
      </c>
      <c r="E536" s="2" t="s">
        <v>28</v>
      </c>
      <c r="F536" s="2" t="s">
        <v>290</v>
      </c>
      <c r="G536" s="2" t="s">
        <v>149</v>
      </c>
      <c r="H536" s="2" t="s">
        <v>34</v>
      </c>
      <c r="I536" s="2" t="s">
        <v>33</v>
      </c>
      <c r="J536" s="2" t="s">
        <v>34</v>
      </c>
      <c r="K536" s="2" t="s">
        <v>20</v>
      </c>
      <c r="L536" s="2" t="s">
        <v>61</v>
      </c>
      <c r="M536" s="2" t="s">
        <v>133</v>
      </c>
      <c r="N536" s="2" t="s">
        <v>15</v>
      </c>
      <c r="O536" s="2" t="s">
        <v>156</v>
      </c>
      <c r="P536" s="2" t="s">
        <v>4124</v>
      </c>
      <c r="Q536" s="2" t="s">
        <v>4926</v>
      </c>
      <c r="R536" s="2" t="s">
        <v>2771</v>
      </c>
      <c r="S536" s="2" t="s">
        <v>2771</v>
      </c>
      <c r="T536" s="2" t="s">
        <v>2771</v>
      </c>
      <c r="U536" s="2" t="s">
        <v>39</v>
      </c>
      <c r="V536" s="2" t="s">
        <v>4908</v>
      </c>
      <c r="W536" s="2" t="s">
        <v>4982</v>
      </c>
      <c r="X536" s="2" t="s">
        <v>5599</v>
      </c>
      <c r="Y536" s="2" t="s">
        <v>4123</v>
      </c>
      <c r="Z536" s="2" t="s">
        <v>5727</v>
      </c>
      <c r="AA5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ALBUQUERQUE </v>
      </c>
      <c r="AB5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RODRIGO ALBUQUERQUE </v>
      </c>
      <c r="AC5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RODRIGO ALBUQUERQUE </v>
      </c>
      <c r="AD5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6" s="6" t="str">
        <f>IF(_xlfn.IFNA(INDEX(configuracoes!$A$2:$A$10,MATCH(base_tc_geral[[#This Row],[TIPO]],configuracoes!$A$2:$A$10,0)),"NÃO")="NÃO","NÃO","SIM")</f>
        <v>NÃO</v>
      </c>
    </row>
    <row r="537" spans="1:31" x14ac:dyDescent="0.25">
      <c r="A537" s="2" t="s">
        <v>1508</v>
      </c>
      <c r="B537" s="2">
        <v>109505858</v>
      </c>
      <c r="C537" s="2" t="s">
        <v>15</v>
      </c>
      <c r="D537" s="2" t="s">
        <v>4483</v>
      </c>
      <c r="E537" s="2" t="s">
        <v>86</v>
      </c>
      <c r="F537" s="2" t="s">
        <v>559</v>
      </c>
      <c r="G537" s="2" t="s">
        <v>136</v>
      </c>
      <c r="H537" s="2" t="s">
        <v>558</v>
      </c>
      <c r="I537" s="2" t="s">
        <v>33</v>
      </c>
      <c r="J537" s="2" t="s">
        <v>91</v>
      </c>
      <c r="K537" s="2" t="s">
        <v>13</v>
      </c>
      <c r="L537" s="2" t="s">
        <v>72</v>
      </c>
      <c r="M537" s="2" t="s">
        <v>73</v>
      </c>
      <c r="N537" s="2" t="s">
        <v>15</v>
      </c>
      <c r="O537" s="2" t="s">
        <v>561</v>
      </c>
      <c r="P537" s="2" t="s">
        <v>1510</v>
      </c>
      <c r="Q537" s="2" t="s">
        <v>4926</v>
      </c>
      <c r="R537" s="2" t="s">
        <v>1466</v>
      </c>
      <c r="S537" s="2" t="s">
        <v>93</v>
      </c>
      <c r="T537" s="2" t="s">
        <v>4696</v>
      </c>
      <c r="U537" s="2" t="s">
        <v>12</v>
      </c>
      <c r="V537" s="2" t="s">
        <v>4802</v>
      </c>
      <c r="W537" s="2" t="s">
        <v>72</v>
      </c>
      <c r="X537" s="2" t="s">
        <v>5011</v>
      </c>
      <c r="Y537" s="2" t="s">
        <v>1509</v>
      </c>
      <c r="Z537" s="2" t="s">
        <v>5728</v>
      </c>
      <c r="AA5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5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7" s="6" t="str">
        <f>IF(_xlfn.IFNA(INDEX(configuracoes!$A$2:$A$10,MATCH(base_tc_geral[[#This Row],[TIPO]],configuracoes!$A$2:$A$10,0)),"NÃO")="NÃO","NÃO","SIM")</f>
        <v>NÃO</v>
      </c>
    </row>
    <row r="538" spans="1:31" x14ac:dyDescent="0.25">
      <c r="A538" s="2" t="s">
        <v>2418</v>
      </c>
      <c r="B538" s="2">
        <v>102101393</v>
      </c>
      <c r="C538" s="2" t="s">
        <v>15</v>
      </c>
      <c r="D538" s="2" t="s">
        <v>4481</v>
      </c>
      <c r="E538" s="2" t="s">
        <v>106</v>
      </c>
      <c r="F538" s="2" t="s">
        <v>329</v>
      </c>
      <c r="G538" s="2" t="s">
        <v>172</v>
      </c>
      <c r="H538" s="2" t="s">
        <v>107</v>
      </c>
      <c r="I538" s="2" t="s">
        <v>33</v>
      </c>
      <c r="J538" s="2" t="s">
        <v>109</v>
      </c>
      <c r="K538" s="2" t="s">
        <v>92</v>
      </c>
      <c r="L538" s="2" t="s">
        <v>17</v>
      </c>
      <c r="M538" s="2" t="s">
        <v>23</v>
      </c>
      <c r="N538" s="2" t="s">
        <v>15</v>
      </c>
      <c r="O538" s="2" t="s">
        <v>112</v>
      </c>
      <c r="P538" s="2" t="s">
        <v>2420</v>
      </c>
      <c r="Q538" s="2" t="s">
        <v>4926</v>
      </c>
      <c r="R538" s="2" t="s">
        <v>735</v>
      </c>
      <c r="S538" s="2" t="s">
        <v>736</v>
      </c>
      <c r="T538" s="2" t="s">
        <v>167</v>
      </c>
      <c r="U538" s="2" t="s">
        <v>12</v>
      </c>
      <c r="V538" s="2" t="s">
        <v>4803</v>
      </c>
      <c r="W538" s="2" t="s">
        <v>17</v>
      </c>
      <c r="X538" s="2" t="s">
        <v>4998</v>
      </c>
      <c r="Y538" s="2" t="s">
        <v>2419</v>
      </c>
      <c r="Z538" s="2" t="s">
        <v>5729</v>
      </c>
      <c r="AA5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8" s="6" t="str">
        <f>IF(_xlfn.IFNA(INDEX(configuracoes!$A$2:$A$10,MATCH(base_tc_geral[[#This Row],[TIPO]],configuracoes!$A$2:$A$10,0)),"NÃO")="NÃO","NÃO","SIM")</f>
        <v>NÃO</v>
      </c>
    </row>
    <row r="539" spans="1:31" x14ac:dyDescent="0.25">
      <c r="A539" s="2" t="s">
        <v>2496</v>
      </c>
      <c r="B539" s="2">
        <v>105000985</v>
      </c>
      <c r="C539" s="2" t="s">
        <v>15</v>
      </c>
      <c r="D539" s="2" t="s">
        <v>4509</v>
      </c>
      <c r="E539" s="2" t="s">
        <v>28</v>
      </c>
      <c r="F539" s="2" t="s">
        <v>30</v>
      </c>
      <c r="G539" s="2" t="s">
        <v>58</v>
      </c>
      <c r="H539" s="2" t="s">
        <v>29</v>
      </c>
      <c r="I539" s="2" t="s">
        <v>33</v>
      </c>
      <c r="J539" s="2" t="s">
        <v>34</v>
      </c>
      <c r="K539" s="2" t="s">
        <v>13</v>
      </c>
      <c r="L539" s="2" t="s">
        <v>61</v>
      </c>
      <c r="M539" s="2" t="s">
        <v>44</v>
      </c>
      <c r="N539" s="2" t="s">
        <v>15</v>
      </c>
      <c r="O539" s="2" t="s">
        <v>36</v>
      </c>
      <c r="P539" s="2" t="s">
        <v>2498</v>
      </c>
      <c r="Q539" s="2" t="s">
        <v>4926</v>
      </c>
      <c r="R539" s="2" t="s">
        <v>32</v>
      </c>
      <c r="S539" s="2" t="s">
        <v>167</v>
      </c>
      <c r="T539" s="2" t="s">
        <v>167</v>
      </c>
      <c r="U539" s="2" t="s">
        <v>12</v>
      </c>
      <c r="V539" s="2" t="s">
        <v>4851</v>
      </c>
      <c r="W539" s="2" t="s">
        <v>4999</v>
      </c>
      <c r="X539" s="2" t="s">
        <v>44</v>
      </c>
      <c r="Y539" s="2" t="s">
        <v>2497</v>
      </c>
      <c r="Z539" s="2" t="s">
        <v>5730</v>
      </c>
      <c r="AA5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5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39" s="6" t="str">
        <f>IF(_xlfn.IFNA(INDEX(configuracoes!$A$2:$A$10,MATCH(base_tc_geral[[#This Row],[TIPO]],configuracoes!$A$2:$A$10,0)),"NÃO")="NÃO","NÃO","SIM")</f>
        <v>NÃO</v>
      </c>
    </row>
    <row r="540" spans="1:31" x14ac:dyDescent="0.25">
      <c r="A540" s="2" t="s">
        <v>1623</v>
      </c>
      <c r="B540" s="2">
        <v>109500177</v>
      </c>
      <c r="C540" s="2" t="s">
        <v>15</v>
      </c>
      <c r="D540" s="2" t="s">
        <v>4484</v>
      </c>
      <c r="E540" s="2" t="s">
        <v>86</v>
      </c>
      <c r="F540" s="2" t="s">
        <v>590</v>
      </c>
      <c r="G540" s="2" t="s">
        <v>89</v>
      </c>
      <c r="H540" s="2" t="s">
        <v>122</v>
      </c>
      <c r="I540" s="2" t="s">
        <v>33</v>
      </c>
      <c r="J540" s="2" t="s">
        <v>124</v>
      </c>
      <c r="K540" s="2" t="s">
        <v>13</v>
      </c>
      <c r="L540" s="2" t="s">
        <v>37</v>
      </c>
      <c r="M540" s="2" t="s">
        <v>44</v>
      </c>
      <c r="N540" s="2" t="s">
        <v>15</v>
      </c>
      <c r="O540" s="2" t="s">
        <v>129</v>
      </c>
      <c r="P540" s="2" t="s">
        <v>1625</v>
      </c>
      <c r="Q540" s="2" t="s">
        <v>4926</v>
      </c>
      <c r="R540" s="2" t="s">
        <v>447</v>
      </c>
      <c r="S540" s="2" t="s">
        <v>125</v>
      </c>
      <c r="T540" s="2" t="s">
        <v>4696</v>
      </c>
      <c r="U540" s="2" t="s">
        <v>12</v>
      </c>
      <c r="V540" s="2" t="s">
        <v>4771</v>
      </c>
      <c r="W540" s="2" t="s">
        <v>5013</v>
      </c>
      <c r="X540" s="2" t="s">
        <v>44</v>
      </c>
      <c r="Y540" s="2" t="s">
        <v>1624</v>
      </c>
      <c r="Z540" s="2" t="s">
        <v>5731</v>
      </c>
      <c r="AA5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5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0" s="6" t="str">
        <f>IF(_xlfn.IFNA(INDEX(configuracoes!$A$2:$A$10,MATCH(base_tc_geral[[#This Row],[TIPO]],configuracoes!$A$2:$A$10,0)),"NÃO")="NÃO","NÃO","SIM")</f>
        <v>NÃO</v>
      </c>
    </row>
    <row r="541" spans="1:31" x14ac:dyDescent="0.25">
      <c r="A541" s="2" t="s">
        <v>1282</v>
      </c>
      <c r="B541" s="2">
        <v>102100390</v>
      </c>
      <c r="C541" s="2" t="s">
        <v>24</v>
      </c>
      <c r="D541" s="2" t="s">
        <v>4768</v>
      </c>
      <c r="E541" s="2" t="s">
        <v>106</v>
      </c>
      <c r="F541" s="2" t="s">
        <v>131</v>
      </c>
      <c r="G541" s="2" t="s">
        <v>711</v>
      </c>
      <c r="H541" s="2" t="s">
        <v>130</v>
      </c>
      <c r="I541" s="2" t="s">
        <v>33</v>
      </c>
      <c r="J541" s="2" t="s">
        <v>109</v>
      </c>
      <c r="K541" s="2" t="s">
        <v>20</v>
      </c>
      <c r="L541" s="2" t="s">
        <v>126</v>
      </c>
      <c r="M541" s="2" t="s">
        <v>22</v>
      </c>
      <c r="N541" s="2" t="s">
        <v>24</v>
      </c>
      <c r="O541" s="2" t="s">
        <v>132</v>
      </c>
      <c r="P541" s="2" t="s">
        <v>1284</v>
      </c>
      <c r="Q541" s="2" t="s">
        <v>4926</v>
      </c>
      <c r="R541" s="2" t="s">
        <v>1092</v>
      </c>
      <c r="S541" s="2" t="s">
        <v>736</v>
      </c>
      <c r="T541" s="2" t="s">
        <v>167</v>
      </c>
      <c r="U541" s="2" t="s">
        <v>39</v>
      </c>
      <c r="V541" s="2" t="s">
        <v>4853</v>
      </c>
      <c r="W541" s="2" t="s">
        <v>4982</v>
      </c>
      <c r="X541" s="2" t="s">
        <v>4925</v>
      </c>
      <c r="Y541" s="2" t="s">
        <v>1283</v>
      </c>
      <c r="Z541" s="2" t="s">
        <v>5732</v>
      </c>
      <c r="AA5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5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41" s="6" t="str">
        <f>IF(_xlfn.IFNA(INDEX(configuracoes!$A$2:$A$10,MATCH(base_tc_geral[[#This Row],[TIPO]],configuracoes!$A$2:$A$10,0)),"NÃO")="NÃO","NÃO","SIM")</f>
        <v>SIM</v>
      </c>
    </row>
    <row r="542" spans="1:31" x14ac:dyDescent="0.25">
      <c r="A542" s="2" t="s">
        <v>2072</v>
      </c>
      <c r="B542" s="2">
        <v>109000926</v>
      </c>
      <c r="C542" s="2" t="s">
        <v>15</v>
      </c>
      <c r="D542" s="2" t="s">
        <v>4550</v>
      </c>
      <c r="E542" s="2" t="s">
        <v>86</v>
      </c>
      <c r="F542" s="2" t="s">
        <v>325</v>
      </c>
      <c r="G542" s="2" t="s">
        <v>245</v>
      </c>
      <c r="H542" s="2" t="s">
        <v>283</v>
      </c>
      <c r="I542" s="2" t="s">
        <v>33</v>
      </c>
      <c r="J542" s="2" t="s">
        <v>124</v>
      </c>
      <c r="K542" s="2" t="s">
        <v>20</v>
      </c>
      <c r="L542" s="2" t="s">
        <v>21</v>
      </c>
      <c r="M542" s="2" t="s">
        <v>22</v>
      </c>
      <c r="N542" s="2" t="s">
        <v>15</v>
      </c>
      <c r="O542" s="2" t="s">
        <v>287</v>
      </c>
      <c r="P542" s="2" t="s">
        <v>2074</v>
      </c>
      <c r="Q542" s="2" t="s">
        <v>4926</v>
      </c>
      <c r="R542" s="2" t="s">
        <v>285</v>
      </c>
      <c r="S542" s="2" t="s">
        <v>125</v>
      </c>
      <c r="T542" s="2" t="s">
        <v>4696</v>
      </c>
      <c r="U542" s="2" t="s">
        <v>12</v>
      </c>
      <c r="V542" s="2" t="s">
        <v>4777</v>
      </c>
      <c r="W542" s="2" t="s">
        <v>4982</v>
      </c>
      <c r="X542" s="2" t="s">
        <v>4925</v>
      </c>
      <c r="Y542" s="2" t="s">
        <v>2073</v>
      </c>
      <c r="Z542" s="2" t="s">
        <v>5733</v>
      </c>
      <c r="AA5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5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2" s="6" t="str">
        <f>IF(_xlfn.IFNA(INDEX(configuracoes!$A$2:$A$10,MATCH(base_tc_geral[[#This Row],[TIPO]],configuracoes!$A$2:$A$10,0)),"NÃO")="NÃO","NÃO","SIM")</f>
        <v>SIM</v>
      </c>
    </row>
    <row r="543" spans="1:31" x14ac:dyDescent="0.25">
      <c r="A543" s="2" t="s">
        <v>1849</v>
      </c>
      <c r="B543" s="2">
        <v>109505049</v>
      </c>
      <c r="C543" s="2" t="s">
        <v>15</v>
      </c>
      <c r="D543" s="2" t="s">
        <v>4493</v>
      </c>
      <c r="E543" s="2" t="s">
        <v>86</v>
      </c>
      <c r="F543" s="2" t="s">
        <v>540</v>
      </c>
      <c r="G543" s="2" t="s">
        <v>99</v>
      </c>
      <c r="H543" s="2" t="s">
        <v>283</v>
      </c>
      <c r="I543" s="2" t="s">
        <v>33</v>
      </c>
      <c r="J543" s="2" t="s">
        <v>124</v>
      </c>
      <c r="K543" s="2" t="s">
        <v>13</v>
      </c>
      <c r="L543" s="2" t="s">
        <v>25</v>
      </c>
      <c r="M543" s="2" t="s">
        <v>22</v>
      </c>
      <c r="N543" s="2" t="s">
        <v>15</v>
      </c>
      <c r="O543" s="2" t="s">
        <v>287</v>
      </c>
      <c r="P543" s="2" t="s">
        <v>1851</v>
      </c>
      <c r="Q543" s="2" t="s">
        <v>4926</v>
      </c>
      <c r="R543" s="2" t="s">
        <v>541</v>
      </c>
      <c r="S543" s="2" t="s">
        <v>125</v>
      </c>
      <c r="T543" s="2" t="s">
        <v>4696</v>
      </c>
      <c r="U543" s="2" t="s">
        <v>12</v>
      </c>
      <c r="V543" s="2" t="s">
        <v>4765</v>
      </c>
      <c r="W543" s="2" t="s">
        <v>4931</v>
      </c>
      <c r="X543" s="2" t="s">
        <v>4925</v>
      </c>
      <c r="Y543" s="2" t="s">
        <v>1850</v>
      </c>
      <c r="Z543" s="2" t="s">
        <v>5734</v>
      </c>
      <c r="AA5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3" s="6" t="str">
        <f>IF(_xlfn.IFNA(INDEX(configuracoes!$A$2:$A$10,MATCH(base_tc_geral[[#This Row],[TIPO]],configuracoes!$A$2:$A$10,0)),"NÃO")="NÃO","NÃO","SIM")</f>
        <v>SIM</v>
      </c>
    </row>
    <row r="544" spans="1:31" x14ac:dyDescent="0.25">
      <c r="A544" s="2" t="s">
        <v>2021</v>
      </c>
      <c r="B544" s="2">
        <v>109500315</v>
      </c>
      <c r="C544" s="2" t="s">
        <v>15</v>
      </c>
      <c r="D544" s="2" t="s">
        <v>4481</v>
      </c>
      <c r="E544" s="2" t="s">
        <v>86</v>
      </c>
      <c r="F544" s="2" t="s">
        <v>205</v>
      </c>
      <c r="G544" s="2" t="s">
        <v>89</v>
      </c>
      <c r="H544" s="2" t="s">
        <v>122</v>
      </c>
      <c r="I544" s="2" t="s">
        <v>33</v>
      </c>
      <c r="J544" s="2" t="s">
        <v>124</v>
      </c>
      <c r="K544" s="2" t="s">
        <v>13</v>
      </c>
      <c r="L544" s="2" t="s">
        <v>37</v>
      </c>
      <c r="M544" s="2" t="s">
        <v>44</v>
      </c>
      <c r="N544" s="2" t="s">
        <v>15</v>
      </c>
      <c r="O544" s="2" t="s">
        <v>129</v>
      </c>
      <c r="P544" s="2" t="s">
        <v>2023</v>
      </c>
      <c r="Q544" s="2" t="s">
        <v>4926</v>
      </c>
      <c r="R544" s="2" t="s">
        <v>173</v>
      </c>
      <c r="S544" s="2" t="s">
        <v>93</v>
      </c>
      <c r="T544" s="2" t="s">
        <v>4696</v>
      </c>
      <c r="U544" s="2" t="s">
        <v>12</v>
      </c>
      <c r="V544" s="2" t="s">
        <v>4887</v>
      </c>
      <c r="W544" s="2" t="s">
        <v>17</v>
      </c>
      <c r="X544" s="2" t="s">
        <v>44</v>
      </c>
      <c r="Y544" s="2" t="s">
        <v>2022</v>
      </c>
      <c r="Z544" s="2" t="s">
        <v>5735</v>
      </c>
      <c r="AA5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5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4" s="6" t="str">
        <f>IF(_xlfn.IFNA(INDEX(configuracoes!$A$2:$A$10,MATCH(base_tc_geral[[#This Row],[TIPO]],configuracoes!$A$2:$A$10,0)),"NÃO")="NÃO","NÃO","SIM")</f>
        <v>NÃO</v>
      </c>
    </row>
    <row r="545" spans="1:31" x14ac:dyDescent="0.25">
      <c r="A545" s="2" t="s">
        <v>855</v>
      </c>
      <c r="B545" s="2">
        <v>105303208</v>
      </c>
      <c r="C545" s="2" t="s">
        <v>15</v>
      </c>
      <c r="D545" s="2" t="s">
        <v>4524</v>
      </c>
      <c r="E545" s="2" t="s">
        <v>28</v>
      </c>
      <c r="F545" s="2" t="s">
        <v>440</v>
      </c>
      <c r="G545" s="2" t="s">
        <v>245</v>
      </c>
      <c r="H545" s="2" t="s">
        <v>34</v>
      </c>
      <c r="I545" s="2" t="s">
        <v>33</v>
      </c>
      <c r="J545" s="2" t="s">
        <v>34</v>
      </c>
      <c r="K545" s="2" t="s">
        <v>20</v>
      </c>
      <c r="L545" s="2" t="s">
        <v>21</v>
      </c>
      <c r="M545" s="2" t="s">
        <v>22</v>
      </c>
      <c r="N545" s="2" t="s">
        <v>15</v>
      </c>
      <c r="O545" s="2" t="s">
        <v>156</v>
      </c>
      <c r="P545" s="2" t="s">
        <v>857</v>
      </c>
      <c r="Q545" s="2" t="s">
        <v>4926</v>
      </c>
      <c r="R545" s="2" t="s">
        <v>849</v>
      </c>
      <c r="S545" s="2" t="s">
        <v>167</v>
      </c>
      <c r="T545" s="2" t="s">
        <v>167</v>
      </c>
      <c r="U545" s="2" t="s">
        <v>12</v>
      </c>
      <c r="V545" s="2" t="s">
        <v>4850</v>
      </c>
      <c r="W545" s="2" t="s">
        <v>4982</v>
      </c>
      <c r="X545" s="2" t="s">
        <v>4925</v>
      </c>
      <c r="Y545" s="2" t="s">
        <v>856</v>
      </c>
      <c r="Z545" s="2" t="s">
        <v>5337</v>
      </c>
      <c r="AA5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5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5" s="6" t="str">
        <f>IF(_xlfn.IFNA(INDEX(configuracoes!$A$2:$A$10,MATCH(base_tc_geral[[#This Row],[TIPO]],configuracoes!$A$2:$A$10,0)),"NÃO")="NÃO","NÃO","SIM")</f>
        <v>SIM</v>
      </c>
    </row>
    <row r="546" spans="1:31" x14ac:dyDescent="0.25">
      <c r="A546" s="2" t="s">
        <v>1140</v>
      </c>
      <c r="B546" s="2">
        <v>109000926</v>
      </c>
      <c r="C546" s="2" t="s">
        <v>15</v>
      </c>
      <c r="D546" s="2" t="s">
        <v>4597</v>
      </c>
      <c r="E546" s="2" t="s">
        <v>86</v>
      </c>
      <c r="F546" s="2" t="s">
        <v>284</v>
      </c>
      <c r="G546" s="2" t="s">
        <v>245</v>
      </c>
      <c r="H546" s="2" t="s">
        <v>283</v>
      </c>
      <c r="I546" s="2" t="s">
        <v>33</v>
      </c>
      <c r="J546" s="2" t="s">
        <v>124</v>
      </c>
      <c r="K546" s="2" t="s">
        <v>20</v>
      </c>
      <c r="L546" s="2" t="s">
        <v>21</v>
      </c>
      <c r="M546" s="2" t="s">
        <v>22</v>
      </c>
      <c r="N546" s="2" t="s">
        <v>15</v>
      </c>
      <c r="O546" s="2" t="s">
        <v>287</v>
      </c>
      <c r="P546" s="2" t="s">
        <v>1142</v>
      </c>
      <c r="Q546" s="2" t="s">
        <v>4926</v>
      </c>
      <c r="R546" s="2" t="s">
        <v>285</v>
      </c>
      <c r="S546" s="2" t="s">
        <v>125</v>
      </c>
      <c r="T546" s="2" t="s">
        <v>4696</v>
      </c>
      <c r="U546" s="2" t="s">
        <v>12</v>
      </c>
      <c r="V546" s="2" t="s">
        <v>4777</v>
      </c>
      <c r="W546" s="2" t="s">
        <v>4982</v>
      </c>
      <c r="X546" s="2" t="s">
        <v>4925</v>
      </c>
      <c r="Y546" s="2" t="s">
        <v>1141</v>
      </c>
      <c r="Z546" s="2" t="s">
        <v>5338</v>
      </c>
      <c r="AA5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5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6" s="6" t="str">
        <f>IF(_xlfn.IFNA(INDEX(configuracoes!$A$2:$A$10,MATCH(base_tc_geral[[#This Row],[TIPO]],configuracoes!$A$2:$A$10,0)),"NÃO")="NÃO","NÃO","SIM")</f>
        <v>SIM</v>
      </c>
    </row>
    <row r="547" spans="1:31" x14ac:dyDescent="0.25">
      <c r="A547" s="2" t="s">
        <v>543</v>
      </c>
      <c r="B547" s="2">
        <v>102101393</v>
      </c>
      <c r="C547" s="2" t="s">
        <v>15</v>
      </c>
      <c r="D547" s="2" t="s">
        <v>4529</v>
      </c>
      <c r="E547" s="2" t="s">
        <v>106</v>
      </c>
      <c r="F547" s="2" t="s">
        <v>131</v>
      </c>
      <c r="G547" s="2" t="s">
        <v>58</v>
      </c>
      <c r="H547" s="2" t="s">
        <v>130</v>
      </c>
      <c r="I547" s="2" t="s">
        <v>33</v>
      </c>
      <c r="J547" s="2" t="s">
        <v>109</v>
      </c>
      <c r="K547" s="2" t="s">
        <v>13</v>
      </c>
      <c r="L547" s="2" t="s">
        <v>61</v>
      </c>
      <c r="M547" s="2" t="s">
        <v>44</v>
      </c>
      <c r="N547" s="2" t="s">
        <v>15</v>
      </c>
      <c r="O547" s="2" t="s">
        <v>132</v>
      </c>
      <c r="P547" s="2" t="s">
        <v>545</v>
      </c>
      <c r="Q547" s="2" t="s">
        <v>4926</v>
      </c>
      <c r="R547" s="2" t="s">
        <v>735</v>
      </c>
      <c r="S547" s="2" t="s">
        <v>736</v>
      </c>
      <c r="T547" s="2" t="s">
        <v>167</v>
      </c>
      <c r="U547" s="2" t="s">
        <v>12</v>
      </c>
      <c r="V547" s="2" t="s">
        <v>4886</v>
      </c>
      <c r="W547" s="2" t="s">
        <v>5013</v>
      </c>
      <c r="X547" s="2" t="s">
        <v>44</v>
      </c>
      <c r="Y547" s="2" t="s">
        <v>544</v>
      </c>
      <c r="Z547" s="2" t="s">
        <v>5339</v>
      </c>
      <c r="AA5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7" s="6" t="str">
        <f>IF(_xlfn.IFNA(INDEX(configuracoes!$A$2:$A$10,MATCH(base_tc_geral[[#This Row],[TIPO]],configuracoes!$A$2:$A$10,0)),"NÃO")="NÃO","NÃO","SIM")</f>
        <v>NÃO</v>
      </c>
    </row>
    <row r="548" spans="1:31" x14ac:dyDescent="0.25">
      <c r="A548" s="2" t="s">
        <v>761</v>
      </c>
      <c r="B548" s="2">
        <v>102101220</v>
      </c>
      <c r="C548" s="2" t="s">
        <v>15</v>
      </c>
      <c r="D548" s="2" t="s">
        <v>4513</v>
      </c>
      <c r="E548" s="2" t="s">
        <v>106</v>
      </c>
      <c r="F548" s="2" t="s">
        <v>428</v>
      </c>
      <c r="G548" s="2" t="s">
        <v>245</v>
      </c>
      <c r="H548" s="2" t="s">
        <v>427</v>
      </c>
      <c r="I548" s="2" t="s">
        <v>33</v>
      </c>
      <c r="J548" s="2" t="s">
        <v>109</v>
      </c>
      <c r="K548" s="2" t="s">
        <v>20</v>
      </c>
      <c r="L548" s="2" t="s">
        <v>21</v>
      </c>
      <c r="M548" s="2" t="s">
        <v>22</v>
      </c>
      <c r="N548" s="2" t="s">
        <v>15</v>
      </c>
      <c r="O548" s="2" t="s">
        <v>430</v>
      </c>
      <c r="P548" s="2" t="s">
        <v>763</v>
      </c>
      <c r="Q548" s="2" t="s">
        <v>4926</v>
      </c>
      <c r="R548" s="2" t="s">
        <v>625</v>
      </c>
      <c r="S548" s="2" t="s">
        <v>736</v>
      </c>
      <c r="T548" s="2" t="s">
        <v>167</v>
      </c>
      <c r="U548" s="2" t="s">
        <v>12</v>
      </c>
      <c r="V548" s="2" t="s">
        <v>4895</v>
      </c>
      <c r="W548" s="2" t="s">
        <v>4982</v>
      </c>
      <c r="X548" s="2" t="s">
        <v>4925</v>
      </c>
      <c r="Y548" s="2" t="s">
        <v>762</v>
      </c>
      <c r="Z548" s="2" t="s">
        <v>5340</v>
      </c>
      <c r="AA5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5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48" s="6" t="str">
        <f>IF(_xlfn.IFNA(INDEX(configuracoes!$A$2:$A$10,MATCH(base_tc_geral[[#This Row],[TIPO]],configuracoes!$A$2:$A$10,0)),"NÃO")="NÃO","NÃO","SIM")</f>
        <v>SIM</v>
      </c>
    </row>
    <row r="549" spans="1:31" x14ac:dyDescent="0.25">
      <c r="A549" s="2" t="s">
        <v>1367</v>
      </c>
      <c r="B549" s="2">
        <v>105000986</v>
      </c>
      <c r="C549" s="2" t="s">
        <v>24</v>
      </c>
      <c r="D549" s="2" t="s">
        <v>4768</v>
      </c>
      <c r="E549" s="2" t="s">
        <v>28</v>
      </c>
      <c r="F549" s="2" t="s">
        <v>80</v>
      </c>
      <c r="G549" s="2" t="s">
        <v>41</v>
      </c>
      <c r="H549" s="2" t="s">
        <v>79</v>
      </c>
      <c r="I549" s="2" t="s">
        <v>33</v>
      </c>
      <c r="J549" s="2" t="s">
        <v>34</v>
      </c>
      <c r="K549" s="2" t="s">
        <v>13</v>
      </c>
      <c r="L549" s="2" t="s">
        <v>42</v>
      </c>
      <c r="M549" s="2" t="s">
        <v>75</v>
      </c>
      <c r="N549" s="2" t="s">
        <v>24</v>
      </c>
      <c r="O549" s="2" t="s">
        <v>83</v>
      </c>
      <c r="P549" s="2" t="s">
        <v>1369</v>
      </c>
      <c r="Q549" s="2" t="s">
        <v>4926</v>
      </c>
      <c r="R549" s="2" t="s">
        <v>81</v>
      </c>
      <c r="S549" s="2" t="s">
        <v>167</v>
      </c>
      <c r="T549" s="2" t="s">
        <v>167</v>
      </c>
      <c r="U549" s="2" t="s">
        <v>39</v>
      </c>
      <c r="V549" s="2" t="s">
        <v>4767</v>
      </c>
      <c r="W549" s="2" t="s">
        <v>42</v>
      </c>
      <c r="X549" s="2" t="s">
        <v>75</v>
      </c>
      <c r="Y549" s="2" t="s">
        <v>1368</v>
      </c>
      <c r="Z549" s="2" t="s">
        <v>5341</v>
      </c>
      <c r="AA5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5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49" s="6" t="str">
        <f>IF(_xlfn.IFNA(INDEX(configuracoes!$A$2:$A$10,MATCH(base_tc_geral[[#This Row],[TIPO]],configuracoes!$A$2:$A$10,0)),"NÃO")="NÃO","NÃO","SIM")</f>
        <v>SIM</v>
      </c>
    </row>
    <row r="550" spans="1:31" x14ac:dyDescent="0.25">
      <c r="A550" s="2" t="s">
        <v>3878</v>
      </c>
      <c r="B550" s="2">
        <v>101007665</v>
      </c>
      <c r="C550" s="2" t="s">
        <v>24</v>
      </c>
      <c r="D550" s="2" t="s">
        <v>4482</v>
      </c>
      <c r="E550" s="2" t="s">
        <v>47</v>
      </c>
      <c r="F550" s="2" t="s">
        <v>341</v>
      </c>
      <c r="G550" s="2" t="s">
        <v>245</v>
      </c>
      <c r="H550" s="2" t="s">
        <v>56</v>
      </c>
      <c r="I550" s="2" t="s">
        <v>16</v>
      </c>
      <c r="J550" s="2" t="s">
        <v>60</v>
      </c>
      <c r="K550" s="2" t="s">
        <v>20</v>
      </c>
      <c r="L550" s="2" t="s">
        <v>21</v>
      </c>
      <c r="M550" s="2" t="s">
        <v>22</v>
      </c>
      <c r="N550" s="2" t="s">
        <v>24</v>
      </c>
      <c r="O550" s="2" t="s">
        <v>63</v>
      </c>
      <c r="P550" s="2" t="s">
        <v>3880</v>
      </c>
      <c r="Q550" s="2" t="s">
        <v>4926</v>
      </c>
      <c r="R550" s="2" t="s">
        <v>342</v>
      </c>
      <c r="S550" s="2" t="s">
        <v>51</v>
      </c>
      <c r="T550" s="2" t="s">
        <v>4697</v>
      </c>
      <c r="U550" s="2" t="s">
        <v>39</v>
      </c>
      <c r="V550" s="2" t="s">
        <v>4866</v>
      </c>
      <c r="W550" s="2" t="s">
        <v>4982</v>
      </c>
      <c r="X550" s="2" t="s">
        <v>4925</v>
      </c>
      <c r="Y550" s="2" t="s">
        <v>3879</v>
      </c>
      <c r="Z550" s="2" t="s">
        <v>5342</v>
      </c>
      <c r="AA5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5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5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5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50" s="6" t="str">
        <f>IF(_xlfn.IFNA(INDEX(configuracoes!$A$2:$A$10,MATCH(base_tc_geral[[#This Row],[TIPO]],configuracoes!$A$2:$A$10,0)),"NÃO")="NÃO","NÃO","SIM")</f>
        <v>SIM</v>
      </c>
    </row>
    <row r="551" spans="1:31" x14ac:dyDescent="0.25">
      <c r="A551" s="2" t="s">
        <v>1797</v>
      </c>
      <c r="B551" s="2">
        <v>102100390</v>
      </c>
      <c r="C551" s="2" t="s">
        <v>15</v>
      </c>
      <c r="D551" s="2" t="s">
        <v>4552</v>
      </c>
      <c r="E551" s="2" t="s">
        <v>106</v>
      </c>
      <c r="F551" s="2" t="s">
        <v>131</v>
      </c>
      <c r="G551" s="2" t="s">
        <v>245</v>
      </c>
      <c r="H551" s="2" t="s">
        <v>130</v>
      </c>
      <c r="I551" s="2" t="s">
        <v>33</v>
      </c>
      <c r="J551" s="2" t="s">
        <v>109</v>
      </c>
      <c r="K551" s="2" t="s">
        <v>20</v>
      </c>
      <c r="L551" s="2" t="s">
        <v>21</v>
      </c>
      <c r="M551" s="2" t="s">
        <v>22</v>
      </c>
      <c r="N551" s="2" t="s">
        <v>15</v>
      </c>
      <c r="O551" s="2" t="s">
        <v>132</v>
      </c>
      <c r="P551" s="2" t="s">
        <v>1799</v>
      </c>
      <c r="Q551" s="2" t="s">
        <v>4926</v>
      </c>
      <c r="R551" s="2" t="s">
        <v>1092</v>
      </c>
      <c r="S551" s="2" t="s">
        <v>736</v>
      </c>
      <c r="T551" s="2" t="s">
        <v>167</v>
      </c>
      <c r="U551" s="2" t="s">
        <v>12</v>
      </c>
      <c r="V551" s="2" t="s">
        <v>4901</v>
      </c>
      <c r="W551" s="2" t="s">
        <v>4982</v>
      </c>
      <c r="X551" s="2" t="s">
        <v>4925</v>
      </c>
      <c r="Y551" s="2" t="s">
        <v>1798</v>
      </c>
      <c r="Z551" s="2" t="s">
        <v>5736</v>
      </c>
      <c r="AA5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5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1" s="6" t="str">
        <f>IF(_xlfn.IFNA(INDEX(configuracoes!$A$2:$A$10,MATCH(base_tc_geral[[#This Row],[TIPO]],configuracoes!$A$2:$A$10,0)),"NÃO")="NÃO","NÃO","SIM")</f>
        <v>SIM</v>
      </c>
    </row>
    <row r="552" spans="1:31" x14ac:dyDescent="0.25">
      <c r="A552" s="2" t="s">
        <v>1879</v>
      </c>
      <c r="B552" s="2">
        <v>109000926</v>
      </c>
      <c r="C552" s="2" t="s">
        <v>15</v>
      </c>
      <c r="D552" s="2" t="s">
        <v>4515</v>
      </c>
      <c r="E552" s="2" t="s">
        <v>86</v>
      </c>
      <c r="F552" s="2" t="s">
        <v>1099</v>
      </c>
      <c r="G552" s="2" t="s">
        <v>245</v>
      </c>
      <c r="H552" s="2" t="s">
        <v>283</v>
      </c>
      <c r="I552" s="2" t="s">
        <v>33</v>
      </c>
      <c r="J552" s="2" t="s">
        <v>124</v>
      </c>
      <c r="K552" s="2" t="s">
        <v>20</v>
      </c>
      <c r="L552" s="2" t="s">
        <v>21</v>
      </c>
      <c r="M552" s="2" t="s">
        <v>22</v>
      </c>
      <c r="N552" s="2" t="s">
        <v>15</v>
      </c>
      <c r="O552" s="2" t="s">
        <v>287</v>
      </c>
      <c r="P552" s="2" t="s">
        <v>1881</v>
      </c>
      <c r="Q552" s="2" t="s">
        <v>4926</v>
      </c>
      <c r="R552" s="2" t="s">
        <v>285</v>
      </c>
      <c r="S552" s="2" t="s">
        <v>125</v>
      </c>
      <c r="T552" s="2" t="s">
        <v>4696</v>
      </c>
      <c r="U552" s="2" t="s">
        <v>12</v>
      </c>
      <c r="V552" s="2" t="s">
        <v>4777</v>
      </c>
      <c r="W552" s="2" t="s">
        <v>4982</v>
      </c>
      <c r="X552" s="2" t="s">
        <v>4925</v>
      </c>
      <c r="Y552" s="2" t="s">
        <v>1880</v>
      </c>
      <c r="Z552" s="2" t="s">
        <v>5737</v>
      </c>
      <c r="AA5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5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2" s="6" t="str">
        <f>IF(_xlfn.IFNA(INDEX(configuracoes!$A$2:$A$10,MATCH(base_tc_geral[[#This Row],[TIPO]],configuracoes!$A$2:$A$10,0)),"NÃO")="NÃO","NÃO","SIM")</f>
        <v>SIM</v>
      </c>
    </row>
    <row r="553" spans="1:31" x14ac:dyDescent="0.25">
      <c r="A553" s="2" t="s">
        <v>4077</v>
      </c>
      <c r="B553" s="2">
        <v>109506091</v>
      </c>
      <c r="C553" s="2" t="s">
        <v>15</v>
      </c>
      <c r="D553" s="2" t="s">
        <v>4492</v>
      </c>
      <c r="E553" s="2" t="s">
        <v>86</v>
      </c>
      <c r="F553" s="2" t="s">
        <v>123</v>
      </c>
      <c r="G553" s="2" t="s">
        <v>149</v>
      </c>
      <c r="H553" s="2" t="s">
        <v>122</v>
      </c>
      <c r="I553" s="2" t="s">
        <v>33</v>
      </c>
      <c r="J553" s="2" t="s">
        <v>124</v>
      </c>
      <c r="K553" s="2" t="s">
        <v>20</v>
      </c>
      <c r="L553" s="2" t="s">
        <v>61</v>
      </c>
      <c r="M553" s="2" t="s">
        <v>22</v>
      </c>
      <c r="N553" s="2" t="s">
        <v>15</v>
      </c>
      <c r="O553" s="2" t="s">
        <v>129</v>
      </c>
      <c r="P553" s="2" t="s">
        <v>4079</v>
      </c>
      <c r="Q553" s="2" t="s">
        <v>4926</v>
      </c>
      <c r="R553" s="2" t="s">
        <v>2683</v>
      </c>
      <c r="S553" s="2" t="s">
        <v>125</v>
      </c>
      <c r="T553" s="2" t="s">
        <v>4696</v>
      </c>
      <c r="U553" s="2" t="s">
        <v>12</v>
      </c>
      <c r="V553" s="2" t="s">
        <v>4771</v>
      </c>
      <c r="W553" s="2" t="s">
        <v>4982</v>
      </c>
      <c r="X553" s="2" t="s">
        <v>4925</v>
      </c>
      <c r="Y553" s="2" t="s">
        <v>4078</v>
      </c>
      <c r="Z553" s="2" t="s">
        <v>5738</v>
      </c>
      <c r="AA5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5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3" s="6" t="str">
        <f>IF(_xlfn.IFNA(INDEX(configuracoes!$A$2:$A$10,MATCH(base_tc_geral[[#This Row],[TIPO]],configuracoes!$A$2:$A$10,0)),"NÃO")="NÃO","NÃO","SIM")</f>
        <v>NÃO</v>
      </c>
    </row>
    <row r="554" spans="1:31" x14ac:dyDescent="0.25">
      <c r="A554" s="2" t="s">
        <v>1070</v>
      </c>
      <c r="B554" s="2">
        <v>102101220</v>
      </c>
      <c r="C554" s="2" t="s">
        <v>15</v>
      </c>
      <c r="D554" s="2" t="s">
        <v>4505</v>
      </c>
      <c r="E554" s="2" t="s">
        <v>106</v>
      </c>
      <c r="F554" s="2" t="s">
        <v>428</v>
      </c>
      <c r="G554" s="2" t="s">
        <v>41</v>
      </c>
      <c r="H554" s="2" t="s">
        <v>427</v>
      </c>
      <c r="I554" s="2" t="s">
        <v>33</v>
      </c>
      <c r="J554" s="2" t="s">
        <v>109</v>
      </c>
      <c r="K554" s="2" t="s">
        <v>13</v>
      </c>
      <c r="L554" s="2" t="s">
        <v>42</v>
      </c>
      <c r="M554" s="2" t="s">
        <v>75</v>
      </c>
      <c r="N554" s="2" t="s">
        <v>15</v>
      </c>
      <c r="O554" s="2" t="s">
        <v>430</v>
      </c>
      <c r="P554" s="2" t="s">
        <v>1072</v>
      </c>
      <c r="Q554" s="2" t="s">
        <v>4926</v>
      </c>
      <c r="R554" s="2" t="s">
        <v>625</v>
      </c>
      <c r="S554" s="2" t="s">
        <v>736</v>
      </c>
      <c r="T554" s="2" t="s">
        <v>167</v>
      </c>
      <c r="U554" s="2" t="s">
        <v>12</v>
      </c>
      <c r="V554" s="2" t="s">
        <v>4895</v>
      </c>
      <c r="W554" s="2" t="s">
        <v>42</v>
      </c>
      <c r="X554" s="2" t="s">
        <v>75</v>
      </c>
      <c r="Y554" s="2" t="s">
        <v>1071</v>
      </c>
      <c r="Z554" s="2" t="s">
        <v>5739</v>
      </c>
      <c r="AA5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5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4" s="6" t="str">
        <f>IF(_xlfn.IFNA(INDEX(configuracoes!$A$2:$A$10,MATCH(base_tc_geral[[#This Row],[TIPO]],configuracoes!$A$2:$A$10,0)),"NÃO")="NÃO","NÃO","SIM")</f>
        <v>SIM</v>
      </c>
    </row>
    <row r="555" spans="1:31" x14ac:dyDescent="0.25">
      <c r="A555" s="2" t="s">
        <v>4119</v>
      </c>
      <c r="B555" s="2">
        <v>321454</v>
      </c>
      <c r="C555" s="2" t="s">
        <v>15</v>
      </c>
      <c r="D555" s="2" t="s">
        <v>4677</v>
      </c>
      <c r="E555" s="2" t="s">
        <v>86</v>
      </c>
      <c r="F555" s="2" t="s">
        <v>594</v>
      </c>
      <c r="G555" s="2" t="s">
        <v>99</v>
      </c>
      <c r="H555" s="2" t="s">
        <v>122</v>
      </c>
      <c r="I555" s="2" t="s">
        <v>33</v>
      </c>
      <c r="J555" s="2" t="s">
        <v>124</v>
      </c>
      <c r="K555" s="2" t="s">
        <v>13</v>
      </c>
      <c r="L555" s="2" t="s">
        <v>25</v>
      </c>
      <c r="M555" s="2" t="s">
        <v>133</v>
      </c>
      <c r="N555" s="2" t="s">
        <v>15</v>
      </c>
      <c r="O555" s="2" t="s">
        <v>129</v>
      </c>
      <c r="P555" s="2" t="s">
        <v>4121</v>
      </c>
      <c r="Q555" s="2" t="s">
        <v>4926</v>
      </c>
      <c r="R555" s="2" t="s">
        <v>2771</v>
      </c>
      <c r="S555" s="2" t="s">
        <v>2771</v>
      </c>
      <c r="T555" s="2" t="s">
        <v>2771</v>
      </c>
      <c r="U555" s="2" t="s">
        <v>39</v>
      </c>
      <c r="V555" s="2" t="s">
        <v>4765</v>
      </c>
      <c r="W555" s="2" t="s">
        <v>5597</v>
      </c>
      <c r="X555" s="2" t="s">
        <v>5599</v>
      </c>
      <c r="Y555" s="2" t="s">
        <v>4120</v>
      </c>
      <c r="Z555" s="2" t="s">
        <v>5740</v>
      </c>
      <c r="AA5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ALBUQUERQUE </v>
      </c>
      <c r="AB5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RODRIGO ALBUQUERQUE </v>
      </c>
      <c r="AC5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RODRIGO ALBUQUERQUE </v>
      </c>
      <c r="AD5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5" s="6" t="str">
        <f>IF(_xlfn.IFNA(INDEX(configuracoes!$A$2:$A$10,MATCH(base_tc_geral[[#This Row],[TIPO]],configuracoes!$A$2:$A$10,0)),"NÃO")="NÃO","NÃO","SIM")</f>
        <v>SIM</v>
      </c>
    </row>
    <row r="556" spans="1:31" x14ac:dyDescent="0.25">
      <c r="A556" s="2" t="s">
        <v>4323</v>
      </c>
      <c r="B556" s="2">
        <v>109000499</v>
      </c>
      <c r="C556" s="2" t="s">
        <v>15</v>
      </c>
      <c r="D556" s="2" t="s">
        <v>4505</v>
      </c>
      <c r="E556" s="2" t="s">
        <v>86</v>
      </c>
      <c r="F556" s="2" t="s">
        <v>211</v>
      </c>
      <c r="G556" s="2" t="s">
        <v>136</v>
      </c>
      <c r="H556" s="2" t="s">
        <v>210</v>
      </c>
      <c r="I556" s="2" t="s">
        <v>33</v>
      </c>
      <c r="J556" s="2" t="s">
        <v>124</v>
      </c>
      <c r="K556" s="2" t="s">
        <v>13</v>
      </c>
      <c r="L556" s="2" t="s">
        <v>72</v>
      </c>
      <c r="M556" s="2" t="s">
        <v>73</v>
      </c>
      <c r="N556" s="2" t="s">
        <v>15</v>
      </c>
      <c r="O556" s="2" t="s">
        <v>214</v>
      </c>
      <c r="P556" s="2" t="s">
        <v>4325</v>
      </c>
      <c r="Q556" s="2" t="s">
        <v>4926</v>
      </c>
      <c r="R556" s="2" t="s">
        <v>321</v>
      </c>
      <c r="S556" s="2" t="s">
        <v>93</v>
      </c>
      <c r="T556" s="2" t="s">
        <v>4696</v>
      </c>
      <c r="U556" s="2" t="s">
        <v>12</v>
      </c>
      <c r="V556" s="2" t="s">
        <v>4783</v>
      </c>
      <c r="W556" s="2" t="s">
        <v>72</v>
      </c>
      <c r="X556" s="2" t="s">
        <v>5011</v>
      </c>
      <c r="Y556" s="2" t="s">
        <v>4324</v>
      </c>
      <c r="Z556" s="2" t="s">
        <v>5741</v>
      </c>
      <c r="AA5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5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6" s="6" t="str">
        <f>IF(_xlfn.IFNA(INDEX(configuracoes!$A$2:$A$10,MATCH(base_tc_geral[[#This Row],[TIPO]],configuracoes!$A$2:$A$10,0)),"NÃO")="NÃO","NÃO","SIM")</f>
        <v>NÃO</v>
      </c>
    </row>
    <row r="557" spans="1:31" x14ac:dyDescent="0.25">
      <c r="A557" s="2" t="s">
        <v>2716</v>
      </c>
      <c r="B557" s="2">
        <v>109501286</v>
      </c>
      <c r="C557" s="2" t="s">
        <v>24</v>
      </c>
      <c r="D557" s="2" t="s">
        <v>4482</v>
      </c>
      <c r="E557" s="2" t="s">
        <v>86</v>
      </c>
      <c r="F557" s="2" t="s">
        <v>497</v>
      </c>
      <c r="G557" s="2" t="s">
        <v>58</v>
      </c>
      <c r="H557" s="2" t="s">
        <v>164</v>
      </c>
      <c r="I557" s="2" t="s">
        <v>33</v>
      </c>
      <c r="J557" s="2" t="s">
        <v>124</v>
      </c>
      <c r="K557" s="2" t="s">
        <v>92</v>
      </c>
      <c r="L557" s="2" t="s">
        <v>61</v>
      </c>
      <c r="M557" s="2" t="s">
        <v>44</v>
      </c>
      <c r="N557" s="2" t="s">
        <v>24</v>
      </c>
      <c r="O557" s="2" t="s">
        <v>169</v>
      </c>
      <c r="P557" s="2" t="s">
        <v>2718</v>
      </c>
      <c r="Q557" s="2" t="s">
        <v>4926</v>
      </c>
      <c r="R557" s="2" t="s">
        <v>498</v>
      </c>
      <c r="S557" s="2" t="s">
        <v>93</v>
      </c>
      <c r="T557" s="2" t="s">
        <v>4696</v>
      </c>
      <c r="U557" s="2" t="s">
        <v>39</v>
      </c>
      <c r="V557" s="2" t="s">
        <v>4766</v>
      </c>
      <c r="W557" s="2" t="s">
        <v>5013</v>
      </c>
      <c r="X557" s="2" t="s">
        <v>44</v>
      </c>
      <c r="Y557" s="2" t="s">
        <v>2717</v>
      </c>
      <c r="Z557" s="2" t="s">
        <v>5742</v>
      </c>
      <c r="AA5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5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57" s="6" t="str">
        <f>IF(_xlfn.IFNA(INDEX(configuracoes!$A$2:$A$10,MATCH(base_tc_geral[[#This Row],[TIPO]],configuracoes!$A$2:$A$10,0)),"NÃO")="NÃO","NÃO","SIM")</f>
        <v>NÃO</v>
      </c>
    </row>
    <row r="558" spans="1:31" x14ac:dyDescent="0.25">
      <c r="A558" s="2" t="s">
        <v>1267</v>
      </c>
      <c r="B558" s="2">
        <v>109505819</v>
      </c>
      <c r="C558" s="2" t="s">
        <v>15</v>
      </c>
      <c r="D558" s="2" t="s">
        <v>4527</v>
      </c>
      <c r="E558" s="2" t="s">
        <v>86</v>
      </c>
      <c r="F558" s="2" t="s">
        <v>165</v>
      </c>
      <c r="G558" s="2" t="s">
        <v>149</v>
      </c>
      <c r="H558" s="2" t="s">
        <v>164</v>
      </c>
      <c r="I558" s="2" t="s">
        <v>33</v>
      </c>
      <c r="J558" s="2" t="s">
        <v>124</v>
      </c>
      <c r="K558" s="2" t="s">
        <v>20</v>
      </c>
      <c r="L558" s="2" t="s">
        <v>61</v>
      </c>
      <c r="M558" s="2" t="s">
        <v>22</v>
      </c>
      <c r="N558" s="2" t="s">
        <v>15</v>
      </c>
      <c r="O558" s="2" t="s">
        <v>169</v>
      </c>
      <c r="P558" s="2" t="s">
        <v>1269</v>
      </c>
      <c r="Q558" s="2" t="s">
        <v>4926</v>
      </c>
      <c r="R558" s="2" t="s">
        <v>3459</v>
      </c>
      <c r="S558" s="2" t="s">
        <v>93</v>
      </c>
      <c r="T558" s="2" t="s">
        <v>4696</v>
      </c>
      <c r="U558" s="2" t="s">
        <v>12</v>
      </c>
      <c r="V558" s="2" t="s">
        <v>4785</v>
      </c>
      <c r="W558" s="2" t="s">
        <v>4982</v>
      </c>
      <c r="X558" s="2" t="s">
        <v>4925</v>
      </c>
      <c r="Y558" s="2" t="s">
        <v>1268</v>
      </c>
      <c r="Z558" s="2" t="s">
        <v>5743</v>
      </c>
      <c r="AA5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5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8" s="6" t="str">
        <f>IF(_xlfn.IFNA(INDEX(configuracoes!$A$2:$A$10,MATCH(base_tc_geral[[#This Row],[TIPO]],configuracoes!$A$2:$A$10,0)),"NÃO")="NÃO","NÃO","SIM")</f>
        <v>NÃO</v>
      </c>
    </row>
    <row r="559" spans="1:31" x14ac:dyDescent="0.25">
      <c r="A559" s="2" t="s">
        <v>875</v>
      </c>
      <c r="B559" s="2">
        <v>102002917</v>
      </c>
      <c r="C559" s="2" t="s">
        <v>15</v>
      </c>
      <c r="D559" s="2" t="s">
        <v>4499</v>
      </c>
      <c r="E559" s="2" t="s">
        <v>106</v>
      </c>
      <c r="F559" s="2" t="s">
        <v>863</v>
      </c>
      <c r="G559" s="2" t="s">
        <v>637</v>
      </c>
      <c r="H559" s="2" t="s">
        <v>427</v>
      </c>
      <c r="I559" s="2" t="s">
        <v>33</v>
      </c>
      <c r="J559" s="2" t="s">
        <v>109</v>
      </c>
      <c r="K559" s="2" t="s">
        <v>20</v>
      </c>
      <c r="L559" s="2" t="s">
        <v>19</v>
      </c>
      <c r="M559" s="2" t="s">
        <v>22</v>
      </c>
      <c r="N559" s="2" t="s">
        <v>15</v>
      </c>
      <c r="O559" s="2" t="s">
        <v>430</v>
      </c>
      <c r="P559" s="2" t="s">
        <v>877</v>
      </c>
      <c r="Q559" s="2" t="s">
        <v>4926</v>
      </c>
      <c r="R559" s="2" t="s">
        <v>5069</v>
      </c>
      <c r="S559" s="2" t="s">
        <v>736</v>
      </c>
      <c r="T559" s="2" t="s">
        <v>167</v>
      </c>
      <c r="U559" s="2" t="s">
        <v>12</v>
      </c>
      <c r="V559" s="2" t="s">
        <v>4773</v>
      </c>
      <c r="W559" s="2" t="s">
        <v>42</v>
      </c>
      <c r="X559" s="2" t="s">
        <v>4925</v>
      </c>
      <c r="Y559" s="2" t="s">
        <v>876</v>
      </c>
      <c r="Z559" s="2" t="s">
        <v>5744</v>
      </c>
      <c r="AA5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5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59" s="6" t="str">
        <f>IF(_xlfn.IFNA(INDEX(configuracoes!$A$2:$A$10,MATCH(base_tc_geral[[#This Row],[TIPO]],configuracoes!$A$2:$A$10,0)),"NÃO")="NÃO","NÃO","SIM")</f>
        <v>SIM</v>
      </c>
    </row>
    <row r="560" spans="1:31" x14ac:dyDescent="0.25">
      <c r="A560" s="2" t="s">
        <v>2227</v>
      </c>
      <c r="B560" s="2">
        <v>105303134</v>
      </c>
      <c r="C560" s="2" t="s">
        <v>15</v>
      </c>
      <c r="D560" s="2" t="s">
        <v>4671</v>
      </c>
      <c r="E560" s="2" t="s">
        <v>28</v>
      </c>
      <c r="F560" s="2" t="s">
        <v>290</v>
      </c>
      <c r="G560" s="2" t="s">
        <v>245</v>
      </c>
      <c r="H560" s="2" t="s">
        <v>34</v>
      </c>
      <c r="I560" s="2" t="s">
        <v>33</v>
      </c>
      <c r="J560" s="2" t="s">
        <v>34</v>
      </c>
      <c r="K560" s="2" t="s">
        <v>20</v>
      </c>
      <c r="L560" s="2" t="s">
        <v>21</v>
      </c>
      <c r="M560" s="2" t="s">
        <v>22</v>
      </c>
      <c r="N560" s="2" t="s">
        <v>15</v>
      </c>
      <c r="O560" s="2" t="s">
        <v>156</v>
      </c>
      <c r="P560" s="2" t="s">
        <v>2229</v>
      </c>
      <c r="Q560" s="2" t="s">
        <v>4926</v>
      </c>
      <c r="R560" s="2" t="s">
        <v>442</v>
      </c>
      <c r="S560" s="2" t="s">
        <v>167</v>
      </c>
      <c r="T560" s="2" t="s">
        <v>167</v>
      </c>
      <c r="U560" s="2" t="s">
        <v>12</v>
      </c>
      <c r="V560" s="2" t="s">
        <v>4763</v>
      </c>
      <c r="W560" s="2" t="s">
        <v>4982</v>
      </c>
      <c r="X560" s="2" t="s">
        <v>4925</v>
      </c>
      <c r="Y560" s="2" t="s">
        <v>2228</v>
      </c>
      <c r="Z560" s="2" t="s">
        <v>5745</v>
      </c>
      <c r="AA5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5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0" s="6" t="str">
        <f>IF(_xlfn.IFNA(INDEX(configuracoes!$A$2:$A$10,MATCH(base_tc_geral[[#This Row],[TIPO]],configuracoes!$A$2:$A$10,0)),"NÃO")="NÃO","NÃO","SIM")</f>
        <v>SIM</v>
      </c>
    </row>
    <row r="561" spans="1:31" x14ac:dyDescent="0.25">
      <c r="A561" s="2" t="s">
        <v>611</v>
      </c>
      <c r="B561" s="2">
        <v>109505149</v>
      </c>
      <c r="C561" s="2" t="s">
        <v>15</v>
      </c>
      <c r="D561" s="2" t="s">
        <v>4544</v>
      </c>
      <c r="E561" s="2" t="s">
        <v>86</v>
      </c>
      <c r="F561" s="2" t="s">
        <v>540</v>
      </c>
      <c r="G561" s="2" t="s">
        <v>99</v>
      </c>
      <c r="H561" s="2" t="s">
        <v>283</v>
      </c>
      <c r="I561" s="2" t="s">
        <v>33</v>
      </c>
      <c r="J561" s="2" t="s">
        <v>124</v>
      </c>
      <c r="K561" s="2" t="s">
        <v>13</v>
      </c>
      <c r="L561" s="2" t="s">
        <v>25</v>
      </c>
      <c r="M561" s="2" t="s">
        <v>22</v>
      </c>
      <c r="N561" s="2" t="s">
        <v>15</v>
      </c>
      <c r="O561" s="2" t="s">
        <v>287</v>
      </c>
      <c r="P561" s="2" t="s">
        <v>614</v>
      </c>
      <c r="Q561" s="2" t="s">
        <v>4926</v>
      </c>
      <c r="R561" s="2" t="s">
        <v>125</v>
      </c>
      <c r="S561" s="2" t="s">
        <v>125</v>
      </c>
      <c r="T561" s="2" t="s">
        <v>4696</v>
      </c>
      <c r="U561" s="2" t="s">
        <v>12</v>
      </c>
      <c r="V561" s="2" t="s">
        <v>4765</v>
      </c>
      <c r="W561" s="2" t="s">
        <v>4931</v>
      </c>
      <c r="X561" s="2" t="s">
        <v>4925</v>
      </c>
      <c r="Y561" s="2" t="s">
        <v>612</v>
      </c>
      <c r="Z561" s="2" t="s">
        <v>5746</v>
      </c>
      <c r="AA5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VINICIUS </v>
      </c>
      <c r="AB5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1" s="6" t="str">
        <f>IF(_xlfn.IFNA(INDEX(configuracoes!$A$2:$A$10,MATCH(base_tc_geral[[#This Row],[TIPO]],configuracoes!$A$2:$A$10,0)),"NÃO")="NÃO","NÃO","SIM")</f>
        <v>SIM</v>
      </c>
    </row>
    <row r="562" spans="1:31" x14ac:dyDescent="0.25">
      <c r="A562" s="2" t="s">
        <v>4043</v>
      </c>
      <c r="B562" s="2">
        <v>109000340</v>
      </c>
      <c r="C562" s="2" t="s">
        <v>15</v>
      </c>
      <c r="D562" s="2" t="s">
        <v>4481</v>
      </c>
      <c r="E562" s="2" t="s">
        <v>86</v>
      </c>
      <c r="F562" s="2" t="s">
        <v>1320</v>
      </c>
      <c r="G562" s="2" t="s">
        <v>630</v>
      </c>
      <c r="H562" s="2" t="s">
        <v>1321</v>
      </c>
      <c r="I562" s="2" t="s">
        <v>33</v>
      </c>
      <c r="J562" s="2" t="s">
        <v>91</v>
      </c>
      <c r="K562" s="2" t="s">
        <v>20</v>
      </c>
      <c r="L562" s="2" t="s">
        <v>21</v>
      </c>
      <c r="M562" s="2" t="s">
        <v>22</v>
      </c>
      <c r="N562" s="2" t="s">
        <v>15</v>
      </c>
      <c r="O562" s="2" t="s">
        <v>1322</v>
      </c>
      <c r="P562" s="2" t="s">
        <v>4045</v>
      </c>
      <c r="Q562" s="2" t="s">
        <v>4926</v>
      </c>
      <c r="R562" s="2" t="s">
        <v>90</v>
      </c>
      <c r="S562" s="2" t="s">
        <v>93</v>
      </c>
      <c r="T562" s="2" t="s">
        <v>4696</v>
      </c>
      <c r="U562" s="2" t="s">
        <v>12</v>
      </c>
      <c r="V562" s="2" t="s">
        <v>4898</v>
      </c>
      <c r="W562" s="2" t="s">
        <v>4982</v>
      </c>
      <c r="X562" s="2" t="s">
        <v>4925</v>
      </c>
      <c r="Y562" s="2" t="s">
        <v>4044</v>
      </c>
      <c r="Z562" s="2" t="s">
        <v>5747</v>
      </c>
      <c r="AA5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5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2" s="6" t="str">
        <f>IF(_xlfn.IFNA(INDEX(configuracoes!$A$2:$A$10,MATCH(base_tc_geral[[#This Row],[TIPO]],configuracoes!$A$2:$A$10,0)),"NÃO")="NÃO","NÃO","SIM")</f>
        <v>SIM</v>
      </c>
    </row>
    <row r="563" spans="1:31" x14ac:dyDescent="0.25">
      <c r="A563" s="2" t="s">
        <v>1749</v>
      </c>
      <c r="B563" s="2">
        <v>109504012</v>
      </c>
      <c r="C563" s="2" t="s">
        <v>15</v>
      </c>
      <c r="D563" s="2" t="s">
        <v>4881</v>
      </c>
      <c r="E563" s="2" t="s">
        <v>28</v>
      </c>
      <c r="F563" s="2" t="s">
        <v>80</v>
      </c>
      <c r="G563" s="2" t="s">
        <v>172</v>
      </c>
      <c r="H563" s="2" t="s">
        <v>79</v>
      </c>
      <c r="I563" s="2" t="s">
        <v>33</v>
      </c>
      <c r="J563" s="2" t="s">
        <v>34</v>
      </c>
      <c r="K563" s="2" t="s">
        <v>13</v>
      </c>
      <c r="L563" s="2" t="s">
        <v>17</v>
      </c>
      <c r="M563" s="2" t="s">
        <v>23</v>
      </c>
      <c r="N563" s="2" t="s">
        <v>15</v>
      </c>
      <c r="O563" s="2" t="s">
        <v>83</v>
      </c>
      <c r="P563" s="2" t="s">
        <v>1751</v>
      </c>
      <c r="Q563" s="2" t="s">
        <v>4926</v>
      </c>
      <c r="R563" s="2" t="s">
        <v>166</v>
      </c>
      <c r="S563" s="2" t="s">
        <v>167</v>
      </c>
      <c r="T563" s="2" t="s">
        <v>167</v>
      </c>
      <c r="U563" s="2" t="s">
        <v>12</v>
      </c>
      <c r="V563" s="2" t="s">
        <v>4774</v>
      </c>
      <c r="W563" s="2" t="s">
        <v>17</v>
      </c>
      <c r="X563" s="2" t="s">
        <v>4998</v>
      </c>
      <c r="Y563" s="2" t="s">
        <v>1750</v>
      </c>
      <c r="Z563" s="2" t="s">
        <v>5343</v>
      </c>
      <c r="AA5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5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3" s="6" t="str">
        <f>IF(_xlfn.IFNA(INDEX(configuracoes!$A$2:$A$10,MATCH(base_tc_geral[[#This Row],[TIPO]],configuracoes!$A$2:$A$10,0)),"NÃO")="NÃO","NÃO","SIM")</f>
        <v>NÃO</v>
      </c>
    </row>
    <row r="564" spans="1:31" x14ac:dyDescent="0.25">
      <c r="A564" s="2" t="s">
        <v>3153</v>
      </c>
      <c r="B564" s="2">
        <v>109000943</v>
      </c>
      <c r="C564" s="2" t="s">
        <v>24</v>
      </c>
      <c r="D564" s="2" t="s">
        <v>4482</v>
      </c>
      <c r="E564" s="2" t="s">
        <v>86</v>
      </c>
      <c r="F564" s="2" t="s">
        <v>205</v>
      </c>
      <c r="G564" s="2" t="s">
        <v>58</v>
      </c>
      <c r="H564" s="2" t="s">
        <v>122</v>
      </c>
      <c r="I564" s="2" t="s">
        <v>33</v>
      </c>
      <c r="J564" s="2" t="s">
        <v>124</v>
      </c>
      <c r="K564" s="2" t="s">
        <v>20</v>
      </c>
      <c r="L564" s="2" t="s">
        <v>61</v>
      </c>
      <c r="M564" s="2" t="s">
        <v>22</v>
      </c>
      <c r="N564" s="2" t="s">
        <v>24</v>
      </c>
      <c r="O564" s="2" t="s">
        <v>129</v>
      </c>
      <c r="P564" s="2" t="s">
        <v>3155</v>
      </c>
      <c r="Q564" s="2" t="s">
        <v>4926</v>
      </c>
      <c r="R564" s="2" t="s">
        <v>206</v>
      </c>
      <c r="S564" s="2" t="s">
        <v>125</v>
      </c>
      <c r="T564" s="2" t="s">
        <v>4696</v>
      </c>
      <c r="U564" s="2" t="s">
        <v>39</v>
      </c>
      <c r="V564" s="2" t="s">
        <v>4771</v>
      </c>
      <c r="W564" s="2" t="s">
        <v>4982</v>
      </c>
      <c r="X564" s="2" t="s">
        <v>4925</v>
      </c>
      <c r="Y564" s="2" t="s">
        <v>3154</v>
      </c>
      <c r="Z564" s="2" t="s">
        <v>5344</v>
      </c>
      <c r="AA5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5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64" s="6" t="str">
        <f>IF(_xlfn.IFNA(INDEX(configuracoes!$A$2:$A$10,MATCH(base_tc_geral[[#This Row],[TIPO]],configuracoes!$A$2:$A$10,0)),"NÃO")="NÃO","NÃO","SIM")</f>
        <v>NÃO</v>
      </c>
    </row>
    <row r="565" spans="1:31" x14ac:dyDescent="0.25">
      <c r="A565" s="2" t="s">
        <v>1812</v>
      </c>
      <c r="B565" s="2">
        <v>109505049</v>
      </c>
      <c r="C565" s="2" t="s">
        <v>15</v>
      </c>
      <c r="D565" s="2" t="s">
        <v>4616</v>
      </c>
      <c r="E565" s="2" t="s">
        <v>86</v>
      </c>
      <c r="F565" s="2" t="s">
        <v>540</v>
      </c>
      <c r="G565" s="2" t="s">
        <v>99</v>
      </c>
      <c r="H565" s="2" t="s">
        <v>283</v>
      </c>
      <c r="I565" s="2" t="s">
        <v>33</v>
      </c>
      <c r="J565" s="2" t="s">
        <v>124</v>
      </c>
      <c r="K565" s="2" t="s">
        <v>13</v>
      </c>
      <c r="L565" s="2" t="s">
        <v>25</v>
      </c>
      <c r="M565" s="2" t="s">
        <v>22</v>
      </c>
      <c r="N565" s="2" t="s">
        <v>15</v>
      </c>
      <c r="O565" s="2" t="s">
        <v>287</v>
      </c>
      <c r="P565" s="2" t="s">
        <v>1814</v>
      </c>
      <c r="Q565" s="2" t="s">
        <v>4926</v>
      </c>
      <c r="R565" s="2" t="s">
        <v>541</v>
      </c>
      <c r="S565" s="2" t="s">
        <v>125</v>
      </c>
      <c r="T565" s="2" t="s">
        <v>4696</v>
      </c>
      <c r="U565" s="2" t="s">
        <v>12</v>
      </c>
      <c r="V565" s="2" t="s">
        <v>4765</v>
      </c>
      <c r="W565" s="2" t="s">
        <v>4931</v>
      </c>
      <c r="X565" s="2" t="s">
        <v>4925</v>
      </c>
      <c r="Y565" s="2" t="s">
        <v>1813</v>
      </c>
      <c r="Z565" s="2" t="s">
        <v>5345</v>
      </c>
      <c r="AA5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5" s="6" t="str">
        <f>IF(_xlfn.IFNA(INDEX(configuracoes!$A$2:$A$10,MATCH(base_tc_geral[[#This Row],[TIPO]],configuracoes!$A$2:$A$10,0)),"NÃO")="NÃO","NÃO","SIM")</f>
        <v>SIM</v>
      </c>
    </row>
    <row r="566" spans="1:31" x14ac:dyDescent="0.25">
      <c r="A566" s="2" t="s">
        <v>2433</v>
      </c>
      <c r="B566" s="2">
        <v>102101393</v>
      </c>
      <c r="C566" s="2" t="s">
        <v>15</v>
      </c>
      <c r="D566" s="2" t="s">
        <v>4572</v>
      </c>
      <c r="E566" s="2" t="s">
        <v>106</v>
      </c>
      <c r="F566" s="2" t="s">
        <v>863</v>
      </c>
      <c r="G566" s="2" t="s">
        <v>172</v>
      </c>
      <c r="H566" s="2" t="s">
        <v>427</v>
      </c>
      <c r="I566" s="2" t="s">
        <v>33</v>
      </c>
      <c r="J566" s="2" t="s">
        <v>109</v>
      </c>
      <c r="K566" s="2" t="s">
        <v>13</v>
      </c>
      <c r="L566" s="2" t="s">
        <v>17</v>
      </c>
      <c r="M566" s="2" t="s">
        <v>23</v>
      </c>
      <c r="N566" s="2" t="s">
        <v>15</v>
      </c>
      <c r="O566" s="2" t="s">
        <v>430</v>
      </c>
      <c r="P566" s="2" t="s">
        <v>2435</v>
      </c>
      <c r="Q566" s="2" t="s">
        <v>4926</v>
      </c>
      <c r="R566" s="2" t="s">
        <v>735</v>
      </c>
      <c r="S566" s="2" t="s">
        <v>736</v>
      </c>
      <c r="T566" s="2" t="s">
        <v>167</v>
      </c>
      <c r="U566" s="2" t="s">
        <v>12</v>
      </c>
      <c r="V566" s="2" t="s">
        <v>4886</v>
      </c>
      <c r="W566" s="2" t="s">
        <v>17</v>
      </c>
      <c r="X566" s="2" t="s">
        <v>4998</v>
      </c>
      <c r="Y566" s="2" t="s">
        <v>2434</v>
      </c>
      <c r="Z566" s="2" t="s">
        <v>5346</v>
      </c>
      <c r="AA5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6" s="6" t="str">
        <f>IF(_xlfn.IFNA(INDEX(configuracoes!$A$2:$A$10,MATCH(base_tc_geral[[#This Row],[TIPO]],configuracoes!$A$2:$A$10,0)),"NÃO")="NÃO","NÃO","SIM")</f>
        <v>NÃO</v>
      </c>
    </row>
    <row r="567" spans="1:31" x14ac:dyDescent="0.25">
      <c r="A567" s="2" t="s">
        <v>2375</v>
      </c>
      <c r="B567" s="2">
        <v>102101393</v>
      </c>
      <c r="C567" s="2" t="s">
        <v>15</v>
      </c>
      <c r="D567" s="2" t="s">
        <v>4509</v>
      </c>
      <c r="E567" s="2" t="s">
        <v>106</v>
      </c>
      <c r="F567" s="2" t="s">
        <v>405</v>
      </c>
      <c r="G567" s="2" t="s">
        <v>58</v>
      </c>
      <c r="H567" s="2" t="s">
        <v>130</v>
      </c>
      <c r="I567" s="2" t="s">
        <v>33</v>
      </c>
      <c r="J567" s="2" t="s">
        <v>109</v>
      </c>
      <c r="K567" s="2" t="s">
        <v>13</v>
      </c>
      <c r="L567" s="2" t="s">
        <v>61</v>
      </c>
      <c r="M567" s="2" t="s">
        <v>44</v>
      </c>
      <c r="N567" s="2" t="s">
        <v>15</v>
      </c>
      <c r="O567" s="2" t="s">
        <v>132</v>
      </c>
      <c r="P567" s="2" t="s">
        <v>2377</v>
      </c>
      <c r="Q567" s="2" t="s">
        <v>4926</v>
      </c>
      <c r="R567" s="2" t="s">
        <v>735</v>
      </c>
      <c r="S567" s="2" t="s">
        <v>736</v>
      </c>
      <c r="T567" s="2" t="s">
        <v>167</v>
      </c>
      <c r="U567" s="2" t="s">
        <v>12</v>
      </c>
      <c r="V567" s="2" t="s">
        <v>4886</v>
      </c>
      <c r="W567" s="2" t="s">
        <v>4999</v>
      </c>
      <c r="X567" s="2" t="s">
        <v>44</v>
      </c>
      <c r="Y567" s="2" t="s">
        <v>2376</v>
      </c>
      <c r="Z567" s="2" t="s">
        <v>5347</v>
      </c>
      <c r="AA5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7" s="6" t="str">
        <f>IF(_xlfn.IFNA(INDEX(configuracoes!$A$2:$A$10,MATCH(base_tc_geral[[#This Row],[TIPO]],configuracoes!$A$2:$A$10,0)),"NÃO")="NÃO","NÃO","SIM")</f>
        <v>NÃO</v>
      </c>
    </row>
    <row r="568" spans="1:31" x14ac:dyDescent="0.25">
      <c r="A568" s="2" t="s">
        <v>1944</v>
      </c>
      <c r="B568" s="2">
        <v>109000943</v>
      </c>
      <c r="C568" s="2" t="s">
        <v>15</v>
      </c>
      <c r="D568" s="2" t="s">
        <v>4648</v>
      </c>
      <c r="E568" s="2" t="s">
        <v>86</v>
      </c>
      <c r="F568" s="2" t="s">
        <v>205</v>
      </c>
      <c r="G568" s="2" t="s">
        <v>58</v>
      </c>
      <c r="H568" s="2" t="s">
        <v>122</v>
      </c>
      <c r="I568" s="2" t="s">
        <v>33</v>
      </c>
      <c r="J568" s="2" t="s">
        <v>124</v>
      </c>
      <c r="K568" s="2" t="s">
        <v>13</v>
      </c>
      <c r="L568" s="2" t="s">
        <v>61</v>
      </c>
      <c r="M568" s="2" t="s">
        <v>44</v>
      </c>
      <c r="N568" s="2" t="s">
        <v>15</v>
      </c>
      <c r="O568" s="2" t="s">
        <v>129</v>
      </c>
      <c r="P568" s="2" t="s">
        <v>1946</v>
      </c>
      <c r="Q568" s="2" t="s">
        <v>4926</v>
      </c>
      <c r="R568" s="2" t="s">
        <v>206</v>
      </c>
      <c r="S568" s="2" t="s">
        <v>125</v>
      </c>
      <c r="T568" s="2" t="s">
        <v>4696</v>
      </c>
      <c r="U568" s="2" t="s">
        <v>12</v>
      </c>
      <c r="V568" s="2" t="s">
        <v>4771</v>
      </c>
      <c r="W568" s="2" t="s">
        <v>5013</v>
      </c>
      <c r="X568" s="2" t="s">
        <v>44</v>
      </c>
      <c r="Y568" s="2" t="s">
        <v>1945</v>
      </c>
      <c r="Z568" s="2" t="s">
        <v>5348</v>
      </c>
      <c r="AA5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5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8" s="6" t="str">
        <f>IF(_xlfn.IFNA(INDEX(configuracoes!$A$2:$A$10,MATCH(base_tc_geral[[#This Row],[TIPO]],configuracoes!$A$2:$A$10,0)),"NÃO")="NÃO","NÃO","SIM")</f>
        <v>NÃO</v>
      </c>
    </row>
    <row r="569" spans="1:31" x14ac:dyDescent="0.25">
      <c r="A569" s="2" t="s">
        <v>418</v>
      </c>
      <c r="B569" s="2">
        <v>109506091</v>
      </c>
      <c r="C569" s="2" t="s">
        <v>15</v>
      </c>
      <c r="D569" s="2" t="s">
        <v>4481</v>
      </c>
      <c r="E569" s="2" t="s">
        <v>86</v>
      </c>
      <c r="F569" s="2" t="s">
        <v>123</v>
      </c>
      <c r="G569" s="2" t="s">
        <v>245</v>
      </c>
      <c r="H569" s="2" t="s">
        <v>122</v>
      </c>
      <c r="I569" s="2" t="s">
        <v>33</v>
      </c>
      <c r="J569" s="2" t="s">
        <v>124</v>
      </c>
      <c r="K569" s="2" t="s">
        <v>20</v>
      </c>
      <c r="L569" s="2" t="s">
        <v>21</v>
      </c>
      <c r="M569" s="2" t="s">
        <v>22</v>
      </c>
      <c r="N569" s="2" t="s">
        <v>15</v>
      </c>
      <c r="O569" s="2" t="s">
        <v>129</v>
      </c>
      <c r="P569" s="2" t="s">
        <v>420</v>
      </c>
      <c r="Q569" s="2" t="s">
        <v>4926</v>
      </c>
      <c r="R569" s="2" t="s">
        <v>2683</v>
      </c>
      <c r="S569" s="2" t="s">
        <v>125</v>
      </c>
      <c r="T569" s="2" t="s">
        <v>4696</v>
      </c>
      <c r="U569" s="2" t="s">
        <v>12</v>
      </c>
      <c r="V569" s="2" t="s">
        <v>4784</v>
      </c>
      <c r="W569" s="2" t="s">
        <v>4982</v>
      </c>
      <c r="X569" s="2" t="s">
        <v>4925</v>
      </c>
      <c r="Y569" s="2" t="s">
        <v>419</v>
      </c>
      <c r="Z569" s="2" t="s">
        <v>5349</v>
      </c>
      <c r="AA5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5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69" s="6" t="str">
        <f>IF(_xlfn.IFNA(INDEX(configuracoes!$A$2:$A$10,MATCH(base_tc_geral[[#This Row],[TIPO]],configuracoes!$A$2:$A$10,0)),"NÃO")="NÃO","NÃO","SIM")</f>
        <v>SIM</v>
      </c>
    </row>
    <row r="570" spans="1:31" x14ac:dyDescent="0.25">
      <c r="A570" s="2" t="s">
        <v>1960</v>
      </c>
      <c r="B570" s="2">
        <v>109504534</v>
      </c>
      <c r="C570" s="2" t="s">
        <v>24</v>
      </c>
      <c r="D570" s="2" t="s">
        <v>4482</v>
      </c>
      <c r="E570" s="2" t="s">
        <v>86</v>
      </c>
      <c r="F570" s="2" t="s">
        <v>123</v>
      </c>
      <c r="G570" s="2" t="s">
        <v>58</v>
      </c>
      <c r="H570" s="2" t="s">
        <v>122</v>
      </c>
      <c r="I570" s="2" t="s">
        <v>33</v>
      </c>
      <c r="J570" s="2" t="s">
        <v>124</v>
      </c>
      <c r="K570" s="2" t="s">
        <v>13</v>
      </c>
      <c r="L570" s="2" t="s">
        <v>61</v>
      </c>
      <c r="M570" s="2" t="s">
        <v>44</v>
      </c>
      <c r="N570" s="2" t="s">
        <v>24</v>
      </c>
      <c r="O570" s="2" t="s">
        <v>129</v>
      </c>
      <c r="P570" s="2" t="s">
        <v>1962</v>
      </c>
      <c r="Q570" s="2" t="s">
        <v>4926</v>
      </c>
      <c r="R570" s="2" t="s">
        <v>1957</v>
      </c>
      <c r="S570" s="2" t="s">
        <v>4699</v>
      </c>
      <c r="T570" s="2" t="s">
        <v>4696</v>
      </c>
      <c r="U570" s="2" t="s">
        <v>39</v>
      </c>
      <c r="V570" s="2" t="s">
        <v>4797</v>
      </c>
      <c r="W570" s="2" t="s">
        <v>4984</v>
      </c>
      <c r="X570" s="2" t="s">
        <v>44</v>
      </c>
      <c r="Y570" s="2" t="s">
        <v>1961</v>
      </c>
      <c r="Z570" s="2" t="s">
        <v>5350</v>
      </c>
      <c r="AA5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EDSON CARLOS </v>
      </c>
      <c r="AB5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5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70" s="6" t="str">
        <f>IF(_xlfn.IFNA(INDEX(configuracoes!$A$2:$A$10,MATCH(base_tc_geral[[#This Row],[TIPO]],configuracoes!$A$2:$A$10,0)),"NÃO")="NÃO","NÃO","SIM")</f>
        <v>NÃO</v>
      </c>
    </row>
    <row r="571" spans="1:31" x14ac:dyDescent="0.25">
      <c r="A571" s="2" t="s">
        <v>3057</v>
      </c>
      <c r="B571" s="2">
        <v>109505049</v>
      </c>
      <c r="C571" s="2" t="s">
        <v>15</v>
      </c>
      <c r="D571" s="2" t="s">
        <v>4548</v>
      </c>
      <c r="E571" s="2" t="s">
        <v>86</v>
      </c>
      <c r="F571" s="2" t="s">
        <v>540</v>
      </c>
      <c r="G571" s="2" t="s">
        <v>99</v>
      </c>
      <c r="H571" s="2" t="s">
        <v>283</v>
      </c>
      <c r="I571" s="2" t="s">
        <v>33</v>
      </c>
      <c r="J571" s="2" t="s">
        <v>124</v>
      </c>
      <c r="K571" s="2" t="s">
        <v>13</v>
      </c>
      <c r="L571" s="2" t="s">
        <v>25</v>
      </c>
      <c r="M571" s="2" t="s">
        <v>22</v>
      </c>
      <c r="N571" s="2" t="s">
        <v>15</v>
      </c>
      <c r="O571" s="2" t="s">
        <v>287</v>
      </c>
      <c r="P571" s="2" t="s">
        <v>3059</v>
      </c>
      <c r="Q571" s="2" t="s">
        <v>4926</v>
      </c>
      <c r="R571" s="2" t="s">
        <v>541</v>
      </c>
      <c r="S571" s="2" t="s">
        <v>125</v>
      </c>
      <c r="T571" s="2" t="s">
        <v>4696</v>
      </c>
      <c r="U571" s="2" t="s">
        <v>12</v>
      </c>
      <c r="V571" s="2" t="s">
        <v>4765</v>
      </c>
      <c r="W571" s="2" t="s">
        <v>4931</v>
      </c>
      <c r="X571" s="2" t="s">
        <v>4925</v>
      </c>
      <c r="Y571" s="2" t="s">
        <v>3058</v>
      </c>
      <c r="Z571" s="2" t="s">
        <v>5351</v>
      </c>
      <c r="AA5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1" s="6" t="str">
        <f>IF(_xlfn.IFNA(INDEX(configuracoes!$A$2:$A$10,MATCH(base_tc_geral[[#This Row],[TIPO]],configuracoes!$A$2:$A$10,0)),"NÃO")="NÃO","NÃO","SIM")</f>
        <v>SIM</v>
      </c>
    </row>
    <row r="572" spans="1:31" x14ac:dyDescent="0.25">
      <c r="A572" s="2" t="s">
        <v>2036</v>
      </c>
      <c r="B572" s="2">
        <v>102101642</v>
      </c>
      <c r="C572" s="2" t="s">
        <v>15</v>
      </c>
      <c r="D572" s="2" t="s">
        <v>4567</v>
      </c>
      <c r="E572" s="2" t="s">
        <v>106</v>
      </c>
      <c r="F572" s="2" t="s">
        <v>509</v>
      </c>
      <c r="G572" s="2" t="s">
        <v>245</v>
      </c>
      <c r="H572" s="2" t="s">
        <v>130</v>
      </c>
      <c r="I572" s="2" t="s">
        <v>33</v>
      </c>
      <c r="J572" s="2" t="s">
        <v>109</v>
      </c>
      <c r="K572" s="2" t="s">
        <v>20</v>
      </c>
      <c r="L572" s="2" t="s">
        <v>21</v>
      </c>
      <c r="M572" s="2" t="s">
        <v>22</v>
      </c>
      <c r="N572" s="2" t="s">
        <v>15</v>
      </c>
      <c r="O572" s="2" t="s">
        <v>132</v>
      </c>
      <c r="P572" s="2" t="s">
        <v>2038</v>
      </c>
      <c r="Q572" s="2" t="s">
        <v>4926</v>
      </c>
      <c r="R572" s="2" t="s">
        <v>187</v>
      </c>
      <c r="S572" s="2" t="s">
        <v>736</v>
      </c>
      <c r="T572" s="2" t="s">
        <v>167</v>
      </c>
      <c r="U572" s="2" t="s">
        <v>12</v>
      </c>
      <c r="V572" s="2" t="s">
        <v>4772</v>
      </c>
      <c r="W572" s="2" t="s">
        <v>4982</v>
      </c>
      <c r="X572" s="2" t="s">
        <v>4925</v>
      </c>
      <c r="Y572" s="2" t="s">
        <v>2037</v>
      </c>
      <c r="Z572" s="2" t="s">
        <v>5352</v>
      </c>
      <c r="AA5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5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2" s="6" t="str">
        <f>IF(_xlfn.IFNA(INDEX(configuracoes!$A$2:$A$10,MATCH(base_tc_geral[[#This Row],[TIPO]],configuracoes!$A$2:$A$10,0)),"NÃO")="NÃO","NÃO","SIM")</f>
        <v>SIM</v>
      </c>
    </row>
    <row r="573" spans="1:31" x14ac:dyDescent="0.25">
      <c r="A573" s="2" t="s">
        <v>3824</v>
      </c>
      <c r="B573" s="2">
        <v>109000943</v>
      </c>
      <c r="C573" s="2" t="s">
        <v>15</v>
      </c>
      <c r="D573" s="2" t="s">
        <v>4523</v>
      </c>
      <c r="E573" s="2" t="s">
        <v>86</v>
      </c>
      <c r="F573" s="2" t="s">
        <v>205</v>
      </c>
      <c r="G573" s="2" t="s">
        <v>58</v>
      </c>
      <c r="H573" s="2" t="s">
        <v>122</v>
      </c>
      <c r="I573" s="2" t="s">
        <v>33</v>
      </c>
      <c r="J573" s="2" t="s">
        <v>124</v>
      </c>
      <c r="K573" s="2" t="s">
        <v>13</v>
      </c>
      <c r="L573" s="2" t="s">
        <v>61</v>
      </c>
      <c r="M573" s="2" t="s">
        <v>44</v>
      </c>
      <c r="N573" s="2" t="s">
        <v>15</v>
      </c>
      <c r="O573" s="2" t="s">
        <v>129</v>
      </c>
      <c r="P573" s="2" t="s">
        <v>3826</v>
      </c>
      <c r="Q573" s="2" t="s">
        <v>4926</v>
      </c>
      <c r="R573" s="2" t="s">
        <v>206</v>
      </c>
      <c r="S573" s="2" t="s">
        <v>125</v>
      </c>
      <c r="T573" s="2" t="s">
        <v>4696</v>
      </c>
      <c r="U573" s="2" t="s">
        <v>12</v>
      </c>
      <c r="V573" s="2" t="s">
        <v>4771</v>
      </c>
      <c r="W573" s="2" t="s">
        <v>5013</v>
      </c>
      <c r="X573" s="2" t="s">
        <v>44</v>
      </c>
      <c r="Y573" s="2" t="s">
        <v>3825</v>
      </c>
      <c r="Z573" s="2" t="s">
        <v>5353</v>
      </c>
      <c r="AA5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5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3" s="6" t="str">
        <f>IF(_xlfn.IFNA(INDEX(configuracoes!$A$2:$A$10,MATCH(base_tc_geral[[#This Row],[TIPO]],configuracoes!$A$2:$A$10,0)),"NÃO")="NÃO","NÃO","SIM")</f>
        <v>NÃO</v>
      </c>
    </row>
    <row r="574" spans="1:31" x14ac:dyDescent="0.25">
      <c r="A574" s="2" t="s">
        <v>865</v>
      </c>
      <c r="B574" s="2">
        <v>102002917</v>
      </c>
      <c r="C574" s="2" t="s">
        <v>15</v>
      </c>
      <c r="D574" s="2" t="s">
        <v>4525</v>
      </c>
      <c r="E574" s="2" t="s">
        <v>106</v>
      </c>
      <c r="F574" s="2" t="s">
        <v>863</v>
      </c>
      <c r="G574" s="2" t="s">
        <v>245</v>
      </c>
      <c r="H574" s="2" t="s">
        <v>427</v>
      </c>
      <c r="I574" s="2" t="s">
        <v>33</v>
      </c>
      <c r="J574" s="2" t="s">
        <v>109</v>
      </c>
      <c r="K574" s="2" t="s">
        <v>20</v>
      </c>
      <c r="L574" s="2" t="s">
        <v>21</v>
      </c>
      <c r="M574" s="2" t="s">
        <v>22</v>
      </c>
      <c r="N574" s="2" t="s">
        <v>15</v>
      </c>
      <c r="O574" s="2" t="s">
        <v>430</v>
      </c>
      <c r="P574" s="2" t="s">
        <v>867</v>
      </c>
      <c r="Q574" s="2" t="s">
        <v>4926</v>
      </c>
      <c r="R574" s="2" t="s">
        <v>5069</v>
      </c>
      <c r="S574" s="2" t="s">
        <v>736</v>
      </c>
      <c r="T574" s="2" t="s">
        <v>167</v>
      </c>
      <c r="U574" s="2" t="s">
        <v>12</v>
      </c>
      <c r="V574" s="2" t="s">
        <v>4773</v>
      </c>
      <c r="W574" s="2" t="s">
        <v>4982</v>
      </c>
      <c r="X574" s="2" t="s">
        <v>4925</v>
      </c>
      <c r="Y574" s="2" t="s">
        <v>866</v>
      </c>
      <c r="Z574" s="2" t="s">
        <v>5354</v>
      </c>
      <c r="AA5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5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4" s="6" t="str">
        <f>IF(_xlfn.IFNA(INDEX(configuracoes!$A$2:$A$10,MATCH(base_tc_geral[[#This Row],[TIPO]],configuracoes!$A$2:$A$10,0)),"NÃO")="NÃO","NÃO","SIM")</f>
        <v>SIM</v>
      </c>
    </row>
    <row r="575" spans="1:31" x14ac:dyDescent="0.25">
      <c r="A575" s="2" t="s">
        <v>2613</v>
      </c>
      <c r="B575" s="2">
        <v>105000986</v>
      </c>
      <c r="C575" s="2" t="s">
        <v>15</v>
      </c>
      <c r="D575" s="2" t="s">
        <v>4486</v>
      </c>
      <c r="E575" s="2" t="s">
        <v>28</v>
      </c>
      <c r="F575" s="2" t="s">
        <v>80</v>
      </c>
      <c r="G575" s="2" t="s">
        <v>245</v>
      </c>
      <c r="H575" s="2" t="s">
        <v>79</v>
      </c>
      <c r="I575" s="2" t="s">
        <v>33</v>
      </c>
      <c r="J575" s="2" t="s">
        <v>34</v>
      </c>
      <c r="K575" s="2" t="s">
        <v>20</v>
      </c>
      <c r="L575" s="2" t="s">
        <v>21</v>
      </c>
      <c r="M575" s="2" t="s">
        <v>22</v>
      </c>
      <c r="N575" s="2" t="s">
        <v>15</v>
      </c>
      <c r="O575" s="2" t="s">
        <v>83</v>
      </c>
      <c r="P575" s="2" t="s">
        <v>2615</v>
      </c>
      <c r="Q575" s="2" t="s">
        <v>4926</v>
      </c>
      <c r="R575" s="2" t="s">
        <v>81</v>
      </c>
      <c r="S575" s="2" t="s">
        <v>167</v>
      </c>
      <c r="T575" s="2" t="s">
        <v>167</v>
      </c>
      <c r="U575" s="2" t="s">
        <v>12</v>
      </c>
      <c r="V575" s="2" t="s">
        <v>4767</v>
      </c>
      <c r="W575" s="2" t="s">
        <v>4982</v>
      </c>
      <c r="X575" s="2" t="s">
        <v>4925</v>
      </c>
      <c r="Y575" s="2" t="s">
        <v>2614</v>
      </c>
      <c r="Z575" s="2" t="s">
        <v>5355</v>
      </c>
      <c r="AA5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5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5" s="6" t="str">
        <f>IF(_xlfn.IFNA(INDEX(configuracoes!$A$2:$A$10,MATCH(base_tc_geral[[#This Row],[TIPO]],configuracoes!$A$2:$A$10,0)),"NÃO")="NÃO","NÃO","SIM")</f>
        <v>SIM</v>
      </c>
    </row>
    <row r="576" spans="1:31" x14ac:dyDescent="0.25">
      <c r="A576" s="2" t="s">
        <v>1731</v>
      </c>
      <c r="B576" s="2">
        <v>109505049</v>
      </c>
      <c r="C576" s="2" t="s">
        <v>15</v>
      </c>
      <c r="D576" s="2" t="s">
        <v>4516</v>
      </c>
      <c r="E576" s="2" t="s">
        <v>86</v>
      </c>
      <c r="F576" s="2" t="s">
        <v>594</v>
      </c>
      <c r="G576" s="2" t="s">
        <v>99</v>
      </c>
      <c r="H576" s="2" t="s">
        <v>122</v>
      </c>
      <c r="I576" s="2" t="s">
        <v>33</v>
      </c>
      <c r="J576" s="2" t="s">
        <v>124</v>
      </c>
      <c r="K576" s="2" t="s">
        <v>13</v>
      </c>
      <c r="L576" s="2" t="s">
        <v>25</v>
      </c>
      <c r="M576" s="2" t="s">
        <v>22</v>
      </c>
      <c r="N576" s="2" t="s">
        <v>15</v>
      </c>
      <c r="O576" s="2" t="s">
        <v>129</v>
      </c>
      <c r="P576" s="2" t="s">
        <v>1733</v>
      </c>
      <c r="Q576" s="2" t="s">
        <v>4926</v>
      </c>
      <c r="R576" s="2" t="s">
        <v>541</v>
      </c>
      <c r="S576" s="2" t="s">
        <v>125</v>
      </c>
      <c r="T576" s="2" t="s">
        <v>4696</v>
      </c>
      <c r="U576" s="2" t="s">
        <v>12</v>
      </c>
      <c r="V576" s="2" t="s">
        <v>4771</v>
      </c>
      <c r="W576" s="2" t="s">
        <v>4931</v>
      </c>
      <c r="X576" s="2" t="s">
        <v>4925</v>
      </c>
      <c r="Y576" s="2" t="s">
        <v>1732</v>
      </c>
      <c r="Z576" s="2" t="s">
        <v>5748</v>
      </c>
      <c r="AA5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6" s="6" t="str">
        <f>IF(_xlfn.IFNA(INDEX(configuracoes!$A$2:$A$10,MATCH(base_tc_geral[[#This Row],[TIPO]],configuracoes!$A$2:$A$10,0)),"NÃO")="NÃO","NÃO","SIM")</f>
        <v>SIM</v>
      </c>
    </row>
    <row r="577" spans="1:31" x14ac:dyDescent="0.25">
      <c r="A577" s="2" t="s">
        <v>4419</v>
      </c>
      <c r="B577" s="2">
        <v>109506172</v>
      </c>
      <c r="C577" s="2" t="s">
        <v>15</v>
      </c>
      <c r="D577" s="2" t="s">
        <v>4527</v>
      </c>
      <c r="E577" s="2" t="s">
        <v>86</v>
      </c>
      <c r="F577" s="2" t="s">
        <v>177</v>
      </c>
      <c r="G577" s="2" t="s">
        <v>245</v>
      </c>
      <c r="H577" s="2" t="s">
        <v>164</v>
      </c>
      <c r="I577" s="2" t="s">
        <v>33</v>
      </c>
      <c r="J577" s="2" t="s">
        <v>124</v>
      </c>
      <c r="K577" s="2" t="s">
        <v>20</v>
      </c>
      <c r="L577" s="2" t="s">
        <v>21</v>
      </c>
      <c r="M577" s="2" t="s">
        <v>22</v>
      </c>
      <c r="N577" s="2" t="s">
        <v>15</v>
      </c>
      <c r="O577" s="2" t="s">
        <v>169</v>
      </c>
      <c r="P577" s="2" t="s">
        <v>4421</v>
      </c>
      <c r="Q577" s="2" t="s">
        <v>4926</v>
      </c>
      <c r="R577" s="2" t="s">
        <v>3588</v>
      </c>
      <c r="S577" s="2" t="s">
        <v>93</v>
      </c>
      <c r="T577" s="2" t="s">
        <v>4696</v>
      </c>
      <c r="U577" s="2" t="s">
        <v>12</v>
      </c>
      <c r="V577" s="2" t="s">
        <v>4798</v>
      </c>
      <c r="W577" s="2" t="s">
        <v>4982</v>
      </c>
      <c r="X577" s="2" t="s">
        <v>4925</v>
      </c>
      <c r="Y577" s="2" t="s">
        <v>4420</v>
      </c>
      <c r="Z577" s="2" t="s">
        <v>5749</v>
      </c>
      <c r="AA5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5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7" s="6" t="str">
        <f>IF(_xlfn.IFNA(INDEX(configuracoes!$A$2:$A$10,MATCH(base_tc_geral[[#This Row],[TIPO]],configuracoes!$A$2:$A$10,0)),"NÃO")="NÃO","NÃO","SIM")</f>
        <v>SIM</v>
      </c>
    </row>
    <row r="578" spans="1:31" x14ac:dyDescent="0.25">
      <c r="A578" s="2" t="s">
        <v>2616</v>
      </c>
      <c r="B578" s="2">
        <v>105000986</v>
      </c>
      <c r="C578" s="2" t="s">
        <v>15</v>
      </c>
      <c r="D578" s="2" t="s">
        <v>4508</v>
      </c>
      <c r="E578" s="2" t="s">
        <v>28</v>
      </c>
      <c r="F578" s="2" t="s">
        <v>80</v>
      </c>
      <c r="G578" s="2" t="s">
        <v>245</v>
      </c>
      <c r="H578" s="2" t="s">
        <v>79</v>
      </c>
      <c r="I578" s="2" t="s">
        <v>33</v>
      </c>
      <c r="J578" s="2" t="s">
        <v>34</v>
      </c>
      <c r="K578" s="2" t="s">
        <v>20</v>
      </c>
      <c r="L578" s="2" t="s">
        <v>21</v>
      </c>
      <c r="M578" s="2" t="s">
        <v>22</v>
      </c>
      <c r="N578" s="2" t="s">
        <v>15</v>
      </c>
      <c r="O578" s="2" t="s">
        <v>83</v>
      </c>
      <c r="P578" s="2" t="s">
        <v>2618</v>
      </c>
      <c r="Q578" s="2" t="s">
        <v>4926</v>
      </c>
      <c r="R578" s="2" t="s">
        <v>81</v>
      </c>
      <c r="S578" s="2" t="s">
        <v>167</v>
      </c>
      <c r="T578" s="2" t="s">
        <v>167</v>
      </c>
      <c r="U578" s="2" t="s">
        <v>12</v>
      </c>
      <c r="V578" s="2" t="s">
        <v>4767</v>
      </c>
      <c r="W578" s="2" t="s">
        <v>4982</v>
      </c>
      <c r="X578" s="2" t="s">
        <v>4925</v>
      </c>
      <c r="Y578" s="2" t="s">
        <v>2617</v>
      </c>
      <c r="Z578" s="2" t="s">
        <v>5750</v>
      </c>
      <c r="AA5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5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8" s="6" t="str">
        <f>IF(_xlfn.IFNA(INDEX(configuracoes!$A$2:$A$10,MATCH(base_tc_geral[[#This Row],[TIPO]],configuracoes!$A$2:$A$10,0)),"NÃO")="NÃO","NÃO","SIM")</f>
        <v>SIM</v>
      </c>
    </row>
    <row r="579" spans="1:31" x14ac:dyDescent="0.25">
      <c r="A579" s="2" t="s">
        <v>3150</v>
      </c>
      <c r="B579" s="2">
        <v>109000943</v>
      </c>
      <c r="C579" s="2" t="s">
        <v>15</v>
      </c>
      <c r="D579" s="2" t="s">
        <v>4625</v>
      </c>
      <c r="E579" s="2" t="s">
        <v>86</v>
      </c>
      <c r="F579" s="2" t="s">
        <v>205</v>
      </c>
      <c r="G579" s="2" t="s">
        <v>41</v>
      </c>
      <c r="H579" s="2" t="s">
        <v>122</v>
      </c>
      <c r="I579" s="2" t="s">
        <v>33</v>
      </c>
      <c r="J579" s="2" t="s">
        <v>124</v>
      </c>
      <c r="K579" s="2" t="s">
        <v>13</v>
      </c>
      <c r="L579" s="2" t="s">
        <v>42</v>
      </c>
      <c r="M579" s="2" t="s">
        <v>75</v>
      </c>
      <c r="N579" s="2" t="s">
        <v>15</v>
      </c>
      <c r="O579" s="2" t="s">
        <v>129</v>
      </c>
      <c r="P579" s="2" t="s">
        <v>3152</v>
      </c>
      <c r="Q579" s="2" t="s">
        <v>4926</v>
      </c>
      <c r="R579" s="2" t="s">
        <v>206</v>
      </c>
      <c r="S579" s="2" t="s">
        <v>125</v>
      </c>
      <c r="T579" s="2" t="s">
        <v>4696</v>
      </c>
      <c r="U579" s="2" t="s">
        <v>12</v>
      </c>
      <c r="V579" s="2" t="s">
        <v>4770</v>
      </c>
      <c r="W579" s="2" t="s">
        <v>42</v>
      </c>
      <c r="X579" s="2" t="s">
        <v>75</v>
      </c>
      <c r="Y579" s="2" t="s">
        <v>3151</v>
      </c>
      <c r="Z579" s="2" t="s">
        <v>5751</v>
      </c>
      <c r="AA5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5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79" s="6" t="str">
        <f>IF(_xlfn.IFNA(INDEX(configuracoes!$A$2:$A$10,MATCH(base_tc_geral[[#This Row],[TIPO]],configuracoes!$A$2:$A$10,0)),"NÃO")="NÃO","NÃO","SIM")</f>
        <v>SIM</v>
      </c>
    </row>
    <row r="580" spans="1:31" x14ac:dyDescent="0.25">
      <c r="A580" s="2" t="s">
        <v>26</v>
      </c>
      <c r="B580" s="2">
        <v>105000985</v>
      </c>
      <c r="C580" s="2" t="s">
        <v>15</v>
      </c>
      <c r="D580" s="2" t="s">
        <v>4614</v>
      </c>
      <c r="E580" s="2" t="s">
        <v>28</v>
      </c>
      <c r="F580" s="2" t="s">
        <v>30</v>
      </c>
      <c r="G580" s="2" t="s">
        <v>637</v>
      </c>
      <c r="H580" s="2" t="s">
        <v>29</v>
      </c>
      <c r="I580" s="2" t="s">
        <v>33</v>
      </c>
      <c r="J580" s="2" t="s">
        <v>34</v>
      </c>
      <c r="K580" s="2" t="s">
        <v>20</v>
      </c>
      <c r="L580" s="2" t="s">
        <v>19</v>
      </c>
      <c r="M580" s="2" t="s">
        <v>22</v>
      </c>
      <c r="N580" s="2" t="s">
        <v>15</v>
      </c>
      <c r="O580" s="2" t="s">
        <v>36</v>
      </c>
      <c r="P580" s="2" t="s">
        <v>35</v>
      </c>
      <c r="Q580" s="2" t="s">
        <v>4926</v>
      </c>
      <c r="R580" s="2" t="s">
        <v>32</v>
      </c>
      <c r="S580" s="2" t="s">
        <v>167</v>
      </c>
      <c r="T580" s="2" t="s">
        <v>167</v>
      </c>
      <c r="U580" s="2" t="s">
        <v>12</v>
      </c>
      <c r="V580" s="2" t="s">
        <v>4851</v>
      </c>
      <c r="W580" s="2" t="s">
        <v>4982</v>
      </c>
      <c r="X580" s="2" t="s">
        <v>4925</v>
      </c>
      <c r="Y580" s="2" t="s">
        <v>27</v>
      </c>
      <c r="Z580" s="2" t="s">
        <v>5752</v>
      </c>
      <c r="AA5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5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0" s="6" t="str">
        <f>IF(_xlfn.IFNA(INDEX(configuracoes!$A$2:$A$10,MATCH(base_tc_geral[[#This Row],[TIPO]],configuracoes!$A$2:$A$10,0)),"NÃO")="NÃO","NÃO","SIM")</f>
        <v>SIM</v>
      </c>
    </row>
    <row r="581" spans="1:31" x14ac:dyDescent="0.25">
      <c r="A581" s="2" t="s">
        <v>1198</v>
      </c>
      <c r="B581" s="2">
        <v>105000986</v>
      </c>
      <c r="C581" s="2" t="s">
        <v>15</v>
      </c>
      <c r="D581" s="2" t="s">
        <v>4516</v>
      </c>
      <c r="E581" s="2" t="s">
        <v>28</v>
      </c>
      <c r="F581" s="2" t="s">
        <v>80</v>
      </c>
      <c r="G581" s="2" t="s">
        <v>883</v>
      </c>
      <c r="H581" s="2" t="s">
        <v>79</v>
      </c>
      <c r="I581" s="2" t="s">
        <v>33</v>
      </c>
      <c r="J581" s="2" t="s">
        <v>34</v>
      </c>
      <c r="K581" s="2" t="s">
        <v>20</v>
      </c>
      <c r="L581" s="2" t="s">
        <v>21</v>
      </c>
      <c r="M581" s="2" t="s">
        <v>22</v>
      </c>
      <c r="N581" s="2" t="s">
        <v>15</v>
      </c>
      <c r="O581" s="2" t="s">
        <v>83</v>
      </c>
      <c r="P581" s="2" t="s">
        <v>1200</v>
      </c>
      <c r="Q581" s="2" t="s">
        <v>4926</v>
      </c>
      <c r="R581" s="2" t="s">
        <v>81</v>
      </c>
      <c r="S581" s="2" t="s">
        <v>167</v>
      </c>
      <c r="T581" s="2" t="s">
        <v>167</v>
      </c>
      <c r="U581" s="2" t="s">
        <v>12</v>
      </c>
      <c r="V581" s="2" t="s">
        <v>4767</v>
      </c>
      <c r="W581" s="2" t="s">
        <v>4982</v>
      </c>
      <c r="X581" s="2" t="s">
        <v>4925</v>
      </c>
      <c r="Y581" s="2" t="s">
        <v>1199</v>
      </c>
      <c r="Z581" s="2" t="s">
        <v>5753</v>
      </c>
      <c r="AA5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5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1" s="6" t="str">
        <f>IF(_xlfn.IFNA(INDEX(configuracoes!$A$2:$A$10,MATCH(base_tc_geral[[#This Row],[TIPO]],configuracoes!$A$2:$A$10,0)),"NÃO")="NÃO","NÃO","SIM")</f>
        <v>SIM</v>
      </c>
    </row>
    <row r="582" spans="1:31" x14ac:dyDescent="0.25">
      <c r="A582" s="2" t="s">
        <v>3135</v>
      </c>
      <c r="B582" s="2">
        <v>109501286</v>
      </c>
      <c r="C582" s="2" t="s">
        <v>15</v>
      </c>
      <c r="D582" s="2" t="s">
        <v>4481</v>
      </c>
      <c r="E582" s="2" t="s">
        <v>86</v>
      </c>
      <c r="F582" s="2" t="s">
        <v>497</v>
      </c>
      <c r="G582" s="2" t="s">
        <v>245</v>
      </c>
      <c r="H582" s="2" t="s">
        <v>164</v>
      </c>
      <c r="I582" s="2" t="s">
        <v>33</v>
      </c>
      <c r="J582" s="2" t="s">
        <v>124</v>
      </c>
      <c r="K582" s="2" t="s">
        <v>20</v>
      </c>
      <c r="L582" s="2" t="s">
        <v>21</v>
      </c>
      <c r="M582" s="2" t="s">
        <v>22</v>
      </c>
      <c r="N582" s="2" t="s">
        <v>15</v>
      </c>
      <c r="O582" s="2" t="s">
        <v>169</v>
      </c>
      <c r="P582" s="2" t="s">
        <v>3137</v>
      </c>
      <c r="Q582" s="2" t="s">
        <v>4926</v>
      </c>
      <c r="R582" s="2" t="s">
        <v>498</v>
      </c>
      <c r="S582" s="2" t="s">
        <v>93</v>
      </c>
      <c r="T582" s="2" t="s">
        <v>4696</v>
      </c>
      <c r="U582" s="2" t="s">
        <v>12</v>
      </c>
      <c r="V582" s="2" t="s">
        <v>4766</v>
      </c>
      <c r="W582" s="2" t="s">
        <v>4982</v>
      </c>
      <c r="X582" s="2" t="s">
        <v>4925</v>
      </c>
      <c r="Y582" s="2" t="s">
        <v>3136</v>
      </c>
      <c r="Z582" s="2" t="s">
        <v>5754</v>
      </c>
      <c r="AA5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5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2" s="6" t="str">
        <f>IF(_xlfn.IFNA(INDEX(configuracoes!$A$2:$A$10,MATCH(base_tc_geral[[#This Row],[TIPO]],configuracoes!$A$2:$A$10,0)),"NÃO")="NÃO","NÃO","SIM")</f>
        <v>SIM</v>
      </c>
    </row>
    <row r="583" spans="1:31" x14ac:dyDescent="0.25">
      <c r="A583" s="2" t="s">
        <v>2203</v>
      </c>
      <c r="B583" s="2">
        <v>109000017</v>
      </c>
      <c r="C583" s="2" t="s">
        <v>15</v>
      </c>
      <c r="D583" s="2" t="s">
        <v>4495</v>
      </c>
      <c r="E583" s="2" t="s">
        <v>86</v>
      </c>
      <c r="F583" s="2" t="s">
        <v>274</v>
      </c>
      <c r="G583" s="2" t="s">
        <v>89</v>
      </c>
      <c r="H583" s="2" t="s">
        <v>210</v>
      </c>
      <c r="I583" s="2" t="s">
        <v>33</v>
      </c>
      <c r="J583" s="2" t="s">
        <v>124</v>
      </c>
      <c r="K583" s="2" t="s">
        <v>92</v>
      </c>
      <c r="L583" s="2" t="s">
        <v>37</v>
      </c>
      <c r="M583" s="2" t="s">
        <v>44</v>
      </c>
      <c r="N583" s="2" t="s">
        <v>15</v>
      </c>
      <c r="O583" s="2" t="s">
        <v>214</v>
      </c>
      <c r="P583" s="2" t="s">
        <v>2205</v>
      </c>
      <c r="Q583" s="2" t="s">
        <v>4926</v>
      </c>
      <c r="R583" s="2" t="s">
        <v>212</v>
      </c>
      <c r="S583" s="2" t="s">
        <v>93</v>
      </c>
      <c r="T583" s="2" t="s">
        <v>4696</v>
      </c>
      <c r="U583" s="2" t="s">
        <v>12</v>
      </c>
      <c r="V583" s="2" t="s">
        <v>4846</v>
      </c>
      <c r="W583" s="2" t="s">
        <v>4999</v>
      </c>
      <c r="X583" s="2" t="s">
        <v>44</v>
      </c>
      <c r="Y583" s="2" t="s">
        <v>2204</v>
      </c>
      <c r="Z583" s="2" t="s">
        <v>5755</v>
      </c>
      <c r="AA5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5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3" s="6" t="str">
        <f>IF(_xlfn.IFNA(INDEX(configuracoes!$A$2:$A$10,MATCH(base_tc_geral[[#This Row],[TIPO]],configuracoes!$A$2:$A$10,0)),"NÃO")="NÃO","NÃO","SIM")</f>
        <v>NÃO</v>
      </c>
    </row>
    <row r="584" spans="1:31" x14ac:dyDescent="0.25">
      <c r="A584" s="2" t="s">
        <v>1264</v>
      </c>
      <c r="B584" s="2">
        <v>102101393</v>
      </c>
      <c r="C584" s="2" t="s">
        <v>15</v>
      </c>
      <c r="D584" s="2" t="s">
        <v>4529</v>
      </c>
      <c r="E584" s="2" t="s">
        <v>106</v>
      </c>
      <c r="F584" s="2" t="s">
        <v>131</v>
      </c>
      <c r="G584" s="2" t="s">
        <v>172</v>
      </c>
      <c r="H584" s="2" t="s">
        <v>130</v>
      </c>
      <c r="I584" s="2" t="s">
        <v>33</v>
      </c>
      <c r="J584" s="2" t="s">
        <v>109</v>
      </c>
      <c r="K584" s="2" t="s">
        <v>13</v>
      </c>
      <c r="L584" s="2" t="s">
        <v>17</v>
      </c>
      <c r="M584" s="2" t="s">
        <v>23</v>
      </c>
      <c r="N584" s="2" t="s">
        <v>15</v>
      </c>
      <c r="O584" s="2" t="s">
        <v>132</v>
      </c>
      <c r="P584" s="2" t="s">
        <v>1266</v>
      </c>
      <c r="Q584" s="2" t="s">
        <v>4926</v>
      </c>
      <c r="R584" s="2" t="s">
        <v>735</v>
      </c>
      <c r="S584" s="2" t="s">
        <v>736</v>
      </c>
      <c r="T584" s="2" t="s">
        <v>167</v>
      </c>
      <c r="U584" s="2" t="s">
        <v>12</v>
      </c>
      <c r="V584" s="2" t="s">
        <v>4886</v>
      </c>
      <c r="W584" s="2" t="s">
        <v>17</v>
      </c>
      <c r="X584" s="2" t="s">
        <v>4998</v>
      </c>
      <c r="Y584" s="2" t="s">
        <v>1265</v>
      </c>
      <c r="Z584" s="2" t="s">
        <v>5756</v>
      </c>
      <c r="AA5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4" s="6" t="str">
        <f>IF(_xlfn.IFNA(INDEX(configuracoes!$A$2:$A$10,MATCH(base_tc_geral[[#This Row],[TIPO]],configuracoes!$A$2:$A$10,0)),"NÃO")="NÃO","NÃO","SIM")</f>
        <v>NÃO</v>
      </c>
    </row>
    <row r="585" spans="1:31" x14ac:dyDescent="0.25">
      <c r="A585" s="2" t="s">
        <v>2252</v>
      </c>
      <c r="B585" s="2">
        <v>105303207</v>
      </c>
      <c r="C585" s="2" t="s">
        <v>15</v>
      </c>
      <c r="D585" s="2" t="s">
        <v>4662</v>
      </c>
      <c r="E585" s="2" t="s">
        <v>28</v>
      </c>
      <c r="F585" s="2" t="s">
        <v>423</v>
      </c>
      <c r="G585" s="2" t="s">
        <v>41</v>
      </c>
      <c r="H585" s="2" t="s">
        <v>34</v>
      </c>
      <c r="I585" s="2" t="s">
        <v>33</v>
      </c>
      <c r="J585" s="2" t="s">
        <v>34</v>
      </c>
      <c r="K585" s="2" t="s">
        <v>13</v>
      </c>
      <c r="L585" s="2" t="s">
        <v>42</v>
      </c>
      <c r="M585" s="2" t="s">
        <v>75</v>
      </c>
      <c r="N585" s="2" t="s">
        <v>15</v>
      </c>
      <c r="O585" s="2" t="s">
        <v>156</v>
      </c>
      <c r="P585" s="2" t="s">
        <v>2254</v>
      </c>
      <c r="Q585" s="2" t="s">
        <v>4926</v>
      </c>
      <c r="R585" s="2" t="s">
        <v>2243</v>
      </c>
      <c r="S585" s="2" t="s">
        <v>167</v>
      </c>
      <c r="T585" s="2" t="s">
        <v>167</v>
      </c>
      <c r="U585" s="2" t="s">
        <v>12</v>
      </c>
      <c r="V585" s="2" t="s">
        <v>4852</v>
      </c>
      <c r="W585" s="2" t="s">
        <v>42</v>
      </c>
      <c r="X585" s="2" t="s">
        <v>75</v>
      </c>
      <c r="Y585" s="2" t="s">
        <v>2253</v>
      </c>
      <c r="Z585" s="2" t="s">
        <v>5757</v>
      </c>
      <c r="AA5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5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5" s="6" t="str">
        <f>IF(_xlfn.IFNA(INDEX(configuracoes!$A$2:$A$10,MATCH(base_tc_geral[[#This Row],[TIPO]],configuracoes!$A$2:$A$10,0)),"NÃO")="NÃO","NÃO","SIM")</f>
        <v>SIM</v>
      </c>
    </row>
    <row r="586" spans="1:31" x14ac:dyDescent="0.25">
      <c r="A586" s="2" t="s">
        <v>2230</v>
      </c>
      <c r="B586" s="2">
        <v>105303134</v>
      </c>
      <c r="C586" s="2" t="s">
        <v>15</v>
      </c>
      <c r="D586" s="2" t="s">
        <v>4524</v>
      </c>
      <c r="E586" s="2" t="s">
        <v>28</v>
      </c>
      <c r="F586" s="2" t="s">
        <v>290</v>
      </c>
      <c r="G586" s="2" t="s">
        <v>245</v>
      </c>
      <c r="H586" s="2" t="s">
        <v>34</v>
      </c>
      <c r="I586" s="2" t="s">
        <v>33</v>
      </c>
      <c r="J586" s="2" t="s">
        <v>34</v>
      </c>
      <c r="K586" s="2" t="s">
        <v>20</v>
      </c>
      <c r="L586" s="2" t="s">
        <v>21</v>
      </c>
      <c r="M586" s="2" t="s">
        <v>22</v>
      </c>
      <c r="N586" s="2" t="s">
        <v>15</v>
      </c>
      <c r="O586" s="2" t="s">
        <v>156</v>
      </c>
      <c r="P586" s="2" t="s">
        <v>2232</v>
      </c>
      <c r="Q586" s="2" t="s">
        <v>4926</v>
      </c>
      <c r="R586" s="2" t="s">
        <v>442</v>
      </c>
      <c r="S586" s="2" t="s">
        <v>167</v>
      </c>
      <c r="T586" s="2" t="s">
        <v>167</v>
      </c>
      <c r="U586" s="2" t="s">
        <v>12</v>
      </c>
      <c r="V586" s="2" t="s">
        <v>4763</v>
      </c>
      <c r="W586" s="2" t="s">
        <v>4982</v>
      </c>
      <c r="X586" s="2" t="s">
        <v>4925</v>
      </c>
      <c r="Y586" s="2" t="s">
        <v>2231</v>
      </c>
      <c r="Z586" s="2" t="s">
        <v>5758</v>
      </c>
      <c r="AA5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5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6" s="6" t="str">
        <f>IF(_xlfn.IFNA(INDEX(configuracoes!$A$2:$A$10,MATCH(base_tc_geral[[#This Row],[TIPO]],configuracoes!$A$2:$A$10,0)),"NÃO")="NÃO","NÃO","SIM")</f>
        <v>SIM</v>
      </c>
    </row>
    <row r="587" spans="1:31" x14ac:dyDescent="0.25">
      <c r="A587" s="2" t="s">
        <v>3257</v>
      </c>
      <c r="B587" s="2">
        <v>109504223</v>
      </c>
      <c r="C587" s="2" t="s">
        <v>15</v>
      </c>
      <c r="D587" s="2" t="s">
        <v>4656</v>
      </c>
      <c r="E587" s="2" t="s">
        <v>86</v>
      </c>
      <c r="F587" s="2" t="s">
        <v>363</v>
      </c>
      <c r="G587" s="2" t="s">
        <v>58</v>
      </c>
      <c r="H587" s="2" t="s">
        <v>210</v>
      </c>
      <c r="I587" s="2" t="s">
        <v>33</v>
      </c>
      <c r="J587" s="2" t="s">
        <v>124</v>
      </c>
      <c r="K587" s="2" t="s">
        <v>13</v>
      </c>
      <c r="L587" s="2" t="s">
        <v>61</v>
      </c>
      <c r="M587" s="2" t="s">
        <v>44</v>
      </c>
      <c r="N587" s="2" t="s">
        <v>15</v>
      </c>
      <c r="O587" s="2" t="s">
        <v>214</v>
      </c>
      <c r="P587" s="2" t="s">
        <v>3260</v>
      </c>
      <c r="Q587" s="2" t="s">
        <v>4926</v>
      </c>
      <c r="R587" s="2" t="s">
        <v>3258</v>
      </c>
      <c r="S587" s="2" t="s">
        <v>4699</v>
      </c>
      <c r="T587" s="2" t="s">
        <v>4696</v>
      </c>
      <c r="U587" s="2" t="s">
        <v>12</v>
      </c>
      <c r="V587" s="2" t="s">
        <v>4847</v>
      </c>
      <c r="W587" s="2" t="s">
        <v>4984</v>
      </c>
      <c r="X587" s="2" t="s">
        <v>44</v>
      </c>
      <c r="Y587" s="2" t="s">
        <v>3259</v>
      </c>
      <c r="Z587" s="2" t="s">
        <v>5759</v>
      </c>
      <c r="AA5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ADENILTON CORREIA </v>
      </c>
      <c r="AB5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5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7" s="6" t="str">
        <f>IF(_xlfn.IFNA(INDEX(configuracoes!$A$2:$A$10,MATCH(base_tc_geral[[#This Row],[TIPO]],configuracoes!$A$2:$A$10,0)),"NÃO")="NÃO","NÃO","SIM")</f>
        <v>NÃO</v>
      </c>
    </row>
    <row r="588" spans="1:31" x14ac:dyDescent="0.25">
      <c r="A588" s="2" t="s">
        <v>3434</v>
      </c>
      <c r="B588" s="2">
        <v>101001488</v>
      </c>
      <c r="C588" s="2" t="s">
        <v>15</v>
      </c>
      <c r="D588" s="2" t="s">
        <v>4487</v>
      </c>
      <c r="E588" s="2" t="s">
        <v>47</v>
      </c>
      <c r="F588" s="2" t="s">
        <v>251</v>
      </c>
      <c r="G588" s="2" t="s">
        <v>648</v>
      </c>
      <c r="H588" s="2" t="s">
        <v>224</v>
      </c>
      <c r="I588" s="2" t="s">
        <v>16</v>
      </c>
      <c r="J588" s="2" t="s">
        <v>227</v>
      </c>
      <c r="K588" s="2" t="s">
        <v>13</v>
      </c>
      <c r="L588" s="2" t="s">
        <v>25</v>
      </c>
      <c r="M588" s="2" t="s">
        <v>22</v>
      </c>
      <c r="N588" s="2" t="s">
        <v>15</v>
      </c>
      <c r="O588" s="2" t="s">
        <v>229</v>
      </c>
      <c r="P588" s="2" t="s">
        <v>3436</v>
      </c>
      <c r="Q588" s="2" t="s">
        <v>4926</v>
      </c>
      <c r="R588" s="2" t="s">
        <v>252</v>
      </c>
      <c r="S588" s="2" t="s">
        <v>101</v>
      </c>
      <c r="T588" s="2" t="s">
        <v>4697</v>
      </c>
      <c r="U588" s="2" t="s">
        <v>12</v>
      </c>
      <c r="V588" s="2" t="s">
        <v>4811</v>
      </c>
      <c r="W588" s="2" t="s">
        <v>4931</v>
      </c>
      <c r="X588" s="2" t="s">
        <v>4925</v>
      </c>
      <c r="Y588" s="2" t="s">
        <v>3435</v>
      </c>
      <c r="Z588" s="2" t="s">
        <v>5760</v>
      </c>
      <c r="AA5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5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5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5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8" s="6" t="str">
        <f>IF(_xlfn.IFNA(INDEX(configuracoes!$A$2:$A$10,MATCH(base_tc_geral[[#This Row],[TIPO]],configuracoes!$A$2:$A$10,0)),"NÃO")="NÃO","NÃO","SIM")</f>
        <v>SIM</v>
      </c>
    </row>
    <row r="589" spans="1:31" x14ac:dyDescent="0.25">
      <c r="A589" s="2" t="s">
        <v>906</v>
      </c>
      <c r="B589" s="2">
        <v>102002917</v>
      </c>
      <c r="C589" s="2" t="s">
        <v>15</v>
      </c>
      <c r="D589" s="2" t="s">
        <v>4516</v>
      </c>
      <c r="E589" s="2" t="s">
        <v>106</v>
      </c>
      <c r="F589" s="2" t="s">
        <v>863</v>
      </c>
      <c r="G589" s="2" t="s">
        <v>630</v>
      </c>
      <c r="H589" s="2" t="s">
        <v>427</v>
      </c>
      <c r="I589" s="2" t="s">
        <v>33</v>
      </c>
      <c r="J589" s="2" t="s">
        <v>109</v>
      </c>
      <c r="K589" s="2" t="s">
        <v>20</v>
      </c>
      <c r="L589" s="2" t="s">
        <v>21</v>
      </c>
      <c r="M589" s="2" t="s">
        <v>22</v>
      </c>
      <c r="N589" s="2" t="s">
        <v>15</v>
      </c>
      <c r="O589" s="2" t="s">
        <v>430</v>
      </c>
      <c r="P589" s="2" t="s">
        <v>908</v>
      </c>
      <c r="Q589" s="2" t="s">
        <v>4926</v>
      </c>
      <c r="R589" s="2" t="s">
        <v>5069</v>
      </c>
      <c r="S589" s="2" t="s">
        <v>736</v>
      </c>
      <c r="T589" s="2" t="s">
        <v>167</v>
      </c>
      <c r="U589" s="2" t="s">
        <v>12</v>
      </c>
      <c r="V589" s="2" t="s">
        <v>4773</v>
      </c>
      <c r="W589" s="2" t="s">
        <v>4982</v>
      </c>
      <c r="X589" s="2" t="s">
        <v>4925</v>
      </c>
      <c r="Y589" s="2" t="s">
        <v>907</v>
      </c>
      <c r="Z589" s="2" t="s">
        <v>5356</v>
      </c>
      <c r="AA5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5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89" s="6" t="str">
        <f>IF(_xlfn.IFNA(INDEX(configuracoes!$A$2:$A$10,MATCH(base_tc_geral[[#This Row],[TIPO]],configuracoes!$A$2:$A$10,0)),"NÃO")="NÃO","NÃO","SIM")</f>
        <v>SIM</v>
      </c>
    </row>
    <row r="590" spans="1:31" x14ac:dyDescent="0.25">
      <c r="A590" s="2" t="s">
        <v>987</v>
      </c>
      <c r="B590" s="2">
        <v>102101393</v>
      </c>
      <c r="C590" s="2" t="s">
        <v>15</v>
      </c>
      <c r="D590" s="2" t="s">
        <v>4515</v>
      </c>
      <c r="E590" s="2" t="s">
        <v>106</v>
      </c>
      <c r="F590" s="2" t="s">
        <v>116</v>
      </c>
      <c r="G590" s="2" t="s">
        <v>172</v>
      </c>
      <c r="H590" s="2" t="s">
        <v>115</v>
      </c>
      <c r="I590" s="2" t="s">
        <v>33</v>
      </c>
      <c r="J590" s="2" t="s">
        <v>109</v>
      </c>
      <c r="K590" s="2" t="s">
        <v>13</v>
      </c>
      <c r="L590" s="2" t="s">
        <v>17</v>
      </c>
      <c r="M590" s="2" t="s">
        <v>23</v>
      </c>
      <c r="N590" s="2" t="s">
        <v>15</v>
      </c>
      <c r="O590" s="2" t="s">
        <v>119</v>
      </c>
      <c r="P590" s="2" t="s">
        <v>989</v>
      </c>
      <c r="Q590" s="2" t="s">
        <v>4926</v>
      </c>
      <c r="R590" s="2" t="s">
        <v>735</v>
      </c>
      <c r="S590" s="2" t="s">
        <v>736</v>
      </c>
      <c r="T590" s="2" t="s">
        <v>167</v>
      </c>
      <c r="U590" s="2" t="s">
        <v>12</v>
      </c>
      <c r="V590" s="2" t="s">
        <v>4886</v>
      </c>
      <c r="W590" s="2" t="s">
        <v>17</v>
      </c>
      <c r="X590" s="2" t="s">
        <v>4998</v>
      </c>
      <c r="Y590" s="2" t="s">
        <v>988</v>
      </c>
      <c r="Z590" s="2" t="s">
        <v>5357</v>
      </c>
      <c r="AA5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5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0" s="6" t="str">
        <f>IF(_xlfn.IFNA(INDEX(configuracoes!$A$2:$A$10,MATCH(base_tc_geral[[#This Row],[TIPO]],configuracoes!$A$2:$A$10,0)),"NÃO")="NÃO","NÃO","SIM")</f>
        <v>NÃO</v>
      </c>
    </row>
    <row r="591" spans="1:31" x14ac:dyDescent="0.25">
      <c r="A591" s="2" t="s">
        <v>4413</v>
      </c>
      <c r="B591" s="2">
        <v>109506172</v>
      </c>
      <c r="C591" s="2" t="s">
        <v>15</v>
      </c>
      <c r="D591" s="2" t="s">
        <v>4548</v>
      </c>
      <c r="E591" s="2" t="s">
        <v>86</v>
      </c>
      <c r="F591" s="2" t="s">
        <v>177</v>
      </c>
      <c r="G591" s="2" t="s">
        <v>711</v>
      </c>
      <c r="H591" s="2" t="s">
        <v>164</v>
      </c>
      <c r="I591" s="2" t="s">
        <v>33</v>
      </c>
      <c r="J591" s="2" t="s">
        <v>124</v>
      </c>
      <c r="K591" s="2" t="s">
        <v>13</v>
      </c>
      <c r="L591" s="2" t="s">
        <v>126</v>
      </c>
      <c r="M591" s="2" t="s">
        <v>22</v>
      </c>
      <c r="N591" s="2" t="s">
        <v>15</v>
      </c>
      <c r="O591" s="2" t="s">
        <v>169</v>
      </c>
      <c r="P591" s="2" t="s">
        <v>4415</v>
      </c>
      <c r="Q591" s="2" t="s">
        <v>4926</v>
      </c>
      <c r="R591" s="2" t="s">
        <v>3588</v>
      </c>
      <c r="S591" s="2" t="s">
        <v>93</v>
      </c>
      <c r="T591" s="2" t="s">
        <v>4696</v>
      </c>
      <c r="U591" s="2" t="s">
        <v>12</v>
      </c>
      <c r="V591" s="2" t="s">
        <v>4798</v>
      </c>
      <c r="W591" s="2" t="s">
        <v>4982</v>
      </c>
      <c r="X591" s="2" t="s">
        <v>4925</v>
      </c>
      <c r="Y591" s="2" t="s">
        <v>4414</v>
      </c>
      <c r="Z591" s="2" t="s">
        <v>5358</v>
      </c>
      <c r="AA5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5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1" s="6" t="str">
        <f>IF(_xlfn.IFNA(INDEX(configuracoes!$A$2:$A$10,MATCH(base_tc_geral[[#This Row],[TIPO]],configuracoes!$A$2:$A$10,0)),"NÃO")="NÃO","NÃO","SIM")</f>
        <v>SIM</v>
      </c>
    </row>
    <row r="592" spans="1:31" x14ac:dyDescent="0.25">
      <c r="A592" s="2" t="s">
        <v>1511</v>
      </c>
      <c r="B592" s="2">
        <v>109505858</v>
      </c>
      <c r="C592" s="2" t="s">
        <v>15</v>
      </c>
      <c r="D592" s="2" t="s">
        <v>4593</v>
      </c>
      <c r="E592" s="2" t="s">
        <v>86</v>
      </c>
      <c r="F592" s="2" t="s">
        <v>817</v>
      </c>
      <c r="G592" s="2" t="s">
        <v>41</v>
      </c>
      <c r="H592" s="2" t="s">
        <v>217</v>
      </c>
      <c r="I592" s="2" t="s">
        <v>33</v>
      </c>
      <c r="J592" s="2" t="s">
        <v>91</v>
      </c>
      <c r="K592" s="2" t="s">
        <v>13</v>
      </c>
      <c r="L592" s="2" t="s">
        <v>42</v>
      </c>
      <c r="M592" s="2" t="s">
        <v>22</v>
      </c>
      <c r="N592" s="2" t="s">
        <v>15</v>
      </c>
      <c r="O592" s="2" t="s">
        <v>221</v>
      </c>
      <c r="P592" s="2" t="s">
        <v>1513</v>
      </c>
      <c r="Q592" s="2" t="s">
        <v>4926</v>
      </c>
      <c r="R592" s="2" t="s">
        <v>1466</v>
      </c>
      <c r="S592" s="2" t="s">
        <v>93</v>
      </c>
      <c r="T592" s="2" t="s">
        <v>4696</v>
      </c>
      <c r="U592" s="2" t="s">
        <v>12</v>
      </c>
      <c r="V592" s="2" t="s">
        <v>4802</v>
      </c>
      <c r="W592" s="2" t="s">
        <v>42</v>
      </c>
      <c r="X592" s="2" t="s">
        <v>4925</v>
      </c>
      <c r="Y592" s="2" t="s">
        <v>1512</v>
      </c>
      <c r="Z592" s="2" t="s">
        <v>5359</v>
      </c>
      <c r="AA5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5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2" s="6" t="str">
        <f>IF(_xlfn.IFNA(INDEX(configuracoes!$A$2:$A$10,MATCH(base_tc_geral[[#This Row],[TIPO]],configuracoes!$A$2:$A$10,0)),"NÃO")="NÃO","NÃO","SIM")</f>
        <v>SIM</v>
      </c>
    </row>
    <row r="593" spans="1:31" x14ac:dyDescent="0.25">
      <c r="A593" s="2" t="s">
        <v>1255</v>
      </c>
      <c r="B593" s="2">
        <v>105000986</v>
      </c>
      <c r="C593" s="2" t="s">
        <v>15</v>
      </c>
      <c r="D593" s="2" t="s">
        <v>4515</v>
      </c>
      <c r="E593" s="2" t="s">
        <v>28</v>
      </c>
      <c r="F593" s="2" t="s">
        <v>586</v>
      </c>
      <c r="G593" s="2" t="s">
        <v>883</v>
      </c>
      <c r="H593" s="2" t="s">
        <v>79</v>
      </c>
      <c r="I593" s="2" t="s">
        <v>33</v>
      </c>
      <c r="J593" s="2" t="s">
        <v>34</v>
      </c>
      <c r="K593" s="2" t="s">
        <v>20</v>
      </c>
      <c r="L593" s="2" t="s">
        <v>21</v>
      </c>
      <c r="M593" s="2" t="s">
        <v>22</v>
      </c>
      <c r="N593" s="2" t="s">
        <v>15</v>
      </c>
      <c r="O593" s="2" t="s">
        <v>83</v>
      </c>
      <c r="P593" s="2" t="s">
        <v>1257</v>
      </c>
      <c r="Q593" s="2" t="s">
        <v>4926</v>
      </c>
      <c r="R593" s="2" t="s">
        <v>81</v>
      </c>
      <c r="S593" s="2" t="s">
        <v>167</v>
      </c>
      <c r="T593" s="2" t="s">
        <v>167</v>
      </c>
      <c r="U593" s="2" t="s">
        <v>12</v>
      </c>
      <c r="V593" s="2" t="s">
        <v>4767</v>
      </c>
      <c r="W593" s="2" t="s">
        <v>4982</v>
      </c>
      <c r="X593" s="2" t="s">
        <v>4925</v>
      </c>
      <c r="Y593" s="2" t="s">
        <v>1256</v>
      </c>
      <c r="Z593" s="2" t="s">
        <v>5360</v>
      </c>
      <c r="AA5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5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3" s="6" t="str">
        <f>IF(_xlfn.IFNA(INDEX(configuracoes!$A$2:$A$10,MATCH(base_tc_geral[[#This Row],[TIPO]],configuracoes!$A$2:$A$10,0)),"NÃO")="NÃO","NÃO","SIM")</f>
        <v>SIM</v>
      </c>
    </row>
    <row r="594" spans="1:31" x14ac:dyDescent="0.25">
      <c r="A594" s="2" t="s">
        <v>1355</v>
      </c>
      <c r="B594" s="2">
        <v>109501286</v>
      </c>
      <c r="C594" s="2" t="s">
        <v>15</v>
      </c>
      <c r="D594" s="2" t="s">
        <v>4489</v>
      </c>
      <c r="E594" s="2" t="s">
        <v>86</v>
      </c>
      <c r="F594" s="2" t="s">
        <v>497</v>
      </c>
      <c r="G594" s="2" t="s">
        <v>149</v>
      </c>
      <c r="H594" s="2" t="s">
        <v>164</v>
      </c>
      <c r="I594" s="2" t="s">
        <v>33</v>
      </c>
      <c r="J594" s="2" t="s">
        <v>124</v>
      </c>
      <c r="K594" s="2" t="s">
        <v>20</v>
      </c>
      <c r="L594" s="2" t="s">
        <v>61</v>
      </c>
      <c r="M594" s="2" t="s">
        <v>22</v>
      </c>
      <c r="N594" s="2" t="s">
        <v>15</v>
      </c>
      <c r="O594" s="2" t="s">
        <v>169</v>
      </c>
      <c r="P594" s="2" t="s">
        <v>1357</v>
      </c>
      <c r="Q594" s="2" t="s">
        <v>4926</v>
      </c>
      <c r="R594" s="2" t="s">
        <v>498</v>
      </c>
      <c r="S594" s="2" t="s">
        <v>93</v>
      </c>
      <c r="T594" s="2" t="s">
        <v>4696</v>
      </c>
      <c r="U594" s="2" t="s">
        <v>12</v>
      </c>
      <c r="V594" s="2" t="s">
        <v>4784</v>
      </c>
      <c r="W594" s="2" t="s">
        <v>4982</v>
      </c>
      <c r="X594" s="2" t="s">
        <v>4925</v>
      </c>
      <c r="Y594" s="2" t="s">
        <v>1356</v>
      </c>
      <c r="Z594" s="2" t="s">
        <v>5361</v>
      </c>
      <c r="AA5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5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5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4" s="6" t="str">
        <f>IF(_xlfn.IFNA(INDEX(configuracoes!$A$2:$A$10,MATCH(base_tc_geral[[#This Row],[TIPO]],configuracoes!$A$2:$A$10,0)),"NÃO")="NÃO","NÃO","SIM")</f>
        <v>NÃO</v>
      </c>
    </row>
    <row r="595" spans="1:31" x14ac:dyDescent="0.25">
      <c r="A595" s="2" t="s">
        <v>3742</v>
      </c>
      <c r="B595" s="2">
        <v>102100917</v>
      </c>
      <c r="C595" s="2" t="s">
        <v>15</v>
      </c>
      <c r="D595" s="2" t="s">
        <v>4656</v>
      </c>
      <c r="E595" s="2" t="s">
        <v>106</v>
      </c>
      <c r="F595" s="2" t="s">
        <v>116</v>
      </c>
      <c r="G595" s="2" t="s">
        <v>58</v>
      </c>
      <c r="H595" s="2" t="s">
        <v>115</v>
      </c>
      <c r="I595" s="2" t="s">
        <v>33</v>
      </c>
      <c r="J595" s="2" t="s">
        <v>109</v>
      </c>
      <c r="K595" s="2" t="s">
        <v>13</v>
      </c>
      <c r="L595" s="2" t="s">
        <v>61</v>
      </c>
      <c r="M595" s="2" t="s">
        <v>44</v>
      </c>
      <c r="N595" s="2" t="s">
        <v>15</v>
      </c>
      <c r="O595" s="2" t="s">
        <v>119</v>
      </c>
      <c r="P595" s="2" t="s">
        <v>3744</v>
      </c>
      <c r="Q595" s="2" t="s">
        <v>4926</v>
      </c>
      <c r="R595" s="2" t="s">
        <v>117</v>
      </c>
      <c r="S595" s="2" t="s">
        <v>736</v>
      </c>
      <c r="T595" s="2" t="s">
        <v>167</v>
      </c>
      <c r="U595" s="2" t="s">
        <v>12</v>
      </c>
      <c r="V595" s="2" t="s">
        <v>4902</v>
      </c>
      <c r="W595" s="2" t="s">
        <v>4999</v>
      </c>
      <c r="X595" s="2" t="s">
        <v>44</v>
      </c>
      <c r="Y595" s="2" t="s">
        <v>3743</v>
      </c>
      <c r="Z595" s="2" t="s">
        <v>5362</v>
      </c>
      <c r="AA5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5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5" s="6" t="str">
        <f>IF(_xlfn.IFNA(INDEX(configuracoes!$A$2:$A$10,MATCH(base_tc_geral[[#This Row],[TIPO]],configuracoes!$A$2:$A$10,0)),"NÃO")="NÃO","NÃO","SIM")</f>
        <v>NÃO</v>
      </c>
    </row>
    <row r="596" spans="1:31" x14ac:dyDescent="0.25">
      <c r="A596" s="2" t="s">
        <v>1822</v>
      </c>
      <c r="B596" s="2">
        <v>109505049</v>
      </c>
      <c r="C596" s="2" t="s">
        <v>15</v>
      </c>
      <c r="D596" s="2" t="s">
        <v>4502</v>
      </c>
      <c r="E596" s="2" t="s">
        <v>86</v>
      </c>
      <c r="F596" s="2" t="s">
        <v>594</v>
      </c>
      <c r="G596" s="2" t="s">
        <v>99</v>
      </c>
      <c r="H596" s="2" t="s">
        <v>122</v>
      </c>
      <c r="I596" s="2" t="s">
        <v>33</v>
      </c>
      <c r="J596" s="2" t="s">
        <v>124</v>
      </c>
      <c r="K596" s="2" t="s">
        <v>20</v>
      </c>
      <c r="L596" s="2" t="s">
        <v>25</v>
      </c>
      <c r="M596" s="2" t="s">
        <v>22</v>
      </c>
      <c r="N596" s="2" t="s">
        <v>15</v>
      </c>
      <c r="O596" s="2" t="s">
        <v>129</v>
      </c>
      <c r="P596" s="2" t="s">
        <v>1824</v>
      </c>
      <c r="Q596" s="2" t="s">
        <v>4926</v>
      </c>
      <c r="R596" s="2" t="s">
        <v>541</v>
      </c>
      <c r="S596" s="2" t="s">
        <v>125</v>
      </c>
      <c r="T596" s="2" t="s">
        <v>4696</v>
      </c>
      <c r="U596" s="2" t="s">
        <v>12</v>
      </c>
      <c r="V596" s="2" t="s">
        <v>4765</v>
      </c>
      <c r="W596" s="2" t="s">
        <v>4931</v>
      </c>
      <c r="X596" s="2" t="s">
        <v>4925</v>
      </c>
      <c r="Y596" s="2" t="s">
        <v>1823</v>
      </c>
      <c r="Z596" s="2" t="s">
        <v>5363</v>
      </c>
      <c r="AA5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5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6" s="6" t="str">
        <f>IF(_xlfn.IFNA(INDEX(configuracoes!$A$2:$A$10,MATCH(base_tc_geral[[#This Row],[TIPO]],configuracoes!$A$2:$A$10,0)),"NÃO")="NÃO","NÃO","SIM")</f>
        <v>SIM</v>
      </c>
    </row>
    <row r="597" spans="1:31" x14ac:dyDescent="0.25">
      <c r="A597" s="2" t="s">
        <v>443</v>
      </c>
      <c r="B597" s="2">
        <v>109500177</v>
      </c>
      <c r="C597" s="2" t="s">
        <v>40</v>
      </c>
      <c r="D597" s="2" t="s">
        <v>4481</v>
      </c>
      <c r="E597" s="2" t="s">
        <v>86</v>
      </c>
      <c r="F597" s="2" t="s">
        <v>445</v>
      </c>
      <c r="G597" s="2" t="s">
        <v>446</v>
      </c>
      <c r="H597" s="2" t="s">
        <v>122</v>
      </c>
      <c r="I597" s="2" t="s">
        <v>33</v>
      </c>
      <c r="J597" s="2" t="s">
        <v>124</v>
      </c>
      <c r="K597" s="2" t="s">
        <v>13</v>
      </c>
      <c r="L597" s="2" t="s">
        <v>72</v>
      </c>
      <c r="M597" s="2" t="s">
        <v>75</v>
      </c>
      <c r="N597" s="2" t="s">
        <v>40</v>
      </c>
      <c r="O597" s="2" t="s">
        <v>129</v>
      </c>
      <c r="P597" s="2" t="s">
        <v>448</v>
      </c>
      <c r="Q597" s="2" t="s">
        <v>4926</v>
      </c>
      <c r="R597" s="2" t="s">
        <v>447</v>
      </c>
      <c r="S597" s="2" t="s">
        <v>125</v>
      </c>
      <c r="T597" s="2" t="s">
        <v>4696</v>
      </c>
      <c r="U597" s="2" t="s">
        <v>39</v>
      </c>
      <c r="V597" s="2" t="s">
        <v>4771</v>
      </c>
      <c r="W597" s="2" t="s">
        <v>42</v>
      </c>
      <c r="X597" s="2" t="s">
        <v>75</v>
      </c>
      <c r="Y597" s="2" t="s">
        <v>444</v>
      </c>
      <c r="Z597" s="2" t="s">
        <v>5364</v>
      </c>
      <c r="AA5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5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5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5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597" s="6" t="str">
        <f>IF(_xlfn.IFNA(INDEX(configuracoes!$A$2:$A$10,MATCH(base_tc_geral[[#This Row],[TIPO]],configuracoes!$A$2:$A$10,0)),"NÃO")="NÃO","NÃO","SIM")</f>
        <v>NÃO</v>
      </c>
    </row>
    <row r="598" spans="1:31" x14ac:dyDescent="0.25">
      <c r="A598" s="2" t="s">
        <v>3778</v>
      </c>
      <c r="B598" s="2">
        <v>102101634</v>
      </c>
      <c r="C598" s="2" t="s">
        <v>15</v>
      </c>
      <c r="D598" s="2" t="s">
        <v>4603</v>
      </c>
      <c r="E598" s="2" t="s">
        <v>106</v>
      </c>
      <c r="F598" s="2" t="s">
        <v>186</v>
      </c>
      <c r="G598" s="2" t="s">
        <v>245</v>
      </c>
      <c r="H598" s="2" t="s">
        <v>107</v>
      </c>
      <c r="I598" s="2" t="s">
        <v>33</v>
      </c>
      <c r="J598" s="2" t="s">
        <v>109</v>
      </c>
      <c r="K598" s="2" t="s">
        <v>20</v>
      </c>
      <c r="L598" s="2" t="s">
        <v>21</v>
      </c>
      <c r="M598" s="2" t="s">
        <v>22</v>
      </c>
      <c r="N598" s="2" t="s">
        <v>15</v>
      </c>
      <c r="O598" s="2" t="s">
        <v>112</v>
      </c>
      <c r="P598" s="2" t="s">
        <v>3780</v>
      </c>
      <c r="Q598" s="2" t="s">
        <v>4926</v>
      </c>
      <c r="R598" s="2" t="s">
        <v>406</v>
      </c>
      <c r="S598" s="2" t="s">
        <v>736</v>
      </c>
      <c r="T598" s="2" t="s">
        <v>167</v>
      </c>
      <c r="U598" s="2" t="s">
        <v>12</v>
      </c>
      <c r="V598" s="2" t="s">
        <v>4853</v>
      </c>
      <c r="W598" s="2" t="s">
        <v>4982</v>
      </c>
      <c r="X598" s="2" t="s">
        <v>4925</v>
      </c>
      <c r="Y598" s="2" t="s">
        <v>3779</v>
      </c>
      <c r="Z598" s="2" t="s">
        <v>5365</v>
      </c>
      <c r="AA5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5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5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598" s="6" t="str">
        <f>IF(_xlfn.IFNA(INDEX(configuracoes!$A$2:$A$10,MATCH(base_tc_geral[[#This Row],[TIPO]],configuracoes!$A$2:$A$10,0)),"NÃO")="NÃO","NÃO","SIM")</f>
        <v>SIM</v>
      </c>
    </row>
    <row r="599" spans="1:31" x14ac:dyDescent="0.25">
      <c r="A599" s="2" t="s">
        <v>3983</v>
      </c>
      <c r="B599" s="2">
        <v>105303207</v>
      </c>
      <c r="C599" s="2" t="s">
        <v>24</v>
      </c>
      <c r="D599" s="2" t="s">
        <v>4768</v>
      </c>
      <c r="E599" s="2" t="s">
        <v>28</v>
      </c>
      <c r="F599" s="2" t="s">
        <v>423</v>
      </c>
      <c r="G599" s="2" t="s">
        <v>245</v>
      </c>
      <c r="H599" s="2" t="s">
        <v>34</v>
      </c>
      <c r="I599" s="2" t="s">
        <v>33</v>
      </c>
      <c r="J599" s="2" t="s">
        <v>34</v>
      </c>
      <c r="K599" s="2" t="s">
        <v>20</v>
      </c>
      <c r="L599" s="2" t="s">
        <v>21</v>
      </c>
      <c r="M599" s="2" t="s">
        <v>22</v>
      </c>
      <c r="N599" s="2" t="s">
        <v>24</v>
      </c>
      <c r="O599" s="2" t="s">
        <v>156</v>
      </c>
      <c r="P599" s="2" t="s">
        <v>3985</v>
      </c>
      <c r="Q599" s="2" t="s">
        <v>4926</v>
      </c>
      <c r="R599" s="2" t="s">
        <v>2243</v>
      </c>
      <c r="S599" s="2" t="s">
        <v>167</v>
      </c>
      <c r="T599" s="2" t="s">
        <v>167</v>
      </c>
      <c r="U599" s="2" t="s">
        <v>39</v>
      </c>
      <c r="V599" s="2" t="s">
        <v>4852</v>
      </c>
      <c r="W599" s="2" t="s">
        <v>5013</v>
      </c>
      <c r="X599" s="2" t="s">
        <v>4925</v>
      </c>
      <c r="Y599" s="2" t="s">
        <v>3984</v>
      </c>
      <c r="Z599" s="2" t="s">
        <v>5366</v>
      </c>
      <c r="AA5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5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5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5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599" s="6" t="str">
        <f>IF(_xlfn.IFNA(INDEX(configuracoes!$A$2:$A$10,MATCH(base_tc_geral[[#This Row],[TIPO]],configuracoes!$A$2:$A$10,0)),"NÃO")="NÃO","NÃO","SIM")</f>
        <v>SIM</v>
      </c>
    </row>
    <row r="600" spans="1:31" x14ac:dyDescent="0.25">
      <c r="A600" s="2" t="s">
        <v>4305</v>
      </c>
      <c r="B600" s="2">
        <v>109506032</v>
      </c>
      <c r="C600" s="2" t="s">
        <v>15</v>
      </c>
      <c r="D600" s="2" t="s">
        <v>4502</v>
      </c>
      <c r="E600" s="2" t="s">
        <v>86</v>
      </c>
      <c r="F600" s="2" t="s">
        <v>2894</v>
      </c>
      <c r="G600" s="2" t="s">
        <v>245</v>
      </c>
      <c r="H600" s="2" t="s">
        <v>164</v>
      </c>
      <c r="I600" s="2" t="s">
        <v>33</v>
      </c>
      <c r="J600" s="2" t="s">
        <v>124</v>
      </c>
      <c r="K600" s="2" t="s">
        <v>20</v>
      </c>
      <c r="L600" s="2" t="s">
        <v>21</v>
      </c>
      <c r="M600" s="2" t="s">
        <v>22</v>
      </c>
      <c r="N600" s="2" t="s">
        <v>15</v>
      </c>
      <c r="O600" s="2" t="s">
        <v>169</v>
      </c>
      <c r="P600" s="2" t="s">
        <v>4307</v>
      </c>
      <c r="Q600" s="2" t="s">
        <v>4926</v>
      </c>
      <c r="R600" s="2" t="s">
        <v>2892</v>
      </c>
      <c r="S600" s="2" t="s">
        <v>93</v>
      </c>
      <c r="T600" s="2" t="s">
        <v>4696</v>
      </c>
      <c r="U600" s="2" t="s">
        <v>12</v>
      </c>
      <c r="V600" s="2" t="s">
        <v>4785</v>
      </c>
      <c r="W600" s="2" t="s">
        <v>4982</v>
      </c>
      <c r="X600" s="2" t="s">
        <v>4925</v>
      </c>
      <c r="Y600" s="2" t="s">
        <v>4306</v>
      </c>
      <c r="Z600" s="2" t="s">
        <v>5367</v>
      </c>
      <c r="AA6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6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0" s="6" t="str">
        <f>IF(_xlfn.IFNA(INDEX(configuracoes!$A$2:$A$10,MATCH(base_tc_geral[[#This Row],[TIPO]],configuracoes!$A$2:$A$10,0)),"NÃO")="NÃO","NÃO","SIM")</f>
        <v>SIM</v>
      </c>
    </row>
    <row r="601" spans="1:31" x14ac:dyDescent="0.25">
      <c r="A601" s="2" t="s">
        <v>952</v>
      </c>
      <c r="B601" s="2">
        <v>109000017</v>
      </c>
      <c r="C601" s="2" t="s">
        <v>15</v>
      </c>
      <c r="D601" s="2" t="s">
        <v>4579</v>
      </c>
      <c r="E601" s="2" t="s">
        <v>86</v>
      </c>
      <c r="F601" s="2" t="s">
        <v>211</v>
      </c>
      <c r="G601" s="2" t="s">
        <v>245</v>
      </c>
      <c r="H601" s="2" t="s">
        <v>210</v>
      </c>
      <c r="I601" s="2" t="s">
        <v>33</v>
      </c>
      <c r="J601" s="2" t="s">
        <v>124</v>
      </c>
      <c r="K601" s="2" t="s">
        <v>20</v>
      </c>
      <c r="L601" s="2" t="s">
        <v>21</v>
      </c>
      <c r="M601" s="2" t="s">
        <v>22</v>
      </c>
      <c r="N601" s="2" t="s">
        <v>15</v>
      </c>
      <c r="O601" s="2" t="s">
        <v>214</v>
      </c>
      <c r="P601" s="2" t="s">
        <v>954</v>
      </c>
      <c r="Q601" s="2" t="s">
        <v>4926</v>
      </c>
      <c r="R601" s="2" t="s">
        <v>212</v>
      </c>
      <c r="S601" s="2" t="s">
        <v>93</v>
      </c>
      <c r="T601" s="2" t="s">
        <v>4696</v>
      </c>
      <c r="U601" s="2" t="s">
        <v>12</v>
      </c>
      <c r="V601" s="2" t="s">
        <v>4846</v>
      </c>
      <c r="W601" s="2" t="s">
        <v>4982</v>
      </c>
      <c r="X601" s="2" t="s">
        <v>4925</v>
      </c>
      <c r="Y601" s="2" t="s">
        <v>953</v>
      </c>
      <c r="Z601" s="2" t="s">
        <v>5761</v>
      </c>
      <c r="AA6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6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1" s="6" t="str">
        <f>IF(_xlfn.IFNA(INDEX(configuracoes!$A$2:$A$10,MATCH(base_tc_geral[[#This Row],[TIPO]],configuracoes!$A$2:$A$10,0)),"NÃO")="NÃO","NÃO","SIM")</f>
        <v>SIM</v>
      </c>
    </row>
    <row r="602" spans="1:31" x14ac:dyDescent="0.25">
      <c r="A602" s="2" t="s">
        <v>1243</v>
      </c>
      <c r="B602" s="2">
        <v>102101393</v>
      </c>
      <c r="C602" s="2" t="s">
        <v>15</v>
      </c>
      <c r="D602" s="2" t="s">
        <v>4481</v>
      </c>
      <c r="E602" s="2" t="s">
        <v>106</v>
      </c>
      <c r="F602" s="2" t="s">
        <v>186</v>
      </c>
      <c r="G602" s="2" t="s">
        <v>172</v>
      </c>
      <c r="H602" s="2" t="s">
        <v>107</v>
      </c>
      <c r="I602" s="2" t="s">
        <v>33</v>
      </c>
      <c r="J602" s="2" t="s">
        <v>109</v>
      </c>
      <c r="K602" s="2" t="s">
        <v>13</v>
      </c>
      <c r="L602" s="2" t="s">
        <v>17</v>
      </c>
      <c r="M602" s="2" t="s">
        <v>23</v>
      </c>
      <c r="N602" s="2" t="s">
        <v>15</v>
      </c>
      <c r="O602" s="2" t="s">
        <v>112</v>
      </c>
      <c r="P602" s="2" t="s">
        <v>1245</v>
      </c>
      <c r="Q602" s="2" t="s">
        <v>4926</v>
      </c>
      <c r="R602" s="2" t="s">
        <v>735</v>
      </c>
      <c r="S602" s="2" t="s">
        <v>736</v>
      </c>
      <c r="T602" s="2" t="s">
        <v>167</v>
      </c>
      <c r="U602" s="2" t="s">
        <v>12</v>
      </c>
      <c r="V602" s="2" t="s">
        <v>4803</v>
      </c>
      <c r="W602" s="2" t="s">
        <v>17</v>
      </c>
      <c r="X602" s="2" t="s">
        <v>4998</v>
      </c>
      <c r="Y602" s="2" t="s">
        <v>1244</v>
      </c>
      <c r="Z602" s="2" t="s">
        <v>5762</v>
      </c>
      <c r="AA6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6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2" s="6" t="str">
        <f>IF(_xlfn.IFNA(INDEX(configuracoes!$A$2:$A$10,MATCH(base_tc_geral[[#This Row],[TIPO]],configuracoes!$A$2:$A$10,0)),"NÃO")="NÃO","NÃO","SIM")</f>
        <v>NÃO</v>
      </c>
    </row>
    <row r="603" spans="1:31" x14ac:dyDescent="0.25">
      <c r="A603" s="2" t="s">
        <v>1737</v>
      </c>
      <c r="B603" s="2">
        <v>109505049</v>
      </c>
      <c r="C603" s="2" t="s">
        <v>15</v>
      </c>
      <c r="D603" s="2" t="s">
        <v>4611</v>
      </c>
      <c r="E603" s="2" t="s">
        <v>86</v>
      </c>
      <c r="F603" s="2" t="s">
        <v>540</v>
      </c>
      <c r="G603" s="2" t="s">
        <v>99</v>
      </c>
      <c r="H603" s="2" t="s">
        <v>283</v>
      </c>
      <c r="I603" s="2" t="s">
        <v>33</v>
      </c>
      <c r="J603" s="2" t="s">
        <v>124</v>
      </c>
      <c r="K603" s="2" t="s">
        <v>13</v>
      </c>
      <c r="L603" s="2" t="s">
        <v>25</v>
      </c>
      <c r="M603" s="2" t="s">
        <v>22</v>
      </c>
      <c r="N603" s="2" t="s">
        <v>15</v>
      </c>
      <c r="O603" s="2" t="s">
        <v>287</v>
      </c>
      <c r="P603" s="2" t="s">
        <v>1739</v>
      </c>
      <c r="Q603" s="2" t="s">
        <v>4926</v>
      </c>
      <c r="R603" s="2" t="s">
        <v>541</v>
      </c>
      <c r="S603" s="2" t="s">
        <v>125</v>
      </c>
      <c r="T603" s="2" t="s">
        <v>4696</v>
      </c>
      <c r="U603" s="2" t="s">
        <v>12</v>
      </c>
      <c r="V603" s="2" t="s">
        <v>4765</v>
      </c>
      <c r="W603" s="2" t="s">
        <v>4931</v>
      </c>
      <c r="X603" s="2" t="s">
        <v>4925</v>
      </c>
      <c r="Y603" s="2" t="s">
        <v>1738</v>
      </c>
      <c r="Z603" s="2" t="s">
        <v>5763</v>
      </c>
      <c r="AA6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6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3" s="6" t="str">
        <f>IF(_xlfn.IFNA(INDEX(configuracoes!$A$2:$A$10,MATCH(base_tc_geral[[#This Row],[TIPO]],configuracoes!$A$2:$A$10,0)),"NÃO")="NÃO","NÃO","SIM")</f>
        <v>SIM</v>
      </c>
    </row>
    <row r="604" spans="1:31" x14ac:dyDescent="0.25">
      <c r="A604" s="2" t="s">
        <v>315</v>
      </c>
      <c r="B604" s="2">
        <v>109000017</v>
      </c>
      <c r="C604" s="2" t="s">
        <v>24</v>
      </c>
      <c r="D604" s="2" t="s">
        <v>4482</v>
      </c>
      <c r="E604" s="2" t="s">
        <v>86</v>
      </c>
      <c r="F604" s="2" t="s">
        <v>211</v>
      </c>
      <c r="G604" s="2" t="s">
        <v>41</v>
      </c>
      <c r="H604" s="2" t="s">
        <v>210</v>
      </c>
      <c r="I604" s="2" t="s">
        <v>33</v>
      </c>
      <c r="J604" s="2" t="s">
        <v>124</v>
      </c>
      <c r="K604" s="2" t="s">
        <v>13</v>
      </c>
      <c r="L604" s="2" t="s">
        <v>42</v>
      </c>
      <c r="M604" s="2" t="s">
        <v>75</v>
      </c>
      <c r="N604" s="2" t="s">
        <v>24</v>
      </c>
      <c r="O604" s="2" t="s">
        <v>214</v>
      </c>
      <c r="P604" s="2" t="s">
        <v>318</v>
      </c>
      <c r="Q604" s="2" t="s">
        <v>4926</v>
      </c>
      <c r="R604" s="2" t="s">
        <v>212</v>
      </c>
      <c r="S604" s="2" t="s">
        <v>93</v>
      </c>
      <c r="T604" s="2" t="s">
        <v>4696</v>
      </c>
      <c r="U604" s="2" t="s">
        <v>39</v>
      </c>
      <c r="V604" s="2" t="s">
        <v>4846</v>
      </c>
      <c r="W604" s="2" t="s">
        <v>42</v>
      </c>
      <c r="X604" s="2" t="s">
        <v>75</v>
      </c>
      <c r="Y604" s="2" t="s">
        <v>316</v>
      </c>
      <c r="Z604" s="2" t="s">
        <v>5764</v>
      </c>
      <c r="AA6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6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04" s="6" t="str">
        <f>IF(_xlfn.IFNA(INDEX(configuracoes!$A$2:$A$10,MATCH(base_tc_geral[[#This Row],[TIPO]],configuracoes!$A$2:$A$10,0)),"NÃO")="NÃO","NÃO","SIM")</f>
        <v>SIM</v>
      </c>
    </row>
    <row r="605" spans="1:31" x14ac:dyDescent="0.25">
      <c r="A605" s="2" t="s">
        <v>152</v>
      </c>
      <c r="B605" s="2">
        <v>105303207</v>
      </c>
      <c r="C605" s="2" t="s">
        <v>15</v>
      </c>
      <c r="D605" s="2" t="s">
        <v>4527</v>
      </c>
      <c r="E605" s="2" t="s">
        <v>28</v>
      </c>
      <c r="F605" s="2" t="s">
        <v>154</v>
      </c>
      <c r="G605" s="2" t="s">
        <v>245</v>
      </c>
      <c r="H605" s="2" t="s">
        <v>34</v>
      </c>
      <c r="I605" s="2" t="s">
        <v>33</v>
      </c>
      <c r="J605" s="2" t="s">
        <v>34</v>
      </c>
      <c r="K605" s="2" t="s">
        <v>20</v>
      </c>
      <c r="L605" s="2" t="s">
        <v>21</v>
      </c>
      <c r="M605" s="2" t="s">
        <v>22</v>
      </c>
      <c r="N605" s="2" t="s">
        <v>15</v>
      </c>
      <c r="O605" s="2" t="s">
        <v>156</v>
      </c>
      <c r="P605" s="2" t="s">
        <v>155</v>
      </c>
      <c r="Q605" s="2" t="s">
        <v>4926</v>
      </c>
      <c r="R605" s="2" t="s">
        <v>2243</v>
      </c>
      <c r="S605" s="2" t="s">
        <v>167</v>
      </c>
      <c r="T605" s="2" t="s">
        <v>167</v>
      </c>
      <c r="U605" s="2" t="s">
        <v>12</v>
      </c>
      <c r="V605" s="2" t="s">
        <v>4852</v>
      </c>
      <c r="W605" s="2" t="s">
        <v>4982</v>
      </c>
      <c r="X605" s="2" t="s">
        <v>4925</v>
      </c>
      <c r="Y605" s="2" t="s">
        <v>153</v>
      </c>
      <c r="Z605" s="2" t="s">
        <v>5765</v>
      </c>
      <c r="AA6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6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5" s="6" t="str">
        <f>IF(_xlfn.IFNA(INDEX(configuracoes!$A$2:$A$10,MATCH(base_tc_geral[[#This Row],[TIPO]],configuracoes!$A$2:$A$10,0)),"NÃO")="NÃO","NÃO","SIM")</f>
        <v>SIM</v>
      </c>
    </row>
    <row r="606" spans="1:31" x14ac:dyDescent="0.25">
      <c r="A606" s="2" t="s">
        <v>4013</v>
      </c>
      <c r="B606" s="2">
        <v>109000340</v>
      </c>
      <c r="C606" s="2" t="s">
        <v>15</v>
      </c>
      <c r="D606" s="2" t="s">
        <v>4502</v>
      </c>
      <c r="E606" s="2" t="s">
        <v>86</v>
      </c>
      <c r="F606" s="2" t="s">
        <v>1320</v>
      </c>
      <c r="G606" s="2" t="s">
        <v>630</v>
      </c>
      <c r="H606" s="2" t="s">
        <v>1321</v>
      </c>
      <c r="I606" s="2" t="s">
        <v>33</v>
      </c>
      <c r="J606" s="2" t="s">
        <v>91</v>
      </c>
      <c r="K606" s="2" t="s">
        <v>20</v>
      </c>
      <c r="L606" s="2" t="s">
        <v>21</v>
      </c>
      <c r="M606" s="2" t="s">
        <v>22</v>
      </c>
      <c r="N606" s="2" t="s">
        <v>15</v>
      </c>
      <c r="O606" s="2" t="s">
        <v>1322</v>
      </c>
      <c r="P606" s="2" t="s">
        <v>4015</v>
      </c>
      <c r="Q606" s="2" t="s">
        <v>4926</v>
      </c>
      <c r="R606" s="2" t="s">
        <v>90</v>
      </c>
      <c r="S606" s="2" t="s">
        <v>93</v>
      </c>
      <c r="T606" s="2" t="s">
        <v>4696</v>
      </c>
      <c r="U606" s="2" t="s">
        <v>12</v>
      </c>
      <c r="V606" s="2" t="s">
        <v>4898</v>
      </c>
      <c r="W606" s="2" t="s">
        <v>4982</v>
      </c>
      <c r="X606" s="2" t="s">
        <v>4925</v>
      </c>
      <c r="Y606" s="2" t="s">
        <v>4014</v>
      </c>
      <c r="Z606" s="2" t="s">
        <v>5766</v>
      </c>
      <c r="AA6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6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6" s="6" t="str">
        <f>IF(_xlfn.IFNA(INDEX(configuracoes!$A$2:$A$10,MATCH(base_tc_geral[[#This Row],[TIPO]],configuracoes!$A$2:$A$10,0)),"NÃO")="NÃO","NÃO","SIM")</f>
        <v>SIM</v>
      </c>
    </row>
    <row r="607" spans="1:31" x14ac:dyDescent="0.25">
      <c r="A607" s="2" t="s">
        <v>208</v>
      </c>
      <c r="B607" s="2">
        <v>109000017</v>
      </c>
      <c r="C607" s="2" t="s">
        <v>15</v>
      </c>
      <c r="D607" s="2" t="s">
        <v>4547</v>
      </c>
      <c r="E607" s="2" t="s">
        <v>86</v>
      </c>
      <c r="F607" s="2" t="s">
        <v>211</v>
      </c>
      <c r="G607" s="2" t="s">
        <v>245</v>
      </c>
      <c r="H607" s="2" t="s">
        <v>210</v>
      </c>
      <c r="I607" s="2" t="s">
        <v>33</v>
      </c>
      <c r="J607" s="2" t="s">
        <v>124</v>
      </c>
      <c r="K607" s="2" t="s">
        <v>20</v>
      </c>
      <c r="L607" s="2" t="s">
        <v>21</v>
      </c>
      <c r="M607" s="2" t="s">
        <v>22</v>
      </c>
      <c r="N607" s="2" t="s">
        <v>15</v>
      </c>
      <c r="O607" s="2" t="s">
        <v>214</v>
      </c>
      <c r="P607" s="2" t="s">
        <v>213</v>
      </c>
      <c r="Q607" s="2" t="s">
        <v>4926</v>
      </c>
      <c r="R607" s="2" t="s">
        <v>212</v>
      </c>
      <c r="S607" s="2" t="s">
        <v>93</v>
      </c>
      <c r="T607" s="2" t="s">
        <v>4696</v>
      </c>
      <c r="U607" s="2" t="s">
        <v>12</v>
      </c>
      <c r="V607" s="2" t="s">
        <v>4820</v>
      </c>
      <c r="W607" s="2" t="s">
        <v>4982</v>
      </c>
      <c r="X607" s="2" t="s">
        <v>4925</v>
      </c>
      <c r="Y607" s="2" t="s">
        <v>209</v>
      </c>
      <c r="Z607" s="2" t="s">
        <v>5767</v>
      </c>
      <c r="AA6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6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7" s="6" t="str">
        <f>IF(_xlfn.IFNA(INDEX(configuracoes!$A$2:$A$10,MATCH(base_tc_geral[[#This Row],[TIPO]],configuracoes!$A$2:$A$10,0)),"NÃO")="NÃO","NÃO","SIM")</f>
        <v>SIM</v>
      </c>
    </row>
    <row r="608" spans="1:31" x14ac:dyDescent="0.25">
      <c r="A608" s="2" t="s">
        <v>3977</v>
      </c>
      <c r="B608" s="2">
        <v>105303207</v>
      </c>
      <c r="C608" s="2" t="s">
        <v>15</v>
      </c>
      <c r="D608" s="2" t="s">
        <v>4524</v>
      </c>
      <c r="E608" s="2" t="s">
        <v>28</v>
      </c>
      <c r="F608" s="2" t="s">
        <v>423</v>
      </c>
      <c r="G608" s="2" t="s">
        <v>245</v>
      </c>
      <c r="H608" s="2" t="s">
        <v>34</v>
      </c>
      <c r="I608" s="2" t="s">
        <v>33</v>
      </c>
      <c r="J608" s="2" t="s">
        <v>34</v>
      </c>
      <c r="K608" s="2" t="s">
        <v>20</v>
      </c>
      <c r="L608" s="2" t="s">
        <v>21</v>
      </c>
      <c r="M608" s="2" t="s">
        <v>22</v>
      </c>
      <c r="N608" s="2" t="s">
        <v>15</v>
      </c>
      <c r="O608" s="2" t="s">
        <v>156</v>
      </c>
      <c r="P608" s="2" t="s">
        <v>3979</v>
      </c>
      <c r="Q608" s="2" t="s">
        <v>4926</v>
      </c>
      <c r="R608" s="2" t="s">
        <v>2243</v>
      </c>
      <c r="S608" s="2" t="s">
        <v>167</v>
      </c>
      <c r="T608" s="2" t="s">
        <v>167</v>
      </c>
      <c r="U608" s="2" t="s">
        <v>12</v>
      </c>
      <c r="V608" s="2" t="s">
        <v>4852</v>
      </c>
      <c r="W608" s="2" t="s">
        <v>4982</v>
      </c>
      <c r="X608" s="2" t="s">
        <v>4925</v>
      </c>
      <c r="Y608" s="2" t="s">
        <v>3978</v>
      </c>
      <c r="Z608" s="2" t="s">
        <v>5768</v>
      </c>
      <c r="AA6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6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8" s="6" t="str">
        <f>IF(_xlfn.IFNA(INDEX(configuracoes!$A$2:$A$10,MATCH(base_tc_geral[[#This Row],[TIPO]],configuracoes!$A$2:$A$10,0)),"NÃO")="NÃO","NÃO","SIM")</f>
        <v>SIM</v>
      </c>
    </row>
    <row r="609" spans="1:31" x14ac:dyDescent="0.25">
      <c r="A609" s="2" t="s">
        <v>1234</v>
      </c>
      <c r="B609" s="2">
        <v>102101393</v>
      </c>
      <c r="C609" s="2" t="s">
        <v>15</v>
      </c>
      <c r="D609" s="2" t="s">
        <v>4484</v>
      </c>
      <c r="E609" s="2" t="s">
        <v>106</v>
      </c>
      <c r="F609" s="2" t="s">
        <v>116</v>
      </c>
      <c r="G609" s="2" t="s">
        <v>172</v>
      </c>
      <c r="H609" s="2" t="s">
        <v>115</v>
      </c>
      <c r="I609" s="2" t="s">
        <v>33</v>
      </c>
      <c r="J609" s="2" t="s">
        <v>109</v>
      </c>
      <c r="K609" s="2" t="s">
        <v>13</v>
      </c>
      <c r="L609" s="2" t="s">
        <v>17</v>
      </c>
      <c r="M609" s="2" t="s">
        <v>23</v>
      </c>
      <c r="N609" s="2" t="s">
        <v>15</v>
      </c>
      <c r="O609" s="2" t="s">
        <v>119</v>
      </c>
      <c r="P609" s="2" t="s">
        <v>1236</v>
      </c>
      <c r="Q609" s="2" t="s">
        <v>4926</v>
      </c>
      <c r="R609" s="2" t="s">
        <v>735</v>
      </c>
      <c r="S609" s="2" t="s">
        <v>736</v>
      </c>
      <c r="T609" s="2" t="s">
        <v>167</v>
      </c>
      <c r="U609" s="2" t="s">
        <v>12</v>
      </c>
      <c r="V609" s="2" t="s">
        <v>4886</v>
      </c>
      <c r="W609" s="2" t="s">
        <v>17</v>
      </c>
      <c r="X609" s="2" t="s">
        <v>4998</v>
      </c>
      <c r="Y609" s="2" t="s">
        <v>1235</v>
      </c>
      <c r="Z609" s="2" t="s">
        <v>5769</v>
      </c>
      <c r="AA6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6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09" s="6" t="str">
        <f>IF(_xlfn.IFNA(INDEX(configuracoes!$A$2:$A$10,MATCH(base_tc_geral[[#This Row],[TIPO]],configuracoes!$A$2:$A$10,0)),"NÃO")="NÃO","NÃO","SIM")</f>
        <v>NÃO</v>
      </c>
    </row>
    <row r="610" spans="1:31" x14ac:dyDescent="0.25">
      <c r="A610" s="2" t="s">
        <v>1885</v>
      </c>
      <c r="B610" s="2">
        <v>109000926</v>
      </c>
      <c r="C610" s="2" t="s">
        <v>15</v>
      </c>
      <c r="D610" s="2" t="s">
        <v>4502</v>
      </c>
      <c r="E610" s="2" t="s">
        <v>86</v>
      </c>
      <c r="F610" s="2" t="s">
        <v>325</v>
      </c>
      <c r="G610" s="2" t="s">
        <v>245</v>
      </c>
      <c r="H610" s="2" t="s">
        <v>283</v>
      </c>
      <c r="I610" s="2" t="s">
        <v>33</v>
      </c>
      <c r="J610" s="2" t="s">
        <v>124</v>
      </c>
      <c r="K610" s="2" t="s">
        <v>20</v>
      </c>
      <c r="L610" s="2" t="s">
        <v>21</v>
      </c>
      <c r="M610" s="2" t="s">
        <v>22</v>
      </c>
      <c r="N610" s="2" t="s">
        <v>15</v>
      </c>
      <c r="O610" s="2" t="s">
        <v>287</v>
      </c>
      <c r="P610" s="2" t="s">
        <v>1887</v>
      </c>
      <c r="Q610" s="2" t="s">
        <v>4926</v>
      </c>
      <c r="R610" s="2" t="s">
        <v>285</v>
      </c>
      <c r="S610" s="2" t="s">
        <v>125</v>
      </c>
      <c r="T610" s="2" t="s">
        <v>4696</v>
      </c>
      <c r="U610" s="2" t="s">
        <v>12</v>
      </c>
      <c r="V610" s="2" t="s">
        <v>4777</v>
      </c>
      <c r="W610" s="2" t="s">
        <v>4982</v>
      </c>
      <c r="X610" s="2" t="s">
        <v>4925</v>
      </c>
      <c r="Y610" s="2" t="s">
        <v>1886</v>
      </c>
      <c r="Z610" s="2" t="s">
        <v>5770</v>
      </c>
      <c r="AA6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6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0" s="6" t="str">
        <f>IF(_xlfn.IFNA(INDEX(configuracoes!$A$2:$A$10,MATCH(base_tc_geral[[#This Row],[TIPO]],configuracoes!$A$2:$A$10,0)),"NÃO")="NÃO","NÃO","SIM")</f>
        <v>SIM</v>
      </c>
    </row>
    <row r="611" spans="1:31" x14ac:dyDescent="0.25">
      <c r="A611" s="2" t="s">
        <v>374</v>
      </c>
      <c r="B611" s="2">
        <v>101005380</v>
      </c>
      <c r="C611" s="2" t="s">
        <v>15</v>
      </c>
      <c r="D611" s="2" t="s">
        <v>4663</v>
      </c>
      <c r="E611" s="2" t="s">
        <v>47</v>
      </c>
      <c r="F611" s="2" t="s">
        <v>67</v>
      </c>
      <c r="G611" s="2" t="s">
        <v>883</v>
      </c>
      <c r="H611" s="2" t="s">
        <v>66</v>
      </c>
      <c r="I611" s="2" t="s">
        <v>16</v>
      </c>
      <c r="J611" s="2" t="s">
        <v>66</v>
      </c>
      <c r="K611" s="2" t="s">
        <v>20</v>
      </c>
      <c r="L611" s="2" t="s">
        <v>21</v>
      </c>
      <c r="M611" s="2" t="s">
        <v>22</v>
      </c>
      <c r="N611" s="2" t="s">
        <v>15</v>
      </c>
      <c r="O611" s="2" t="s">
        <v>71</v>
      </c>
      <c r="P611" s="2" t="s">
        <v>376</v>
      </c>
      <c r="Q611" s="2" t="s">
        <v>4926</v>
      </c>
      <c r="R611" s="2" t="s">
        <v>69</v>
      </c>
      <c r="S611" s="2" t="s">
        <v>4698</v>
      </c>
      <c r="T611" s="2" t="s">
        <v>4697</v>
      </c>
      <c r="U611" s="2" t="s">
        <v>12</v>
      </c>
      <c r="V611" s="2" t="s">
        <v>4786</v>
      </c>
      <c r="W611" s="2" t="s">
        <v>4982</v>
      </c>
      <c r="X611" s="2" t="s">
        <v>4925</v>
      </c>
      <c r="Y611" s="2" t="s">
        <v>375</v>
      </c>
      <c r="Z611" s="2" t="s">
        <v>5771</v>
      </c>
      <c r="AA6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6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6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6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1" s="6" t="str">
        <f>IF(_xlfn.IFNA(INDEX(configuracoes!$A$2:$A$10,MATCH(base_tc_geral[[#This Row],[TIPO]],configuracoes!$A$2:$A$10,0)),"NÃO")="NÃO","NÃO","SIM")</f>
        <v>SIM</v>
      </c>
    </row>
    <row r="612" spans="1:31" x14ac:dyDescent="0.25">
      <c r="A612" s="2" t="s">
        <v>3986</v>
      </c>
      <c r="B612" s="2">
        <v>109000340</v>
      </c>
      <c r="C612" s="2" t="s">
        <v>15</v>
      </c>
      <c r="D612" s="2" t="s">
        <v>4534</v>
      </c>
      <c r="E612" s="2" t="s">
        <v>86</v>
      </c>
      <c r="F612" s="2" t="s">
        <v>88</v>
      </c>
      <c r="G612" s="2" t="s">
        <v>89</v>
      </c>
      <c r="H612" s="2" t="s">
        <v>87</v>
      </c>
      <c r="I612" s="2" t="s">
        <v>33</v>
      </c>
      <c r="J612" s="2" t="s">
        <v>91</v>
      </c>
      <c r="K612" s="2" t="s">
        <v>92</v>
      </c>
      <c r="L612" s="2" t="s">
        <v>37</v>
      </c>
      <c r="M612" s="2" t="s">
        <v>44</v>
      </c>
      <c r="N612" s="2" t="s">
        <v>15</v>
      </c>
      <c r="O612" s="2" t="s">
        <v>95</v>
      </c>
      <c r="P612" s="2" t="s">
        <v>3988</v>
      </c>
      <c r="Q612" s="2" t="s">
        <v>4926</v>
      </c>
      <c r="R612" s="2" t="s">
        <v>90</v>
      </c>
      <c r="S612" s="2" t="s">
        <v>93</v>
      </c>
      <c r="T612" s="2" t="s">
        <v>4696</v>
      </c>
      <c r="U612" s="2" t="s">
        <v>12</v>
      </c>
      <c r="V612" s="2" t="s">
        <v>4796</v>
      </c>
      <c r="W612" s="2" t="s">
        <v>4999</v>
      </c>
      <c r="X612" s="2" t="s">
        <v>44</v>
      </c>
      <c r="Y612" s="2" t="s">
        <v>3987</v>
      </c>
      <c r="Z612" s="2" t="s">
        <v>5772</v>
      </c>
      <c r="AA6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6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2" s="6" t="str">
        <f>IF(_xlfn.IFNA(INDEX(configuracoes!$A$2:$A$10,MATCH(base_tc_geral[[#This Row],[TIPO]],configuracoes!$A$2:$A$10,0)),"NÃO")="NÃO","NÃO","SIM")</f>
        <v>NÃO</v>
      </c>
    </row>
    <row r="613" spans="1:31" x14ac:dyDescent="0.25">
      <c r="A613" s="2" t="s">
        <v>400</v>
      </c>
      <c r="B613" s="2">
        <v>102100917</v>
      </c>
      <c r="C613" s="2" t="s">
        <v>24</v>
      </c>
      <c r="D613" s="2" t="s">
        <v>4768</v>
      </c>
      <c r="E613" s="2" t="s">
        <v>106</v>
      </c>
      <c r="F613" s="2" t="s">
        <v>116</v>
      </c>
      <c r="G613" s="2" t="s">
        <v>637</v>
      </c>
      <c r="H613" s="2" t="s">
        <v>115</v>
      </c>
      <c r="I613" s="2" t="s">
        <v>33</v>
      </c>
      <c r="J613" s="2" t="s">
        <v>109</v>
      </c>
      <c r="K613" s="2" t="s">
        <v>20</v>
      </c>
      <c r="L613" s="2" t="s">
        <v>19</v>
      </c>
      <c r="M613" s="2" t="s">
        <v>22</v>
      </c>
      <c r="N613" s="2" t="s">
        <v>24</v>
      </c>
      <c r="O613" s="2" t="s">
        <v>119</v>
      </c>
      <c r="P613" s="2" t="s">
        <v>402</v>
      </c>
      <c r="Q613" s="2" t="s">
        <v>4926</v>
      </c>
      <c r="R613" s="2" t="s">
        <v>117</v>
      </c>
      <c r="S613" s="2" t="s">
        <v>736</v>
      </c>
      <c r="T613" s="2" t="s">
        <v>167</v>
      </c>
      <c r="U613" s="2" t="s">
        <v>39</v>
      </c>
      <c r="V613" s="2" t="s">
        <v>4902</v>
      </c>
      <c r="W613" s="2" t="s">
        <v>4982</v>
      </c>
      <c r="X613" s="2" t="s">
        <v>4925</v>
      </c>
      <c r="Y613" s="2" t="s">
        <v>401</v>
      </c>
      <c r="Z613" s="2" t="s">
        <v>5773</v>
      </c>
      <c r="AA6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6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13" s="6" t="str">
        <f>IF(_xlfn.IFNA(INDEX(configuracoes!$A$2:$A$10,MATCH(base_tc_geral[[#This Row],[TIPO]],configuracoes!$A$2:$A$10,0)),"NÃO")="NÃO","NÃO","SIM")</f>
        <v>SIM</v>
      </c>
    </row>
    <row r="614" spans="1:31" x14ac:dyDescent="0.25">
      <c r="A614" s="2" t="s">
        <v>3594</v>
      </c>
      <c r="B614" s="2">
        <v>109506172</v>
      </c>
      <c r="C614" s="2" t="s">
        <v>15</v>
      </c>
      <c r="D614" s="2" t="s">
        <v>4523</v>
      </c>
      <c r="E614" s="2" t="s">
        <v>86</v>
      </c>
      <c r="F614" s="2" t="s">
        <v>497</v>
      </c>
      <c r="G614" s="2" t="s">
        <v>41</v>
      </c>
      <c r="H614" s="2" t="s">
        <v>164</v>
      </c>
      <c r="I614" s="2" t="s">
        <v>33</v>
      </c>
      <c r="J614" s="2" t="s">
        <v>124</v>
      </c>
      <c r="K614" s="2" t="s">
        <v>13</v>
      </c>
      <c r="L614" s="2" t="s">
        <v>42</v>
      </c>
      <c r="M614" s="2" t="s">
        <v>75</v>
      </c>
      <c r="N614" s="2" t="s">
        <v>15</v>
      </c>
      <c r="O614" s="2" t="s">
        <v>169</v>
      </c>
      <c r="P614" s="2" t="s">
        <v>3596</v>
      </c>
      <c r="Q614" s="2" t="s">
        <v>4926</v>
      </c>
      <c r="R614" s="2" t="s">
        <v>3588</v>
      </c>
      <c r="S614" s="2" t="s">
        <v>93</v>
      </c>
      <c r="T614" s="2" t="s">
        <v>4696</v>
      </c>
      <c r="U614" s="2" t="s">
        <v>12</v>
      </c>
      <c r="V614" s="2" t="s">
        <v>4766</v>
      </c>
      <c r="W614" s="2" t="s">
        <v>42</v>
      </c>
      <c r="X614" s="2" t="s">
        <v>75</v>
      </c>
      <c r="Y614" s="2" t="s">
        <v>3595</v>
      </c>
      <c r="Z614" s="2" t="s">
        <v>5774</v>
      </c>
      <c r="AA6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6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4" s="6" t="str">
        <f>IF(_xlfn.IFNA(INDEX(configuracoes!$A$2:$A$10,MATCH(base_tc_geral[[#This Row],[TIPO]],configuracoes!$A$2:$A$10,0)),"NÃO")="NÃO","NÃO","SIM")</f>
        <v>SIM</v>
      </c>
    </row>
    <row r="615" spans="1:31" x14ac:dyDescent="0.25">
      <c r="A615" s="2" t="s">
        <v>2682</v>
      </c>
      <c r="B615" s="2">
        <v>109506091</v>
      </c>
      <c r="C615" s="2" t="s">
        <v>15</v>
      </c>
      <c r="D615" s="2" t="s">
        <v>4502</v>
      </c>
      <c r="E615" s="2" t="s">
        <v>86</v>
      </c>
      <c r="F615" s="2" t="s">
        <v>123</v>
      </c>
      <c r="G615" s="2" t="s">
        <v>245</v>
      </c>
      <c r="H615" s="2" t="s">
        <v>122</v>
      </c>
      <c r="I615" s="2" t="s">
        <v>33</v>
      </c>
      <c r="J615" s="2" t="s">
        <v>124</v>
      </c>
      <c r="K615" s="2" t="s">
        <v>20</v>
      </c>
      <c r="L615" s="2" t="s">
        <v>21</v>
      </c>
      <c r="M615" s="2" t="s">
        <v>22</v>
      </c>
      <c r="N615" s="2" t="s">
        <v>15</v>
      </c>
      <c r="O615" s="2" t="s">
        <v>129</v>
      </c>
      <c r="P615" s="2" t="s">
        <v>2685</v>
      </c>
      <c r="Q615" s="2" t="s">
        <v>4926</v>
      </c>
      <c r="R615" s="2" t="s">
        <v>2683</v>
      </c>
      <c r="S615" s="2" t="s">
        <v>125</v>
      </c>
      <c r="T615" s="2" t="s">
        <v>4696</v>
      </c>
      <c r="U615" s="2" t="s">
        <v>12</v>
      </c>
      <c r="V615" s="2" t="s">
        <v>4771</v>
      </c>
      <c r="W615" s="2" t="s">
        <v>4982</v>
      </c>
      <c r="X615" s="2" t="s">
        <v>4925</v>
      </c>
      <c r="Y615" s="2" t="s">
        <v>2684</v>
      </c>
      <c r="Z615" s="2" t="s">
        <v>5775</v>
      </c>
      <c r="AA6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6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5" s="6" t="str">
        <f>IF(_xlfn.IFNA(INDEX(configuracoes!$A$2:$A$10,MATCH(base_tc_geral[[#This Row],[TIPO]],configuracoes!$A$2:$A$10,0)),"NÃO")="NÃO","NÃO","SIM")</f>
        <v>SIM</v>
      </c>
    </row>
    <row r="616" spans="1:31" x14ac:dyDescent="0.25">
      <c r="A616" s="2" t="s">
        <v>1420</v>
      </c>
      <c r="B616" s="2">
        <v>109504193</v>
      </c>
      <c r="C616" s="2" t="s">
        <v>15</v>
      </c>
      <c r="D616" s="2" t="s">
        <v>4523</v>
      </c>
      <c r="E616" s="2" t="s">
        <v>86</v>
      </c>
      <c r="F616" s="2" t="s">
        <v>445</v>
      </c>
      <c r="G616" s="2" t="s">
        <v>89</v>
      </c>
      <c r="H616" s="2" t="s">
        <v>122</v>
      </c>
      <c r="I616" s="2" t="s">
        <v>33</v>
      </c>
      <c r="J616" s="2" t="s">
        <v>124</v>
      </c>
      <c r="K616" s="2" t="s">
        <v>13</v>
      </c>
      <c r="L616" s="2" t="s">
        <v>37</v>
      </c>
      <c r="M616" s="2" t="s">
        <v>44</v>
      </c>
      <c r="N616" s="2" t="s">
        <v>15</v>
      </c>
      <c r="O616" s="2" t="s">
        <v>129</v>
      </c>
      <c r="P616" s="2" t="s">
        <v>1422</v>
      </c>
      <c r="Q616" s="2" t="s">
        <v>4926</v>
      </c>
      <c r="R616" s="2" t="s">
        <v>639</v>
      </c>
      <c r="S616" s="2" t="s">
        <v>4699</v>
      </c>
      <c r="T616" s="2" t="s">
        <v>4696</v>
      </c>
      <c r="U616" s="2" t="s">
        <v>12</v>
      </c>
      <c r="V616" s="2" t="s">
        <v>4771</v>
      </c>
      <c r="W616" s="2" t="s">
        <v>5037</v>
      </c>
      <c r="X616" s="2" t="s">
        <v>44</v>
      </c>
      <c r="Y616" s="2" t="s">
        <v>1421</v>
      </c>
      <c r="Z616" s="2" t="s">
        <v>5776</v>
      </c>
      <c r="AA6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6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6" s="6" t="str">
        <f>IF(_xlfn.IFNA(INDEX(configuracoes!$A$2:$A$10,MATCH(base_tc_geral[[#This Row],[TIPO]],configuracoes!$A$2:$A$10,0)),"NÃO")="NÃO","NÃO","SIM")</f>
        <v>NÃO</v>
      </c>
    </row>
    <row r="617" spans="1:31" x14ac:dyDescent="0.25">
      <c r="A617" s="2" t="s">
        <v>3177</v>
      </c>
      <c r="B617" s="2">
        <v>109505858</v>
      </c>
      <c r="C617" s="2" t="s">
        <v>15</v>
      </c>
      <c r="D617" s="2" t="s">
        <v>4529</v>
      </c>
      <c r="E617" s="2" t="s">
        <v>86</v>
      </c>
      <c r="F617" s="2" t="s">
        <v>817</v>
      </c>
      <c r="G617" s="2" t="s">
        <v>41</v>
      </c>
      <c r="H617" s="2" t="s">
        <v>217</v>
      </c>
      <c r="I617" s="2" t="s">
        <v>33</v>
      </c>
      <c r="J617" s="2" t="s">
        <v>91</v>
      </c>
      <c r="K617" s="2" t="s">
        <v>20</v>
      </c>
      <c r="L617" s="2" t="s">
        <v>42</v>
      </c>
      <c r="M617" s="2" t="s">
        <v>22</v>
      </c>
      <c r="N617" s="2" t="s">
        <v>15</v>
      </c>
      <c r="O617" s="2" t="s">
        <v>221</v>
      </c>
      <c r="P617" s="2" t="s">
        <v>3179</v>
      </c>
      <c r="Q617" s="2" t="s">
        <v>4926</v>
      </c>
      <c r="R617" s="2" t="s">
        <v>1466</v>
      </c>
      <c r="S617" s="2" t="s">
        <v>93</v>
      </c>
      <c r="T617" s="2" t="s">
        <v>4696</v>
      </c>
      <c r="U617" s="2" t="s">
        <v>12</v>
      </c>
      <c r="V617" s="2" t="s">
        <v>4802</v>
      </c>
      <c r="W617" s="2" t="s">
        <v>4982</v>
      </c>
      <c r="X617" s="2" t="s">
        <v>4925</v>
      </c>
      <c r="Y617" s="2" t="s">
        <v>3178</v>
      </c>
      <c r="Z617" s="2" t="s">
        <v>5777</v>
      </c>
      <c r="AA6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6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7" s="6" t="str">
        <f>IF(_xlfn.IFNA(INDEX(configuracoes!$A$2:$A$10,MATCH(base_tc_geral[[#This Row],[TIPO]],configuracoes!$A$2:$A$10,0)),"NÃO")="NÃO","NÃO","SIM")</f>
        <v>SIM</v>
      </c>
    </row>
    <row r="618" spans="1:31" x14ac:dyDescent="0.25">
      <c r="A618" s="2" t="s">
        <v>2664</v>
      </c>
      <c r="B618" s="2">
        <v>109000340</v>
      </c>
      <c r="C618" s="2" t="s">
        <v>15</v>
      </c>
      <c r="D618" s="2" t="s">
        <v>4484</v>
      </c>
      <c r="E618" s="2" t="s">
        <v>86</v>
      </c>
      <c r="F618" s="2" t="s">
        <v>199</v>
      </c>
      <c r="G618" s="2" t="s">
        <v>630</v>
      </c>
      <c r="H618" s="2" t="s">
        <v>198</v>
      </c>
      <c r="I618" s="2" t="s">
        <v>33</v>
      </c>
      <c r="J618" s="2" t="s">
        <v>91</v>
      </c>
      <c r="K618" s="2" t="s">
        <v>20</v>
      </c>
      <c r="L618" s="2" t="s">
        <v>21</v>
      </c>
      <c r="M618" s="2" t="s">
        <v>22</v>
      </c>
      <c r="N618" s="2" t="s">
        <v>15</v>
      </c>
      <c r="O618" s="2" t="s">
        <v>201</v>
      </c>
      <c r="P618" s="2" t="s">
        <v>2666</v>
      </c>
      <c r="Q618" s="2" t="s">
        <v>4926</v>
      </c>
      <c r="R618" s="2" t="s">
        <v>90</v>
      </c>
      <c r="S618" s="2" t="s">
        <v>93</v>
      </c>
      <c r="T618" s="2" t="s">
        <v>4696</v>
      </c>
      <c r="U618" s="2" t="s">
        <v>12</v>
      </c>
      <c r="V618" s="2" t="s">
        <v>4796</v>
      </c>
      <c r="W618" s="2" t="s">
        <v>4982</v>
      </c>
      <c r="X618" s="2" t="s">
        <v>4925</v>
      </c>
      <c r="Y618" s="2" t="s">
        <v>2665</v>
      </c>
      <c r="Z618" s="2" t="s">
        <v>5778</v>
      </c>
      <c r="AA6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6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8" s="6" t="str">
        <f>IF(_xlfn.IFNA(INDEX(configuracoes!$A$2:$A$10,MATCH(base_tc_geral[[#This Row],[TIPO]],configuracoes!$A$2:$A$10,0)),"NÃO")="NÃO","NÃO","SIM")</f>
        <v>SIM</v>
      </c>
    </row>
    <row r="619" spans="1:31" x14ac:dyDescent="0.25">
      <c r="A619" s="2" t="s">
        <v>1432</v>
      </c>
      <c r="B619" s="2">
        <v>102002917</v>
      </c>
      <c r="C619" s="2" t="s">
        <v>15</v>
      </c>
      <c r="D619" s="2" t="s">
        <v>4532</v>
      </c>
      <c r="E619" s="2" t="s">
        <v>106</v>
      </c>
      <c r="F619" s="2" t="s">
        <v>863</v>
      </c>
      <c r="G619" s="2" t="s">
        <v>630</v>
      </c>
      <c r="H619" s="2" t="s">
        <v>427</v>
      </c>
      <c r="I619" s="2" t="s">
        <v>33</v>
      </c>
      <c r="J619" s="2" t="s">
        <v>109</v>
      </c>
      <c r="K619" s="2" t="s">
        <v>20</v>
      </c>
      <c r="L619" s="2" t="s">
        <v>21</v>
      </c>
      <c r="M619" s="2" t="s">
        <v>22</v>
      </c>
      <c r="N619" s="2" t="s">
        <v>15</v>
      </c>
      <c r="O619" s="2" t="s">
        <v>430</v>
      </c>
      <c r="P619" s="2" t="s">
        <v>1434</v>
      </c>
      <c r="Q619" s="2" t="s">
        <v>4926</v>
      </c>
      <c r="R619" s="2" t="s">
        <v>5069</v>
      </c>
      <c r="S619" s="2" t="s">
        <v>736</v>
      </c>
      <c r="T619" s="2" t="s">
        <v>167</v>
      </c>
      <c r="U619" s="2" t="s">
        <v>12</v>
      </c>
      <c r="V619" s="2" t="s">
        <v>4773</v>
      </c>
      <c r="W619" s="2" t="s">
        <v>4982</v>
      </c>
      <c r="X619" s="2" t="s">
        <v>4925</v>
      </c>
      <c r="Y619" s="2" t="s">
        <v>1433</v>
      </c>
      <c r="Z619" s="2" t="s">
        <v>5779</v>
      </c>
      <c r="AA6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6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19" s="6" t="str">
        <f>IF(_xlfn.IFNA(INDEX(configuracoes!$A$2:$A$10,MATCH(base_tc_geral[[#This Row],[TIPO]],configuracoes!$A$2:$A$10,0)),"NÃO")="NÃO","NÃO","SIM")</f>
        <v>SIM</v>
      </c>
    </row>
    <row r="620" spans="1:31" x14ac:dyDescent="0.25">
      <c r="A620" s="2" t="s">
        <v>1037</v>
      </c>
      <c r="B620" s="2">
        <v>109504012</v>
      </c>
      <c r="C620" s="2" t="s">
        <v>15</v>
      </c>
      <c r="D620" s="2" t="s">
        <v>4507</v>
      </c>
      <c r="E620" s="2" t="s">
        <v>28</v>
      </c>
      <c r="F620" s="2" t="s">
        <v>586</v>
      </c>
      <c r="G620" s="2" t="s">
        <v>172</v>
      </c>
      <c r="H620" s="2" t="s">
        <v>79</v>
      </c>
      <c r="I620" s="2" t="s">
        <v>33</v>
      </c>
      <c r="J620" s="2" t="s">
        <v>34</v>
      </c>
      <c r="K620" s="2" t="s">
        <v>13</v>
      </c>
      <c r="L620" s="2" t="s">
        <v>17</v>
      </c>
      <c r="M620" s="2" t="s">
        <v>23</v>
      </c>
      <c r="N620" s="2" t="s">
        <v>15</v>
      </c>
      <c r="O620" s="2" t="s">
        <v>83</v>
      </c>
      <c r="P620" s="2" t="s">
        <v>1039</v>
      </c>
      <c r="Q620" s="2" t="s">
        <v>4926</v>
      </c>
      <c r="R620" s="2" t="s">
        <v>166</v>
      </c>
      <c r="S620" s="2" t="s">
        <v>167</v>
      </c>
      <c r="T620" s="2" t="s">
        <v>167</v>
      </c>
      <c r="U620" s="2" t="s">
        <v>12</v>
      </c>
      <c r="V620" s="2" t="s">
        <v>4774</v>
      </c>
      <c r="W620" s="2" t="s">
        <v>17</v>
      </c>
      <c r="X620" s="2" t="s">
        <v>4998</v>
      </c>
      <c r="Y620" s="2" t="s">
        <v>1038</v>
      </c>
      <c r="Z620" s="2" t="s">
        <v>5780</v>
      </c>
      <c r="AA6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6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0" s="6" t="str">
        <f>IF(_xlfn.IFNA(INDEX(configuracoes!$A$2:$A$10,MATCH(base_tc_geral[[#This Row],[TIPO]],configuracoes!$A$2:$A$10,0)),"NÃO")="NÃO","NÃO","SIM")</f>
        <v>NÃO</v>
      </c>
    </row>
    <row r="621" spans="1:31" x14ac:dyDescent="0.25">
      <c r="A621" s="2" t="s">
        <v>1318</v>
      </c>
      <c r="B621" s="2">
        <v>109504369</v>
      </c>
      <c r="C621" s="2" t="s">
        <v>24</v>
      </c>
      <c r="D621" s="2" t="s">
        <v>4768</v>
      </c>
      <c r="E621" s="2" t="s">
        <v>86</v>
      </c>
      <c r="F621" s="2" t="s">
        <v>1320</v>
      </c>
      <c r="G621" s="2" t="s">
        <v>58</v>
      </c>
      <c r="H621" s="2" t="s">
        <v>1321</v>
      </c>
      <c r="I621" s="2" t="s">
        <v>33</v>
      </c>
      <c r="J621" s="2" t="s">
        <v>91</v>
      </c>
      <c r="K621" s="2" t="s">
        <v>13</v>
      </c>
      <c r="L621" s="2" t="s">
        <v>61</v>
      </c>
      <c r="M621" s="2" t="s">
        <v>44</v>
      </c>
      <c r="N621" s="2" t="s">
        <v>24</v>
      </c>
      <c r="O621" s="2" t="s">
        <v>1322</v>
      </c>
      <c r="P621" s="2" t="s">
        <v>1323</v>
      </c>
      <c r="Q621" s="2" t="s">
        <v>4926</v>
      </c>
      <c r="R621" s="2" t="s">
        <v>829</v>
      </c>
      <c r="S621" s="2" t="s">
        <v>4699</v>
      </c>
      <c r="T621" s="2" t="s">
        <v>4696</v>
      </c>
      <c r="U621" s="2" t="s">
        <v>39</v>
      </c>
      <c r="V621" s="2" t="s">
        <v>4904</v>
      </c>
      <c r="W621" s="2" t="s">
        <v>4984</v>
      </c>
      <c r="X621" s="2" t="s">
        <v>44</v>
      </c>
      <c r="Y621" s="2" t="s">
        <v>1319</v>
      </c>
      <c r="Z621" s="2" t="s">
        <v>5781</v>
      </c>
      <c r="AA6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6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21" s="6" t="str">
        <f>IF(_xlfn.IFNA(INDEX(configuracoes!$A$2:$A$10,MATCH(base_tc_geral[[#This Row],[TIPO]],configuracoes!$A$2:$A$10,0)),"NÃO")="NÃO","NÃO","SIM")</f>
        <v>NÃO</v>
      </c>
    </row>
    <row r="622" spans="1:31" x14ac:dyDescent="0.25">
      <c r="A622" s="2" t="s">
        <v>390</v>
      </c>
      <c r="B622" s="2">
        <v>105000985</v>
      </c>
      <c r="C622" s="2" t="s">
        <v>15</v>
      </c>
      <c r="D622" s="2" t="s">
        <v>4481</v>
      </c>
      <c r="E622" s="2" t="s">
        <v>28</v>
      </c>
      <c r="F622" s="2" t="s">
        <v>30</v>
      </c>
      <c r="G622" s="2" t="s">
        <v>136</v>
      </c>
      <c r="H622" s="2" t="s">
        <v>29</v>
      </c>
      <c r="I622" s="2" t="s">
        <v>33</v>
      </c>
      <c r="J622" s="2" t="s">
        <v>34</v>
      </c>
      <c r="K622" s="2" t="s">
        <v>13</v>
      </c>
      <c r="L622" s="2" t="s">
        <v>72</v>
      </c>
      <c r="M622" s="2" t="s">
        <v>73</v>
      </c>
      <c r="N622" s="2" t="s">
        <v>15</v>
      </c>
      <c r="O622" s="2" t="s">
        <v>36</v>
      </c>
      <c r="P622" s="2" t="s">
        <v>392</v>
      </c>
      <c r="Q622" s="2" t="s">
        <v>4926</v>
      </c>
      <c r="R622" s="2" t="s">
        <v>32</v>
      </c>
      <c r="S622" s="2" t="s">
        <v>167</v>
      </c>
      <c r="T622" s="2" t="s">
        <v>167</v>
      </c>
      <c r="U622" s="2" t="s">
        <v>39</v>
      </c>
      <c r="V622" s="2" t="s">
        <v>4851</v>
      </c>
      <c r="W622" s="2" t="s">
        <v>72</v>
      </c>
      <c r="X622" s="2" t="s">
        <v>5011</v>
      </c>
      <c r="Y622" s="2" t="s">
        <v>391</v>
      </c>
      <c r="Z622" s="2" t="s">
        <v>5782</v>
      </c>
      <c r="AA6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6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2" s="6" t="str">
        <f>IF(_xlfn.IFNA(INDEX(configuracoes!$A$2:$A$10,MATCH(base_tc_geral[[#This Row],[TIPO]],configuracoes!$A$2:$A$10,0)),"NÃO")="NÃO","NÃO","SIM")</f>
        <v>NÃO</v>
      </c>
    </row>
    <row r="623" spans="1:31" x14ac:dyDescent="0.25">
      <c r="A623" s="2" t="s">
        <v>4148</v>
      </c>
      <c r="B623" s="2">
        <v>109506174</v>
      </c>
      <c r="C623" s="2" t="s">
        <v>15</v>
      </c>
      <c r="D623" s="2" t="s">
        <v>4515</v>
      </c>
      <c r="E623" s="2" t="s">
        <v>86</v>
      </c>
      <c r="F623" s="2" t="s">
        <v>840</v>
      </c>
      <c r="G623" s="2" t="s">
        <v>172</v>
      </c>
      <c r="H623" s="2" t="s">
        <v>198</v>
      </c>
      <c r="I623" s="2" t="s">
        <v>33</v>
      </c>
      <c r="J623" s="2" t="s">
        <v>91</v>
      </c>
      <c r="K623" s="2" t="s">
        <v>20</v>
      </c>
      <c r="L623" s="2" t="s">
        <v>17</v>
      </c>
      <c r="M623" s="2" t="s">
        <v>22</v>
      </c>
      <c r="N623" s="2" t="s">
        <v>15</v>
      </c>
      <c r="O623" s="2" t="s">
        <v>201</v>
      </c>
      <c r="P623" s="2" t="s">
        <v>4150</v>
      </c>
      <c r="Q623" s="2" t="s">
        <v>4926</v>
      </c>
      <c r="R623" s="2" t="s">
        <v>2782</v>
      </c>
      <c r="S623" s="2" t="s">
        <v>93</v>
      </c>
      <c r="T623" s="2" t="s">
        <v>4696</v>
      </c>
      <c r="U623" s="2" t="s">
        <v>12</v>
      </c>
      <c r="V623" s="2" t="s">
        <v>4796</v>
      </c>
      <c r="W623" s="2" t="s">
        <v>4982</v>
      </c>
      <c r="X623" s="2" t="s">
        <v>4925</v>
      </c>
      <c r="Y623" s="2" t="s">
        <v>4149</v>
      </c>
      <c r="Z623" s="2" t="s">
        <v>5783</v>
      </c>
      <c r="AA6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6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3" s="6" t="str">
        <f>IF(_xlfn.IFNA(INDEX(configuracoes!$A$2:$A$10,MATCH(base_tc_geral[[#This Row],[TIPO]],configuracoes!$A$2:$A$10,0)),"NÃO")="NÃO","NÃO","SIM")</f>
        <v>NÃO</v>
      </c>
    </row>
    <row r="624" spans="1:31" x14ac:dyDescent="0.25">
      <c r="A624" s="2" t="s">
        <v>2493</v>
      </c>
      <c r="B624" s="2">
        <v>105000985</v>
      </c>
      <c r="C624" s="2" t="s">
        <v>15</v>
      </c>
      <c r="D624" s="2" t="s">
        <v>4481</v>
      </c>
      <c r="E624" s="2" t="s">
        <v>28</v>
      </c>
      <c r="F624" s="2" t="s">
        <v>30</v>
      </c>
      <c r="G624" s="2" t="s">
        <v>172</v>
      </c>
      <c r="H624" s="2" t="s">
        <v>29</v>
      </c>
      <c r="I624" s="2" t="s">
        <v>33</v>
      </c>
      <c r="J624" s="2" t="s">
        <v>34</v>
      </c>
      <c r="K624" s="2" t="s">
        <v>13</v>
      </c>
      <c r="L624" s="2" t="s">
        <v>17</v>
      </c>
      <c r="M624" s="2" t="s">
        <v>23</v>
      </c>
      <c r="N624" s="2" t="s">
        <v>15</v>
      </c>
      <c r="O624" s="2" t="s">
        <v>36</v>
      </c>
      <c r="P624" s="2" t="s">
        <v>2495</v>
      </c>
      <c r="Q624" s="2" t="s">
        <v>4926</v>
      </c>
      <c r="R624" s="2" t="s">
        <v>32</v>
      </c>
      <c r="S624" s="2" t="s">
        <v>167</v>
      </c>
      <c r="T624" s="2" t="s">
        <v>167</v>
      </c>
      <c r="U624" s="2" t="s">
        <v>12</v>
      </c>
      <c r="V624" s="2" t="s">
        <v>4851</v>
      </c>
      <c r="W624" s="2" t="s">
        <v>17</v>
      </c>
      <c r="X624" s="2" t="s">
        <v>4998</v>
      </c>
      <c r="Y624" s="2" t="s">
        <v>2494</v>
      </c>
      <c r="Z624" s="2" t="s">
        <v>5784</v>
      </c>
      <c r="AA6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6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4" s="6" t="str">
        <f>IF(_xlfn.IFNA(INDEX(configuracoes!$A$2:$A$10,MATCH(base_tc_geral[[#This Row],[TIPO]],configuracoes!$A$2:$A$10,0)),"NÃO")="NÃO","NÃO","SIM")</f>
        <v>NÃO</v>
      </c>
    </row>
    <row r="625" spans="1:31" x14ac:dyDescent="0.25">
      <c r="A625" s="2" t="s">
        <v>3521</v>
      </c>
      <c r="B625" s="2">
        <v>101005380</v>
      </c>
      <c r="C625" s="2" t="s">
        <v>24</v>
      </c>
      <c r="D625" s="2" t="s">
        <v>4503</v>
      </c>
      <c r="E625" s="2" t="s">
        <v>47</v>
      </c>
      <c r="F625" s="2" t="s">
        <v>67</v>
      </c>
      <c r="G625" s="2" t="s">
        <v>172</v>
      </c>
      <c r="H625" s="2" t="s">
        <v>66</v>
      </c>
      <c r="I625" s="2" t="s">
        <v>16</v>
      </c>
      <c r="J625" s="2" t="s">
        <v>66</v>
      </c>
      <c r="K625" s="2" t="s">
        <v>13</v>
      </c>
      <c r="L625" s="2" t="s">
        <v>17</v>
      </c>
      <c r="M625" s="2" t="s">
        <v>18</v>
      </c>
      <c r="N625" s="2" t="s">
        <v>24</v>
      </c>
      <c r="O625" s="2" t="s">
        <v>71</v>
      </c>
      <c r="P625" s="2" t="s">
        <v>3523</v>
      </c>
      <c r="Q625" s="2" t="s">
        <v>4926</v>
      </c>
      <c r="R625" s="2" t="s">
        <v>69</v>
      </c>
      <c r="S625" s="2" t="s">
        <v>4698</v>
      </c>
      <c r="T625" s="2" t="s">
        <v>4697</v>
      </c>
      <c r="U625" s="2" t="s">
        <v>39</v>
      </c>
      <c r="V625" s="2" t="s">
        <v>4787</v>
      </c>
      <c r="W625" s="2" t="s">
        <v>17</v>
      </c>
      <c r="X625" s="2" t="s">
        <v>4998</v>
      </c>
      <c r="Y625" s="2" t="s">
        <v>3522</v>
      </c>
      <c r="Z625" s="2" t="s">
        <v>5785</v>
      </c>
      <c r="AA6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6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6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6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25" s="6" t="str">
        <f>IF(_xlfn.IFNA(INDEX(configuracoes!$A$2:$A$10,MATCH(base_tc_geral[[#This Row],[TIPO]],configuracoes!$A$2:$A$10,0)),"NÃO")="NÃO","NÃO","SIM")</f>
        <v>NÃO</v>
      </c>
    </row>
    <row r="626" spans="1:31" x14ac:dyDescent="0.25">
      <c r="A626" s="2" t="s">
        <v>1128</v>
      </c>
      <c r="B626" s="2">
        <v>109000926</v>
      </c>
      <c r="C626" s="2" t="s">
        <v>15</v>
      </c>
      <c r="D626" s="2" t="s">
        <v>4487</v>
      </c>
      <c r="E626" s="2" t="s">
        <v>86</v>
      </c>
      <c r="F626" s="2" t="s">
        <v>325</v>
      </c>
      <c r="G626" s="2" t="s">
        <v>870</v>
      </c>
      <c r="H626" s="2" t="s">
        <v>283</v>
      </c>
      <c r="I626" s="2" t="s">
        <v>33</v>
      </c>
      <c r="J626" s="2" t="s">
        <v>124</v>
      </c>
      <c r="K626" s="2" t="s">
        <v>20</v>
      </c>
      <c r="L626" s="2" t="s">
        <v>76</v>
      </c>
      <c r="M626" s="2" t="s">
        <v>22</v>
      </c>
      <c r="N626" s="2" t="s">
        <v>15</v>
      </c>
      <c r="O626" s="2" t="s">
        <v>287</v>
      </c>
      <c r="P626" s="2" t="s">
        <v>1130</v>
      </c>
      <c r="Q626" s="2" t="s">
        <v>4926</v>
      </c>
      <c r="R626" s="2" t="s">
        <v>285</v>
      </c>
      <c r="S626" s="2" t="s">
        <v>125</v>
      </c>
      <c r="T626" s="2" t="s">
        <v>4696</v>
      </c>
      <c r="U626" s="2" t="s">
        <v>12</v>
      </c>
      <c r="V626" s="2" t="s">
        <v>4777</v>
      </c>
      <c r="W626" s="2" t="s">
        <v>4982</v>
      </c>
      <c r="X626" s="2" t="s">
        <v>4925</v>
      </c>
      <c r="Y626" s="2" t="s">
        <v>1129</v>
      </c>
      <c r="Z626" s="2" t="s">
        <v>5368</v>
      </c>
      <c r="AA6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6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6" s="6" t="str">
        <f>IF(_xlfn.IFNA(INDEX(configuracoes!$A$2:$A$10,MATCH(base_tc_geral[[#This Row],[TIPO]],configuracoes!$A$2:$A$10,0)),"NÃO")="NÃO","NÃO","SIM")</f>
        <v>SIM</v>
      </c>
    </row>
    <row r="627" spans="1:31" x14ac:dyDescent="0.25">
      <c r="A627" s="2" t="s">
        <v>1055</v>
      </c>
      <c r="B627" s="2">
        <v>109504012</v>
      </c>
      <c r="C627" s="2" t="s">
        <v>15</v>
      </c>
      <c r="D627" s="2" t="s">
        <v>4553</v>
      </c>
      <c r="E627" s="2" t="s">
        <v>28</v>
      </c>
      <c r="F627" s="2" t="s">
        <v>586</v>
      </c>
      <c r="G627" s="2" t="s">
        <v>172</v>
      </c>
      <c r="H627" s="2" t="s">
        <v>79</v>
      </c>
      <c r="I627" s="2" t="s">
        <v>33</v>
      </c>
      <c r="J627" s="2" t="s">
        <v>34</v>
      </c>
      <c r="K627" s="2" t="s">
        <v>13</v>
      </c>
      <c r="L627" s="2" t="s">
        <v>17</v>
      </c>
      <c r="M627" s="2" t="s">
        <v>18</v>
      </c>
      <c r="N627" s="2" t="s">
        <v>15</v>
      </c>
      <c r="O627" s="2" t="s">
        <v>83</v>
      </c>
      <c r="P627" s="2" t="s">
        <v>1057</v>
      </c>
      <c r="Q627" s="2" t="s">
        <v>4926</v>
      </c>
      <c r="R627" s="2" t="s">
        <v>166</v>
      </c>
      <c r="S627" s="2" t="s">
        <v>167</v>
      </c>
      <c r="T627" s="2" t="s">
        <v>167</v>
      </c>
      <c r="U627" s="2" t="s">
        <v>12</v>
      </c>
      <c r="V627" s="2" t="s">
        <v>4774</v>
      </c>
      <c r="W627" s="2" t="s">
        <v>17</v>
      </c>
      <c r="X627" s="2" t="s">
        <v>4998</v>
      </c>
      <c r="Y627" s="2" t="s">
        <v>1056</v>
      </c>
      <c r="Z627" s="2" t="s">
        <v>5369</v>
      </c>
      <c r="AA6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6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7" s="6" t="str">
        <f>IF(_xlfn.IFNA(INDEX(configuracoes!$A$2:$A$10,MATCH(base_tc_geral[[#This Row],[TIPO]],configuracoes!$A$2:$A$10,0)),"NÃO")="NÃO","NÃO","SIM")</f>
        <v>NÃO</v>
      </c>
    </row>
    <row r="628" spans="1:31" x14ac:dyDescent="0.25">
      <c r="A628" s="2" t="s">
        <v>2003</v>
      </c>
      <c r="B628" s="2">
        <v>109000943</v>
      </c>
      <c r="C628" s="2" t="s">
        <v>15</v>
      </c>
      <c r="D628" s="2" t="s">
        <v>4484</v>
      </c>
      <c r="E628" s="2" t="s">
        <v>86</v>
      </c>
      <c r="F628" s="2" t="s">
        <v>205</v>
      </c>
      <c r="G628" s="2" t="s">
        <v>245</v>
      </c>
      <c r="H628" s="2" t="s">
        <v>122</v>
      </c>
      <c r="I628" s="2" t="s">
        <v>33</v>
      </c>
      <c r="J628" s="2" t="s">
        <v>124</v>
      </c>
      <c r="K628" s="2" t="s">
        <v>20</v>
      </c>
      <c r="L628" s="2" t="s">
        <v>21</v>
      </c>
      <c r="M628" s="2" t="s">
        <v>22</v>
      </c>
      <c r="N628" s="2" t="s">
        <v>15</v>
      </c>
      <c r="O628" s="2" t="s">
        <v>129</v>
      </c>
      <c r="P628" s="2" t="s">
        <v>2005</v>
      </c>
      <c r="Q628" s="2" t="s">
        <v>4926</v>
      </c>
      <c r="R628" s="2" t="s">
        <v>206</v>
      </c>
      <c r="S628" s="2" t="s">
        <v>125</v>
      </c>
      <c r="T628" s="2" t="s">
        <v>4696</v>
      </c>
      <c r="U628" s="2" t="s">
        <v>12</v>
      </c>
      <c r="V628" s="2" t="s">
        <v>4784</v>
      </c>
      <c r="W628" s="2" t="s">
        <v>4982</v>
      </c>
      <c r="X628" s="2" t="s">
        <v>4925</v>
      </c>
      <c r="Y628" s="2" t="s">
        <v>2004</v>
      </c>
      <c r="Z628" s="2" t="s">
        <v>5370</v>
      </c>
      <c r="AA6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6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8" s="6" t="str">
        <f>IF(_xlfn.IFNA(INDEX(configuracoes!$A$2:$A$10,MATCH(base_tc_geral[[#This Row],[TIPO]],configuracoes!$A$2:$A$10,0)),"NÃO")="NÃO","NÃO","SIM")</f>
        <v>SIM</v>
      </c>
    </row>
    <row r="629" spans="1:31" x14ac:dyDescent="0.25">
      <c r="A629" s="2" t="s">
        <v>1213</v>
      </c>
      <c r="B629" s="2">
        <v>105000986</v>
      </c>
      <c r="C629" s="2" t="s">
        <v>15</v>
      </c>
      <c r="D629" s="2" t="s">
        <v>4509</v>
      </c>
      <c r="E629" s="2" t="s">
        <v>28</v>
      </c>
      <c r="F629" s="2" t="s">
        <v>80</v>
      </c>
      <c r="G629" s="2" t="s">
        <v>89</v>
      </c>
      <c r="H629" s="2" t="s">
        <v>79</v>
      </c>
      <c r="I629" s="2" t="s">
        <v>33</v>
      </c>
      <c r="J629" s="2" t="s">
        <v>34</v>
      </c>
      <c r="K629" s="2" t="s">
        <v>13</v>
      </c>
      <c r="L629" s="2" t="s">
        <v>37</v>
      </c>
      <c r="M629" s="2" t="s">
        <v>44</v>
      </c>
      <c r="N629" s="2" t="s">
        <v>15</v>
      </c>
      <c r="O629" s="2" t="s">
        <v>83</v>
      </c>
      <c r="P629" s="2" t="s">
        <v>1215</v>
      </c>
      <c r="Q629" s="2" t="s">
        <v>4926</v>
      </c>
      <c r="R629" s="2" t="s">
        <v>81</v>
      </c>
      <c r="S629" s="2" t="s">
        <v>167</v>
      </c>
      <c r="T629" s="2" t="s">
        <v>167</v>
      </c>
      <c r="U629" s="2" t="s">
        <v>12</v>
      </c>
      <c r="V629" s="2" t="s">
        <v>4767</v>
      </c>
      <c r="W629" s="2" t="s">
        <v>4999</v>
      </c>
      <c r="X629" s="2" t="s">
        <v>44</v>
      </c>
      <c r="Y629" s="2" t="s">
        <v>1214</v>
      </c>
      <c r="Z629" s="2" t="s">
        <v>5371</v>
      </c>
      <c r="AA6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6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29" s="6" t="str">
        <f>IF(_xlfn.IFNA(INDEX(configuracoes!$A$2:$A$10,MATCH(base_tc_geral[[#This Row],[TIPO]],configuracoes!$A$2:$A$10,0)),"NÃO")="NÃO","NÃO","SIM")</f>
        <v>NÃO</v>
      </c>
    </row>
    <row r="630" spans="1:31" x14ac:dyDescent="0.25">
      <c r="A630" s="2" t="s">
        <v>1373</v>
      </c>
      <c r="B630" s="2">
        <v>105000985</v>
      </c>
      <c r="C630" s="2" t="s">
        <v>15</v>
      </c>
      <c r="D630" s="2" t="s">
        <v>4619</v>
      </c>
      <c r="E630" s="2" t="s">
        <v>28</v>
      </c>
      <c r="F630" s="2" t="s">
        <v>30</v>
      </c>
      <c r="G630" s="2" t="s">
        <v>883</v>
      </c>
      <c r="H630" s="2" t="s">
        <v>29</v>
      </c>
      <c r="I630" s="2" t="s">
        <v>33</v>
      </c>
      <c r="J630" s="2" t="s">
        <v>34</v>
      </c>
      <c r="K630" s="2" t="s">
        <v>20</v>
      </c>
      <c r="L630" s="2" t="s">
        <v>21</v>
      </c>
      <c r="M630" s="2" t="s">
        <v>22</v>
      </c>
      <c r="N630" s="2" t="s">
        <v>15</v>
      </c>
      <c r="O630" s="2" t="s">
        <v>36</v>
      </c>
      <c r="P630" s="2" t="s">
        <v>1375</v>
      </c>
      <c r="Q630" s="2" t="s">
        <v>4926</v>
      </c>
      <c r="R630" s="2" t="s">
        <v>32</v>
      </c>
      <c r="S630" s="2" t="s">
        <v>167</v>
      </c>
      <c r="T630" s="2" t="s">
        <v>167</v>
      </c>
      <c r="U630" s="2" t="s">
        <v>12</v>
      </c>
      <c r="V630" s="2" t="s">
        <v>4851</v>
      </c>
      <c r="W630" s="2" t="s">
        <v>4982</v>
      </c>
      <c r="X630" s="2" t="s">
        <v>4925</v>
      </c>
      <c r="Y630" s="2" t="s">
        <v>1374</v>
      </c>
      <c r="Z630" s="2" t="s">
        <v>5372</v>
      </c>
      <c r="AA6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6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0" s="6" t="str">
        <f>IF(_xlfn.IFNA(INDEX(configuracoes!$A$2:$A$10,MATCH(base_tc_geral[[#This Row],[TIPO]],configuracoes!$A$2:$A$10,0)),"NÃO")="NÃO","NÃO","SIM")</f>
        <v>SIM</v>
      </c>
    </row>
    <row r="631" spans="1:31" x14ac:dyDescent="0.25">
      <c r="A631" s="2" t="s">
        <v>189</v>
      </c>
      <c r="B631" s="2">
        <v>109504193</v>
      </c>
      <c r="C631" s="2" t="s">
        <v>15</v>
      </c>
      <c r="D631" s="2" t="s">
        <v>4523</v>
      </c>
      <c r="E631" s="2" t="s">
        <v>86</v>
      </c>
      <c r="F631" s="2" t="s">
        <v>123</v>
      </c>
      <c r="G631" s="2" t="s">
        <v>58</v>
      </c>
      <c r="H631" s="2" t="s">
        <v>122</v>
      </c>
      <c r="I631" s="2" t="s">
        <v>33</v>
      </c>
      <c r="J631" s="2" t="s">
        <v>124</v>
      </c>
      <c r="K631" s="2" t="s">
        <v>13</v>
      </c>
      <c r="L631" s="2" t="s">
        <v>61</v>
      </c>
      <c r="M631" s="2" t="s">
        <v>44</v>
      </c>
      <c r="N631" s="2" t="s">
        <v>15</v>
      </c>
      <c r="O631" s="2" t="s">
        <v>129</v>
      </c>
      <c r="P631" s="2" t="s">
        <v>192</v>
      </c>
      <c r="Q631" s="2" t="s">
        <v>4926</v>
      </c>
      <c r="R631" s="2" t="s">
        <v>639</v>
      </c>
      <c r="S631" s="2" t="s">
        <v>4699</v>
      </c>
      <c r="T631" s="2" t="s">
        <v>4696</v>
      </c>
      <c r="U631" s="2" t="s">
        <v>12</v>
      </c>
      <c r="V631" s="2" t="s">
        <v>4797</v>
      </c>
      <c r="W631" s="2" t="s">
        <v>5037</v>
      </c>
      <c r="X631" s="2" t="s">
        <v>44</v>
      </c>
      <c r="Y631" s="2" t="s">
        <v>190</v>
      </c>
      <c r="Z631" s="2" t="s">
        <v>5373</v>
      </c>
      <c r="AA6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6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1" s="6" t="str">
        <f>IF(_xlfn.IFNA(INDEX(configuracoes!$A$2:$A$10,MATCH(base_tc_geral[[#This Row],[TIPO]],configuracoes!$A$2:$A$10,0)),"NÃO")="NÃO","NÃO","SIM")</f>
        <v>NÃO</v>
      </c>
    </row>
    <row r="632" spans="1:31" x14ac:dyDescent="0.25">
      <c r="A632" s="2" t="s">
        <v>639</v>
      </c>
      <c r="B632" s="2">
        <v>102101220</v>
      </c>
      <c r="C632" s="2" t="s">
        <v>15</v>
      </c>
      <c r="D632" s="2" t="s">
        <v>4484</v>
      </c>
      <c r="E632" s="2" t="s">
        <v>106</v>
      </c>
      <c r="F632" s="2" t="s">
        <v>428</v>
      </c>
      <c r="G632" s="2" t="s">
        <v>630</v>
      </c>
      <c r="H632" s="2" t="s">
        <v>427</v>
      </c>
      <c r="I632" s="2" t="s">
        <v>33</v>
      </c>
      <c r="J632" s="2" t="s">
        <v>109</v>
      </c>
      <c r="K632" s="2" t="s">
        <v>20</v>
      </c>
      <c r="L632" s="2" t="s">
        <v>21</v>
      </c>
      <c r="M632" s="2" t="s">
        <v>22</v>
      </c>
      <c r="N632" s="2" t="s">
        <v>15</v>
      </c>
      <c r="O632" s="2" t="s">
        <v>430</v>
      </c>
      <c r="P632" s="2" t="s">
        <v>641</v>
      </c>
      <c r="Q632" s="2" t="s">
        <v>4926</v>
      </c>
      <c r="R632" s="2" t="s">
        <v>625</v>
      </c>
      <c r="S632" s="2" t="s">
        <v>736</v>
      </c>
      <c r="T632" s="2" t="s">
        <v>167</v>
      </c>
      <c r="U632" s="2" t="s">
        <v>12</v>
      </c>
      <c r="V632" s="2" t="s">
        <v>4895</v>
      </c>
      <c r="W632" s="2" t="s">
        <v>4982</v>
      </c>
      <c r="X632" s="2" t="s">
        <v>4925</v>
      </c>
      <c r="Y632" s="2" t="s">
        <v>640</v>
      </c>
      <c r="Z632" s="2" t="s">
        <v>5786</v>
      </c>
      <c r="AA6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6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2" s="6" t="str">
        <f>IF(_xlfn.IFNA(INDEX(configuracoes!$A$2:$A$10,MATCH(base_tc_geral[[#This Row],[TIPO]],configuracoes!$A$2:$A$10,0)),"NÃO")="NÃO","NÃO","SIM")</f>
        <v>SIM</v>
      </c>
    </row>
    <row r="633" spans="1:31" x14ac:dyDescent="0.25">
      <c r="A633" s="2" t="s">
        <v>3015</v>
      </c>
      <c r="B633" s="2">
        <v>109000499</v>
      </c>
      <c r="C633" s="2" t="s">
        <v>15</v>
      </c>
      <c r="D633" s="2" t="s">
        <v>4674</v>
      </c>
      <c r="E633" s="2" t="s">
        <v>86</v>
      </c>
      <c r="F633" s="2" t="s">
        <v>274</v>
      </c>
      <c r="G633" s="2" t="s">
        <v>136</v>
      </c>
      <c r="H633" s="2" t="s">
        <v>210</v>
      </c>
      <c r="I633" s="2" t="s">
        <v>33</v>
      </c>
      <c r="J633" s="2" t="s">
        <v>124</v>
      </c>
      <c r="K633" s="2" t="s">
        <v>13</v>
      </c>
      <c r="L633" s="2" t="s">
        <v>72</v>
      </c>
      <c r="M633" s="2" t="s">
        <v>73</v>
      </c>
      <c r="N633" s="2" t="s">
        <v>15</v>
      </c>
      <c r="O633" s="2" t="s">
        <v>214</v>
      </c>
      <c r="P633" s="2" t="s">
        <v>3017</v>
      </c>
      <c r="Q633" s="2" t="s">
        <v>4926</v>
      </c>
      <c r="R633" s="2" t="s">
        <v>321</v>
      </c>
      <c r="S633" s="2" t="s">
        <v>93</v>
      </c>
      <c r="T633" s="2" t="s">
        <v>4696</v>
      </c>
      <c r="U633" s="2" t="s">
        <v>12</v>
      </c>
      <c r="V633" s="2" t="s">
        <v>4783</v>
      </c>
      <c r="W633" s="2" t="s">
        <v>72</v>
      </c>
      <c r="X633" s="2" t="s">
        <v>5011</v>
      </c>
      <c r="Y633" s="2" t="s">
        <v>3016</v>
      </c>
      <c r="Z633" s="2" t="s">
        <v>5787</v>
      </c>
      <c r="AA6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6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3" s="6" t="str">
        <f>IF(_xlfn.IFNA(INDEX(configuracoes!$A$2:$A$10,MATCH(base_tc_geral[[#This Row],[TIPO]],configuracoes!$A$2:$A$10,0)),"NÃO")="NÃO","NÃO","SIM")</f>
        <v>NÃO</v>
      </c>
    </row>
    <row r="634" spans="1:31" x14ac:dyDescent="0.25">
      <c r="A634" s="2" t="s">
        <v>3001</v>
      </c>
      <c r="B634" s="2">
        <v>109000499</v>
      </c>
      <c r="C634" s="2" t="s">
        <v>15</v>
      </c>
      <c r="D634" s="2" t="s">
        <v>4483</v>
      </c>
      <c r="E634" s="2" t="s">
        <v>86</v>
      </c>
      <c r="F634" s="2" t="s">
        <v>205</v>
      </c>
      <c r="G634" s="2" t="s">
        <v>136</v>
      </c>
      <c r="H634" s="2" t="s">
        <v>122</v>
      </c>
      <c r="I634" s="2" t="s">
        <v>33</v>
      </c>
      <c r="J634" s="2" t="s">
        <v>124</v>
      </c>
      <c r="K634" s="2" t="s">
        <v>13</v>
      </c>
      <c r="L634" s="2" t="s">
        <v>72</v>
      </c>
      <c r="M634" s="2" t="s">
        <v>73</v>
      </c>
      <c r="N634" s="2" t="s">
        <v>15</v>
      </c>
      <c r="O634" s="2" t="s">
        <v>129</v>
      </c>
      <c r="P634" s="2" t="s">
        <v>3003</v>
      </c>
      <c r="Q634" s="2" t="s">
        <v>4926</v>
      </c>
      <c r="R634" s="2" t="s">
        <v>321</v>
      </c>
      <c r="S634" s="2" t="s">
        <v>93</v>
      </c>
      <c r="T634" s="2" t="s">
        <v>4696</v>
      </c>
      <c r="U634" s="2" t="s">
        <v>12</v>
      </c>
      <c r="V634" s="2" t="s">
        <v>4783</v>
      </c>
      <c r="W634" s="2" t="s">
        <v>72</v>
      </c>
      <c r="X634" s="2" t="s">
        <v>5011</v>
      </c>
      <c r="Y634" s="2" t="s">
        <v>3002</v>
      </c>
      <c r="Z634" s="2" t="s">
        <v>5788</v>
      </c>
      <c r="AA6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6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4" s="6" t="str">
        <f>IF(_xlfn.IFNA(INDEX(configuracoes!$A$2:$A$10,MATCH(base_tc_geral[[#This Row],[TIPO]],configuracoes!$A$2:$A$10,0)),"NÃO")="NÃO","NÃO","SIM")</f>
        <v>NÃO</v>
      </c>
    </row>
    <row r="635" spans="1:31" x14ac:dyDescent="0.25">
      <c r="A635" s="2" t="s">
        <v>3051</v>
      </c>
      <c r="B635" s="2">
        <v>109505049</v>
      </c>
      <c r="C635" s="2" t="s">
        <v>15</v>
      </c>
      <c r="D635" s="2" t="s">
        <v>4616</v>
      </c>
      <c r="E635" s="2" t="s">
        <v>86</v>
      </c>
      <c r="F635" s="2" t="s">
        <v>540</v>
      </c>
      <c r="G635" s="2" t="s">
        <v>99</v>
      </c>
      <c r="H635" s="2" t="s">
        <v>283</v>
      </c>
      <c r="I635" s="2" t="s">
        <v>33</v>
      </c>
      <c r="J635" s="2" t="s">
        <v>124</v>
      </c>
      <c r="K635" s="2" t="s">
        <v>20</v>
      </c>
      <c r="L635" s="2" t="s">
        <v>25</v>
      </c>
      <c r="M635" s="2" t="s">
        <v>22</v>
      </c>
      <c r="N635" s="2" t="s">
        <v>15</v>
      </c>
      <c r="O635" s="2" t="s">
        <v>287</v>
      </c>
      <c r="P635" s="2" t="s">
        <v>3053</v>
      </c>
      <c r="Q635" s="2" t="s">
        <v>4926</v>
      </c>
      <c r="R635" s="2" t="s">
        <v>541</v>
      </c>
      <c r="S635" s="2" t="s">
        <v>125</v>
      </c>
      <c r="T635" s="2" t="s">
        <v>4696</v>
      </c>
      <c r="U635" s="2" t="s">
        <v>12</v>
      </c>
      <c r="V635" s="2" t="s">
        <v>4765</v>
      </c>
      <c r="W635" s="2" t="s">
        <v>4931</v>
      </c>
      <c r="X635" s="2" t="s">
        <v>4925</v>
      </c>
      <c r="Y635" s="2" t="s">
        <v>3052</v>
      </c>
      <c r="Z635" s="2" t="s">
        <v>5789</v>
      </c>
      <c r="AA6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6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5" s="6" t="str">
        <f>IF(_xlfn.IFNA(INDEX(configuracoes!$A$2:$A$10,MATCH(base_tc_geral[[#This Row],[TIPO]],configuracoes!$A$2:$A$10,0)),"NÃO")="NÃO","NÃO","SIM")</f>
        <v>SIM</v>
      </c>
    </row>
    <row r="636" spans="1:31" x14ac:dyDescent="0.25">
      <c r="A636" s="2" t="s">
        <v>2457</v>
      </c>
      <c r="B636" s="2">
        <v>105303124</v>
      </c>
      <c r="C636" s="2" t="s">
        <v>15</v>
      </c>
      <c r="D636" s="2" t="s">
        <v>4506</v>
      </c>
      <c r="E636" s="2" t="s">
        <v>86</v>
      </c>
      <c r="F636" s="2" t="s">
        <v>325</v>
      </c>
      <c r="G636" s="2" t="s">
        <v>245</v>
      </c>
      <c r="H636" s="2" t="s">
        <v>283</v>
      </c>
      <c r="I636" s="2" t="s">
        <v>33</v>
      </c>
      <c r="J636" s="2" t="s">
        <v>124</v>
      </c>
      <c r="K636" s="2" t="s">
        <v>20</v>
      </c>
      <c r="L636" s="2" t="s">
        <v>21</v>
      </c>
      <c r="M636" s="2" t="s">
        <v>22</v>
      </c>
      <c r="N636" s="2" t="s">
        <v>15</v>
      </c>
      <c r="O636" s="2" t="s">
        <v>287</v>
      </c>
      <c r="P636" s="2" t="s">
        <v>2459</v>
      </c>
      <c r="Q636" s="2" t="s">
        <v>4926</v>
      </c>
      <c r="R636" s="2" t="s">
        <v>551</v>
      </c>
      <c r="S636" s="2" t="s">
        <v>4700</v>
      </c>
      <c r="T636" s="2" t="s">
        <v>4701</v>
      </c>
      <c r="U636" s="2" t="s">
        <v>12</v>
      </c>
      <c r="V636" s="2" t="s">
        <v>4777</v>
      </c>
      <c r="W636" s="2" t="s">
        <v>4982</v>
      </c>
      <c r="X636" s="2" t="s">
        <v>4925</v>
      </c>
      <c r="Y636" s="2" t="s">
        <v>2458</v>
      </c>
      <c r="Z636" s="2" t="s">
        <v>5790</v>
      </c>
      <c r="AA6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GENELSON AUGUSTO </v>
      </c>
      <c r="AB6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6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6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6" s="6" t="str">
        <f>IF(_xlfn.IFNA(INDEX(configuracoes!$A$2:$A$10,MATCH(base_tc_geral[[#This Row],[TIPO]],configuracoes!$A$2:$A$10,0)),"NÃO")="NÃO","NÃO","SIM")</f>
        <v>SIM</v>
      </c>
    </row>
    <row r="637" spans="1:31" x14ac:dyDescent="0.25">
      <c r="A637" s="2" t="s">
        <v>2797</v>
      </c>
      <c r="B637" s="2">
        <v>109506174</v>
      </c>
      <c r="C637" s="2" t="s">
        <v>15</v>
      </c>
      <c r="D637" s="2" t="s">
        <v>4487</v>
      </c>
      <c r="E637" s="2" t="s">
        <v>86</v>
      </c>
      <c r="F637" s="2" t="s">
        <v>459</v>
      </c>
      <c r="G637" s="2" t="s">
        <v>89</v>
      </c>
      <c r="H637" s="2" t="s">
        <v>458</v>
      </c>
      <c r="I637" s="2" t="s">
        <v>33</v>
      </c>
      <c r="J637" s="2" t="s">
        <v>91</v>
      </c>
      <c r="K637" s="2" t="s">
        <v>13</v>
      </c>
      <c r="L637" s="2" t="s">
        <v>37</v>
      </c>
      <c r="M637" s="2" t="s">
        <v>44</v>
      </c>
      <c r="N637" s="2" t="s">
        <v>15</v>
      </c>
      <c r="O637" s="2" t="s">
        <v>461</v>
      </c>
      <c r="P637" s="2" t="s">
        <v>2799</v>
      </c>
      <c r="Q637" s="2" t="s">
        <v>4926</v>
      </c>
      <c r="R637" s="2" t="s">
        <v>2782</v>
      </c>
      <c r="S637" s="2" t="s">
        <v>93</v>
      </c>
      <c r="T637" s="2" t="s">
        <v>4696</v>
      </c>
      <c r="U637" s="2" t="s">
        <v>12</v>
      </c>
      <c r="V637" s="2" t="s">
        <v>4802</v>
      </c>
      <c r="W637" s="2" t="s">
        <v>4999</v>
      </c>
      <c r="X637" s="2" t="s">
        <v>44</v>
      </c>
      <c r="Y637" s="2" t="s">
        <v>2798</v>
      </c>
      <c r="Z637" s="2" t="s">
        <v>5791</v>
      </c>
      <c r="AA6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6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7" s="6" t="str">
        <f>IF(_xlfn.IFNA(INDEX(configuracoes!$A$2:$A$10,MATCH(base_tc_geral[[#This Row],[TIPO]],configuracoes!$A$2:$A$10,0)),"NÃO")="NÃO","NÃO","SIM")</f>
        <v>NÃO</v>
      </c>
    </row>
    <row r="638" spans="1:31" x14ac:dyDescent="0.25">
      <c r="A638" s="2" t="s">
        <v>4348</v>
      </c>
      <c r="B638" s="2">
        <v>109000119</v>
      </c>
      <c r="C638" s="2" t="s">
        <v>15</v>
      </c>
      <c r="D638" s="2" t="s">
        <v>4499</v>
      </c>
      <c r="E638" s="2" t="s">
        <v>86</v>
      </c>
      <c r="F638" s="2" t="s">
        <v>363</v>
      </c>
      <c r="G638" s="2" t="s">
        <v>58</v>
      </c>
      <c r="H638" s="2" t="s">
        <v>210</v>
      </c>
      <c r="I638" s="2" t="s">
        <v>33</v>
      </c>
      <c r="J638" s="2" t="s">
        <v>124</v>
      </c>
      <c r="K638" s="2" t="s">
        <v>13</v>
      </c>
      <c r="L638" s="2" t="s">
        <v>61</v>
      </c>
      <c r="M638" s="2" t="s">
        <v>38</v>
      </c>
      <c r="N638" s="2" t="s">
        <v>15</v>
      </c>
      <c r="O638" s="2" t="s">
        <v>214</v>
      </c>
      <c r="P638" s="2" t="s">
        <v>4350</v>
      </c>
      <c r="Q638" s="2" t="s">
        <v>4926</v>
      </c>
      <c r="R638" s="2" t="s">
        <v>191</v>
      </c>
      <c r="S638" s="2" t="s">
        <v>4699</v>
      </c>
      <c r="T638" s="2" t="s">
        <v>4696</v>
      </c>
      <c r="U638" s="2" t="s">
        <v>12</v>
      </c>
      <c r="V638" s="2" t="s">
        <v>4849</v>
      </c>
      <c r="W638" s="2" t="s">
        <v>4984</v>
      </c>
      <c r="X638" s="2" t="s">
        <v>38</v>
      </c>
      <c r="Y638" s="2" t="s">
        <v>4349</v>
      </c>
      <c r="Z638" s="2" t="s">
        <v>5792</v>
      </c>
      <c r="AA6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6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8" s="6" t="str">
        <f>IF(_xlfn.IFNA(INDEX(configuracoes!$A$2:$A$10,MATCH(base_tc_geral[[#This Row],[TIPO]],configuracoes!$A$2:$A$10,0)),"NÃO")="NÃO","NÃO","SIM")</f>
        <v>NÃO</v>
      </c>
    </row>
    <row r="639" spans="1:31" x14ac:dyDescent="0.25">
      <c r="A639" s="2" t="s">
        <v>3745</v>
      </c>
      <c r="B639" s="2">
        <v>102100917</v>
      </c>
      <c r="C639" s="2" t="s">
        <v>15</v>
      </c>
      <c r="D639" s="2" t="s">
        <v>4486</v>
      </c>
      <c r="E639" s="2" t="s">
        <v>106</v>
      </c>
      <c r="F639" s="2" t="s">
        <v>116</v>
      </c>
      <c r="G639" s="2" t="s">
        <v>245</v>
      </c>
      <c r="H639" s="2" t="s">
        <v>115</v>
      </c>
      <c r="I639" s="2" t="s">
        <v>33</v>
      </c>
      <c r="J639" s="2" t="s">
        <v>109</v>
      </c>
      <c r="K639" s="2" t="s">
        <v>20</v>
      </c>
      <c r="L639" s="2" t="s">
        <v>21</v>
      </c>
      <c r="M639" s="2" t="s">
        <v>22</v>
      </c>
      <c r="N639" s="2" t="s">
        <v>15</v>
      </c>
      <c r="O639" s="2" t="s">
        <v>119</v>
      </c>
      <c r="P639" s="2" t="s">
        <v>3747</v>
      </c>
      <c r="Q639" s="2" t="s">
        <v>4926</v>
      </c>
      <c r="R639" s="2" t="s">
        <v>117</v>
      </c>
      <c r="S639" s="2" t="s">
        <v>736</v>
      </c>
      <c r="T639" s="2" t="s">
        <v>167</v>
      </c>
      <c r="U639" s="2" t="s">
        <v>12</v>
      </c>
      <c r="V639" s="2" t="s">
        <v>4902</v>
      </c>
      <c r="W639" s="2" t="s">
        <v>4982</v>
      </c>
      <c r="X639" s="2" t="s">
        <v>4925</v>
      </c>
      <c r="Y639" s="2" t="s">
        <v>3746</v>
      </c>
      <c r="Z639" s="2" t="s">
        <v>5793</v>
      </c>
      <c r="AA6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6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39" s="6" t="str">
        <f>IF(_xlfn.IFNA(INDEX(configuracoes!$A$2:$A$10,MATCH(base_tc_geral[[#This Row],[TIPO]],configuracoes!$A$2:$A$10,0)),"NÃO")="NÃO","NÃO","SIM")</f>
        <v>SIM</v>
      </c>
    </row>
    <row r="640" spans="1:31" x14ac:dyDescent="0.25">
      <c r="A640" s="2" t="s">
        <v>2601</v>
      </c>
      <c r="B640" s="2">
        <v>102101393</v>
      </c>
      <c r="C640" s="2" t="s">
        <v>15</v>
      </c>
      <c r="D640" s="2" t="s">
        <v>4610</v>
      </c>
      <c r="E640" s="2" t="s">
        <v>106</v>
      </c>
      <c r="F640" s="2" t="s">
        <v>863</v>
      </c>
      <c r="G640" s="2" t="s">
        <v>172</v>
      </c>
      <c r="H640" s="2" t="s">
        <v>427</v>
      </c>
      <c r="I640" s="2" t="s">
        <v>33</v>
      </c>
      <c r="J640" s="2" t="s">
        <v>109</v>
      </c>
      <c r="K640" s="2" t="s">
        <v>13</v>
      </c>
      <c r="L640" s="2" t="s">
        <v>17</v>
      </c>
      <c r="M640" s="2" t="s">
        <v>23</v>
      </c>
      <c r="N640" s="2" t="s">
        <v>15</v>
      </c>
      <c r="O640" s="2" t="s">
        <v>430</v>
      </c>
      <c r="P640" s="2" t="s">
        <v>2603</v>
      </c>
      <c r="Q640" s="2" t="s">
        <v>4926</v>
      </c>
      <c r="R640" s="2" t="s">
        <v>735</v>
      </c>
      <c r="S640" s="2" t="s">
        <v>736</v>
      </c>
      <c r="T640" s="2" t="s">
        <v>167</v>
      </c>
      <c r="U640" s="2" t="s">
        <v>12</v>
      </c>
      <c r="V640" s="2" t="s">
        <v>4886</v>
      </c>
      <c r="W640" s="2" t="s">
        <v>17</v>
      </c>
      <c r="X640" s="2" t="s">
        <v>4998</v>
      </c>
      <c r="Y640" s="2" t="s">
        <v>2602</v>
      </c>
      <c r="Z640" s="2" t="s">
        <v>5794</v>
      </c>
      <c r="AA6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6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0" s="6" t="str">
        <f>IF(_xlfn.IFNA(INDEX(configuracoes!$A$2:$A$10,MATCH(base_tc_geral[[#This Row],[TIPO]],configuracoes!$A$2:$A$10,0)),"NÃO")="NÃO","NÃO","SIM")</f>
        <v>NÃO</v>
      </c>
    </row>
    <row r="641" spans="1:31" x14ac:dyDescent="0.25">
      <c r="A641" s="2" t="s">
        <v>3872</v>
      </c>
      <c r="B641" s="2">
        <v>102101642</v>
      </c>
      <c r="C641" s="2" t="s">
        <v>15</v>
      </c>
      <c r="D641" s="2" t="s">
        <v>4515</v>
      </c>
      <c r="E641" s="2" t="s">
        <v>106</v>
      </c>
      <c r="F641" s="2" t="s">
        <v>329</v>
      </c>
      <c r="G641" s="2" t="s">
        <v>317</v>
      </c>
      <c r="H641" s="2" t="s">
        <v>107</v>
      </c>
      <c r="I641" s="2" t="s">
        <v>33</v>
      </c>
      <c r="J641" s="2" t="s">
        <v>109</v>
      </c>
      <c r="K641" s="2" t="s">
        <v>13</v>
      </c>
      <c r="L641" s="2" t="s">
        <v>42</v>
      </c>
      <c r="M641" s="2" t="s">
        <v>75</v>
      </c>
      <c r="N641" s="2" t="s">
        <v>15</v>
      </c>
      <c r="O641" s="2" t="s">
        <v>112</v>
      </c>
      <c r="P641" s="2" t="s">
        <v>3874</v>
      </c>
      <c r="Q641" s="2" t="s">
        <v>4926</v>
      </c>
      <c r="R641" s="2" t="s">
        <v>187</v>
      </c>
      <c r="S641" s="2" t="s">
        <v>736</v>
      </c>
      <c r="T641" s="2" t="s">
        <v>167</v>
      </c>
      <c r="U641" s="2" t="s">
        <v>12</v>
      </c>
      <c r="V641" s="2" t="s">
        <v>4772</v>
      </c>
      <c r="W641" s="2" t="s">
        <v>42</v>
      </c>
      <c r="X641" s="2" t="s">
        <v>75</v>
      </c>
      <c r="Y641" s="2" t="s">
        <v>3873</v>
      </c>
      <c r="Z641" s="2" t="s">
        <v>5795</v>
      </c>
      <c r="AA6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6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1" s="6" t="str">
        <f>IF(_xlfn.IFNA(INDEX(configuracoes!$A$2:$A$10,MATCH(base_tc_geral[[#This Row],[TIPO]],configuracoes!$A$2:$A$10,0)),"NÃO")="NÃO","NÃO","SIM")</f>
        <v>SIM</v>
      </c>
    </row>
    <row r="642" spans="1:31" x14ac:dyDescent="0.25">
      <c r="A642" s="2" t="s">
        <v>3769</v>
      </c>
      <c r="B642" s="2">
        <v>102101634</v>
      </c>
      <c r="C642" s="2" t="s">
        <v>40</v>
      </c>
      <c r="D642" s="2" t="s">
        <v>4661</v>
      </c>
      <c r="E642" s="2" t="s">
        <v>106</v>
      </c>
      <c r="F642" s="2" t="s">
        <v>108</v>
      </c>
      <c r="G642" s="2" t="s">
        <v>870</v>
      </c>
      <c r="H642" s="2" t="s">
        <v>107</v>
      </c>
      <c r="I642" s="2" t="s">
        <v>33</v>
      </c>
      <c r="J642" s="2" t="s">
        <v>109</v>
      </c>
      <c r="K642" s="2" t="s">
        <v>13</v>
      </c>
      <c r="L642" s="2" t="s">
        <v>76</v>
      </c>
      <c r="M642" s="2" t="s">
        <v>18</v>
      </c>
      <c r="N642" s="2" t="s">
        <v>40</v>
      </c>
      <c r="O642" s="2" t="s">
        <v>112</v>
      </c>
      <c r="P642" s="2" t="s">
        <v>3771</v>
      </c>
      <c r="Q642" s="2" t="s">
        <v>4926</v>
      </c>
      <c r="R642" s="2" t="s">
        <v>406</v>
      </c>
      <c r="S642" s="2" t="s">
        <v>736</v>
      </c>
      <c r="T642" s="2" t="s">
        <v>167</v>
      </c>
      <c r="U642" s="2" t="s">
        <v>39</v>
      </c>
      <c r="V642" s="2" t="s">
        <v>4772</v>
      </c>
      <c r="W642" s="2" t="s">
        <v>4982</v>
      </c>
      <c r="X642" s="2" t="s">
        <v>4998</v>
      </c>
      <c r="Y642" s="2" t="s">
        <v>3770</v>
      </c>
      <c r="Z642" s="2" t="s">
        <v>5796</v>
      </c>
      <c r="AA6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6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642" s="6" t="str">
        <f>IF(_xlfn.IFNA(INDEX(configuracoes!$A$2:$A$10,MATCH(base_tc_geral[[#This Row],[TIPO]],configuracoes!$A$2:$A$10,0)),"NÃO")="NÃO","NÃO","SIM")</f>
        <v>SIM</v>
      </c>
    </row>
    <row r="643" spans="1:31" x14ac:dyDescent="0.25">
      <c r="A643" s="2" t="s">
        <v>3727</v>
      </c>
      <c r="B643" s="2">
        <v>102100917</v>
      </c>
      <c r="C643" s="2" t="s">
        <v>15</v>
      </c>
      <c r="D643" s="2" t="s">
        <v>4486</v>
      </c>
      <c r="E643" s="2" t="s">
        <v>106</v>
      </c>
      <c r="F643" s="2" t="s">
        <v>116</v>
      </c>
      <c r="G643" s="2" t="s">
        <v>58</v>
      </c>
      <c r="H643" s="2" t="s">
        <v>115</v>
      </c>
      <c r="I643" s="2" t="s">
        <v>33</v>
      </c>
      <c r="J643" s="2" t="s">
        <v>109</v>
      </c>
      <c r="K643" s="2" t="s">
        <v>13</v>
      </c>
      <c r="L643" s="2" t="s">
        <v>61</v>
      </c>
      <c r="M643" s="2" t="s">
        <v>44</v>
      </c>
      <c r="N643" s="2" t="s">
        <v>15</v>
      </c>
      <c r="O643" s="2" t="s">
        <v>119</v>
      </c>
      <c r="P643" s="2" t="s">
        <v>3729</v>
      </c>
      <c r="Q643" s="2" t="s">
        <v>4926</v>
      </c>
      <c r="R643" s="2" t="s">
        <v>117</v>
      </c>
      <c r="S643" s="2" t="s">
        <v>736</v>
      </c>
      <c r="T643" s="2" t="s">
        <v>167</v>
      </c>
      <c r="U643" s="2" t="s">
        <v>12</v>
      </c>
      <c r="V643" s="2" t="s">
        <v>4902</v>
      </c>
      <c r="W643" s="2" t="s">
        <v>4999</v>
      </c>
      <c r="X643" s="2" t="s">
        <v>44</v>
      </c>
      <c r="Y643" s="2" t="s">
        <v>3728</v>
      </c>
      <c r="Z643" s="2" t="s">
        <v>5797</v>
      </c>
      <c r="AA6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6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3" s="6" t="str">
        <f>IF(_xlfn.IFNA(INDEX(configuracoes!$A$2:$A$10,MATCH(base_tc_geral[[#This Row],[TIPO]],configuracoes!$A$2:$A$10,0)),"NÃO")="NÃO","NÃO","SIM")</f>
        <v>NÃO</v>
      </c>
    </row>
    <row r="644" spans="1:31" x14ac:dyDescent="0.25">
      <c r="A644" s="2" t="s">
        <v>403</v>
      </c>
      <c r="B644" s="2">
        <v>102100390</v>
      </c>
      <c r="C644" s="2" t="s">
        <v>15</v>
      </c>
      <c r="D644" s="2" t="s">
        <v>4535</v>
      </c>
      <c r="E644" s="2" t="s">
        <v>106</v>
      </c>
      <c r="F644" s="2" t="s">
        <v>405</v>
      </c>
      <c r="G644" s="2" t="s">
        <v>870</v>
      </c>
      <c r="H644" s="2" t="s">
        <v>130</v>
      </c>
      <c r="I644" s="2" t="s">
        <v>33</v>
      </c>
      <c r="J644" s="2" t="s">
        <v>109</v>
      </c>
      <c r="K644" s="2" t="s">
        <v>20</v>
      </c>
      <c r="L644" s="2" t="s">
        <v>76</v>
      </c>
      <c r="M644" s="2" t="s">
        <v>22</v>
      </c>
      <c r="N644" s="2" t="s">
        <v>15</v>
      </c>
      <c r="O644" s="2" t="s">
        <v>132</v>
      </c>
      <c r="P644" s="2" t="s">
        <v>407</v>
      </c>
      <c r="Q644" s="2" t="s">
        <v>4926</v>
      </c>
      <c r="R644" s="2" t="s">
        <v>1092</v>
      </c>
      <c r="S644" s="2" t="s">
        <v>736</v>
      </c>
      <c r="T644" s="2" t="s">
        <v>167</v>
      </c>
      <c r="U644" s="2" t="s">
        <v>12</v>
      </c>
      <c r="V644" s="2" t="s">
        <v>4901</v>
      </c>
      <c r="W644" s="2" t="s">
        <v>4982</v>
      </c>
      <c r="X644" s="2" t="s">
        <v>4925</v>
      </c>
      <c r="Y644" s="2" t="s">
        <v>404</v>
      </c>
      <c r="Z644" s="2" t="s">
        <v>5798</v>
      </c>
      <c r="AA6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6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4" s="6" t="str">
        <f>IF(_xlfn.IFNA(INDEX(configuracoes!$A$2:$A$10,MATCH(base_tc_geral[[#This Row],[TIPO]],configuracoes!$A$2:$A$10,0)),"NÃO")="NÃO","NÃO","SIM")</f>
        <v>SIM</v>
      </c>
    </row>
    <row r="645" spans="1:31" x14ac:dyDescent="0.25">
      <c r="A645" s="2" t="s">
        <v>969</v>
      </c>
      <c r="B645" s="2">
        <v>102101393</v>
      </c>
      <c r="C645" s="2" t="s">
        <v>15</v>
      </c>
      <c r="D645" s="2" t="s">
        <v>4486</v>
      </c>
      <c r="E645" s="2" t="s">
        <v>106</v>
      </c>
      <c r="F645" s="2" t="s">
        <v>509</v>
      </c>
      <c r="G645" s="2" t="s">
        <v>58</v>
      </c>
      <c r="H645" s="2" t="s">
        <v>130</v>
      </c>
      <c r="I645" s="2" t="s">
        <v>33</v>
      </c>
      <c r="J645" s="2" t="s">
        <v>109</v>
      </c>
      <c r="K645" s="2" t="s">
        <v>13</v>
      </c>
      <c r="L645" s="2" t="s">
        <v>61</v>
      </c>
      <c r="M645" s="2" t="s">
        <v>44</v>
      </c>
      <c r="N645" s="2" t="s">
        <v>15</v>
      </c>
      <c r="O645" s="2" t="s">
        <v>132</v>
      </c>
      <c r="P645" s="2" t="s">
        <v>971</v>
      </c>
      <c r="Q645" s="2" t="s">
        <v>4926</v>
      </c>
      <c r="R645" s="2" t="s">
        <v>735</v>
      </c>
      <c r="S645" s="2" t="s">
        <v>736</v>
      </c>
      <c r="T645" s="2" t="s">
        <v>167</v>
      </c>
      <c r="U645" s="2" t="s">
        <v>12</v>
      </c>
      <c r="V645" s="2" t="s">
        <v>4886</v>
      </c>
      <c r="W645" s="2" t="s">
        <v>5013</v>
      </c>
      <c r="X645" s="2" t="s">
        <v>44</v>
      </c>
      <c r="Y645" s="2" t="s">
        <v>970</v>
      </c>
      <c r="Z645" s="2" t="s">
        <v>5374</v>
      </c>
      <c r="AA6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6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5" s="6" t="str">
        <f>IF(_xlfn.IFNA(INDEX(configuracoes!$A$2:$A$10,MATCH(base_tc_geral[[#This Row],[TIPO]],configuracoes!$A$2:$A$10,0)),"NÃO")="NÃO","NÃO","SIM")</f>
        <v>NÃO</v>
      </c>
    </row>
    <row r="646" spans="1:31" x14ac:dyDescent="0.25">
      <c r="A646" s="2" t="s">
        <v>1647</v>
      </c>
      <c r="B646" s="2">
        <v>109500177</v>
      </c>
      <c r="C646" s="2" t="s">
        <v>15</v>
      </c>
      <c r="D646" s="2" t="s">
        <v>4535</v>
      </c>
      <c r="E646" s="2" t="s">
        <v>86</v>
      </c>
      <c r="F646" s="2" t="s">
        <v>590</v>
      </c>
      <c r="G646" s="2" t="s">
        <v>870</v>
      </c>
      <c r="H646" s="2" t="s">
        <v>122</v>
      </c>
      <c r="I646" s="2" t="s">
        <v>33</v>
      </c>
      <c r="J646" s="2" t="s">
        <v>124</v>
      </c>
      <c r="K646" s="2" t="s">
        <v>20</v>
      </c>
      <c r="L646" s="2" t="s">
        <v>76</v>
      </c>
      <c r="M646" s="2" t="s">
        <v>22</v>
      </c>
      <c r="N646" s="2" t="s">
        <v>15</v>
      </c>
      <c r="O646" s="2" t="s">
        <v>129</v>
      </c>
      <c r="P646" s="2" t="s">
        <v>1649</v>
      </c>
      <c r="Q646" s="2" t="s">
        <v>4926</v>
      </c>
      <c r="R646" s="2" t="s">
        <v>447</v>
      </c>
      <c r="S646" s="2" t="s">
        <v>125</v>
      </c>
      <c r="T646" s="2" t="s">
        <v>4696</v>
      </c>
      <c r="U646" s="2" t="s">
        <v>12</v>
      </c>
      <c r="V646" s="2" t="s">
        <v>4771</v>
      </c>
      <c r="W646" s="2" t="s">
        <v>4982</v>
      </c>
      <c r="X646" s="2" t="s">
        <v>4925</v>
      </c>
      <c r="Y646" s="2" t="s">
        <v>1648</v>
      </c>
      <c r="Z646" s="2" t="s">
        <v>5375</v>
      </c>
      <c r="AA6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6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6" s="6" t="str">
        <f>IF(_xlfn.IFNA(INDEX(configuracoes!$A$2:$A$10,MATCH(base_tc_geral[[#This Row],[TIPO]],configuracoes!$A$2:$A$10,0)),"NÃO")="NÃO","NÃO","SIM")</f>
        <v>SIM</v>
      </c>
    </row>
    <row r="647" spans="1:31" x14ac:dyDescent="0.25">
      <c r="A647" s="2" t="s">
        <v>1061</v>
      </c>
      <c r="B647" s="2">
        <v>109504012</v>
      </c>
      <c r="C647" s="2" t="s">
        <v>24</v>
      </c>
      <c r="D647" s="2" t="s">
        <v>4482</v>
      </c>
      <c r="E647" s="2" t="s">
        <v>28</v>
      </c>
      <c r="F647" s="2" t="s">
        <v>423</v>
      </c>
      <c r="G647" s="2" t="s">
        <v>630</v>
      </c>
      <c r="H647" s="2" t="s">
        <v>34</v>
      </c>
      <c r="I647" s="2" t="s">
        <v>33</v>
      </c>
      <c r="J647" s="2" t="s">
        <v>34</v>
      </c>
      <c r="K647" s="2" t="s">
        <v>20</v>
      </c>
      <c r="L647" s="2" t="s">
        <v>21</v>
      </c>
      <c r="M647" s="2" t="s">
        <v>22</v>
      </c>
      <c r="N647" s="2" t="s">
        <v>24</v>
      </c>
      <c r="O647" s="2" t="s">
        <v>156</v>
      </c>
      <c r="P647" s="2" t="s">
        <v>1063</v>
      </c>
      <c r="Q647" s="2" t="s">
        <v>4926</v>
      </c>
      <c r="R647" s="2" t="s">
        <v>166</v>
      </c>
      <c r="S647" s="2" t="s">
        <v>167</v>
      </c>
      <c r="T647" s="2" t="s">
        <v>167</v>
      </c>
      <c r="U647" s="2" t="s">
        <v>39</v>
      </c>
      <c r="V647" s="2" t="s">
        <v>4774</v>
      </c>
      <c r="W647" s="2" t="s">
        <v>5013</v>
      </c>
      <c r="X647" s="2" t="s">
        <v>4925</v>
      </c>
      <c r="Y647" s="2" t="s">
        <v>1062</v>
      </c>
      <c r="Z647" s="2" t="s">
        <v>5376</v>
      </c>
      <c r="AA6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6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47" s="6" t="str">
        <f>IF(_xlfn.IFNA(INDEX(configuracoes!$A$2:$A$10,MATCH(base_tc_geral[[#This Row],[TIPO]],configuracoes!$A$2:$A$10,0)),"NÃO")="NÃO","NÃO","SIM")</f>
        <v>SIM</v>
      </c>
    </row>
    <row r="648" spans="1:31" x14ac:dyDescent="0.25">
      <c r="A648" s="2" t="s">
        <v>1692</v>
      </c>
      <c r="B648" s="2">
        <v>109501286</v>
      </c>
      <c r="C648" s="2" t="s">
        <v>15</v>
      </c>
      <c r="D648" s="2" t="s">
        <v>4481</v>
      </c>
      <c r="E648" s="2" t="s">
        <v>86</v>
      </c>
      <c r="F648" s="2" t="s">
        <v>205</v>
      </c>
      <c r="G648" s="2" t="s">
        <v>245</v>
      </c>
      <c r="H648" s="2" t="s">
        <v>122</v>
      </c>
      <c r="I648" s="2" t="s">
        <v>33</v>
      </c>
      <c r="J648" s="2" t="s">
        <v>124</v>
      </c>
      <c r="K648" s="2" t="s">
        <v>20</v>
      </c>
      <c r="L648" s="2" t="s">
        <v>21</v>
      </c>
      <c r="M648" s="2" t="s">
        <v>22</v>
      </c>
      <c r="N648" s="2" t="s">
        <v>15</v>
      </c>
      <c r="O648" s="2" t="s">
        <v>129</v>
      </c>
      <c r="P648" s="2" t="s">
        <v>1694</v>
      </c>
      <c r="Q648" s="2" t="s">
        <v>4926</v>
      </c>
      <c r="R648" s="2" t="s">
        <v>498</v>
      </c>
      <c r="S648" s="2" t="s">
        <v>93</v>
      </c>
      <c r="T648" s="2" t="s">
        <v>4696</v>
      </c>
      <c r="U648" s="2" t="s">
        <v>12</v>
      </c>
      <c r="V648" s="2" t="s">
        <v>4784</v>
      </c>
      <c r="W648" s="2" t="s">
        <v>4982</v>
      </c>
      <c r="X648" s="2" t="s">
        <v>4925</v>
      </c>
      <c r="Y648" s="2" t="s">
        <v>1693</v>
      </c>
      <c r="Z648" s="2" t="s">
        <v>5377</v>
      </c>
      <c r="AA6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6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8" s="6" t="str">
        <f>IF(_xlfn.IFNA(INDEX(configuracoes!$A$2:$A$10,MATCH(base_tc_geral[[#This Row],[TIPO]],configuracoes!$A$2:$A$10,0)),"NÃO")="NÃO","NÃO","SIM")</f>
        <v>SIM</v>
      </c>
    </row>
    <row r="649" spans="1:31" x14ac:dyDescent="0.25">
      <c r="A649" s="2" t="s">
        <v>1752</v>
      </c>
      <c r="B649" s="2">
        <v>109504012</v>
      </c>
      <c r="C649" s="2" t="s">
        <v>15</v>
      </c>
      <c r="D649" s="2" t="s">
        <v>4486</v>
      </c>
      <c r="E649" s="2" t="s">
        <v>28</v>
      </c>
      <c r="F649" s="2" t="s">
        <v>80</v>
      </c>
      <c r="G649" s="2" t="s">
        <v>172</v>
      </c>
      <c r="H649" s="2" t="s">
        <v>79</v>
      </c>
      <c r="I649" s="2" t="s">
        <v>33</v>
      </c>
      <c r="J649" s="2" t="s">
        <v>34</v>
      </c>
      <c r="K649" s="2" t="s">
        <v>13</v>
      </c>
      <c r="L649" s="2" t="s">
        <v>17</v>
      </c>
      <c r="M649" s="2" t="s">
        <v>18</v>
      </c>
      <c r="N649" s="2" t="s">
        <v>15</v>
      </c>
      <c r="O649" s="2" t="s">
        <v>83</v>
      </c>
      <c r="P649" s="2" t="s">
        <v>1754</v>
      </c>
      <c r="Q649" s="2" t="s">
        <v>4926</v>
      </c>
      <c r="R649" s="2" t="s">
        <v>166</v>
      </c>
      <c r="S649" s="2" t="s">
        <v>167</v>
      </c>
      <c r="T649" s="2" t="s">
        <v>167</v>
      </c>
      <c r="U649" s="2" t="s">
        <v>12</v>
      </c>
      <c r="V649" s="2" t="s">
        <v>4774</v>
      </c>
      <c r="W649" s="2" t="s">
        <v>17</v>
      </c>
      <c r="X649" s="2" t="s">
        <v>4998</v>
      </c>
      <c r="Y649" s="2" t="s">
        <v>1753</v>
      </c>
      <c r="Z649" s="2" t="s">
        <v>5378</v>
      </c>
      <c r="AA6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6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49" s="6" t="str">
        <f>IF(_xlfn.IFNA(INDEX(configuracoes!$A$2:$A$10,MATCH(base_tc_geral[[#This Row],[TIPO]],configuracoes!$A$2:$A$10,0)),"NÃO")="NÃO","NÃO","SIM")</f>
        <v>NÃO</v>
      </c>
    </row>
    <row r="650" spans="1:31" x14ac:dyDescent="0.25">
      <c r="A650" s="2" t="s">
        <v>1629</v>
      </c>
      <c r="B650" s="2">
        <v>109500177</v>
      </c>
      <c r="C650" s="2" t="s">
        <v>15</v>
      </c>
      <c r="D650" s="2" t="s">
        <v>4546</v>
      </c>
      <c r="E650" s="2" t="s">
        <v>86</v>
      </c>
      <c r="F650" s="2" t="s">
        <v>1029</v>
      </c>
      <c r="G650" s="2" t="s">
        <v>89</v>
      </c>
      <c r="H650" s="2" t="s">
        <v>122</v>
      </c>
      <c r="I650" s="2" t="s">
        <v>33</v>
      </c>
      <c r="J650" s="2" t="s">
        <v>124</v>
      </c>
      <c r="K650" s="2" t="s">
        <v>92</v>
      </c>
      <c r="L650" s="2" t="s">
        <v>37</v>
      </c>
      <c r="M650" s="2" t="s">
        <v>44</v>
      </c>
      <c r="N650" s="2" t="s">
        <v>15</v>
      </c>
      <c r="O650" s="2" t="s">
        <v>129</v>
      </c>
      <c r="P650" s="2" t="s">
        <v>1631</v>
      </c>
      <c r="Q650" s="2" t="s">
        <v>4926</v>
      </c>
      <c r="R650" s="2" t="s">
        <v>447</v>
      </c>
      <c r="S650" s="2" t="s">
        <v>125</v>
      </c>
      <c r="T650" s="2" t="s">
        <v>4696</v>
      </c>
      <c r="U650" s="2" t="s">
        <v>12</v>
      </c>
      <c r="V650" s="2" t="s">
        <v>4784</v>
      </c>
      <c r="W650" s="2" t="s">
        <v>5013</v>
      </c>
      <c r="X650" s="2" t="s">
        <v>44</v>
      </c>
      <c r="Y650" s="2" t="s">
        <v>1630</v>
      </c>
      <c r="Z650" s="2" t="s">
        <v>5379</v>
      </c>
      <c r="AA6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6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0" s="6" t="str">
        <f>IF(_xlfn.IFNA(INDEX(configuracoes!$A$2:$A$10,MATCH(base_tc_geral[[#This Row],[TIPO]],configuracoes!$A$2:$A$10,0)),"NÃO")="NÃO","NÃO","SIM")</f>
        <v>NÃO</v>
      </c>
    </row>
    <row r="651" spans="1:31" x14ac:dyDescent="0.25">
      <c r="A651" s="2" t="s">
        <v>861</v>
      </c>
      <c r="B651" s="2">
        <v>102002917</v>
      </c>
      <c r="C651" s="2" t="s">
        <v>15</v>
      </c>
      <c r="D651" s="2" t="s">
        <v>4489</v>
      </c>
      <c r="E651" s="2" t="s">
        <v>106</v>
      </c>
      <c r="F651" s="2" t="s">
        <v>863</v>
      </c>
      <c r="G651" s="2" t="s">
        <v>58</v>
      </c>
      <c r="H651" s="2" t="s">
        <v>427</v>
      </c>
      <c r="I651" s="2" t="s">
        <v>33</v>
      </c>
      <c r="J651" s="2" t="s">
        <v>109</v>
      </c>
      <c r="K651" s="2" t="s">
        <v>13</v>
      </c>
      <c r="L651" s="2" t="s">
        <v>61</v>
      </c>
      <c r="M651" s="2" t="s">
        <v>44</v>
      </c>
      <c r="N651" s="2" t="s">
        <v>15</v>
      </c>
      <c r="O651" s="2" t="s">
        <v>430</v>
      </c>
      <c r="P651" s="2" t="s">
        <v>864</v>
      </c>
      <c r="Q651" s="2" t="s">
        <v>4926</v>
      </c>
      <c r="R651" s="2" t="s">
        <v>5069</v>
      </c>
      <c r="S651" s="2" t="s">
        <v>736</v>
      </c>
      <c r="T651" s="2" t="s">
        <v>167</v>
      </c>
      <c r="U651" s="2" t="s">
        <v>12</v>
      </c>
      <c r="V651" s="2" t="s">
        <v>4773</v>
      </c>
      <c r="W651" s="2" t="s">
        <v>4999</v>
      </c>
      <c r="X651" s="2" t="s">
        <v>44</v>
      </c>
      <c r="Y651" s="2" t="s">
        <v>862</v>
      </c>
      <c r="Z651" s="2" t="s">
        <v>5799</v>
      </c>
      <c r="AA6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6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1" s="6" t="str">
        <f>IF(_xlfn.IFNA(INDEX(configuracoes!$A$2:$A$10,MATCH(base_tc_geral[[#This Row],[TIPO]],configuracoes!$A$2:$A$10,0)),"NÃO")="NÃO","NÃO","SIM")</f>
        <v>NÃO</v>
      </c>
    </row>
    <row r="652" spans="1:31" x14ac:dyDescent="0.25">
      <c r="A652" s="2" t="s">
        <v>4025</v>
      </c>
      <c r="B652" s="2">
        <v>109000340</v>
      </c>
      <c r="C652" s="2" t="s">
        <v>15</v>
      </c>
      <c r="D652" s="2" t="s">
        <v>4516</v>
      </c>
      <c r="E652" s="2" t="s">
        <v>86</v>
      </c>
      <c r="F652" s="2" t="s">
        <v>1320</v>
      </c>
      <c r="G652" s="2" t="s">
        <v>637</v>
      </c>
      <c r="H652" s="2" t="s">
        <v>1321</v>
      </c>
      <c r="I652" s="2" t="s">
        <v>33</v>
      </c>
      <c r="J652" s="2" t="s">
        <v>91</v>
      </c>
      <c r="K652" s="2" t="s">
        <v>20</v>
      </c>
      <c r="L652" s="2" t="s">
        <v>19</v>
      </c>
      <c r="M652" s="2" t="s">
        <v>22</v>
      </c>
      <c r="N652" s="2" t="s">
        <v>15</v>
      </c>
      <c r="O652" s="2" t="s">
        <v>1322</v>
      </c>
      <c r="P652" s="2" t="s">
        <v>4027</v>
      </c>
      <c r="Q652" s="2" t="s">
        <v>4926</v>
      </c>
      <c r="R652" s="2" t="s">
        <v>90</v>
      </c>
      <c r="S652" s="2" t="s">
        <v>93</v>
      </c>
      <c r="T652" s="2" t="s">
        <v>4696</v>
      </c>
      <c r="U652" s="2" t="s">
        <v>12</v>
      </c>
      <c r="V652" s="2" t="s">
        <v>4898</v>
      </c>
      <c r="W652" s="2" t="s">
        <v>4982</v>
      </c>
      <c r="X652" s="2" t="s">
        <v>4925</v>
      </c>
      <c r="Y652" s="2" t="s">
        <v>4026</v>
      </c>
      <c r="Z652" s="2" t="s">
        <v>5800</v>
      </c>
      <c r="AA6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6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2" s="6" t="str">
        <f>IF(_xlfn.IFNA(INDEX(configuracoes!$A$2:$A$10,MATCH(base_tc_geral[[#This Row],[TIPO]],configuracoes!$A$2:$A$10,0)),"NÃO")="NÃO","NÃO","SIM")</f>
        <v>SIM</v>
      </c>
    </row>
    <row r="653" spans="1:31" x14ac:dyDescent="0.25">
      <c r="A653" s="2" t="s">
        <v>3105</v>
      </c>
      <c r="B653" s="2">
        <v>109000017</v>
      </c>
      <c r="C653" s="2" t="s">
        <v>15</v>
      </c>
      <c r="D653" s="2" t="s">
        <v>4548</v>
      </c>
      <c r="E653" s="2" t="s">
        <v>86</v>
      </c>
      <c r="F653" s="2" t="s">
        <v>298</v>
      </c>
      <c r="G653" s="2" t="s">
        <v>245</v>
      </c>
      <c r="H653" s="2" t="s">
        <v>210</v>
      </c>
      <c r="I653" s="2" t="s">
        <v>33</v>
      </c>
      <c r="J653" s="2" t="s">
        <v>124</v>
      </c>
      <c r="K653" s="2" t="s">
        <v>20</v>
      </c>
      <c r="L653" s="2" t="s">
        <v>21</v>
      </c>
      <c r="M653" s="2" t="s">
        <v>22</v>
      </c>
      <c r="N653" s="2" t="s">
        <v>15</v>
      </c>
      <c r="O653" s="2" t="s">
        <v>214</v>
      </c>
      <c r="P653" s="2" t="s">
        <v>3107</v>
      </c>
      <c r="Q653" s="2" t="s">
        <v>4926</v>
      </c>
      <c r="R653" s="2" t="s">
        <v>212</v>
      </c>
      <c r="S653" s="2" t="s">
        <v>93</v>
      </c>
      <c r="T653" s="2" t="s">
        <v>4696</v>
      </c>
      <c r="U653" s="2" t="s">
        <v>12</v>
      </c>
      <c r="V653" s="2" t="s">
        <v>4794</v>
      </c>
      <c r="W653" s="2" t="s">
        <v>4982</v>
      </c>
      <c r="X653" s="2" t="s">
        <v>4925</v>
      </c>
      <c r="Y653" s="2" t="s">
        <v>3106</v>
      </c>
      <c r="Z653" s="2" t="s">
        <v>5801</v>
      </c>
      <c r="AA6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6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3" s="6" t="str">
        <f>IF(_xlfn.IFNA(INDEX(configuracoes!$A$2:$A$10,MATCH(base_tc_geral[[#This Row],[TIPO]],configuracoes!$A$2:$A$10,0)),"NÃO")="NÃO","NÃO","SIM")</f>
        <v>SIM</v>
      </c>
    </row>
    <row r="654" spans="1:31" x14ac:dyDescent="0.25">
      <c r="A654" s="2" t="s">
        <v>2294</v>
      </c>
      <c r="B654" s="2">
        <v>109000340</v>
      </c>
      <c r="C654" s="2" t="s">
        <v>15</v>
      </c>
      <c r="D654" s="2" t="s">
        <v>4487</v>
      </c>
      <c r="E654" s="2" t="s">
        <v>86</v>
      </c>
      <c r="F654" s="2" t="s">
        <v>1320</v>
      </c>
      <c r="G654" s="2" t="s">
        <v>89</v>
      </c>
      <c r="H654" s="2" t="s">
        <v>1321</v>
      </c>
      <c r="I654" s="2" t="s">
        <v>33</v>
      </c>
      <c r="J654" s="2" t="s">
        <v>91</v>
      </c>
      <c r="K654" s="2" t="s">
        <v>13</v>
      </c>
      <c r="L654" s="2" t="s">
        <v>37</v>
      </c>
      <c r="M654" s="2" t="s">
        <v>44</v>
      </c>
      <c r="N654" s="2" t="s">
        <v>15</v>
      </c>
      <c r="O654" s="2" t="s">
        <v>1322</v>
      </c>
      <c r="P654" s="2" t="s">
        <v>2296</v>
      </c>
      <c r="Q654" s="2" t="s">
        <v>4926</v>
      </c>
      <c r="R654" s="2" t="s">
        <v>90</v>
      </c>
      <c r="S654" s="2" t="s">
        <v>93</v>
      </c>
      <c r="T654" s="2" t="s">
        <v>4696</v>
      </c>
      <c r="U654" s="2" t="s">
        <v>12</v>
      </c>
      <c r="V654" s="2" t="s">
        <v>4899</v>
      </c>
      <c r="W654" s="2" t="s">
        <v>4999</v>
      </c>
      <c r="X654" s="2" t="s">
        <v>44</v>
      </c>
      <c r="Y654" s="2" t="s">
        <v>2295</v>
      </c>
      <c r="Z654" s="2" t="s">
        <v>5802</v>
      </c>
      <c r="AA6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6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4" s="6" t="str">
        <f>IF(_xlfn.IFNA(INDEX(configuracoes!$A$2:$A$10,MATCH(base_tc_geral[[#This Row],[TIPO]],configuracoes!$A$2:$A$10,0)),"NÃO")="NÃO","NÃO","SIM")</f>
        <v>NÃO</v>
      </c>
    </row>
    <row r="655" spans="1:31" x14ac:dyDescent="0.25">
      <c r="A655" s="2" t="s">
        <v>1855</v>
      </c>
      <c r="B655" s="2">
        <v>109000017</v>
      </c>
      <c r="C655" s="2" t="s">
        <v>15</v>
      </c>
      <c r="D655" s="2" t="s">
        <v>4481</v>
      </c>
      <c r="E655" s="2" t="s">
        <v>86</v>
      </c>
      <c r="F655" s="2" t="s">
        <v>298</v>
      </c>
      <c r="G655" s="2" t="s">
        <v>58</v>
      </c>
      <c r="H655" s="2" t="s">
        <v>210</v>
      </c>
      <c r="I655" s="2" t="s">
        <v>33</v>
      </c>
      <c r="J655" s="2" t="s">
        <v>124</v>
      </c>
      <c r="K655" s="2" t="s">
        <v>13</v>
      </c>
      <c r="L655" s="2" t="s">
        <v>61</v>
      </c>
      <c r="M655" s="2" t="s">
        <v>38</v>
      </c>
      <c r="N655" s="2" t="s">
        <v>15</v>
      </c>
      <c r="O655" s="2" t="s">
        <v>214</v>
      </c>
      <c r="P655" s="2" t="s">
        <v>1857</v>
      </c>
      <c r="Q655" s="2" t="s">
        <v>4926</v>
      </c>
      <c r="R655" s="2" t="s">
        <v>212</v>
      </c>
      <c r="S655" s="2" t="s">
        <v>93</v>
      </c>
      <c r="T655" s="2" t="s">
        <v>4696</v>
      </c>
      <c r="U655" s="2" t="s">
        <v>12</v>
      </c>
      <c r="V655" s="2" t="s">
        <v>4794</v>
      </c>
      <c r="W655" s="2" t="s">
        <v>4999</v>
      </c>
      <c r="X655" s="2" t="s">
        <v>38</v>
      </c>
      <c r="Y655" s="2" t="s">
        <v>1856</v>
      </c>
      <c r="Z655" s="2" t="s">
        <v>5803</v>
      </c>
      <c r="AA6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6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5" s="6" t="str">
        <f>IF(_xlfn.IFNA(INDEX(configuracoes!$A$2:$A$10,MATCH(base_tc_geral[[#This Row],[TIPO]],configuracoes!$A$2:$A$10,0)),"NÃO")="NÃO","NÃO","SIM")</f>
        <v>NÃO</v>
      </c>
    </row>
    <row r="656" spans="1:31" x14ac:dyDescent="0.25">
      <c r="A656" s="2" t="s">
        <v>1185</v>
      </c>
      <c r="B656" s="2">
        <v>109500891</v>
      </c>
      <c r="C656" s="2" t="s">
        <v>15</v>
      </c>
      <c r="D656" s="2" t="s">
        <v>4481</v>
      </c>
      <c r="E656" s="2" t="s">
        <v>86</v>
      </c>
      <c r="F656" s="2" t="s">
        <v>123</v>
      </c>
      <c r="G656" s="2" t="s">
        <v>58</v>
      </c>
      <c r="H656" s="2" t="s">
        <v>122</v>
      </c>
      <c r="I656" s="2" t="s">
        <v>33</v>
      </c>
      <c r="J656" s="2" t="s">
        <v>124</v>
      </c>
      <c r="K656" s="2" t="s">
        <v>13</v>
      </c>
      <c r="L656" s="2" t="s">
        <v>61</v>
      </c>
      <c r="M656" s="2" t="s">
        <v>44</v>
      </c>
      <c r="N656" s="2" t="s">
        <v>15</v>
      </c>
      <c r="O656" s="2" t="s">
        <v>129</v>
      </c>
      <c r="P656" s="2" t="s">
        <v>1188</v>
      </c>
      <c r="Q656" s="2" t="s">
        <v>4926</v>
      </c>
      <c r="R656" s="2" t="s">
        <v>1186</v>
      </c>
      <c r="S656" s="2" t="s">
        <v>4700</v>
      </c>
      <c r="T656" s="2" t="s">
        <v>4701</v>
      </c>
      <c r="U656" s="2" t="s">
        <v>12</v>
      </c>
      <c r="V656" s="2" t="s">
        <v>4848</v>
      </c>
      <c r="W656" s="2" t="s">
        <v>4993</v>
      </c>
      <c r="X656" s="2" t="s">
        <v>44</v>
      </c>
      <c r="Y656" s="2" t="s">
        <v>1187</v>
      </c>
      <c r="Z656" s="2" t="s">
        <v>5804</v>
      </c>
      <c r="AA6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ANDRE LUIZ </v>
      </c>
      <c r="AB6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6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6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6" s="6" t="str">
        <f>IF(_xlfn.IFNA(INDEX(configuracoes!$A$2:$A$10,MATCH(base_tc_geral[[#This Row],[TIPO]],configuracoes!$A$2:$A$10,0)),"NÃO")="NÃO","NÃO","SIM")</f>
        <v>NÃO</v>
      </c>
    </row>
    <row r="657" spans="1:31" x14ac:dyDescent="0.25">
      <c r="A657" s="2" t="s">
        <v>1873</v>
      </c>
      <c r="B657" s="2">
        <v>109000926</v>
      </c>
      <c r="C657" s="2" t="s">
        <v>15</v>
      </c>
      <c r="D657" s="2" t="s">
        <v>4527</v>
      </c>
      <c r="E657" s="2" t="s">
        <v>86</v>
      </c>
      <c r="F657" s="2" t="s">
        <v>284</v>
      </c>
      <c r="G657" s="2" t="s">
        <v>245</v>
      </c>
      <c r="H657" s="2" t="s">
        <v>283</v>
      </c>
      <c r="I657" s="2" t="s">
        <v>33</v>
      </c>
      <c r="J657" s="2" t="s">
        <v>124</v>
      </c>
      <c r="K657" s="2" t="s">
        <v>20</v>
      </c>
      <c r="L657" s="2" t="s">
        <v>21</v>
      </c>
      <c r="M657" s="2" t="s">
        <v>22</v>
      </c>
      <c r="N657" s="2" t="s">
        <v>15</v>
      </c>
      <c r="O657" s="2" t="s">
        <v>287</v>
      </c>
      <c r="P657" s="2" t="s">
        <v>1875</v>
      </c>
      <c r="Q657" s="2" t="s">
        <v>4926</v>
      </c>
      <c r="R657" s="2" t="s">
        <v>285</v>
      </c>
      <c r="S657" s="2" t="s">
        <v>125</v>
      </c>
      <c r="T657" s="2" t="s">
        <v>4696</v>
      </c>
      <c r="U657" s="2" t="s">
        <v>12</v>
      </c>
      <c r="V657" s="2" t="s">
        <v>4777</v>
      </c>
      <c r="W657" s="2" t="s">
        <v>4982</v>
      </c>
      <c r="X657" s="2" t="s">
        <v>4925</v>
      </c>
      <c r="Y657" s="2" t="s">
        <v>1874</v>
      </c>
      <c r="Z657" s="2" t="s">
        <v>5805</v>
      </c>
      <c r="AA6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6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7" s="6" t="str">
        <f>IF(_xlfn.IFNA(INDEX(configuracoes!$A$2:$A$10,MATCH(base_tc_geral[[#This Row],[TIPO]],configuracoes!$A$2:$A$10,0)),"NÃO")="NÃO","NÃO","SIM")</f>
        <v>SIM</v>
      </c>
    </row>
    <row r="658" spans="1:31" x14ac:dyDescent="0.25">
      <c r="A658" s="2" t="s">
        <v>3845</v>
      </c>
      <c r="B658" s="2">
        <v>109500315</v>
      </c>
      <c r="C658" s="2" t="s">
        <v>15</v>
      </c>
      <c r="D658" s="2" t="s">
        <v>4561</v>
      </c>
      <c r="E658" s="2" t="s">
        <v>86</v>
      </c>
      <c r="F658" s="2" t="s">
        <v>205</v>
      </c>
      <c r="G658" s="2" t="s">
        <v>149</v>
      </c>
      <c r="H658" s="2" t="s">
        <v>122</v>
      </c>
      <c r="I658" s="2" t="s">
        <v>33</v>
      </c>
      <c r="J658" s="2" t="s">
        <v>124</v>
      </c>
      <c r="K658" s="2" t="s">
        <v>13</v>
      </c>
      <c r="L658" s="2" t="s">
        <v>61</v>
      </c>
      <c r="M658" s="2" t="s">
        <v>22</v>
      </c>
      <c r="N658" s="2" t="s">
        <v>15</v>
      </c>
      <c r="O658" s="2" t="s">
        <v>129</v>
      </c>
      <c r="P658" s="2" t="s">
        <v>3847</v>
      </c>
      <c r="Q658" s="2" t="s">
        <v>4926</v>
      </c>
      <c r="R658" s="2" t="s">
        <v>173</v>
      </c>
      <c r="S658" s="2" t="s">
        <v>93</v>
      </c>
      <c r="T658" s="2" t="s">
        <v>4696</v>
      </c>
      <c r="U658" s="2" t="s">
        <v>39</v>
      </c>
      <c r="V658" s="2" t="s">
        <v>4771</v>
      </c>
      <c r="W658" s="2" t="s">
        <v>17</v>
      </c>
      <c r="X658" s="2" t="s">
        <v>4925</v>
      </c>
      <c r="Y658" s="2" t="s">
        <v>3846</v>
      </c>
      <c r="Z658" s="2" t="s">
        <v>5806</v>
      </c>
      <c r="AA6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6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58" s="6" t="str">
        <f>IF(_xlfn.IFNA(INDEX(configuracoes!$A$2:$A$10,MATCH(base_tc_geral[[#This Row],[TIPO]],configuracoes!$A$2:$A$10,0)),"NÃO")="NÃO","NÃO","SIM")</f>
        <v>NÃO</v>
      </c>
    </row>
    <row r="659" spans="1:31" x14ac:dyDescent="0.25">
      <c r="A659" s="2" t="s">
        <v>1581</v>
      </c>
      <c r="B659" s="2">
        <v>109000017</v>
      </c>
      <c r="C659" s="2" t="s">
        <v>24</v>
      </c>
      <c r="D659" s="2" t="s">
        <v>4768</v>
      </c>
      <c r="E659" s="2" t="s">
        <v>86</v>
      </c>
      <c r="F659" s="2" t="s">
        <v>211</v>
      </c>
      <c r="G659" s="2" t="s">
        <v>245</v>
      </c>
      <c r="H659" s="2" t="s">
        <v>210</v>
      </c>
      <c r="I659" s="2" t="s">
        <v>33</v>
      </c>
      <c r="J659" s="2" t="s">
        <v>124</v>
      </c>
      <c r="K659" s="2" t="s">
        <v>20</v>
      </c>
      <c r="L659" s="2" t="s">
        <v>21</v>
      </c>
      <c r="M659" s="2" t="s">
        <v>22</v>
      </c>
      <c r="N659" s="2" t="s">
        <v>24</v>
      </c>
      <c r="O659" s="2" t="s">
        <v>214</v>
      </c>
      <c r="P659" s="2" t="s">
        <v>1583</v>
      </c>
      <c r="Q659" s="2" t="s">
        <v>4926</v>
      </c>
      <c r="R659" s="2" t="s">
        <v>212</v>
      </c>
      <c r="S659" s="2" t="s">
        <v>93</v>
      </c>
      <c r="T659" s="2" t="s">
        <v>4696</v>
      </c>
      <c r="U659" s="2" t="s">
        <v>39</v>
      </c>
      <c r="V659" s="2" t="s">
        <v>4820</v>
      </c>
      <c r="W659" s="2" t="s">
        <v>4982</v>
      </c>
      <c r="X659" s="2" t="s">
        <v>4925</v>
      </c>
      <c r="Y659" s="2" t="s">
        <v>1582</v>
      </c>
      <c r="Z659" s="2" t="s">
        <v>5807</v>
      </c>
      <c r="AA6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6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59" s="6" t="str">
        <f>IF(_xlfn.IFNA(INDEX(configuracoes!$A$2:$A$10,MATCH(base_tc_geral[[#This Row],[TIPO]],configuracoes!$A$2:$A$10,0)),"NÃO")="NÃO","NÃO","SIM")</f>
        <v>SIM</v>
      </c>
    </row>
    <row r="660" spans="1:31" x14ac:dyDescent="0.25">
      <c r="A660" s="2" t="s">
        <v>3096</v>
      </c>
      <c r="B660" s="2">
        <v>109505049</v>
      </c>
      <c r="C660" s="2" t="s">
        <v>15</v>
      </c>
      <c r="D660" s="2" t="s">
        <v>4548</v>
      </c>
      <c r="E660" s="2" t="s">
        <v>86</v>
      </c>
      <c r="F660" s="2" t="s">
        <v>594</v>
      </c>
      <c r="G660" s="2" t="s">
        <v>99</v>
      </c>
      <c r="H660" s="2" t="s">
        <v>122</v>
      </c>
      <c r="I660" s="2" t="s">
        <v>33</v>
      </c>
      <c r="J660" s="2" t="s">
        <v>124</v>
      </c>
      <c r="K660" s="2" t="s">
        <v>20</v>
      </c>
      <c r="L660" s="2" t="s">
        <v>25</v>
      </c>
      <c r="M660" s="2" t="s">
        <v>22</v>
      </c>
      <c r="N660" s="2" t="s">
        <v>15</v>
      </c>
      <c r="O660" s="2" t="s">
        <v>129</v>
      </c>
      <c r="P660" s="2" t="s">
        <v>3098</v>
      </c>
      <c r="Q660" s="2" t="s">
        <v>4926</v>
      </c>
      <c r="R660" s="2" t="s">
        <v>541</v>
      </c>
      <c r="S660" s="2" t="s">
        <v>125</v>
      </c>
      <c r="T660" s="2" t="s">
        <v>4696</v>
      </c>
      <c r="U660" s="2" t="s">
        <v>12</v>
      </c>
      <c r="V660" s="2" t="s">
        <v>4765</v>
      </c>
      <c r="W660" s="2" t="s">
        <v>4931</v>
      </c>
      <c r="X660" s="2" t="s">
        <v>4925</v>
      </c>
      <c r="Y660" s="2" t="s">
        <v>3097</v>
      </c>
      <c r="Z660" s="2" t="s">
        <v>5808</v>
      </c>
      <c r="AA6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6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60" s="6" t="str">
        <f>IF(_xlfn.IFNA(INDEX(configuracoes!$A$2:$A$10,MATCH(base_tc_geral[[#This Row],[TIPO]],configuracoes!$A$2:$A$10,0)),"NÃO")="NÃO","NÃO","SIM")</f>
        <v>SIM</v>
      </c>
    </row>
    <row r="661" spans="1:31" x14ac:dyDescent="0.25">
      <c r="A661" s="2" t="s">
        <v>474</v>
      </c>
      <c r="B661" s="2">
        <v>105303134</v>
      </c>
      <c r="C661" s="2" t="s">
        <v>15</v>
      </c>
      <c r="D661" s="2" t="s">
        <v>4670</v>
      </c>
      <c r="E661" s="2" t="s">
        <v>28</v>
      </c>
      <c r="F661" s="2" t="s">
        <v>290</v>
      </c>
      <c r="G661" s="2" t="s">
        <v>245</v>
      </c>
      <c r="H661" s="2" t="s">
        <v>34</v>
      </c>
      <c r="I661" s="2" t="s">
        <v>33</v>
      </c>
      <c r="J661" s="2" t="s">
        <v>34</v>
      </c>
      <c r="K661" s="2" t="s">
        <v>20</v>
      </c>
      <c r="L661" s="2" t="s">
        <v>21</v>
      </c>
      <c r="M661" s="2" t="s">
        <v>22</v>
      </c>
      <c r="N661" s="2" t="s">
        <v>15</v>
      </c>
      <c r="O661" s="2" t="s">
        <v>156</v>
      </c>
      <c r="P661" s="2" t="s">
        <v>476</v>
      </c>
      <c r="Q661" s="2" t="s">
        <v>4926</v>
      </c>
      <c r="R661" s="2" t="s">
        <v>442</v>
      </c>
      <c r="S661" s="2" t="s">
        <v>167</v>
      </c>
      <c r="T661" s="2" t="s">
        <v>167</v>
      </c>
      <c r="U661" s="2" t="s">
        <v>12</v>
      </c>
      <c r="V661" s="2" t="s">
        <v>4763</v>
      </c>
      <c r="W661" s="2" t="s">
        <v>4982</v>
      </c>
      <c r="X661" s="2" t="s">
        <v>4925</v>
      </c>
      <c r="Y661" s="2" t="s">
        <v>475</v>
      </c>
      <c r="Z661" s="2" t="s">
        <v>5809</v>
      </c>
      <c r="AA6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6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61" s="6" t="str">
        <f>IF(_xlfn.IFNA(INDEX(configuracoes!$A$2:$A$10,MATCH(base_tc_geral[[#This Row],[TIPO]],configuracoes!$A$2:$A$10,0)),"NÃO")="NÃO","NÃO","SIM")</f>
        <v>SIM</v>
      </c>
    </row>
    <row r="662" spans="1:31" x14ac:dyDescent="0.25">
      <c r="A662" s="2" t="s">
        <v>1015</v>
      </c>
      <c r="B662" s="2">
        <v>109500177</v>
      </c>
      <c r="C662" s="2" t="s">
        <v>24</v>
      </c>
      <c r="D662" s="2" t="s">
        <v>4768</v>
      </c>
      <c r="E662" s="2" t="s">
        <v>86</v>
      </c>
      <c r="F662" s="2" t="s">
        <v>590</v>
      </c>
      <c r="G662" s="2" t="s">
        <v>245</v>
      </c>
      <c r="H662" s="2" t="s">
        <v>122</v>
      </c>
      <c r="I662" s="2" t="s">
        <v>33</v>
      </c>
      <c r="J662" s="2" t="s">
        <v>124</v>
      </c>
      <c r="K662" s="2" t="s">
        <v>20</v>
      </c>
      <c r="L662" s="2" t="s">
        <v>21</v>
      </c>
      <c r="M662" s="2" t="s">
        <v>22</v>
      </c>
      <c r="N662" s="2" t="s">
        <v>24</v>
      </c>
      <c r="O662" s="2" t="s">
        <v>129</v>
      </c>
      <c r="P662" s="2" t="s">
        <v>1017</v>
      </c>
      <c r="Q662" s="2" t="s">
        <v>4926</v>
      </c>
      <c r="R662" s="2" t="s">
        <v>447</v>
      </c>
      <c r="S662" s="2" t="s">
        <v>125</v>
      </c>
      <c r="T662" s="2" t="s">
        <v>4696</v>
      </c>
      <c r="U662" s="2" t="s">
        <v>39</v>
      </c>
      <c r="V662" s="2" t="s">
        <v>4771</v>
      </c>
      <c r="W662" s="2" t="s">
        <v>4982</v>
      </c>
      <c r="X662" s="2" t="s">
        <v>4925</v>
      </c>
      <c r="Y662" s="2" t="s">
        <v>1016</v>
      </c>
      <c r="Z662" s="2" t="s">
        <v>5810</v>
      </c>
      <c r="AA6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6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62" s="6" t="str">
        <f>IF(_xlfn.IFNA(INDEX(configuracoes!$A$2:$A$10,MATCH(base_tc_geral[[#This Row],[TIPO]],configuracoes!$A$2:$A$10,0)),"NÃO")="NÃO","NÃO","SIM")</f>
        <v>SIM</v>
      </c>
    </row>
    <row r="663" spans="1:31" x14ac:dyDescent="0.25">
      <c r="A663" s="2" t="s">
        <v>2583</v>
      </c>
      <c r="B663" s="2">
        <v>109505858</v>
      </c>
      <c r="C663" s="2" t="s">
        <v>15</v>
      </c>
      <c r="D663" s="2" t="s">
        <v>4516</v>
      </c>
      <c r="E663" s="2" t="s">
        <v>86</v>
      </c>
      <c r="F663" s="2" t="s">
        <v>218</v>
      </c>
      <c r="G663" s="2" t="s">
        <v>41</v>
      </c>
      <c r="H663" s="2" t="s">
        <v>217</v>
      </c>
      <c r="I663" s="2" t="s">
        <v>33</v>
      </c>
      <c r="J663" s="2" t="s">
        <v>91</v>
      </c>
      <c r="K663" s="2" t="s">
        <v>20</v>
      </c>
      <c r="L663" s="2" t="s">
        <v>42</v>
      </c>
      <c r="M663" s="2" t="s">
        <v>22</v>
      </c>
      <c r="N663" s="2" t="s">
        <v>15</v>
      </c>
      <c r="O663" s="2" t="s">
        <v>221</v>
      </c>
      <c r="P663" s="2" t="s">
        <v>2585</v>
      </c>
      <c r="Q663" s="2" t="s">
        <v>4926</v>
      </c>
      <c r="R663" s="2" t="s">
        <v>1466</v>
      </c>
      <c r="S663" s="2" t="s">
        <v>93</v>
      </c>
      <c r="T663" s="2" t="s">
        <v>4696</v>
      </c>
      <c r="U663" s="2" t="s">
        <v>12</v>
      </c>
      <c r="V663" s="2" t="s">
        <v>4802</v>
      </c>
      <c r="W663" s="2" t="s">
        <v>4982</v>
      </c>
      <c r="X663" s="2" t="s">
        <v>4925</v>
      </c>
      <c r="Y663" s="2" t="s">
        <v>2584</v>
      </c>
      <c r="Z663" s="2" t="s">
        <v>5811</v>
      </c>
      <c r="AA6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6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63" s="6" t="str">
        <f>IF(_xlfn.IFNA(INDEX(configuracoes!$A$2:$A$10,MATCH(base_tc_geral[[#This Row],[TIPO]],configuracoes!$A$2:$A$10,0)),"NÃO")="NÃO","NÃO","SIM")</f>
        <v>SIM</v>
      </c>
    </row>
    <row r="664" spans="1:31" x14ac:dyDescent="0.25">
      <c r="A664" s="2" t="s">
        <v>2499</v>
      </c>
      <c r="B664" s="2">
        <v>105000985</v>
      </c>
      <c r="C664" s="2" t="s">
        <v>24</v>
      </c>
      <c r="D664" s="2" t="s">
        <v>4768</v>
      </c>
      <c r="E664" s="2" t="s">
        <v>28</v>
      </c>
      <c r="F664" s="2" t="s">
        <v>30</v>
      </c>
      <c r="G664" s="2" t="s">
        <v>172</v>
      </c>
      <c r="H664" s="2" t="s">
        <v>29</v>
      </c>
      <c r="I664" s="2" t="s">
        <v>33</v>
      </c>
      <c r="J664" s="2" t="s">
        <v>34</v>
      </c>
      <c r="K664" s="2" t="s">
        <v>13</v>
      </c>
      <c r="L664" s="2" t="s">
        <v>17</v>
      </c>
      <c r="M664" s="2" t="s">
        <v>23</v>
      </c>
      <c r="N664" s="2" t="s">
        <v>24</v>
      </c>
      <c r="O664" s="2" t="s">
        <v>36</v>
      </c>
      <c r="P664" s="2" t="s">
        <v>2501</v>
      </c>
      <c r="Q664" s="2" t="s">
        <v>4926</v>
      </c>
      <c r="R664" s="2" t="s">
        <v>32</v>
      </c>
      <c r="S664" s="2" t="s">
        <v>167</v>
      </c>
      <c r="T664" s="2" t="s">
        <v>167</v>
      </c>
      <c r="U664" s="2" t="s">
        <v>39</v>
      </c>
      <c r="V664" s="2" t="s">
        <v>4851</v>
      </c>
      <c r="W664" s="2" t="s">
        <v>17</v>
      </c>
      <c r="X664" s="2" t="s">
        <v>4998</v>
      </c>
      <c r="Y664" s="2" t="s">
        <v>2500</v>
      </c>
      <c r="Z664" s="2" t="s">
        <v>5380</v>
      </c>
      <c r="AA6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6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64" s="6" t="str">
        <f>IF(_xlfn.IFNA(INDEX(configuracoes!$A$2:$A$10,MATCH(base_tc_geral[[#This Row],[TIPO]],configuracoes!$A$2:$A$10,0)),"NÃO")="NÃO","NÃO","SIM")</f>
        <v>NÃO</v>
      </c>
    </row>
    <row r="665" spans="1:31" x14ac:dyDescent="0.25">
      <c r="A665" s="2" t="s">
        <v>3709</v>
      </c>
      <c r="B665" s="2">
        <v>109505819</v>
      </c>
      <c r="C665" s="2" t="s">
        <v>15</v>
      </c>
      <c r="D665" s="2" t="s">
        <v>4541</v>
      </c>
      <c r="E665" s="2" t="s">
        <v>86</v>
      </c>
      <c r="F665" s="2" t="s">
        <v>165</v>
      </c>
      <c r="G665" s="2" t="s">
        <v>245</v>
      </c>
      <c r="H665" s="2" t="s">
        <v>164</v>
      </c>
      <c r="I665" s="2" t="s">
        <v>33</v>
      </c>
      <c r="J665" s="2" t="s">
        <v>124</v>
      </c>
      <c r="K665" s="2" t="s">
        <v>20</v>
      </c>
      <c r="L665" s="2" t="s">
        <v>21</v>
      </c>
      <c r="M665" s="2" t="s">
        <v>22</v>
      </c>
      <c r="N665" s="2" t="s">
        <v>15</v>
      </c>
      <c r="O665" s="2" t="s">
        <v>169</v>
      </c>
      <c r="P665" s="2" t="s">
        <v>3711</v>
      </c>
      <c r="Q665" s="2" t="s">
        <v>4926</v>
      </c>
      <c r="R665" s="2" t="s">
        <v>3459</v>
      </c>
      <c r="S665" s="2" t="s">
        <v>93</v>
      </c>
      <c r="T665" s="2" t="s">
        <v>4696</v>
      </c>
      <c r="U665" s="2" t="s">
        <v>12</v>
      </c>
      <c r="V665" s="2" t="s">
        <v>4785</v>
      </c>
      <c r="W665" s="2" t="s">
        <v>4982</v>
      </c>
      <c r="X665" s="2" t="s">
        <v>4925</v>
      </c>
      <c r="Y665" s="2" t="s">
        <v>3710</v>
      </c>
      <c r="Z665" s="2" t="s">
        <v>5381</v>
      </c>
      <c r="AA6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6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65" s="6" t="str">
        <f>IF(_xlfn.IFNA(INDEX(configuracoes!$A$2:$A$10,MATCH(base_tc_geral[[#This Row],[TIPO]],configuracoes!$A$2:$A$10,0)),"NÃO")="NÃO","NÃO","SIM")</f>
        <v>SIM</v>
      </c>
    </row>
    <row r="666" spans="1:31" x14ac:dyDescent="0.25">
      <c r="A666" s="2" t="s">
        <v>2024</v>
      </c>
      <c r="B666" s="2">
        <v>109500315</v>
      </c>
      <c r="C666" s="2" t="s">
        <v>15</v>
      </c>
      <c r="D666" s="2" t="s">
        <v>4568</v>
      </c>
      <c r="E666" s="2" t="s">
        <v>86</v>
      </c>
      <c r="F666" s="2" t="s">
        <v>205</v>
      </c>
      <c r="G666" s="2" t="s">
        <v>172</v>
      </c>
      <c r="H666" s="2" t="s">
        <v>122</v>
      </c>
      <c r="I666" s="2" t="s">
        <v>33</v>
      </c>
      <c r="J666" s="2" t="s">
        <v>124</v>
      </c>
      <c r="K666" s="2" t="s">
        <v>13</v>
      </c>
      <c r="L666" s="2" t="s">
        <v>17</v>
      </c>
      <c r="M666" s="2" t="s">
        <v>23</v>
      </c>
      <c r="N666" s="2" t="s">
        <v>15</v>
      </c>
      <c r="O666" s="2" t="s">
        <v>129</v>
      </c>
      <c r="P666" s="2" t="s">
        <v>2026</v>
      </c>
      <c r="Q666" s="2" t="s">
        <v>4926</v>
      </c>
      <c r="R666" s="2" t="s">
        <v>173</v>
      </c>
      <c r="S666" s="2" t="s">
        <v>93</v>
      </c>
      <c r="T666" s="2" t="s">
        <v>4696</v>
      </c>
      <c r="U666" s="2" t="s">
        <v>12</v>
      </c>
      <c r="V666" s="2" t="s">
        <v>4887</v>
      </c>
      <c r="W666" s="2" t="s">
        <v>17</v>
      </c>
      <c r="X666" s="2" t="s">
        <v>4998</v>
      </c>
      <c r="Y666" s="2" t="s">
        <v>2025</v>
      </c>
      <c r="Z666" s="2" t="s">
        <v>5382</v>
      </c>
      <c r="AA6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6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66" s="6" t="str">
        <f>IF(_xlfn.IFNA(INDEX(configuracoes!$A$2:$A$10,MATCH(base_tc_geral[[#This Row],[TIPO]],configuracoes!$A$2:$A$10,0)),"NÃO")="NÃO","NÃO","SIM")</f>
        <v>NÃO</v>
      </c>
    </row>
    <row r="667" spans="1:31" x14ac:dyDescent="0.25">
      <c r="A667" s="2" t="s">
        <v>924</v>
      </c>
      <c r="B667" s="2">
        <v>102002917</v>
      </c>
      <c r="C667" s="2" t="s">
        <v>15</v>
      </c>
      <c r="D667" s="2" t="s">
        <v>4481</v>
      </c>
      <c r="E667" s="2" t="s">
        <v>106</v>
      </c>
      <c r="F667" s="2" t="s">
        <v>863</v>
      </c>
      <c r="G667" s="2" t="s">
        <v>245</v>
      </c>
      <c r="H667" s="2" t="s">
        <v>427</v>
      </c>
      <c r="I667" s="2" t="s">
        <v>33</v>
      </c>
      <c r="J667" s="2" t="s">
        <v>109</v>
      </c>
      <c r="K667" s="2" t="s">
        <v>20</v>
      </c>
      <c r="L667" s="2" t="s">
        <v>21</v>
      </c>
      <c r="M667" s="2" t="s">
        <v>22</v>
      </c>
      <c r="N667" s="2" t="s">
        <v>15</v>
      </c>
      <c r="O667" s="2" t="s">
        <v>430</v>
      </c>
      <c r="P667" s="2" t="s">
        <v>926</v>
      </c>
      <c r="Q667" s="2" t="s">
        <v>4926</v>
      </c>
      <c r="R667" s="2" t="s">
        <v>5069</v>
      </c>
      <c r="S667" s="2" t="s">
        <v>736</v>
      </c>
      <c r="T667" s="2" t="s">
        <v>167</v>
      </c>
      <c r="U667" s="2" t="s">
        <v>12</v>
      </c>
      <c r="V667" s="2" t="s">
        <v>4853</v>
      </c>
      <c r="W667" s="2" t="s">
        <v>4982</v>
      </c>
      <c r="X667" s="2" t="s">
        <v>4925</v>
      </c>
      <c r="Y667" s="2" t="s">
        <v>925</v>
      </c>
      <c r="Z667" s="2" t="s">
        <v>5383</v>
      </c>
      <c r="AA6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6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67" s="6" t="str">
        <f>IF(_xlfn.IFNA(INDEX(configuracoes!$A$2:$A$10,MATCH(base_tc_geral[[#This Row],[TIPO]],configuracoes!$A$2:$A$10,0)),"NÃO")="NÃO","NÃO","SIM")</f>
        <v>SIM</v>
      </c>
    </row>
    <row r="668" spans="1:31" x14ac:dyDescent="0.25">
      <c r="A668" s="2" t="s">
        <v>2306</v>
      </c>
      <c r="B668" s="2">
        <v>109000340</v>
      </c>
      <c r="C668" s="2" t="s">
        <v>15</v>
      </c>
      <c r="D668" s="2" t="s">
        <v>4586</v>
      </c>
      <c r="E668" s="2" t="s">
        <v>86</v>
      </c>
      <c r="F668" s="2" t="s">
        <v>88</v>
      </c>
      <c r="G668" s="2" t="s">
        <v>99</v>
      </c>
      <c r="H668" s="2" t="s">
        <v>87</v>
      </c>
      <c r="I668" s="2" t="s">
        <v>33</v>
      </c>
      <c r="J668" s="2" t="s">
        <v>91</v>
      </c>
      <c r="K668" s="2" t="s">
        <v>20</v>
      </c>
      <c r="L668" s="2" t="s">
        <v>25</v>
      </c>
      <c r="M668" s="2" t="s">
        <v>22</v>
      </c>
      <c r="N668" s="2" t="s">
        <v>15</v>
      </c>
      <c r="O668" s="2" t="s">
        <v>95</v>
      </c>
      <c r="P668" s="2" t="s">
        <v>2308</v>
      </c>
      <c r="Q668" s="2" t="s">
        <v>4926</v>
      </c>
      <c r="R668" s="2" t="s">
        <v>90</v>
      </c>
      <c r="S668" s="2" t="s">
        <v>93</v>
      </c>
      <c r="T668" s="2" t="s">
        <v>4696</v>
      </c>
      <c r="U668" s="2" t="s">
        <v>12</v>
      </c>
      <c r="V668" s="2" t="s">
        <v>4796</v>
      </c>
      <c r="W668" s="2" t="s">
        <v>4982</v>
      </c>
      <c r="X668" s="2" t="s">
        <v>4925</v>
      </c>
      <c r="Y668" s="2" t="s">
        <v>2307</v>
      </c>
      <c r="Z668" s="2" t="s">
        <v>5384</v>
      </c>
      <c r="AA6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6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68" s="6" t="str">
        <f>IF(_xlfn.IFNA(INDEX(configuracoes!$A$2:$A$10,MATCH(base_tc_geral[[#This Row],[TIPO]],configuracoes!$A$2:$A$10,0)),"NÃO")="NÃO","NÃO","SIM")</f>
        <v>SIM</v>
      </c>
    </row>
    <row r="669" spans="1:31" x14ac:dyDescent="0.25">
      <c r="A669" s="2" t="s">
        <v>1339</v>
      </c>
      <c r="B669" s="2">
        <v>105303124</v>
      </c>
      <c r="C669" s="2" t="s">
        <v>15</v>
      </c>
      <c r="D669" s="2" t="s">
        <v>4545</v>
      </c>
      <c r="E669" s="2" t="s">
        <v>86</v>
      </c>
      <c r="F669" s="2" t="s">
        <v>274</v>
      </c>
      <c r="G669" s="2" t="s">
        <v>58</v>
      </c>
      <c r="H669" s="2" t="s">
        <v>210</v>
      </c>
      <c r="I669" s="2" t="s">
        <v>33</v>
      </c>
      <c r="J669" s="2" t="s">
        <v>124</v>
      </c>
      <c r="K669" s="2" t="s">
        <v>13</v>
      </c>
      <c r="L669" s="2" t="s">
        <v>61</v>
      </c>
      <c r="M669" s="2" t="s">
        <v>22</v>
      </c>
      <c r="N669" s="2" t="s">
        <v>15</v>
      </c>
      <c r="O669" s="2" t="s">
        <v>214</v>
      </c>
      <c r="P669" s="2" t="s">
        <v>1341</v>
      </c>
      <c r="Q669" s="2" t="s">
        <v>4926</v>
      </c>
      <c r="R669" s="2" t="s">
        <v>551</v>
      </c>
      <c r="S669" s="2" t="s">
        <v>4700</v>
      </c>
      <c r="T669" s="2" t="s">
        <v>4701</v>
      </c>
      <c r="U669" s="2" t="s">
        <v>12</v>
      </c>
      <c r="V669" s="2" t="s">
        <v>4799</v>
      </c>
      <c r="W669" s="2" t="s">
        <v>5024</v>
      </c>
      <c r="X669" s="2" t="s">
        <v>4925</v>
      </c>
      <c r="Y669" s="2" t="s">
        <v>1340</v>
      </c>
      <c r="Z669" s="2" t="s">
        <v>5385</v>
      </c>
      <c r="AA6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GENELSON AUGUSTO </v>
      </c>
      <c r="AB6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6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6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69" s="6" t="str">
        <f>IF(_xlfn.IFNA(INDEX(configuracoes!$A$2:$A$10,MATCH(base_tc_geral[[#This Row],[TIPO]],configuracoes!$A$2:$A$10,0)),"NÃO")="NÃO","NÃO","SIM")</f>
        <v>NÃO</v>
      </c>
    </row>
    <row r="670" spans="1:31" x14ac:dyDescent="0.25">
      <c r="A670" s="2" t="s">
        <v>2339</v>
      </c>
      <c r="B670" s="2">
        <v>105000986</v>
      </c>
      <c r="C670" s="2" t="s">
        <v>24</v>
      </c>
      <c r="D670" s="2" t="s">
        <v>4482</v>
      </c>
      <c r="E670" s="2" t="s">
        <v>28</v>
      </c>
      <c r="F670" s="2" t="s">
        <v>80</v>
      </c>
      <c r="G670" s="2" t="s">
        <v>883</v>
      </c>
      <c r="H670" s="2" t="s">
        <v>79</v>
      </c>
      <c r="I670" s="2" t="s">
        <v>33</v>
      </c>
      <c r="J670" s="2" t="s">
        <v>34</v>
      </c>
      <c r="K670" s="2" t="s">
        <v>20</v>
      </c>
      <c r="L670" s="2" t="s">
        <v>21</v>
      </c>
      <c r="M670" s="2" t="s">
        <v>22</v>
      </c>
      <c r="N670" s="2" t="s">
        <v>24</v>
      </c>
      <c r="O670" s="2" t="s">
        <v>83</v>
      </c>
      <c r="P670" s="2" t="s">
        <v>2341</v>
      </c>
      <c r="Q670" s="2" t="s">
        <v>4926</v>
      </c>
      <c r="R670" s="2" t="s">
        <v>81</v>
      </c>
      <c r="S670" s="2" t="s">
        <v>167</v>
      </c>
      <c r="T670" s="2" t="s">
        <v>167</v>
      </c>
      <c r="U670" s="2" t="s">
        <v>39</v>
      </c>
      <c r="V670" s="2" t="s">
        <v>4767</v>
      </c>
      <c r="W670" s="2" t="s">
        <v>4982</v>
      </c>
      <c r="X670" s="2" t="s">
        <v>4925</v>
      </c>
      <c r="Y670" s="2" t="s">
        <v>2340</v>
      </c>
      <c r="Z670" s="2" t="s">
        <v>5812</v>
      </c>
      <c r="AA6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6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70" s="6" t="str">
        <f>IF(_xlfn.IFNA(INDEX(configuracoes!$A$2:$A$10,MATCH(base_tc_geral[[#This Row],[TIPO]],configuracoes!$A$2:$A$10,0)),"NÃO")="NÃO","NÃO","SIM")</f>
        <v>SIM</v>
      </c>
    </row>
    <row r="671" spans="1:31" x14ac:dyDescent="0.25">
      <c r="A671" s="2" t="s">
        <v>3965</v>
      </c>
      <c r="B671" s="2">
        <v>105303207</v>
      </c>
      <c r="C671" s="2" t="s">
        <v>15</v>
      </c>
      <c r="D671" s="2" t="s">
        <v>4548</v>
      </c>
      <c r="E671" s="2" t="s">
        <v>28</v>
      </c>
      <c r="F671" s="2" t="s">
        <v>440</v>
      </c>
      <c r="G671" s="2" t="s">
        <v>149</v>
      </c>
      <c r="H671" s="2" t="s">
        <v>34</v>
      </c>
      <c r="I671" s="2" t="s">
        <v>33</v>
      </c>
      <c r="J671" s="2" t="s">
        <v>34</v>
      </c>
      <c r="K671" s="2" t="s">
        <v>13</v>
      </c>
      <c r="L671" s="2" t="s">
        <v>61</v>
      </c>
      <c r="M671" s="2" t="s">
        <v>73</v>
      </c>
      <c r="N671" s="2" t="s">
        <v>15</v>
      </c>
      <c r="O671" s="2" t="s">
        <v>156</v>
      </c>
      <c r="P671" s="2" t="s">
        <v>3967</v>
      </c>
      <c r="Q671" s="2" t="s">
        <v>4926</v>
      </c>
      <c r="R671" s="2" t="s">
        <v>2243</v>
      </c>
      <c r="S671" s="2" t="s">
        <v>167</v>
      </c>
      <c r="T671" s="2" t="s">
        <v>167</v>
      </c>
      <c r="U671" s="2" t="s">
        <v>39</v>
      </c>
      <c r="V671" s="2" t="s">
        <v>4764</v>
      </c>
      <c r="W671" s="2" t="s">
        <v>72</v>
      </c>
      <c r="X671" s="2" t="s">
        <v>5011</v>
      </c>
      <c r="Y671" s="2" t="s">
        <v>3966</v>
      </c>
      <c r="Z671" s="2" t="s">
        <v>5813</v>
      </c>
      <c r="AA6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6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1" s="6" t="str">
        <f>IF(_xlfn.IFNA(INDEX(configuracoes!$A$2:$A$10,MATCH(base_tc_geral[[#This Row],[TIPO]],configuracoes!$A$2:$A$10,0)),"NÃO")="NÃO","NÃO","SIM")</f>
        <v>NÃO</v>
      </c>
    </row>
    <row r="672" spans="1:31" x14ac:dyDescent="0.25">
      <c r="A672" s="2" t="s">
        <v>1158</v>
      </c>
      <c r="B672" s="2">
        <v>101006255</v>
      </c>
      <c r="C672" s="2" t="s">
        <v>15</v>
      </c>
      <c r="D672" s="2" t="s">
        <v>4499</v>
      </c>
      <c r="E672" s="2" t="s">
        <v>47</v>
      </c>
      <c r="F672" s="2" t="s">
        <v>1112</v>
      </c>
      <c r="G672" s="2" t="s">
        <v>149</v>
      </c>
      <c r="H672" s="2" t="s">
        <v>224</v>
      </c>
      <c r="I672" s="2" t="s">
        <v>16</v>
      </c>
      <c r="J672" s="2" t="s">
        <v>227</v>
      </c>
      <c r="K672" s="2" t="s">
        <v>20</v>
      </c>
      <c r="L672" s="2" t="s">
        <v>61</v>
      </c>
      <c r="M672" s="2" t="s">
        <v>22</v>
      </c>
      <c r="N672" s="2" t="s">
        <v>15</v>
      </c>
      <c r="O672" s="2" t="s">
        <v>229</v>
      </c>
      <c r="P672" s="2" t="s">
        <v>1160</v>
      </c>
      <c r="Q672" s="2" t="s">
        <v>4926</v>
      </c>
      <c r="R672" s="2" t="s">
        <v>369</v>
      </c>
      <c r="S672" s="2" t="s">
        <v>4698</v>
      </c>
      <c r="T672" s="2" t="s">
        <v>4697</v>
      </c>
      <c r="U672" s="2" t="s">
        <v>39</v>
      </c>
      <c r="V672" s="2" t="s">
        <v>4817</v>
      </c>
      <c r="W672" s="2" t="s">
        <v>4982</v>
      </c>
      <c r="X672" s="2" t="s">
        <v>4925</v>
      </c>
      <c r="Y672" s="2" t="s">
        <v>1159</v>
      </c>
      <c r="Z672" s="2" t="s">
        <v>5814</v>
      </c>
      <c r="AA6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6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6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6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2" s="6" t="str">
        <f>IF(_xlfn.IFNA(INDEX(configuracoes!$A$2:$A$10,MATCH(base_tc_geral[[#This Row],[TIPO]],configuracoes!$A$2:$A$10,0)),"NÃO")="NÃO","NÃO","SIM")</f>
        <v>NÃO</v>
      </c>
    </row>
    <row r="673" spans="1:31" x14ac:dyDescent="0.25">
      <c r="A673" s="2" t="s">
        <v>3102</v>
      </c>
      <c r="B673" s="2">
        <v>109505049</v>
      </c>
      <c r="C673" s="2" t="s">
        <v>15</v>
      </c>
      <c r="D673" s="2" t="s">
        <v>4493</v>
      </c>
      <c r="E673" s="2" t="s">
        <v>86</v>
      </c>
      <c r="F673" s="2" t="s">
        <v>540</v>
      </c>
      <c r="G673" s="2" t="s">
        <v>99</v>
      </c>
      <c r="H673" s="2" t="s">
        <v>283</v>
      </c>
      <c r="I673" s="2" t="s">
        <v>33</v>
      </c>
      <c r="J673" s="2" t="s">
        <v>124</v>
      </c>
      <c r="K673" s="2" t="s">
        <v>13</v>
      </c>
      <c r="L673" s="2" t="s">
        <v>25</v>
      </c>
      <c r="M673" s="2" t="s">
        <v>22</v>
      </c>
      <c r="N673" s="2" t="s">
        <v>15</v>
      </c>
      <c r="O673" s="2" t="s">
        <v>287</v>
      </c>
      <c r="P673" s="2" t="s">
        <v>3104</v>
      </c>
      <c r="Q673" s="2" t="s">
        <v>4926</v>
      </c>
      <c r="R673" s="2" t="s">
        <v>541</v>
      </c>
      <c r="S673" s="2" t="s">
        <v>125</v>
      </c>
      <c r="T673" s="2" t="s">
        <v>4696</v>
      </c>
      <c r="U673" s="2" t="s">
        <v>12</v>
      </c>
      <c r="V673" s="2" t="s">
        <v>4765</v>
      </c>
      <c r="W673" s="2" t="s">
        <v>4931</v>
      </c>
      <c r="X673" s="2" t="s">
        <v>4925</v>
      </c>
      <c r="Y673" s="2" t="s">
        <v>3103</v>
      </c>
      <c r="Z673" s="2" t="s">
        <v>6173</v>
      </c>
      <c r="AA6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6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3" s="6" t="str">
        <f>IF(_xlfn.IFNA(INDEX(configuracoes!$A$2:$A$10,MATCH(base_tc_geral[[#This Row],[TIPO]],configuracoes!$A$2:$A$10,0)),"NÃO")="NÃO","NÃO","SIM")</f>
        <v>SIM</v>
      </c>
    </row>
    <row r="674" spans="1:31" x14ac:dyDescent="0.25">
      <c r="A674" s="2" t="s">
        <v>1644</v>
      </c>
      <c r="B674" s="2">
        <v>109500177</v>
      </c>
      <c r="C674" s="2" t="s">
        <v>15</v>
      </c>
      <c r="D674" s="2" t="s">
        <v>4481</v>
      </c>
      <c r="E674" s="2" t="s">
        <v>86</v>
      </c>
      <c r="F674" s="2" t="s">
        <v>445</v>
      </c>
      <c r="G674" s="2" t="s">
        <v>245</v>
      </c>
      <c r="H674" s="2" t="s">
        <v>122</v>
      </c>
      <c r="I674" s="2" t="s">
        <v>33</v>
      </c>
      <c r="J674" s="2" t="s">
        <v>124</v>
      </c>
      <c r="K674" s="2" t="s">
        <v>20</v>
      </c>
      <c r="L674" s="2" t="s">
        <v>21</v>
      </c>
      <c r="M674" s="2" t="s">
        <v>22</v>
      </c>
      <c r="N674" s="2" t="s">
        <v>15</v>
      </c>
      <c r="O674" s="2" t="s">
        <v>129</v>
      </c>
      <c r="P674" s="2" t="s">
        <v>1646</v>
      </c>
      <c r="Q674" s="2" t="s">
        <v>4926</v>
      </c>
      <c r="R674" s="2" t="s">
        <v>447</v>
      </c>
      <c r="S674" s="2" t="s">
        <v>125</v>
      </c>
      <c r="T674" s="2" t="s">
        <v>4696</v>
      </c>
      <c r="U674" s="2" t="s">
        <v>12</v>
      </c>
      <c r="V674" s="2" t="s">
        <v>4771</v>
      </c>
      <c r="W674" s="2" t="s">
        <v>4982</v>
      </c>
      <c r="X674" s="2" t="s">
        <v>4925</v>
      </c>
      <c r="Y674" s="2" t="s">
        <v>1645</v>
      </c>
      <c r="Z674" s="2" t="s">
        <v>6174</v>
      </c>
      <c r="AA6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6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4" s="6" t="str">
        <f>IF(_xlfn.IFNA(INDEX(configuracoes!$A$2:$A$10,MATCH(base_tc_geral[[#This Row],[TIPO]],configuracoes!$A$2:$A$10,0)),"NÃO")="NÃO","NÃO","SIM")</f>
        <v>SIM</v>
      </c>
    </row>
    <row r="675" spans="1:31" x14ac:dyDescent="0.25">
      <c r="A675" s="2" t="s">
        <v>3748</v>
      </c>
      <c r="B675" s="2">
        <v>102100917</v>
      </c>
      <c r="C675" s="2" t="s">
        <v>15</v>
      </c>
      <c r="D675" s="2" t="s">
        <v>4637</v>
      </c>
      <c r="E675" s="2" t="s">
        <v>106</v>
      </c>
      <c r="F675" s="2" t="s">
        <v>116</v>
      </c>
      <c r="G675" s="2" t="s">
        <v>245</v>
      </c>
      <c r="H675" s="2" t="s">
        <v>115</v>
      </c>
      <c r="I675" s="2" t="s">
        <v>33</v>
      </c>
      <c r="J675" s="2" t="s">
        <v>109</v>
      </c>
      <c r="K675" s="2" t="s">
        <v>20</v>
      </c>
      <c r="L675" s="2" t="s">
        <v>21</v>
      </c>
      <c r="M675" s="2" t="s">
        <v>22</v>
      </c>
      <c r="N675" s="2" t="s">
        <v>15</v>
      </c>
      <c r="O675" s="2" t="s">
        <v>119</v>
      </c>
      <c r="P675" s="2" t="s">
        <v>3750</v>
      </c>
      <c r="Q675" s="2" t="s">
        <v>4926</v>
      </c>
      <c r="R675" s="2" t="s">
        <v>117</v>
      </c>
      <c r="S675" s="2" t="s">
        <v>736</v>
      </c>
      <c r="T675" s="2" t="s">
        <v>167</v>
      </c>
      <c r="U675" s="2" t="s">
        <v>12</v>
      </c>
      <c r="V675" s="2" t="s">
        <v>4902</v>
      </c>
      <c r="W675" s="2" t="s">
        <v>4982</v>
      </c>
      <c r="X675" s="2" t="s">
        <v>4925</v>
      </c>
      <c r="Y675" s="2" t="s">
        <v>3749</v>
      </c>
      <c r="Z675" s="2" t="s">
        <v>6175</v>
      </c>
      <c r="AA6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6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5" s="6" t="str">
        <f>IF(_xlfn.IFNA(INDEX(configuracoes!$A$2:$A$10,MATCH(base_tc_geral[[#This Row],[TIPO]],configuracoes!$A$2:$A$10,0)),"NÃO")="NÃO","NÃO","SIM")</f>
        <v>SIM</v>
      </c>
    </row>
    <row r="676" spans="1:31" x14ac:dyDescent="0.25">
      <c r="A676" s="2" t="s">
        <v>1785</v>
      </c>
      <c r="B676" s="2">
        <v>109504012</v>
      </c>
      <c r="C676" s="2" t="s">
        <v>15</v>
      </c>
      <c r="D676" s="2" t="s">
        <v>4486</v>
      </c>
      <c r="E676" s="2" t="s">
        <v>28</v>
      </c>
      <c r="F676" s="2" t="s">
        <v>570</v>
      </c>
      <c r="G676" s="2" t="s">
        <v>637</v>
      </c>
      <c r="H676" s="2" t="s">
        <v>34</v>
      </c>
      <c r="I676" s="2" t="s">
        <v>33</v>
      </c>
      <c r="J676" s="2" t="s">
        <v>34</v>
      </c>
      <c r="K676" s="2" t="s">
        <v>20</v>
      </c>
      <c r="L676" s="2" t="s">
        <v>19</v>
      </c>
      <c r="M676" s="2" t="s">
        <v>22</v>
      </c>
      <c r="N676" s="2" t="s">
        <v>15</v>
      </c>
      <c r="O676" s="2" t="s">
        <v>156</v>
      </c>
      <c r="P676" s="2" t="s">
        <v>1787</v>
      </c>
      <c r="Q676" s="2" t="s">
        <v>4926</v>
      </c>
      <c r="R676" s="2" t="s">
        <v>166</v>
      </c>
      <c r="S676" s="2" t="s">
        <v>167</v>
      </c>
      <c r="T676" s="2" t="s">
        <v>167</v>
      </c>
      <c r="U676" s="2" t="s">
        <v>12</v>
      </c>
      <c r="V676" s="2" t="s">
        <v>4775</v>
      </c>
      <c r="W676" s="2" t="s">
        <v>4982</v>
      </c>
      <c r="X676" s="2" t="s">
        <v>4925</v>
      </c>
      <c r="Y676" s="2" t="s">
        <v>1786</v>
      </c>
      <c r="Z676" s="2" t="s">
        <v>6176</v>
      </c>
      <c r="AA6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6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6" s="6" t="str">
        <f>IF(_xlfn.IFNA(INDEX(configuracoes!$A$2:$A$10,MATCH(base_tc_geral[[#This Row],[TIPO]],configuracoes!$A$2:$A$10,0)),"NÃO")="NÃO","NÃO","SIM")</f>
        <v>SIM</v>
      </c>
    </row>
    <row r="677" spans="1:31" x14ac:dyDescent="0.25">
      <c r="A677" s="2" t="s">
        <v>885</v>
      </c>
      <c r="B677" s="2">
        <v>105303208</v>
      </c>
      <c r="C677" s="2" t="s">
        <v>15</v>
      </c>
      <c r="D677" s="2" t="s">
        <v>4524</v>
      </c>
      <c r="E677" s="2" t="s">
        <v>28</v>
      </c>
      <c r="F677" s="2" t="s">
        <v>570</v>
      </c>
      <c r="G677" s="2" t="s">
        <v>89</v>
      </c>
      <c r="H677" s="2" t="s">
        <v>34</v>
      </c>
      <c r="I677" s="2" t="s">
        <v>33</v>
      </c>
      <c r="J677" s="2" t="s">
        <v>34</v>
      </c>
      <c r="K677" s="2" t="s">
        <v>13</v>
      </c>
      <c r="L677" s="2" t="s">
        <v>37</v>
      </c>
      <c r="M677" s="2" t="s">
        <v>44</v>
      </c>
      <c r="N677" s="2" t="s">
        <v>15</v>
      </c>
      <c r="O677" s="2" t="s">
        <v>156</v>
      </c>
      <c r="P677" s="2" t="s">
        <v>887</v>
      </c>
      <c r="Q677" s="2" t="s">
        <v>4926</v>
      </c>
      <c r="R677" s="2" t="s">
        <v>849</v>
      </c>
      <c r="S677" s="2" t="s">
        <v>167</v>
      </c>
      <c r="T677" s="2" t="s">
        <v>167</v>
      </c>
      <c r="U677" s="2" t="s">
        <v>12</v>
      </c>
      <c r="V677" s="2" t="s">
        <v>4775</v>
      </c>
      <c r="W677" s="2" t="s">
        <v>4982</v>
      </c>
      <c r="X677" s="2" t="s">
        <v>44</v>
      </c>
      <c r="Y677" s="2" t="s">
        <v>886</v>
      </c>
      <c r="Z677" s="2" t="s">
        <v>6177</v>
      </c>
      <c r="AA6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6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7" s="6" t="str">
        <f>IF(_xlfn.IFNA(INDEX(configuracoes!$A$2:$A$10,MATCH(base_tc_geral[[#This Row],[TIPO]],configuracoes!$A$2:$A$10,0)),"NÃO")="NÃO","NÃO","SIM")</f>
        <v>NÃO</v>
      </c>
    </row>
    <row r="678" spans="1:31" x14ac:dyDescent="0.25">
      <c r="A678" s="2" t="s">
        <v>2051</v>
      </c>
      <c r="B678" s="2">
        <v>109000926</v>
      </c>
      <c r="C678" s="2" t="s">
        <v>15</v>
      </c>
      <c r="D678" s="2" t="s">
        <v>4502</v>
      </c>
      <c r="E678" s="2" t="s">
        <v>86</v>
      </c>
      <c r="F678" s="2" t="s">
        <v>284</v>
      </c>
      <c r="G678" s="2" t="s">
        <v>245</v>
      </c>
      <c r="H678" s="2" t="s">
        <v>283</v>
      </c>
      <c r="I678" s="2" t="s">
        <v>33</v>
      </c>
      <c r="J678" s="2" t="s">
        <v>124</v>
      </c>
      <c r="K678" s="2" t="s">
        <v>20</v>
      </c>
      <c r="L678" s="2" t="s">
        <v>21</v>
      </c>
      <c r="M678" s="2" t="s">
        <v>22</v>
      </c>
      <c r="N678" s="2" t="s">
        <v>15</v>
      </c>
      <c r="O678" s="2" t="s">
        <v>287</v>
      </c>
      <c r="P678" s="2" t="s">
        <v>2053</v>
      </c>
      <c r="Q678" s="2" t="s">
        <v>4926</v>
      </c>
      <c r="R678" s="2" t="s">
        <v>285</v>
      </c>
      <c r="S678" s="2" t="s">
        <v>125</v>
      </c>
      <c r="T678" s="2" t="s">
        <v>4696</v>
      </c>
      <c r="U678" s="2" t="s">
        <v>12</v>
      </c>
      <c r="V678" s="2" t="s">
        <v>4777</v>
      </c>
      <c r="W678" s="2" t="s">
        <v>4982</v>
      </c>
      <c r="X678" s="2" t="s">
        <v>4925</v>
      </c>
      <c r="Y678" s="2" t="s">
        <v>2052</v>
      </c>
      <c r="Z678" s="2" t="s">
        <v>6178</v>
      </c>
      <c r="AA6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6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8" s="6" t="str">
        <f>IF(_xlfn.IFNA(INDEX(configuracoes!$A$2:$A$10,MATCH(base_tc_geral[[#This Row],[TIPO]],configuracoes!$A$2:$A$10,0)),"NÃO")="NÃO","NÃO","SIM")</f>
        <v>SIM</v>
      </c>
    </row>
    <row r="679" spans="1:31" x14ac:dyDescent="0.25">
      <c r="A679" s="2" t="s">
        <v>588</v>
      </c>
      <c r="B679" s="2">
        <v>109000499</v>
      </c>
      <c r="C679" s="2" t="s">
        <v>15</v>
      </c>
      <c r="D679" s="2" t="s">
        <v>4523</v>
      </c>
      <c r="E679" s="2" t="s">
        <v>86</v>
      </c>
      <c r="F679" s="2" t="s">
        <v>590</v>
      </c>
      <c r="G679" s="2" t="s">
        <v>136</v>
      </c>
      <c r="H679" s="2" t="s">
        <v>122</v>
      </c>
      <c r="I679" s="2" t="s">
        <v>33</v>
      </c>
      <c r="J679" s="2" t="s">
        <v>124</v>
      </c>
      <c r="K679" s="2" t="s">
        <v>13</v>
      </c>
      <c r="L679" s="2" t="s">
        <v>72</v>
      </c>
      <c r="M679" s="2" t="s">
        <v>73</v>
      </c>
      <c r="N679" s="2" t="s">
        <v>15</v>
      </c>
      <c r="O679" s="2" t="s">
        <v>129</v>
      </c>
      <c r="P679" s="2" t="s">
        <v>591</v>
      </c>
      <c r="Q679" s="2" t="s">
        <v>4926</v>
      </c>
      <c r="R679" s="2" t="s">
        <v>321</v>
      </c>
      <c r="S679" s="2" t="s">
        <v>93</v>
      </c>
      <c r="T679" s="2" t="s">
        <v>4696</v>
      </c>
      <c r="U679" s="2" t="s">
        <v>12</v>
      </c>
      <c r="V679" s="2" t="s">
        <v>4783</v>
      </c>
      <c r="W679" s="2" t="s">
        <v>72</v>
      </c>
      <c r="X679" s="2" t="s">
        <v>5011</v>
      </c>
      <c r="Y679" s="2" t="s">
        <v>589</v>
      </c>
      <c r="Z679" s="2" t="s">
        <v>6179</v>
      </c>
      <c r="AA6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6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79" s="6" t="str">
        <f>IF(_xlfn.IFNA(INDEX(configuracoes!$A$2:$A$10,MATCH(base_tc_geral[[#This Row],[TIPO]],configuracoes!$A$2:$A$10,0)),"NÃO")="NÃO","NÃO","SIM")</f>
        <v>NÃO</v>
      </c>
    </row>
    <row r="680" spans="1:31" x14ac:dyDescent="0.25">
      <c r="A680" s="2" t="s">
        <v>2478</v>
      </c>
      <c r="B680" s="2">
        <v>109501286</v>
      </c>
      <c r="C680" s="2" t="s">
        <v>15</v>
      </c>
      <c r="D680" s="2" t="s">
        <v>4534</v>
      </c>
      <c r="E680" s="2" t="s">
        <v>86</v>
      </c>
      <c r="F680" s="2" t="s">
        <v>497</v>
      </c>
      <c r="G680" s="2" t="s">
        <v>245</v>
      </c>
      <c r="H680" s="2" t="s">
        <v>164</v>
      </c>
      <c r="I680" s="2" t="s">
        <v>33</v>
      </c>
      <c r="J680" s="2" t="s">
        <v>124</v>
      </c>
      <c r="K680" s="2" t="s">
        <v>20</v>
      </c>
      <c r="L680" s="2" t="s">
        <v>21</v>
      </c>
      <c r="M680" s="2" t="s">
        <v>22</v>
      </c>
      <c r="N680" s="2" t="s">
        <v>15</v>
      </c>
      <c r="O680" s="2" t="s">
        <v>169</v>
      </c>
      <c r="P680" s="2" t="s">
        <v>2480</v>
      </c>
      <c r="Q680" s="2" t="s">
        <v>4926</v>
      </c>
      <c r="R680" s="2" t="s">
        <v>498</v>
      </c>
      <c r="S680" s="2" t="s">
        <v>93</v>
      </c>
      <c r="T680" s="2" t="s">
        <v>4696</v>
      </c>
      <c r="U680" s="2" t="s">
        <v>12</v>
      </c>
      <c r="V680" s="2" t="s">
        <v>4766</v>
      </c>
      <c r="W680" s="2" t="s">
        <v>4982</v>
      </c>
      <c r="X680" s="2" t="s">
        <v>4925</v>
      </c>
      <c r="Y680" s="2" t="s">
        <v>2479</v>
      </c>
      <c r="Z680" s="2" t="s">
        <v>6180</v>
      </c>
      <c r="AA6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6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0" s="6" t="str">
        <f>IF(_xlfn.IFNA(INDEX(configuracoes!$A$2:$A$10,MATCH(base_tc_geral[[#This Row],[TIPO]],configuracoes!$A$2:$A$10,0)),"NÃO")="NÃO","NÃO","SIM")</f>
        <v>SIM</v>
      </c>
    </row>
    <row r="681" spans="1:31" x14ac:dyDescent="0.25">
      <c r="A681" s="2" t="s">
        <v>1330</v>
      </c>
      <c r="B681" s="2">
        <v>105303208</v>
      </c>
      <c r="C681" s="2" t="s">
        <v>15</v>
      </c>
      <c r="D681" s="2" t="s">
        <v>4530</v>
      </c>
      <c r="E681" s="2" t="s">
        <v>28</v>
      </c>
      <c r="F681" s="2" t="s">
        <v>440</v>
      </c>
      <c r="G681" s="2" t="s">
        <v>883</v>
      </c>
      <c r="H681" s="2" t="s">
        <v>34</v>
      </c>
      <c r="I681" s="2" t="s">
        <v>33</v>
      </c>
      <c r="J681" s="2" t="s">
        <v>34</v>
      </c>
      <c r="K681" s="2" t="s">
        <v>20</v>
      </c>
      <c r="L681" s="2" t="s">
        <v>21</v>
      </c>
      <c r="M681" s="2" t="s">
        <v>22</v>
      </c>
      <c r="N681" s="2" t="s">
        <v>15</v>
      </c>
      <c r="O681" s="2" t="s">
        <v>156</v>
      </c>
      <c r="P681" s="2" t="s">
        <v>1332</v>
      </c>
      <c r="Q681" s="2" t="s">
        <v>4926</v>
      </c>
      <c r="R681" s="2" t="s">
        <v>849</v>
      </c>
      <c r="S681" s="2" t="s">
        <v>167</v>
      </c>
      <c r="T681" s="2" t="s">
        <v>167</v>
      </c>
      <c r="U681" s="2" t="s">
        <v>12</v>
      </c>
      <c r="V681" s="2" t="s">
        <v>4850</v>
      </c>
      <c r="W681" s="2" t="s">
        <v>4982</v>
      </c>
      <c r="X681" s="2" t="s">
        <v>4925</v>
      </c>
      <c r="Y681" s="2" t="s">
        <v>1331</v>
      </c>
      <c r="Z681" s="2" t="s">
        <v>6181</v>
      </c>
      <c r="AA6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6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6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1" s="6" t="str">
        <f>IF(_xlfn.IFNA(INDEX(configuracoes!$A$2:$A$10,MATCH(base_tc_geral[[#This Row],[TIPO]],configuracoes!$A$2:$A$10,0)),"NÃO")="NÃO","NÃO","SIM")</f>
        <v>SIM</v>
      </c>
    </row>
    <row r="682" spans="1:31" x14ac:dyDescent="0.25">
      <c r="A682" s="2" t="s">
        <v>2785</v>
      </c>
      <c r="B682" s="2">
        <v>109506174</v>
      </c>
      <c r="C682" s="2" t="s">
        <v>15</v>
      </c>
      <c r="D682" s="2" t="s">
        <v>4594</v>
      </c>
      <c r="E682" s="2" t="s">
        <v>86</v>
      </c>
      <c r="F682" s="2" t="s">
        <v>459</v>
      </c>
      <c r="G682" s="2" t="s">
        <v>41</v>
      </c>
      <c r="H682" s="2" t="s">
        <v>458</v>
      </c>
      <c r="I682" s="2" t="s">
        <v>33</v>
      </c>
      <c r="J682" s="2" t="s">
        <v>91</v>
      </c>
      <c r="K682" s="2" t="s">
        <v>20</v>
      </c>
      <c r="L682" s="2" t="s">
        <v>42</v>
      </c>
      <c r="M682" s="2" t="s">
        <v>22</v>
      </c>
      <c r="N682" s="2" t="s">
        <v>15</v>
      </c>
      <c r="O682" s="2" t="s">
        <v>461</v>
      </c>
      <c r="P682" s="2" t="s">
        <v>2787</v>
      </c>
      <c r="Q682" s="2" t="s">
        <v>4926</v>
      </c>
      <c r="R682" s="2" t="s">
        <v>2782</v>
      </c>
      <c r="S682" s="2" t="s">
        <v>93</v>
      </c>
      <c r="T682" s="2" t="s">
        <v>4696</v>
      </c>
      <c r="U682" s="2" t="s">
        <v>12</v>
      </c>
      <c r="V682" s="2" t="s">
        <v>4796</v>
      </c>
      <c r="W682" s="2" t="s">
        <v>4982</v>
      </c>
      <c r="X682" s="2" t="s">
        <v>4925</v>
      </c>
      <c r="Y682" s="2" t="s">
        <v>2786</v>
      </c>
      <c r="Z682" s="2" t="s">
        <v>5386</v>
      </c>
      <c r="AA6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6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2" s="6" t="str">
        <f>IF(_xlfn.IFNA(INDEX(configuracoes!$A$2:$A$10,MATCH(base_tc_geral[[#This Row],[TIPO]],configuracoes!$A$2:$A$10,0)),"NÃO")="NÃO","NÃO","SIM")</f>
        <v>SIM</v>
      </c>
    </row>
    <row r="683" spans="1:31" x14ac:dyDescent="0.25">
      <c r="A683" s="2" t="s">
        <v>3751</v>
      </c>
      <c r="B683" s="2">
        <v>102100917</v>
      </c>
      <c r="C683" s="2" t="s">
        <v>15</v>
      </c>
      <c r="D683" s="2" t="s">
        <v>4522</v>
      </c>
      <c r="E683" s="2" t="s">
        <v>106</v>
      </c>
      <c r="F683" s="2" t="s">
        <v>116</v>
      </c>
      <c r="G683" s="2" t="s">
        <v>245</v>
      </c>
      <c r="H683" s="2" t="s">
        <v>115</v>
      </c>
      <c r="I683" s="2" t="s">
        <v>33</v>
      </c>
      <c r="J683" s="2" t="s">
        <v>109</v>
      </c>
      <c r="K683" s="2" t="s">
        <v>20</v>
      </c>
      <c r="L683" s="2" t="s">
        <v>21</v>
      </c>
      <c r="M683" s="2" t="s">
        <v>22</v>
      </c>
      <c r="N683" s="2" t="s">
        <v>15</v>
      </c>
      <c r="O683" s="2" t="s">
        <v>119</v>
      </c>
      <c r="P683" s="2" t="s">
        <v>3753</v>
      </c>
      <c r="Q683" s="2" t="s">
        <v>4926</v>
      </c>
      <c r="R683" s="2" t="s">
        <v>117</v>
      </c>
      <c r="S683" s="2" t="s">
        <v>736</v>
      </c>
      <c r="T683" s="2" t="s">
        <v>167</v>
      </c>
      <c r="U683" s="2" t="s">
        <v>12</v>
      </c>
      <c r="V683" s="2" t="s">
        <v>4902</v>
      </c>
      <c r="W683" s="2" t="s">
        <v>4982</v>
      </c>
      <c r="X683" s="2" t="s">
        <v>4925</v>
      </c>
      <c r="Y683" s="2" t="s">
        <v>3752</v>
      </c>
      <c r="Z683" s="2" t="s">
        <v>5387</v>
      </c>
      <c r="AA6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6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3" s="6" t="str">
        <f>IF(_xlfn.IFNA(INDEX(configuracoes!$A$2:$A$10,MATCH(base_tc_geral[[#This Row],[TIPO]],configuracoes!$A$2:$A$10,0)),"NÃO")="NÃO","NÃO","SIM")</f>
        <v>SIM</v>
      </c>
    </row>
    <row r="684" spans="1:31" x14ac:dyDescent="0.25">
      <c r="A684" s="2" t="s">
        <v>3221</v>
      </c>
      <c r="B684" s="2">
        <v>109505858</v>
      </c>
      <c r="C684" s="2" t="s">
        <v>24</v>
      </c>
      <c r="D684" s="2" t="s">
        <v>4482</v>
      </c>
      <c r="E684" s="2" t="s">
        <v>86</v>
      </c>
      <c r="F684" s="2" t="s">
        <v>559</v>
      </c>
      <c r="G684" s="2" t="s">
        <v>245</v>
      </c>
      <c r="H684" s="2" t="s">
        <v>558</v>
      </c>
      <c r="I684" s="2" t="s">
        <v>33</v>
      </c>
      <c r="J684" s="2" t="s">
        <v>91</v>
      </c>
      <c r="K684" s="2" t="s">
        <v>20</v>
      </c>
      <c r="L684" s="2" t="s">
        <v>21</v>
      </c>
      <c r="M684" s="2" t="s">
        <v>22</v>
      </c>
      <c r="N684" s="2" t="s">
        <v>24</v>
      </c>
      <c r="O684" s="2" t="s">
        <v>561</v>
      </c>
      <c r="P684" s="2" t="s">
        <v>3223</v>
      </c>
      <c r="Q684" s="2" t="s">
        <v>4926</v>
      </c>
      <c r="R684" s="2" t="s">
        <v>1466</v>
      </c>
      <c r="S684" s="2" t="s">
        <v>93</v>
      </c>
      <c r="T684" s="2" t="s">
        <v>4696</v>
      </c>
      <c r="U684" s="2" t="s">
        <v>39</v>
      </c>
      <c r="V684" s="2" t="s">
        <v>4802</v>
      </c>
      <c r="W684" s="2" t="s">
        <v>4982</v>
      </c>
      <c r="X684" s="2" t="s">
        <v>4925</v>
      </c>
      <c r="Y684" s="2" t="s">
        <v>3222</v>
      </c>
      <c r="Z684" s="2" t="s">
        <v>5388</v>
      </c>
      <c r="AA6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6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684" s="6" t="str">
        <f>IF(_xlfn.IFNA(INDEX(configuracoes!$A$2:$A$10,MATCH(base_tc_geral[[#This Row],[TIPO]],configuracoes!$A$2:$A$10,0)),"NÃO")="NÃO","NÃO","SIM")</f>
        <v>SIM</v>
      </c>
    </row>
    <row r="685" spans="1:31" x14ac:dyDescent="0.25">
      <c r="A685" s="2" t="s">
        <v>1725</v>
      </c>
      <c r="B685" s="2">
        <v>109505049</v>
      </c>
      <c r="C685" s="2" t="s">
        <v>15</v>
      </c>
      <c r="D685" s="2" t="s">
        <v>4625</v>
      </c>
      <c r="E685" s="2" t="s">
        <v>86</v>
      </c>
      <c r="F685" s="2" t="s">
        <v>540</v>
      </c>
      <c r="G685" s="2" t="s">
        <v>99</v>
      </c>
      <c r="H685" s="2" t="s">
        <v>283</v>
      </c>
      <c r="I685" s="2" t="s">
        <v>33</v>
      </c>
      <c r="J685" s="2" t="s">
        <v>124</v>
      </c>
      <c r="K685" s="2" t="s">
        <v>13</v>
      </c>
      <c r="L685" s="2" t="s">
        <v>25</v>
      </c>
      <c r="M685" s="2" t="s">
        <v>75</v>
      </c>
      <c r="N685" s="2" t="s">
        <v>15</v>
      </c>
      <c r="O685" s="2" t="s">
        <v>287</v>
      </c>
      <c r="P685" s="2" t="s">
        <v>1727</v>
      </c>
      <c r="Q685" s="2" t="s">
        <v>4926</v>
      </c>
      <c r="R685" s="2" t="s">
        <v>541</v>
      </c>
      <c r="S685" s="2" t="s">
        <v>125</v>
      </c>
      <c r="T685" s="2" t="s">
        <v>4696</v>
      </c>
      <c r="U685" s="2" t="s">
        <v>12</v>
      </c>
      <c r="V685" s="2" t="s">
        <v>4765</v>
      </c>
      <c r="W685" s="2" t="s">
        <v>4931</v>
      </c>
      <c r="X685" s="2" t="s">
        <v>75</v>
      </c>
      <c r="Y685" s="2" t="s">
        <v>1726</v>
      </c>
      <c r="Z685" s="2" t="s">
        <v>5389</v>
      </c>
      <c r="AA6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6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5" s="6" t="str">
        <f>IF(_xlfn.IFNA(INDEX(configuracoes!$A$2:$A$10,MATCH(base_tc_geral[[#This Row],[TIPO]],configuracoes!$A$2:$A$10,0)),"NÃO")="NÃO","NÃO","SIM")</f>
        <v>SIM</v>
      </c>
    </row>
    <row r="686" spans="1:31" x14ac:dyDescent="0.25">
      <c r="A686" s="2" t="s">
        <v>3018</v>
      </c>
      <c r="B686" s="2">
        <v>109000499</v>
      </c>
      <c r="C686" s="2" t="s">
        <v>15</v>
      </c>
      <c r="D686" s="2" t="s">
        <v>4481</v>
      </c>
      <c r="E686" s="2" t="s">
        <v>86</v>
      </c>
      <c r="F686" s="2" t="s">
        <v>123</v>
      </c>
      <c r="G686" s="2" t="s">
        <v>136</v>
      </c>
      <c r="H686" s="2" t="s">
        <v>122</v>
      </c>
      <c r="I686" s="2" t="s">
        <v>33</v>
      </c>
      <c r="J686" s="2" t="s">
        <v>124</v>
      </c>
      <c r="K686" s="2" t="s">
        <v>13</v>
      </c>
      <c r="L686" s="2" t="s">
        <v>72</v>
      </c>
      <c r="M686" s="2" t="s">
        <v>73</v>
      </c>
      <c r="N686" s="2" t="s">
        <v>15</v>
      </c>
      <c r="O686" s="2" t="s">
        <v>129</v>
      </c>
      <c r="P686" s="2" t="s">
        <v>3020</v>
      </c>
      <c r="Q686" s="2" t="s">
        <v>4926</v>
      </c>
      <c r="R686" s="2" t="s">
        <v>321</v>
      </c>
      <c r="S686" s="2" t="s">
        <v>93</v>
      </c>
      <c r="T686" s="2" t="s">
        <v>4696</v>
      </c>
      <c r="U686" s="2" t="s">
        <v>12</v>
      </c>
      <c r="V686" s="2" t="s">
        <v>4783</v>
      </c>
      <c r="W686" s="2" t="s">
        <v>72</v>
      </c>
      <c r="X686" s="2" t="s">
        <v>5011</v>
      </c>
      <c r="Y686" s="2" t="s">
        <v>3019</v>
      </c>
      <c r="Z686" s="2" t="s">
        <v>5390</v>
      </c>
      <c r="AA6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6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6" s="6" t="str">
        <f>IF(_xlfn.IFNA(INDEX(configuracoes!$A$2:$A$10,MATCH(base_tc_geral[[#This Row],[TIPO]],configuracoes!$A$2:$A$10,0)),"NÃO")="NÃO","NÃO","SIM")</f>
        <v>NÃO</v>
      </c>
    </row>
    <row r="687" spans="1:31" x14ac:dyDescent="0.25">
      <c r="A687" s="2" t="s">
        <v>272</v>
      </c>
      <c r="B687" s="2">
        <v>109000017</v>
      </c>
      <c r="C687" s="2" t="s">
        <v>15</v>
      </c>
      <c r="D687" s="2" t="s">
        <v>4534</v>
      </c>
      <c r="E687" s="2" t="s">
        <v>86</v>
      </c>
      <c r="F687" s="2" t="s">
        <v>177</v>
      </c>
      <c r="G687" s="2" t="s">
        <v>58</v>
      </c>
      <c r="H687" s="2" t="s">
        <v>164</v>
      </c>
      <c r="I687" s="2" t="s">
        <v>33</v>
      </c>
      <c r="J687" s="2" t="s">
        <v>124</v>
      </c>
      <c r="K687" s="2" t="s">
        <v>13</v>
      </c>
      <c r="L687" s="2" t="s">
        <v>61</v>
      </c>
      <c r="M687" s="2" t="s">
        <v>44</v>
      </c>
      <c r="N687" s="2" t="s">
        <v>15</v>
      </c>
      <c r="O687" s="2" t="s">
        <v>169</v>
      </c>
      <c r="P687" s="2" t="s">
        <v>275</v>
      </c>
      <c r="Q687" s="2" t="s">
        <v>4926</v>
      </c>
      <c r="R687" s="2" t="s">
        <v>212</v>
      </c>
      <c r="S687" s="2" t="s">
        <v>93</v>
      </c>
      <c r="T687" s="2" t="s">
        <v>4696</v>
      </c>
      <c r="U687" s="2" t="s">
        <v>12</v>
      </c>
      <c r="V687" s="2" t="s">
        <v>4820</v>
      </c>
      <c r="W687" s="2" t="s">
        <v>5013</v>
      </c>
      <c r="X687" s="2" t="s">
        <v>44</v>
      </c>
      <c r="Y687" s="2" t="s">
        <v>273</v>
      </c>
      <c r="Z687" s="2" t="s">
        <v>5575</v>
      </c>
      <c r="AA6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6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7" s="6" t="str">
        <f>IF(_xlfn.IFNA(INDEX(configuracoes!$A$2:$A$10,MATCH(base_tc_geral[[#This Row],[TIPO]],configuracoes!$A$2:$A$10,0)),"NÃO")="NÃO","NÃO","SIM")</f>
        <v>NÃO</v>
      </c>
    </row>
    <row r="688" spans="1:31" x14ac:dyDescent="0.25">
      <c r="A688" s="2" t="s">
        <v>1462</v>
      </c>
      <c r="B688" s="2">
        <v>109504193</v>
      </c>
      <c r="C688" s="2" t="s">
        <v>15</v>
      </c>
      <c r="D688" s="2" t="s">
        <v>4541</v>
      </c>
      <c r="E688" s="2" t="s">
        <v>86</v>
      </c>
      <c r="F688" s="2" t="s">
        <v>284</v>
      </c>
      <c r="G688" s="2" t="s">
        <v>58</v>
      </c>
      <c r="H688" s="2" t="s">
        <v>283</v>
      </c>
      <c r="I688" s="2" t="s">
        <v>33</v>
      </c>
      <c r="J688" s="2" t="s">
        <v>124</v>
      </c>
      <c r="K688" s="2" t="s">
        <v>13</v>
      </c>
      <c r="L688" s="2" t="s">
        <v>61</v>
      </c>
      <c r="M688" s="2" t="s">
        <v>18</v>
      </c>
      <c r="N688" s="2" t="s">
        <v>15</v>
      </c>
      <c r="O688" s="2" t="s">
        <v>287</v>
      </c>
      <c r="P688" s="2" t="s">
        <v>1464</v>
      </c>
      <c r="Q688" s="2" t="s">
        <v>4926</v>
      </c>
      <c r="R688" s="2" t="s">
        <v>639</v>
      </c>
      <c r="S688" s="2" t="s">
        <v>4699</v>
      </c>
      <c r="T688" s="2" t="s">
        <v>4696</v>
      </c>
      <c r="U688" s="2" t="s">
        <v>12</v>
      </c>
      <c r="V688" s="2" t="s">
        <v>4800</v>
      </c>
      <c r="W688" s="2" t="s">
        <v>5037</v>
      </c>
      <c r="X688" s="2" t="s">
        <v>4998</v>
      </c>
      <c r="Y688" s="2" t="s">
        <v>1463</v>
      </c>
      <c r="Z688" s="2" t="s">
        <v>6182</v>
      </c>
      <c r="AA6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6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8" s="6" t="str">
        <f>IF(_xlfn.IFNA(INDEX(configuracoes!$A$2:$A$10,MATCH(base_tc_geral[[#This Row],[TIPO]],configuracoes!$A$2:$A$10,0)),"NÃO")="NÃO","NÃO","SIM")</f>
        <v>NÃO</v>
      </c>
    </row>
    <row r="689" spans="1:31" x14ac:dyDescent="0.25">
      <c r="A689" s="2" t="s">
        <v>2592</v>
      </c>
      <c r="B689" s="2">
        <v>109505858</v>
      </c>
      <c r="C689" s="2" t="s">
        <v>15</v>
      </c>
      <c r="D689" s="2" t="s">
        <v>4608</v>
      </c>
      <c r="E689" s="2" t="s">
        <v>86</v>
      </c>
      <c r="F689" s="2" t="s">
        <v>218</v>
      </c>
      <c r="G689" s="2" t="s">
        <v>245</v>
      </c>
      <c r="H689" s="2" t="s">
        <v>217</v>
      </c>
      <c r="I689" s="2" t="s">
        <v>33</v>
      </c>
      <c r="J689" s="2" t="s">
        <v>91</v>
      </c>
      <c r="K689" s="2" t="s">
        <v>20</v>
      </c>
      <c r="L689" s="2" t="s">
        <v>21</v>
      </c>
      <c r="M689" s="2" t="s">
        <v>22</v>
      </c>
      <c r="N689" s="2" t="s">
        <v>15</v>
      </c>
      <c r="O689" s="2" t="s">
        <v>221</v>
      </c>
      <c r="P689" s="2" t="s">
        <v>2594</v>
      </c>
      <c r="Q689" s="2" t="s">
        <v>4926</v>
      </c>
      <c r="R689" s="2" t="s">
        <v>1466</v>
      </c>
      <c r="S689" s="2" t="s">
        <v>93</v>
      </c>
      <c r="T689" s="2" t="s">
        <v>4696</v>
      </c>
      <c r="U689" s="2" t="s">
        <v>12</v>
      </c>
      <c r="V689" s="2" t="s">
        <v>4802</v>
      </c>
      <c r="W689" s="2" t="s">
        <v>4982</v>
      </c>
      <c r="X689" s="2" t="s">
        <v>4925</v>
      </c>
      <c r="Y689" s="2" t="s">
        <v>2593</v>
      </c>
      <c r="Z689" s="2" t="s">
        <v>6183</v>
      </c>
      <c r="AA6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6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89" s="6" t="str">
        <f>IF(_xlfn.IFNA(INDEX(configuracoes!$A$2:$A$10,MATCH(base_tc_geral[[#This Row],[TIPO]],configuracoes!$A$2:$A$10,0)),"NÃO")="NÃO","NÃO","SIM")</f>
        <v>SIM</v>
      </c>
    </row>
    <row r="690" spans="1:31" x14ac:dyDescent="0.25">
      <c r="A690" s="2" t="s">
        <v>3992</v>
      </c>
      <c r="B690" s="2">
        <v>109000340</v>
      </c>
      <c r="C690" s="2" t="s">
        <v>15</v>
      </c>
      <c r="D690" s="2" t="s">
        <v>4642</v>
      </c>
      <c r="E690" s="2" t="s">
        <v>86</v>
      </c>
      <c r="F690" s="2" t="s">
        <v>1320</v>
      </c>
      <c r="G690" s="2" t="s">
        <v>89</v>
      </c>
      <c r="H690" s="2" t="s">
        <v>1321</v>
      </c>
      <c r="I690" s="2" t="s">
        <v>33</v>
      </c>
      <c r="J690" s="2" t="s">
        <v>91</v>
      </c>
      <c r="K690" s="2" t="s">
        <v>92</v>
      </c>
      <c r="L690" s="2" t="s">
        <v>37</v>
      </c>
      <c r="M690" s="2" t="s">
        <v>44</v>
      </c>
      <c r="N690" s="2" t="s">
        <v>15</v>
      </c>
      <c r="O690" s="2" t="s">
        <v>1322</v>
      </c>
      <c r="P690" s="2" t="s">
        <v>3994</v>
      </c>
      <c r="Q690" s="2" t="s">
        <v>4926</v>
      </c>
      <c r="R690" s="2" t="s">
        <v>90</v>
      </c>
      <c r="S690" s="2" t="s">
        <v>93</v>
      </c>
      <c r="T690" s="2" t="s">
        <v>4696</v>
      </c>
      <c r="U690" s="2" t="s">
        <v>12</v>
      </c>
      <c r="V690" s="2" t="s">
        <v>4796</v>
      </c>
      <c r="W690" s="2" t="s">
        <v>4999</v>
      </c>
      <c r="X690" s="2" t="s">
        <v>44</v>
      </c>
      <c r="Y690" s="2" t="s">
        <v>3993</v>
      </c>
      <c r="Z690" s="2" t="s">
        <v>6184</v>
      </c>
      <c r="AA6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6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0" s="6" t="str">
        <f>IF(_xlfn.IFNA(INDEX(configuracoes!$A$2:$A$10,MATCH(base_tc_geral[[#This Row],[TIPO]],configuracoes!$A$2:$A$10,0)),"NÃO")="NÃO","NÃO","SIM")</f>
        <v>NÃO</v>
      </c>
    </row>
    <row r="691" spans="1:31" x14ac:dyDescent="0.25">
      <c r="A691" s="2" t="s">
        <v>175</v>
      </c>
      <c r="B691" s="2">
        <v>109506172</v>
      </c>
      <c r="C691" s="2" t="s">
        <v>15</v>
      </c>
      <c r="D691" s="2" t="s">
        <v>4548</v>
      </c>
      <c r="E691" s="2" t="s">
        <v>86</v>
      </c>
      <c r="F691" s="2" t="s">
        <v>177</v>
      </c>
      <c r="G691" s="2" t="s">
        <v>245</v>
      </c>
      <c r="H691" s="2" t="s">
        <v>164</v>
      </c>
      <c r="I691" s="2" t="s">
        <v>33</v>
      </c>
      <c r="J691" s="2" t="s">
        <v>124</v>
      </c>
      <c r="K691" s="2" t="s">
        <v>20</v>
      </c>
      <c r="L691" s="2" t="s">
        <v>21</v>
      </c>
      <c r="M691" s="2" t="s">
        <v>22</v>
      </c>
      <c r="N691" s="2" t="s">
        <v>15</v>
      </c>
      <c r="O691" s="2" t="s">
        <v>169</v>
      </c>
      <c r="P691" s="2" t="s">
        <v>178</v>
      </c>
      <c r="Q691" s="2" t="s">
        <v>4926</v>
      </c>
      <c r="R691" s="2" t="s">
        <v>3588</v>
      </c>
      <c r="S691" s="2" t="s">
        <v>93</v>
      </c>
      <c r="T691" s="2" t="s">
        <v>4696</v>
      </c>
      <c r="U691" s="2" t="s">
        <v>12</v>
      </c>
      <c r="V691" s="2" t="s">
        <v>4798</v>
      </c>
      <c r="W691" s="2" t="s">
        <v>4982</v>
      </c>
      <c r="X691" s="2" t="s">
        <v>4925</v>
      </c>
      <c r="Y691" s="2" t="s">
        <v>176</v>
      </c>
      <c r="Z691" s="2" t="s">
        <v>6185</v>
      </c>
      <c r="AA6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6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1" s="6" t="str">
        <f>IF(_xlfn.IFNA(INDEX(configuracoes!$A$2:$A$10,MATCH(base_tc_geral[[#This Row],[TIPO]],configuracoes!$A$2:$A$10,0)),"NÃO")="NÃO","NÃO","SIM")</f>
        <v>SIM</v>
      </c>
    </row>
    <row r="692" spans="1:31" x14ac:dyDescent="0.25">
      <c r="A692" s="2" t="s">
        <v>203</v>
      </c>
      <c r="B692" s="2">
        <v>109000943</v>
      </c>
      <c r="C692" s="2" t="s">
        <v>15</v>
      </c>
      <c r="D692" s="2" t="s">
        <v>4492</v>
      </c>
      <c r="E692" s="2" t="s">
        <v>86</v>
      </c>
      <c r="F692" s="2" t="s">
        <v>205</v>
      </c>
      <c r="G692" s="2" t="s">
        <v>245</v>
      </c>
      <c r="H692" s="2" t="s">
        <v>122</v>
      </c>
      <c r="I692" s="2" t="s">
        <v>33</v>
      </c>
      <c r="J692" s="2" t="s">
        <v>124</v>
      </c>
      <c r="K692" s="2" t="s">
        <v>20</v>
      </c>
      <c r="L692" s="2" t="s">
        <v>21</v>
      </c>
      <c r="M692" s="2" t="s">
        <v>22</v>
      </c>
      <c r="N692" s="2" t="s">
        <v>15</v>
      </c>
      <c r="O692" s="2" t="s">
        <v>129</v>
      </c>
      <c r="P692" s="2" t="s">
        <v>207</v>
      </c>
      <c r="Q692" s="2" t="s">
        <v>4926</v>
      </c>
      <c r="R692" s="2" t="s">
        <v>206</v>
      </c>
      <c r="S692" s="2" t="s">
        <v>125</v>
      </c>
      <c r="T692" s="2" t="s">
        <v>4696</v>
      </c>
      <c r="U692" s="2" t="s">
        <v>12</v>
      </c>
      <c r="V692" s="2" t="s">
        <v>4770</v>
      </c>
      <c r="W692" s="2" t="s">
        <v>4982</v>
      </c>
      <c r="X692" s="2" t="s">
        <v>4925</v>
      </c>
      <c r="Y692" s="2" t="s">
        <v>204</v>
      </c>
      <c r="Z692" s="2" t="s">
        <v>6186</v>
      </c>
      <c r="AA6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6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2" s="6" t="str">
        <f>IF(_xlfn.IFNA(INDEX(configuracoes!$A$2:$A$10,MATCH(base_tc_geral[[#This Row],[TIPO]],configuracoes!$A$2:$A$10,0)),"NÃO")="NÃO","NÃO","SIM")</f>
        <v>SIM</v>
      </c>
    </row>
    <row r="693" spans="1:31" x14ac:dyDescent="0.25">
      <c r="A693" s="2" t="s">
        <v>2607</v>
      </c>
      <c r="B693" s="2">
        <v>102101393</v>
      </c>
      <c r="C693" s="2" t="s">
        <v>15</v>
      </c>
      <c r="D693" s="2" t="s">
        <v>4548</v>
      </c>
      <c r="E693" s="2" t="s">
        <v>106</v>
      </c>
      <c r="F693" s="2" t="s">
        <v>108</v>
      </c>
      <c r="G693" s="2" t="s">
        <v>364</v>
      </c>
      <c r="H693" s="2" t="s">
        <v>107</v>
      </c>
      <c r="I693" s="2" t="s">
        <v>33</v>
      </c>
      <c r="J693" s="2" t="s">
        <v>109</v>
      </c>
      <c r="K693" s="2" t="s">
        <v>92</v>
      </c>
      <c r="L693" s="2" t="s">
        <v>37</v>
      </c>
      <c r="M693" s="2" t="s">
        <v>44</v>
      </c>
      <c r="N693" s="2" t="s">
        <v>15</v>
      </c>
      <c r="O693" s="2" t="s">
        <v>112</v>
      </c>
      <c r="P693" s="2" t="s">
        <v>2609</v>
      </c>
      <c r="Q693" s="2" t="s">
        <v>4926</v>
      </c>
      <c r="R693" s="2" t="s">
        <v>735</v>
      </c>
      <c r="S693" s="2" t="s">
        <v>736</v>
      </c>
      <c r="T693" s="2" t="s">
        <v>167</v>
      </c>
      <c r="U693" s="2" t="s">
        <v>12</v>
      </c>
      <c r="V693" s="2" t="s">
        <v>4886</v>
      </c>
      <c r="W693" s="2" t="s">
        <v>4999</v>
      </c>
      <c r="X693" s="2" t="s">
        <v>44</v>
      </c>
      <c r="Y693" s="2" t="s">
        <v>2608</v>
      </c>
      <c r="Z693" s="2" t="s">
        <v>6187</v>
      </c>
      <c r="AA6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6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3" s="6" t="str">
        <f>IF(_xlfn.IFNA(INDEX(configuracoes!$A$2:$A$10,MATCH(base_tc_geral[[#This Row],[TIPO]],configuracoes!$A$2:$A$10,0)),"NÃO")="NÃO","NÃO","SIM")</f>
        <v>NÃO</v>
      </c>
    </row>
    <row r="694" spans="1:31" x14ac:dyDescent="0.25">
      <c r="A694" s="2" t="s">
        <v>1300</v>
      </c>
      <c r="B694" s="2">
        <v>109000427</v>
      </c>
      <c r="C694" s="2" t="s">
        <v>15</v>
      </c>
      <c r="D694" s="2" t="s">
        <v>4506</v>
      </c>
      <c r="E694" s="2" t="s">
        <v>86</v>
      </c>
      <c r="F694" s="2" t="s">
        <v>88</v>
      </c>
      <c r="G694" s="2" t="s">
        <v>58</v>
      </c>
      <c r="H694" s="2" t="s">
        <v>87</v>
      </c>
      <c r="I694" s="2" t="s">
        <v>33</v>
      </c>
      <c r="J694" s="2" t="s">
        <v>91</v>
      </c>
      <c r="K694" s="2" t="s">
        <v>13</v>
      </c>
      <c r="L694" s="2" t="s">
        <v>61</v>
      </c>
      <c r="M694" s="2" t="s">
        <v>44</v>
      </c>
      <c r="N694" s="2" t="s">
        <v>15</v>
      </c>
      <c r="O694" s="2" t="s">
        <v>95</v>
      </c>
      <c r="P694" s="2" t="s">
        <v>1302</v>
      </c>
      <c r="Q694" s="2" t="s">
        <v>4926</v>
      </c>
      <c r="R694" s="2" t="s">
        <v>259</v>
      </c>
      <c r="S694" s="2" t="s">
        <v>4699</v>
      </c>
      <c r="T694" s="2" t="s">
        <v>4696</v>
      </c>
      <c r="U694" s="2" t="s">
        <v>12</v>
      </c>
      <c r="V694" s="2" t="s">
        <v>4796</v>
      </c>
      <c r="W694" s="2" t="s">
        <v>4984</v>
      </c>
      <c r="X694" s="2" t="s">
        <v>44</v>
      </c>
      <c r="Y694" s="2" t="s">
        <v>1301</v>
      </c>
      <c r="Z694" s="2" t="s">
        <v>6188</v>
      </c>
      <c r="AA6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6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4" s="6" t="str">
        <f>IF(_xlfn.IFNA(INDEX(configuracoes!$A$2:$A$10,MATCH(base_tc_geral[[#This Row],[TIPO]],configuracoes!$A$2:$A$10,0)),"NÃO")="NÃO","NÃO","SIM")</f>
        <v>NÃO</v>
      </c>
    </row>
    <row r="695" spans="1:31" x14ac:dyDescent="0.25">
      <c r="A695" s="2" t="s">
        <v>2081</v>
      </c>
      <c r="B695" s="2">
        <v>102101642</v>
      </c>
      <c r="C695" s="2" t="s">
        <v>15</v>
      </c>
      <c r="D695" s="2" t="s">
        <v>4567</v>
      </c>
      <c r="E695" s="2" t="s">
        <v>106</v>
      </c>
      <c r="F695" s="2" t="s">
        <v>329</v>
      </c>
      <c r="G695" s="2" t="s">
        <v>245</v>
      </c>
      <c r="H695" s="2" t="s">
        <v>107</v>
      </c>
      <c r="I695" s="2" t="s">
        <v>33</v>
      </c>
      <c r="J695" s="2" t="s">
        <v>109</v>
      </c>
      <c r="K695" s="2" t="s">
        <v>20</v>
      </c>
      <c r="L695" s="2" t="s">
        <v>21</v>
      </c>
      <c r="M695" s="2" t="s">
        <v>22</v>
      </c>
      <c r="N695" s="2" t="s">
        <v>15</v>
      </c>
      <c r="O695" s="2" t="s">
        <v>112</v>
      </c>
      <c r="P695" s="2" t="s">
        <v>2083</v>
      </c>
      <c r="Q695" s="2" t="s">
        <v>4926</v>
      </c>
      <c r="R695" s="2" t="s">
        <v>187</v>
      </c>
      <c r="S695" s="2" t="s">
        <v>736</v>
      </c>
      <c r="T695" s="2" t="s">
        <v>167</v>
      </c>
      <c r="U695" s="2" t="s">
        <v>12</v>
      </c>
      <c r="V695" s="2" t="s">
        <v>4772</v>
      </c>
      <c r="W695" s="2" t="s">
        <v>4982</v>
      </c>
      <c r="X695" s="2" t="s">
        <v>4925</v>
      </c>
      <c r="Y695" s="2" t="s">
        <v>2082</v>
      </c>
      <c r="Z695" s="2" t="s">
        <v>6189</v>
      </c>
      <c r="AA6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6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6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6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5" s="6" t="str">
        <f>IF(_xlfn.IFNA(INDEX(configuracoes!$A$2:$A$10,MATCH(base_tc_geral[[#This Row],[TIPO]],configuracoes!$A$2:$A$10,0)),"NÃO")="NÃO","NÃO","SIM")</f>
        <v>SIM</v>
      </c>
    </row>
    <row r="696" spans="1:31" x14ac:dyDescent="0.25">
      <c r="A696" s="2" t="s">
        <v>1906</v>
      </c>
      <c r="B696" s="2">
        <v>109501286</v>
      </c>
      <c r="C696" s="2" t="s">
        <v>15</v>
      </c>
      <c r="D696" s="2" t="s">
        <v>4781</v>
      </c>
      <c r="E696" s="2" t="s">
        <v>86</v>
      </c>
      <c r="F696" s="2" t="s">
        <v>497</v>
      </c>
      <c r="G696" s="2" t="s">
        <v>870</v>
      </c>
      <c r="H696" s="2" t="s">
        <v>164</v>
      </c>
      <c r="I696" s="2" t="s">
        <v>33</v>
      </c>
      <c r="J696" s="2" t="s">
        <v>124</v>
      </c>
      <c r="K696" s="2" t="s">
        <v>13</v>
      </c>
      <c r="L696" s="2" t="s">
        <v>76</v>
      </c>
      <c r="M696" s="2" t="s">
        <v>18</v>
      </c>
      <c r="N696" s="2" t="s">
        <v>15</v>
      </c>
      <c r="O696" s="2" t="s">
        <v>169</v>
      </c>
      <c r="P696" s="2" t="s">
        <v>1908</v>
      </c>
      <c r="Q696" s="2" t="s">
        <v>4926</v>
      </c>
      <c r="R696" s="2" t="s">
        <v>498</v>
      </c>
      <c r="S696" s="2" t="s">
        <v>93</v>
      </c>
      <c r="T696" s="2" t="s">
        <v>4696</v>
      </c>
      <c r="U696" s="2" t="s">
        <v>12</v>
      </c>
      <c r="V696" s="2" t="s">
        <v>4766</v>
      </c>
      <c r="W696" s="2" t="s">
        <v>4982</v>
      </c>
      <c r="X696" s="2" t="s">
        <v>4998</v>
      </c>
      <c r="Y696" s="2" t="s">
        <v>1907</v>
      </c>
      <c r="Z696" s="2" t="s">
        <v>6190</v>
      </c>
      <c r="AA6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6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6" s="6" t="str">
        <f>IF(_xlfn.IFNA(INDEX(configuracoes!$A$2:$A$10,MATCH(base_tc_geral[[#This Row],[TIPO]],configuracoes!$A$2:$A$10,0)),"NÃO")="NÃO","NÃO","SIM")</f>
        <v>SIM</v>
      </c>
    </row>
    <row r="697" spans="1:31" x14ac:dyDescent="0.25">
      <c r="A697" s="2" t="s">
        <v>819</v>
      </c>
      <c r="B697" s="2">
        <v>109000427</v>
      </c>
      <c r="C697" s="2" t="s">
        <v>15</v>
      </c>
      <c r="D697" s="2" t="s">
        <v>4506</v>
      </c>
      <c r="E697" s="2" t="s">
        <v>86</v>
      </c>
      <c r="F697" s="2" t="s">
        <v>88</v>
      </c>
      <c r="G697" s="2" t="s">
        <v>58</v>
      </c>
      <c r="H697" s="2" t="s">
        <v>87</v>
      </c>
      <c r="I697" s="2" t="s">
        <v>33</v>
      </c>
      <c r="J697" s="2" t="s">
        <v>91</v>
      </c>
      <c r="K697" s="2" t="s">
        <v>13</v>
      </c>
      <c r="L697" s="2" t="s">
        <v>61</v>
      </c>
      <c r="M697" s="2" t="s">
        <v>44</v>
      </c>
      <c r="N697" s="2" t="s">
        <v>15</v>
      </c>
      <c r="O697" s="2" t="s">
        <v>95</v>
      </c>
      <c r="P697" s="2" t="s">
        <v>821</v>
      </c>
      <c r="Q697" s="2" t="s">
        <v>4926</v>
      </c>
      <c r="R697" s="2" t="s">
        <v>259</v>
      </c>
      <c r="S697" s="2" t="s">
        <v>4699</v>
      </c>
      <c r="T697" s="2" t="s">
        <v>4696</v>
      </c>
      <c r="U697" s="2" t="s">
        <v>12</v>
      </c>
      <c r="V697" s="2" t="s">
        <v>4796</v>
      </c>
      <c r="W697" s="2" t="s">
        <v>4984</v>
      </c>
      <c r="X697" s="2" t="s">
        <v>44</v>
      </c>
      <c r="Y697" s="2" t="s">
        <v>820</v>
      </c>
      <c r="Z697" s="2" t="s">
        <v>6191</v>
      </c>
      <c r="AA6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6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6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7" s="6" t="str">
        <f>IF(_xlfn.IFNA(INDEX(configuracoes!$A$2:$A$10,MATCH(base_tc_geral[[#This Row],[TIPO]],configuracoes!$A$2:$A$10,0)),"NÃO")="NÃO","NÃO","SIM")</f>
        <v>NÃO</v>
      </c>
    </row>
    <row r="698" spans="1:31" x14ac:dyDescent="0.25">
      <c r="A698" s="2" t="s">
        <v>3090</v>
      </c>
      <c r="B698" s="2">
        <v>109505049</v>
      </c>
      <c r="C698" s="2" t="s">
        <v>15</v>
      </c>
      <c r="D698" s="2" t="s">
        <v>4484</v>
      </c>
      <c r="E698" s="2" t="s">
        <v>86</v>
      </c>
      <c r="F698" s="2" t="s">
        <v>594</v>
      </c>
      <c r="G698" s="2" t="s">
        <v>99</v>
      </c>
      <c r="H698" s="2" t="s">
        <v>122</v>
      </c>
      <c r="I698" s="2" t="s">
        <v>33</v>
      </c>
      <c r="J698" s="2" t="s">
        <v>124</v>
      </c>
      <c r="K698" s="2" t="s">
        <v>20</v>
      </c>
      <c r="L698" s="2" t="s">
        <v>25</v>
      </c>
      <c r="M698" s="2" t="s">
        <v>22</v>
      </c>
      <c r="N698" s="2" t="s">
        <v>15</v>
      </c>
      <c r="O698" s="2" t="s">
        <v>129</v>
      </c>
      <c r="P698" s="2" t="s">
        <v>3092</v>
      </c>
      <c r="Q698" s="2" t="s">
        <v>4926</v>
      </c>
      <c r="R698" s="2" t="s">
        <v>541</v>
      </c>
      <c r="S698" s="2" t="s">
        <v>125</v>
      </c>
      <c r="T698" s="2" t="s">
        <v>4696</v>
      </c>
      <c r="U698" s="2" t="s">
        <v>12</v>
      </c>
      <c r="V698" s="2" t="s">
        <v>4766</v>
      </c>
      <c r="W698" s="2" t="s">
        <v>4931</v>
      </c>
      <c r="X698" s="2" t="s">
        <v>4925</v>
      </c>
      <c r="Y698" s="2" t="s">
        <v>3091</v>
      </c>
      <c r="Z698" s="2" t="s">
        <v>6192</v>
      </c>
      <c r="AA6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6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6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8" s="6" t="str">
        <f>IF(_xlfn.IFNA(INDEX(configuracoes!$A$2:$A$10,MATCH(base_tc_geral[[#This Row],[TIPO]],configuracoes!$A$2:$A$10,0)),"NÃO")="NÃO","NÃO","SIM")</f>
        <v>SIM</v>
      </c>
    </row>
    <row r="699" spans="1:31" x14ac:dyDescent="0.25">
      <c r="A699" s="2" t="s">
        <v>3168</v>
      </c>
      <c r="B699" s="2">
        <v>109505858</v>
      </c>
      <c r="C699" s="2" t="s">
        <v>15</v>
      </c>
      <c r="D699" s="2" t="s">
        <v>4568</v>
      </c>
      <c r="E699" s="2" t="s">
        <v>86</v>
      </c>
      <c r="F699" s="2" t="s">
        <v>559</v>
      </c>
      <c r="G699" s="2" t="s">
        <v>149</v>
      </c>
      <c r="H699" s="2" t="s">
        <v>558</v>
      </c>
      <c r="I699" s="2" t="s">
        <v>33</v>
      </c>
      <c r="J699" s="2" t="s">
        <v>91</v>
      </c>
      <c r="K699" s="2" t="s">
        <v>13</v>
      </c>
      <c r="L699" s="2" t="s">
        <v>61</v>
      </c>
      <c r="M699" s="2" t="s">
        <v>18</v>
      </c>
      <c r="N699" s="2" t="s">
        <v>15</v>
      </c>
      <c r="O699" s="2" t="s">
        <v>561</v>
      </c>
      <c r="P699" s="2" t="s">
        <v>3170</v>
      </c>
      <c r="Q699" s="2" t="s">
        <v>4926</v>
      </c>
      <c r="R699" s="2" t="s">
        <v>1466</v>
      </c>
      <c r="S699" s="2" t="s">
        <v>93</v>
      </c>
      <c r="T699" s="2" t="s">
        <v>4696</v>
      </c>
      <c r="U699" s="2" t="s">
        <v>12</v>
      </c>
      <c r="V699" s="2" t="s">
        <v>4802</v>
      </c>
      <c r="W699" s="2" t="s">
        <v>17</v>
      </c>
      <c r="X699" s="2" t="s">
        <v>4998</v>
      </c>
      <c r="Y699" s="2" t="s">
        <v>3169</v>
      </c>
      <c r="Z699" s="2" t="s">
        <v>6193</v>
      </c>
      <c r="AA6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6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6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6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699" s="6" t="str">
        <f>IF(_xlfn.IFNA(INDEX(configuracoes!$A$2:$A$10,MATCH(base_tc_geral[[#This Row],[TIPO]],configuracoes!$A$2:$A$10,0)),"NÃO")="NÃO","NÃO","SIM")</f>
        <v>NÃO</v>
      </c>
    </row>
    <row r="700" spans="1:31" x14ac:dyDescent="0.25">
      <c r="A700" s="2" t="s">
        <v>371</v>
      </c>
      <c r="B700" s="2">
        <v>109000943</v>
      </c>
      <c r="C700" s="2" t="s">
        <v>15</v>
      </c>
      <c r="D700" s="2" t="s">
        <v>4481</v>
      </c>
      <c r="E700" s="2" t="s">
        <v>86</v>
      </c>
      <c r="F700" s="2" t="s">
        <v>298</v>
      </c>
      <c r="G700" s="2" t="s">
        <v>58</v>
      </c>
      <c r="H700" s="2" t="s">
        <v>210</v>
      </c>
      <c r="I700" s="2" t="s">
        <v>33</v>
      </c>
      <c r="J700" s="2" t="s">
        <v>124</v>
      </c>
      <c r="K700" s="2" t="s">
        <v>13</v>
      </c>
      <c r="L700" s="2" t="s">
        <v>61</v>
      </c>
      <c r="M700" s="2" t="s">
        <v>18</v>
      </c>
      <c r="N700" s="2" t="s">
        <v>15</v>
      </c>
      <c r="O700" s="2" t="s">
        <v>214</v>
      </c>
      <c r="P700" s="2" t="s">
        <v>373</v>
      </c>
      <c r="Q700" s="2" t="s">
        <v>4926</v>
      </c>
      <c r="R700" s="2" t="s">
        <v>206</v>
      </c>
      <c r="S700" s="2" t="s">
        <v>125</v>
      </c>
      <c r="T700" s="2" t="s">
        <v>4696</v>
      </c>
      <c r="U700" s="2" t="s">
        <v>39</v>
      </c>
      <c r="V700" s="2" t="s">
        <v>4820</v>
      </c>
      <c r="W700" s="2" t="s">
        <v>4982</v>
      </c>
      <c r="X700" s="2" t="s">
        <v>4998</v>
      </c>
      <c r="Y700" s="2" t="s">
        <v>372</v>
      </c>
      <c r="Z700" s="2" t="s">
        <v>6194</v>
      </c>
      <c r="AA7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7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0" s="6" t="str">
        <f>IF(_xlfn.IFNA(INDEX(configuracoes!$A$2:$A$10,MATCH(base_tc_geral[[#This Row],[TIPO]],configuracoes!$A$2:$A$10,0)),"NÃO")="NÃO","NÃO","SIM")</f>
        <v>NÃO</v>
      </c>
    </row>
    <row r="701" spans="1:31" x14ac:dyDescent="0.25">
      <c r="A701" s="2" t="s">
        <v>4357</v>
      </c>
      <c r="B701" s="2">
        <v>109500038</v>
      </c>
      <c r="C701" s="2" t="s">
        <v>15</v>
      </c>
      <c r="D701" s="2" t="s">
        <v>4690</v>
      </c>
      <c r="E701" s="2" t="s">
        <v>86</v>
      </c>
      <c r="F701" s="2" t="s">
        <v>199</v>
      </c>
      <c r="G701" s="2" t="s">
        <v>58</v>
      </c>
      <c r="H701" s="2" t="s">
        <v>198</v>
      </c>
      <c r="I701" s="2" t="s">
        <v>33</v>
      </c>
      <c r="J701" s="2" t="s">
        <v>91</v>
      </c>
      <c r="K701" s="2" t="s">
        <v>13</v>
      </c>
      <c r="L701" s="2" t="s">
        <v>61</v>
      </c>
      <c r="M701" s="2" t="s">
        <v>74</v>
      </c>
      <c r="N701" s="2" t="s">
        <v>15</v>
      </c>
      <c r="O701" s="2" t="s">
        <v>201</v>
      </c>
      <c r="P701" s="2" t="s">
        <v>4359</v>
      </c>
      <c r="Q701" s="2" t="s">
        <v>4926</v>
      </c>
      <c r="R701" s="2" t="s">
        <v>3212</v>
      </c>
      <c r="S701" s="2" t="s">
        <v>4699</v>
      </c>
      <c r="T701" s="2" t="s">
        <v>4696</v>
      </c>
      <c r="U701" s="2" t="s">
        <v>12</v>
      </c>
      <c r="V701" s="2" t="s">
        <v>4795</v>
      </c>
      <c r="W701" s="2" t="s">
        <v>4984</v>
      </c>
      <c r="X701" s="2" t="s">
        <v>74</v>
      </c>
      <c r="Y701" s="2" t="s">
        <v>4358</v>
      </c>
      <c r="Z701" s="2" t="s">
        <v>6195</v>
      </c>
      <c r="AA7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PATRICIO MARTINS </v>
      </c>
      <c r="AB7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1" s="6" t="str">
        <f>IF(_xlfn.IFNA(INDEX(configuracoes!$A$2:$A$10,MATCH(base_tc_geral[[#This Row],[TIPO]],configuracoes!$A$2:$A$10,0)),"NÃO")="NÃO","NÃO","SIM")</f>
        <v>NÃO</v>
      </c>
    </row>
    <row r="702" spans="1:31" x14ac:dyDescent="0.25">
      <c r="A702" s="2" t="s">
        <v>1152</v>
      </c>
      <c r="B702" s="2">
        <v>101006255</v>
      </c>
      <c r="C702" s="2" t="s">
        <v>15</v>
      </c>
      <c r="D702" s="2" t="s">
        <v>4489</v>
      </c>
      <c r="E702" s="2" t="s">
        <v>47</v>
      </c>
      <c r="F702" s="2" t="s">
        <v>1112</v>
      </c>
      <c r="G702" s="2" t="s">
        <v>89</v>
      </c>
      <c r="H702" s="2" t="s">
        <v>224</v>
      </c>
      <c r="I702" s="2" t="s">
        <v>16</v>
      </c>
      <c r="J702" s="2" t="s">
        <v>227</v>
      </c>
      <c r="K702" s="2" t="s">
        <v>13</v>
      </c>
      <c r="L702" s="2" t="s">
        <v>37</v>
      </c>
      <c r="M702" s="2" t="s">
        <v>74</v>
      </c>
      <c r="N702" s="2" t="s">
        <v>15</v>
      </c>
      <c r="O702" s="2" t="s">
        <v>229</v>
      </c>
      <c r="P702" s="2" t="s">
        <v>1154</v>
      </c>
      <c r="Q702" s="2" t="s">
        <v>4926</v>
      </c>
      <c r="R702" s="2" t="s">
        <v>369</v>
      </c>
      <c r="S702" s="2" t="s">
        <v>4698</v>
      </c>
      <c r="T702" s="2" t="s">
        <v>4697</v>
      </c>
      <c r="U702" s="2" t="s">
        <v>12</v>
      </c>
      <c r="V702" s="2" t="s">
        <v>4817</v>
      </c>
      <c r="W702" s="2" t="s">
        <v>4999</v>
      </c>
      <c r="X702" s="2" t="s">
        <v>74</v>
      </c>
      <c r="Y702" s="2" t="s">
        <v>1153</v>
      </c>
      <c r="Z702" s="2" t="s">
        <v>6196</v>
      </c>
      <c r="AA7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7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2" s="6" t="str">
        <f>IF(_xlfn.IFNA(INDEX(configuracoes!$A$2:$A$10,MATCH(base_tc_geral[[#This Row],[TIPO]],configuracoes!$A$2:$A$10,0)),"NÃO")="NÃO","NÃO","SIM")</f>
        <v>NÃO</v>
      </c>
    </row>
    <row r="703" spans="1:31" x14ac:dyDescent="0.25">
      <c r="A703" s="2" t="s">
        <v>2069</v>
      </c>
      <c r="B703" s="2">
        <v>109000926</v>
      </c>
      <c r="C703" s="2" t="s">
        <v>15</v>
      </c>
      <c r="D703" s="2" t="s">
        <v>4489</v>
      </c>
      <c r="E703" s="2" t="s">
        <v>86</v>
      </c>
      <c r="F703" s="2" t="s">
        <v>1099</v>
      </c>
      <c r="G703" s="2" t="s">
        <v>149</v>
      </c>
      <c r="H703" s="2" t="s">
        <v>283</v>
      </c>
      <c r="I703" s="2" t="s">
        <v>33</v>
      </c>
      <c r="J703" s="2" t="s">
        <v>124</v>
      </c>
      <c r="K703" s="2" t="s">
        <v>20</v>
      </c>
      <c r="L703" s="2" t="s">
        <v>61</v>
      </c>
      <c r="M703" s="2" t="s">
        <v>22</v>
      </c>
      <c r="N703" s="2" t="s">
        <v>15</v>
      </c>
      <c r="O703" s="2" t="s">
        <v>287</v>
      </c>
      <c r="P703" s="2" t="s">
        <v>2071</v>
      </c>
      <c r="Q703" s="2" t="s">
        <v>4926</v>
      </c>
      <c r="R703" s="2" t="s">
        <v>285</v>
      </c>
      <c r="S703" s="2" t="s">
        <v>125</v>
      </c>
      <c r="T703" s="2" t="s">
        <v>4696</v>
      </c>
      <c r="U703" s="2" t="s">
        <v>12</v>
      </c>
      <c r="V703" s="2" t="s">
        <v>4777</v>
      </c>
      <c r="W703" s="2" t="s">
        <v>4982</v>
      </c>
      <c r="X703" s="2" t="s">
        <v>4925</v>
      </c>
      <c r="Y703" s="2" t="s">
        <v>2070</v>
      </c>
      <c r="Z703" s="2" t="s">
        <v>6197</v>
      </c>
      <c r="AA7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7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3" s="6" t="str">
        <f>IF(_xlfn.IFNA(INDEX(configuracoes!$A$2:$A$10,MATCH(base_tc_geral[[#This Row],[TIPO]],configuracoes!$A$2:$A$10,0)),"NÃO")="NÃO","NÃO","SIM")</f>
        <v>NÃO</v>
      </c>
    </row>
    <row r="704" spans="1:31" x14ac:dyDescent="0.25">
      <c r="A704" s="2" t="s">
        <v>2529</v>
      </c>
      <c r="B704" s="2">
        <v>101008134</v>
      </c>
      <c r="C704" s="2" t="s">
        <v>15</v>
      </c>
      <c r="D704" s="2" t="s">
        <v>4590</v>
      </c>
      <c r="E704" s="2" t="s">
        <v>47</v>
      </c>
      <c r="F704" s="2" t="s">
        <v>1405</v>
      </c>
      <c r="G704" s="2" t="s">
        <v>245</v>
      </c>
      <c r="H704" s="2" t="s">
        <v>227</v>
      </c>
      <c r="I704" s="2" t="s">
        <v>16</v>
      </c>
      <c r="J704" s="2" t="s">
        <v>227</v>
      </c>
      <c r="K704" s="2" t="s">
        <v>20</v>
      </c>
      <c r="L704" s="2" t="s">
        <v>21</v>
      </c>
      <c r="M704" s="2" t="s">
        <v>22</v>
      </c>
      <c r="N704" s="2" t="s">
        <v>15</v>
      </c>
      <c r="O704" s="2" t="s">
        <v>271</v>
      </c>
      <c r="P704" s="2" t="s">
        <v>2531</v>
      </c>
      <c r="Q704" s="2" t="s">
        <v>4926</v>
      </c>
      <c r="R704" s="2" t="s">
        <v>351</v>
      </c>
      <c r="S704" s="2" t="s">
        <v>101</v>
      </c>
      <c r="T704" s="2" t="s">
        <v>4697</v>
      </c>
      <c r="U704" s="2" t="s">
        <v>12</v>
      </c>
      <c r="V704" s="2" t="s">
        <v>4834</v>
      </c>
      <c r="W704" s="2" t="s">
        <v>4982</v>
      </c>
      <c r="X704" s="2" t="s">
        <v>4925</v>
      </c>
      <c r="Y704" s="2" t="s">
        <v>2530</v>
      </c>
      <c r="Z704" s="2" t="s">
        <v>6198</v>
      </c>
      <c r="AA7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7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4" s="6" t="str">
        <f>IF(_xlfn.IFNA(INDEX(configuracoes!$A$2:$A$10,MATCH(base_tc_geral[[#This Row],[TIPO]],configuracoes!$A$2:$A$10,0)),"NÃO")="NÃO","NÃO","SIM")</f>
        <v>SIM</v>
      </c>
    </row>
    <row r="705" spans="1:31" x14ac:dyDescent="0.25">
      <c r="A705" s="2" t="s">
        <v>2556</v>
      </c>
      <c r="B705" s="2">
        <v>109501286</v>
      </c>
      <c r="C705" s="2" t="s">
        <v>15</v>
      </c>
      <c r="D705" s="2" t="s">
        <v>4548</v>
      </c>
      <c r="E705" s="2" t="s">
        <v>86</v>
      </c>
      <c r="F705" s="2" t="s">
        <v>497</v>
      </c>
      <c r="G705" s="2" t="s">
        <v>149</v>
      </c>
      <c r="H705" s="2" t="s">
        <v>164</v>
      </c>
      <c r="I705" s="2" t="s">
        <v>33</v>
      </c>
      <c r="J705" s="2" t="s">
        <v>124</v>
      </c>
      <c r="K705" s="2" t="s">
        <v>13</v>
      </c>
      <c r="L705" s="2" t="s">
        <v>61</v>
      </c>
      <c r="M705" s="2" t="s">
        <v>75</v>
      </c>
      <c r="N705" s="2" t="s">
        <v>15</v>
      </c>
      <c r="O705" s="2" t="s">
        <v>169</v>
      </c>
      <c r="P705" s="2" t="s">
        <v>2558</v>
      </c>
      <c r="Q705" s="2" t="s">
        <v>4926</v>
      </c>
      <c r="R705" s="2" t="s">
        <v>498</v>
      </c>
      <c r="S705" s="2" t="s">
        <v>93</v>
      </c>
      <c r="T705" s="2" t="s">
        <v>4696</v>
      </c>
      <c r="U705" s="2" t="s">
        <v>12</v>
      </c>
      <c r="V705" s="2" t="s">
        <v>4766</v>
      </c>
      <c r="W705" s="2" t="s">
        <v>42</v>
      </c>
      <c r="X705" s="2" t="s">
        <v>75</v>
      </c>
      <c r="Y705" s="2" t="s">
        <v>2557</v>
      </c>
      <c r="Z705" s="2" t="s">
        <v>6321</v>
      </c>
      <c r="AA7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7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5" s="6" t="str">
        <f>IF(_xlfn.IFNA(INDEX(configuracoes!$A$2:$A$10,MATCH(base_tc_geral[[#This Row],[TIPO]],configuracoes!$A$2:$A$10,0)),"NÃO")="NÃO","NÃO","SIM")</f>
        <v>NÃO</v>
      </c>
    </row>
    <row r="706" spans="1:31" x14ac:dyDescent="0.25">
      <c r="A706" s="2" t="s">
        <v>2914</v>
      </c>
      <c r="B706" s="2">
        <v>101001782</v>
      </c>
      <c r="C706" s="2" t="s">
        <v>15</v>
      </c>
      <c r="D706" s="2" t="s">
        <v>4685</v>
      </c>
      <c r="E706" s="2" t="s">
        <v>47</v>
      </c>
      <c r="F706" s="2" t="s">
        <v>464</v>
      </c>
      <c r="G706" s="2" t="s">
        <v>364</v>
      </c>
      <c r="H706" s="2" t="s">
        <v>48</v>
      </c>
      <c r="I706" s="2" t="s">
        <v>16</v>
      </c>
      <c r="J706" s="2" t="s">
        <v>48</v>
      </c>
      <c r="K706" s="2" t="s">
        <v>13</v>
      </c>
      <c r="L706" s="2" t="s">
        <v>37</v>
      </c>
      <c r="M706" s="2" t="s">
        <v>38</v>
      </c>
      <c r="N706" s="2" t="s">
        <v>15</v>
      </c>
      <c r="O706" s="2" t="s">
        <v>53</v>
      </c>
      <c r="P706" s="2" t="s">
        <v>2916</v>
      </c>
      <c r="Q706" s="2" t="s">
        <v>4926</v>
      </c>
      <c r="R706" s="2" t="s">
        <v>512</v>
      </c>
      <c r="S706" s="2" t="s">
        <v>51</v>
      </c>
      <c r="T706" s="2" t="s">
        <v>4697</v>
      </c>
      <c r="U706" s="2" t="s">
        <v>12</v>
      </c>
      <c r="V706" s="2" t="s">
        <v>4861</v>
      </c>
      <c r="W706" s="2" t="s">
        <v>4982</v>
      </c>
      <c r="X706" s="2" t="s">
        <v>38</v>
      </c>
      <c r="Y706" s="2" t="s">
        <v>2915</v>
      </c>
      <c r="Z706" s="2" t="s">
        <v>6322</v>
      </c>
      <c r="AA7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7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6" s="6" t="str">
        <f>IF(_xlfn.IFNA(INDEX(configuracoes!$A$2:$A$10,MATCH(base_tc_geral[[#This Row],[TIPO]],configuracoes!$A$2:$A$10,0)),"NÃO")="NÃO","NÃO","SIM")</f>
        <v>NÃO</v>
      </c>
    </row>
    <row r="707" spans="1:31" x14ac:dyDescent="0.25">
      <c r="A707" s="2" t="s">
        <v>1146</v>
      </c>
      <c r="B707" s="2">
        <v>101006255</v>
      </c>
      <c r="C707" s="2" t="s">
        <v>15</v>
      </c>
      <c r="D707" s="2" t="s">
        <v>4529</v>
      </c>
      <c r="E707" s="2" t="s">
        <v>47</v>
      </c>
      <c r="F707" s="2" t="s">
        <v>1112</v>
      </c>
      <c r="G707" s="2" t="s">
        <v>245</v>
      </c>
      <c r="H707" s="2" t="s">
        <v>224</v>
      </c>
      <c r="I707" s="2" t="s">
        <v>16</v>
      </c>
      <c r="J707" s="2" t="s">
        <v>227</v>
      </c>
      <c r="K707" s="2" t="s">
        <v>20</v>
      </c>
      <c r="L707" s="2" t="s">
        <v>21</v>
      </c>
      <c r="M707" s="2" t="s">
        <v>22</v>
      </c>
      <c r="N707" s="2" t="s">
        <v>15</v>
      </c>
      <c r="O707" s="2" t="s">
        <v>229</v>
      </c>
      <c r="P707" s="2" t="s">
        <v>1148</v>
      </c>
      <c r="Q707" s="2" t="s">
        <v>4926</v>
      </c>
      <c r="R707" s="2" t="s">
        <v>369</v>
      </c>
      <c r="S707" s="2" t="s">
        <v>4698</v>
      </c>
      <c r="T707" s="2" t="s">
        <v>4697</v>
      </c>
      <c r="U707" s="2" t="s">
        <v>12</v>
      </c>
      <c r="V707" s="2" t="s">
        <v>4817</v>
      </c>
      <c r="W707" s="2" t="s">
        <v>4982</v>
      </c>
      <c r="X707" s="2" t="s">
        <v>4925</v>
      </c>
      <c r="Y707" s="2" t="s">
        <v>1147</v>
      </c>
      <c r="Z707" s="2" t="s">
        <v>6323</v>
      </c>
      <c r="AA7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7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7" s="6" t="str">
        <f>IF(_xlfn.IFNA(INDEX(configuracoes!$A$2:$A$10,MATCH(base_tc_geral[[#This Row],[TIPO]],configuracoes!$A$2:$A$10,0)),"NÃO")="NÃO","NÃO","SIM")</f>
        <v>SIM</v>
      </c>
    </row>
    <row r="708" spans="1:31" x14ac:dyDescent="0.25">
      <c r="A708" s="2" t="s">
        <v>4788</v>
      </c>
      <c r="B708" s="2">
        <v>101005380</v>
      </c>
      <c r="C708" s="2" t="s">
        <v>15</v>
      </c>
      <c r="D708" s="2" t="s">
        <v>4516</v>
      </c>
      <c r="E708" s="2" t="s">
        <v>47</v>
      </c>
      <c r="F708" s="2" t="s">
        <v>181</v>
      </c>
      <c r="G708" s="2" t="s">
        <v>136</v>
      </c>
      <c r="H708" s="2" t="s">
        <v>66</v>
      </c>
      <c r="I708" s="2" t="s">
        <v>16</v>
      </c>
      <c r="J708" s="2" t="s">
        <v>66</v>
      </c>
      <c r="K708" s="2" t="s">
        <v>13</v>
      </c>
      <c r="L708" s="2" t="s">
        <v>72</v>
      </c>
      <c r="M708" s="2" t="s">
        <v>4790</v>
      </c>
      <c r="N708" s="2" t="s">
        <v>15</v>
      </c>
      <c r="O708" s="2" t="s">
        <v>71</v>
      </c>
      <c r="P708" s="2" t="s">
        <v>4791</v>
      </c>
      <c r="Q708" s="2" t="s">
        <v>4926</v>
      </c>
      <c r="R708" s="2" t="s">
        <v>69</v>
      </c>
      <c r="S708" s="2" t="s">
        <v>4698</v>
      </c>
      <c r="T708" s="2" t="s">
        <v>4697</v>
      </c>
      <c r="U708" s="2" t="s">
        <v>39</v>
      </c>
      <c r="V708" s="2" t="s">
        <v>4792</v>
      </c>
      <c r="W708" s="2" t="s">
        <v>72</v>
      </c>
      <c r="X708" s="2" t="s">
        <v>6325</v>
      </c>
      <c r="Y708" s="2" t="s">
        <v>4789</v>
      </c>
      <c r="Z708" s="2" t="s">
        <v>6324</v>
      </c>
      <c r="AA7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7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8" s="6" t="str">
        <f>IF(_xlfn.IFNA(INDEX(configuracoes!$A$2:$A$10,MATCH(base_tc_geral[[#This Row],[TIPO]],configuracoes!$A$2:$A$10,0)),"NÃO")="NÃO","NÃO","SIM")</f>
        <v>NÃO</v>
      </c>
    </row>
    <row r="709" spans="1:31" x14ac:dyDescent="0.25">
      <c r="A709" s="2" t="s">
        <v>3322</v>
      </c>
      <c r="B709" s="2">
        <v>101006811</v>
      </c>
      <c r="C709" s="2" t="s">
        <v>15</v>
      </c>
      <c r="D709" s="2" t="s">
        <v>4516</v>
      </c>
      <c r="E709" s="2" t="s">
        <v>47</v>
      </c>
      <c r="F709" s="2" t="s">
        <v>49</v>
      </c>
      <c r="G709" s="2" t="s">
        <v>630</v>
      </c>
      <c r="H709" s="2" t="s">
        <v>48</v>
      </c>
      <c r="I709" s="2" t="s">
        <v>16</v>
      </c>
      <c r="J709" s="2" t="s">
        <v>48</v>
      </c>
      <c r="K709" s="2" t="s">
        <v>20</v>
      </c>
      <c r="L709" s="2" t="s">
        <v>21</v>
      </c>
      <c r="M709" s="2" t="s">
        <v>22</v>
      </c>
      <c r="N709" s="2" t="s">
        <v>15</v>
      </c>
      <c r="O709" s="2" t="s">
        <v>53</v>
      </c>
      <c r="P709" s="2" t="s">
        <v>3324</v>
      </c>
      <c r="Q709" s="2" t="s">
        <v>4926</v>
      </c>
      <c r="R709" s="2" t="s">
        <v>50</v>
      </c>
      <c r="S709" s="2" t="s">
        <v>51</v>
      </c>
      <c r="T709" s="2" t="s">
        <v>4697</v>
      </c>
      <c r="U709" s="2" t="s">
        <v>12</v>
      </c>
      <c r="V709" s="2" t="s">
        <v>4860</v>
      </c>
      <c r="W709" s="2" t="s">
        <v>4982</v>
      </c>
      <c r="X709" s="2" t="s">
        <v>4925</v>
      </c>
      <c r="Y709" s="2" t="s">
        <v>3323</v>
      </c>
      <c r="Z709" s="2" t="s">
        <v>6326</v>
      </c>
      <c r="AA7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7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09" s="6" t="str">
        <f>IF(_xlfn.IFNA(INDEX(configuracoes!$A$2:$A$10,MATCH(base_tc_geral[[#This Row],[TIPO]],configuracoes!$A$2:$A$10,0)),"NÃO")="NÃO","NÃO","SIM")</f>
        <v>SIM</v>
      </c>
    </row>
    <row r="710" spans="1:31" x14ac:dyDescent="0.25">
      <c r="A710" s="2" t="s">
        <v>1972</v>
      </c>
      <c r="B710" s="2">
        <v>109000926</v>
      </c>
      <c r="C710" s="2" t="s">
        <v>15</v>
      </c>
      <c r="D710" s="2" t="s">
        <v>4516</v>
      </c>
      <c r="E710" s="2" t="s">
        <v>86</v>
      </c>
      <c r="F710" s="2" t="s">
        <v>1974</v>
      </c>
      <c r="G710" s="2" t="s">
        <v>245</v>
      </c>
      <c r="H710" s="2" t="s">
        <v>283</v>
      </c>
      <c r="I710" s="2" t="s">
        <v>33</v>
      </c>
      <c r="J710" s="2" t="s">
        <v>124</v>
      </c>
      <c r="K710" s="2" t="s">
        <v>20</v>
      </c>
      <c r="L710" s="2" t="s">
        <v>21</v>
      </c>
      <c r="M710" s="2" t="s">
        <v>22</v>
      </c>
      <c r="N710" s="2" t="s">
        <v>15</v>
      </c>
      <c r="O710" s="2" t="s">
        <v>287</v>
      </c>
      <c r="P710" s="2" t="s">
        <v>1975</v>
      </c>
      <c r="Q710" s="2" t="s">
        <v>4926</v>
      </c>
      <c r="R710" s="2" t="s">
        <v>285</v>
      </c>
      <c r="S710" s="2" t="s">
        <v>125</v>
      </c>
      <c r="T710" s="2" t="s">
        <v>4696</v>
      </c>
      <c r="U710" s="2" t="s">
        <v>12</v>
      </c>
      <c r="V710" s="2" t="s">
        <v>4777</v>
      </c>
      <c r="W710" s="2" t="s">
        <v>4982</v>
      </c>
      <c r="X710" s="2" t="s">
        <v>4925</v>
      </c>
      <c r="Y710" s="2" t="s">
        <v>1973</v>
      </c>
      <c r="Z710" s="2" t="s">
        <v>6327</v>
      </c>
      <c r="AA7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7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0" s="6" t="str">
        <f>IF(_xlfn.IFNA(INDEX(configuracoes!$A$2:$A$10,MATCH(base_tc_geral[[#This Row],[TIPO]],configuracoes!$A$2:$A$10,0)),"NÃO")="NÃO","NÃO","SIM")</f>
        <v>SIM</v>
      </c>
    </row>
    <row r="711" spans="1:31" x14ac:dyDescent="0.25">
      <c r="A711" s="2" t="s">
        <v>4223</v>
      </c>
      <c r="B711" s="2">
        <v>101005241</v>
      </c>
      <c r="C711" s="2" t="s">
        <v>15</v>
      </c>
      <c r="D711" s="2" t="s">
        <v>4483</v>
      </c>
      <c r="E711" s="2" t="s">
        <v>47</v>
      </c>
      <c r="F711" s="2" t="s">
        <v>142</v>
      </c>
      <c r="G711" s="2" t="s">
        <v>172</v>
      </c>
      <c r="H711" s="2" t="s">
        <v>141</v>
      </c>
      <c r="I711" s="2" t="s">
        <v>16</v>
      </c>
      <c r="J711" s="2" t="s">
        <v>141</v>
      </c>
      <c r="K711" s="2" t="s">
        <v>13</v>
      </c>
      <c r="L711" s="2" t="s">
        <v>17</v>
      </c>
      <c r="M711" s="2" t="s">
        <v>18</v>
      </c>
      <c r="N711" s="2" t="s">
        <v>15</v>
      </c>
      <c r="O711" s="2" t="s">
        <v>145</v>
      </c>
      <c r="P711" s="2" t="s">
        <v>4225</v>
      </c>
      <c r="Q711" s="2" t="s">
        <v>4926</v>
      </c>
      <c r="R711" s="2" t="s">
        <v>143</v>
      </c>
      <c r="S711" s="2" t="s">
        <v>4698</v>
      </c>
      <c r="T711" s="2" t="s">
        <v>4697</v>
      </c>
      <c r="U711" s="2" t="s">
        <v>39</v>
      </c>
      <c r="V711" s="2" t="s">
        <v>4845</v>
      </c>
      <c r="W711" s="2" t="s">
        <v>17</v>
      </c>
      <c r="X711" s="2" t="s">
        <v>4998</v>
      </c>
      <c r="Y711" s="2" t="s">
        <v>4224</v>
      </c>
      <c r="Z711" s="2" t="s">
        <v>6328</v>
      </c>
      <c r="AA7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7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1" s="6" t="str">
        <f>IF(_xlfn.IFNA(INDEX(configuracoes!$A$2:$A$10,MATCH(base_tc_geral[[#This Row],[TIPO]],configuracoes!$A$2:$A$10,0)),"NÃO")="NÃO","NÃO","SIM")</f>
        <v>NÃO</v>
      </c>
    </row>
    <row r="712" spans="1:31" x14ac:dyDescent="0.25">
      <c r="A712" s="2" t="s">
        <v>3575</v>
      </c>
      <c r="B712" s="2">
        <v>101005380</v>
      </c>
      <c r="C712" s="2" t="s">
        <v>15</v>
      </c>
      <c r="D712" s="2" t="s">
        <v>4502</v>
      </c>
      <c r="E712" s="2" t="s">
        <v>47</v>
      </c>
      <c r="F712" s="2" t="s">
        <v>67</v>
      </c>
      <c r="G712" s="2" t="s">
        <v>245</v>
      </c>
      <c r="H712" s="2" t="s">
        <v>66</v>
      </c>
      <c r="I712" s="2" t="s">
        <v>16</v>
      </c>
      <c r="J712" s="2" t="s">
        <v>66</v>
      </c>
      <c r="K712" s="2" t="s">
        <v>20</v>
      </c>
      <c r="L712" s="2" t="s">
        <v>21</v>
      </c>
      <c r="M712" s="2" t="s">
        <v>22</v>
      </c>
      <c r="N712" s="2" t="s">
        <v>15</v>
      </c>
      <c r="O712" s="2" t="s">
        <v>71</v>
      </c>
      <c r="P712" s="2" t="s">
        <v>3577</v>
      </c>
      <c r="Q712" s="2" t="s">
        <v>4926</v>
      </c>
      <c r="R712" s="2" t="s">
        <v>69</v>
      </c>
      <c r="S712" s="2" t="s">
        <v>4698</v>
      </c>
      <c r="T712" s="2" t="s">
        <v>4697</v>
      </c>
      <c r="U712" s="2" t="s">
        <v>12</v>
      </c>
      <c r="V712" s="2" t="s">
        <v>4786</v>
      </c>
      <c r="W712" s="2" t="s">
        <v>4982</v>
      </c>
      <c r="X712" s="2" t="s">
        <v>4925</v>
      </c>
      <c r="Y712" s="2" t="s">
        <v>3576</v>
      </c>
      <c r="Z712" s="2" t="s">
        <v>6329</v>
      </c>
      <c r="AA7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7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2" s="6" t="str">
        <f>IF(_xlfn.IFNA(INDEX(configuracoes!$A$2:$A$10,MATCH(base_tc_geral[[#This Row],[TIPO]],configuracoes!$A$2:$A$10,0)),"NÃO")="NÃO","NÃO","SIM")</f>
        <v>SIM</v>
      </c>
    </row>
    <row r="713" spans="1:31" x14ac:dyDescent="0.25">
      <c r="A713" s="2" t="s">
        <v>1410</v>
      </c>
      <c r="B713" s="2">
        <v>101008134</v>
      </c>
      <c r="C713" s="2" t="s">
        <v>15</v>
      </c>
      <c r="D713" s="2" t="s">
        <v>4564</v>
      </c>
      <c r="E713" s="2" t="s">
        <v>47</v>
      </c>
      <c r="F713" s="2" t="s">
        <v>269</v>
      </c>
      <c r="G713" s="2" t="s">
        <v>630</v>
      </c>
      <c r="H713" s="2" t="s">
        <v>227</v>
      </c>
      <c r="I713" s="2" t="s">
        <v>16</v>
      </c>
      <c r="J713" s="2" t="s">
        <v>227</v>
      </c>
      <c r="K713" s="2" t="s">
        <v>20</v>
      </c>
      <c r="L713" s="2" t="s">
        <v>21</v>
      </c>
      <c r="M713" s="2" t="s">
        <v>22</v>
      </c>
      <c r="N713" s="2" t="s">
        <v>15</v>
      </c>
      <c r="O713" s="2" t="s">
        <v>271</v>
      </c>
      <c r="P713" s="2" t="s">
        <v>1412</v>
      </c>
      <c r="Q713" s="2" t="s">
        <v>4926</v>
      </c>
      <c r="R713" s="2" t="s">
        <v>351</v>
      </c>
      <c r="S713" s="2" t="s">
        <v>101</v>
      </c>
      <c r="T713" s="2" t="s">
        <v>4697</v>
      </c>
      <c r="U713" s="2" t="s">
        <v>12</v>
      </c>
      <c r="V713" s="2" t="s">
        <v>4834</v>
      </c>
      <c r="W713" s="2" t="s">
        <v>4982</v>
      </c>
      <c r="X713" s="2" t="s">
        <v>4925</v>
      </c>
      <c r="Y713" s="2" t="s">
        <v>1411</v>
      </c>
      <c r="Z713" s="2" t="s">
        <v>6330</v>
      </c>
      <c r="AA7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7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3" s="6" t="str">
        <f>IF(_xlfn.IFNA(INDEX(configuracoes!$A$2:$A$10,MATCH(base_tc_geral[[#This Row],[TIPO]],configuracoes!$A$2:$A$10,0)),"NÃO")="NÃO","NÃO","SIM")</f>
        <v>SIM</v>
      </c>
    </row>
    <row r="714" spans="1:31" x14ac:dyDescent="0.25">
      <c r="A714" s="2" t="s">
        <v>1641</v>
      </c>
      <c r="B714" s="2">
        <v>109500177</v>
      </c>
      <c r="C714" s="2" t="s">
        <v>15</v>
      </c>
      <c r="D714" s="2" t="s">
        <v>4549</v>
      </c>
      <c r="E714" s="2" t="s">
        <v>86</v>
      </c>
      <c r="F714" s="2" t="s">
        <v>325</v>
      </c>
      <c r="G714" s="2" t="s">
        <v>58</v>
      </c>
      <c r="H714" s="2" t="s">
        <v>283</v>
      </c>
      <c r="I714" s="2" t="s">
        <v>33</v>
      </c>
      <c r="J714" s="2" t="s">
        <v>124</v>
      </c>
      <c r="K714" s="2" t="s">
        <v>13</v>
      </c>
      <c r="L714" s="2" t="s">
        <v>61</v>
      </c>
      <c r="M714" s="2" t="s">
        <v>44</v>
      </c>
      <c r="N714" s="2" t="s">
        <v>15</v>
      </c>
      <c r="O714" s="2" t="s">
        <v>287</v>
      </c>
      <c r="P714" s="2" t="s">
        <v>1643</v>
      </c>
      <c r="Q714" s="2" t="s">
        <v>4926</v>
      </c>
      <c r="R714" s="2" t="s">
        <v>447</v>
      </c>
      <c r="S714" s="2" t="s">
        <v>125</v>
      </c>
      <c r="T714" s="2" t="s">
        <v>4696</v>
      </c>
      <c r="U714" s="2" t="s">
        <v>12</v>
      </c>
      <c r="V714" s="2" t="s">
        <v>4784</v>
      </c>
      <c r="W714" s="2" t="s">
        <v>4999</v>
      </c>
      <c r="X714" s="2" t="s">
        <v>44</v>
      </c>
      <c r="Y714" s="2" t="s">
        <v>1642</v>
      </c>
      <c r="Z714" s="2" t="s">
        <v>5576</v>
      </c>
      <c r="AA7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7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4" s="6" t="str">
        <f>IF(_xlfn.IFNA(INDEX(configuracoes!$A$2:$A$10,MATCH(base_tc_geral[[#This Row],[TIPO]],configuracoes!$A$2:$A$10,0)),"NÃO")="NÃO","NÃO","SIM")</f>
        <v>NÃO</v>
      </c>
    </row>
    <row r="715" spans="1:31" x14ac:dyDescent="0.25">
      <c r="A715" s="2" t="s">
        <v>296</v>
      </c>
      <c r="B715" s="2">
        <v>109000017</v>
      </c>
      <c r="C715" s="2" t="s">
        <v>15</v>
      </c>
      <c r="D715" s="2" t="s">
        <v>4622</v>
      </c>
      <c r="E715" s="2" t="s">
        <v>86</v>
      </c>
      <c r="F715" s="2" t="s">
        <v>298</v>
      </c>
      <c r="G715" s="2" t="s">
        <v>245</v>
      </c>
      <c r="H715" s="2" t="s">
        <v>210</v>
      </c>
      <c r="I715" s="2" t="s">
        <v>33</v>
      </c>
      <c r="J715" s="2" t="s">
        <v>124</v>
      </c>
      <c r="K715" s="2" t="s">
        <v>20</v>
      </c>
      <c r="L715" s="2" t="s">
        <v>21</v>
      </c>
      <c r="M715" s="2" t="s">
        <v>22</v>
      </c>
      <c r="N715" s="2" t="s">
        <v>15</v>
      </c>
      <c r="O715" s="2" t="s">
        <v>214</v>
      </c>
      <c r="P715" s="2" t="s">
        <v>300</v>
      </c>
      <c r="Q715" s="2" t="s">
        <v>4926</v>
      </c>
      <c r="R715" s="2" t="s">
        <v>212</v>
      </c>
      <c r="S715" s="2" t="s">
        <v>93</v>
      </c>
      <c r="T715" s="2" t="s">
        <v>4696</v>
      </c>
      <c r="U715" s="2" t="s">
        <v>12</v>
      </c>
      <c r="V715" s="2" t="s">
        <v>4794</v>
      </c>
      <c r="W715" s="2" t="s">
        <v>4982</v>
      </c>
      <c r="X715" s="2" t="s">
        <v>4925</v>
      </c>
      <c r="Y715" s="2" t="s">
        <v>297</v>
      </c>
      <c r="Z715" s="2" t="s">
        <v>5577</v>
      </c>
      <c r="AA7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7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5" s="6" t="str">
        <f>IF(_xlfn.IFNA(INDEX(configuracoes!$A$2:$A$10,MATCH(base_tc_geral[[#This Row],[TIPO]],configuracoes!$A$2:$A$10,0)),"NÃO")="NÃO","NÃO","SIM")</f>
        <v>SIM</v>
      </c>
    </row>
    <row r="716" spans="1:31" x14ac:dyDescent="0.25">
      <c r="A716" s="2" t="s">
        <v>1297</v>
      </c>
      <c r="B716" s="2">
        <v>109000427</v>
      </c>
      <c r="C716" s="2" t="s">
        <v>15</v>
      </c>
      <c r="D716" s="2" t="s">
        <v>4505</v>
      </c>
      <c r="E716" s="2" t="s">
        <v>86</v>
      </c>
      <c r="F716" s="2" t="s">
        <v>88</v>
      </c>
      <c r="G716" s="2" t="s">
        <v>58</v>
      </c>
      <c r="H716" s="2" t="s">
        <v>87</v>
      </c>
      <c r="I716" s="2" t="s">
        <v>33</v>
      </c>
      <c r="J716" s="2" t="s">
        <v>91</v>
      </c>
      <c r="K716" s="2" t="s">
        <v>13</v>
      </c>
      <c r="L716" s="2" t="s">
        <v>61</v>
      </c>
      <c r="M716" s="2" t="s">
        <v>44</v>
      </c>
      <c r="N716" s="2" t="s">
        <v>15</v>
      </c>
      <c r="O716" s="2" t="s">
        <v>95</v>
      </c>
      <c r="P716" s="2" t="s">
        <v>1299</v>
      </c>
      <c r="Q716" s="2" t="s">
        <v>4926</v>
      </c>
      <c r="R716" s="2" t="s">
        <v>259</v>
      </c>
      <c r="S716" s="2" t="s">
        <v>4699</v>
      </c>
      <c r="T716" s="2" t="s">
        <v>4696</v>
      </c>
      <c r="U716" s="2" t="s">
        <v>12</v>
      </c>
      <c r="V716" s="2" t="s">
        <v>4795</v>
      </c>
      <c r="W716" s="2" t="s">
        <v>4984</v>
      </c>
      <c r="X716" s="2" t="s">
        <v>44</v>
      </c>
      <c r="Y716" s="2" t="s">
        <v>1298</v>
      </c>
      <c r="Z716" s="2" t="s">
        <v>5578</v>
      </c>
      <c r="AA7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7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6" s="6" t="str">
        <f>IF(_xlfn.IFNA(INDEX(configuracoes!$A$2:$A$10,MATCH(base_tc_geral[[#This Row],[TIPO]],configuracoes!$A$2:$A$10,0)),"NÃO")="NÃO","NÃO","SIM")</f>
        <v>NÃO</v>
      </c>
    </row>
    <row r="717" spans="1:31" x14ac:dyDescent="0.25">
      <c r="A717" s="2" t="s">
        <v>538</v>
      </c>
      <c r="B717" s="2">
        <v>109505049</v>
      </c>
      <c r="C717" s="2" t="s">
        <v>15</v>
      </c>
      <c r="D717" s="2" t="s">
        <v>4493</v>
      </c>
      <c r="E717" s="2" t="s">
        <v>86</v>
      </c>
      <c r="F717" s="2" t="s">
        <v>594</v>
      </c>
      <c r="G717" s="2" t="s">
        <v>99</v>
      </c>
      <c r="H717" s="2" t="s">
        <v>122</v>
      </c>
      <c r="I717" s="2" t="s">
        <v>33</v>
      </c>
      <c r="J717" s="2" t="s">
        <v>124</v>
      </c>
      <c r="K717" s="2" t="s">
        <v>13</v>
      </c>
      <c r="L717" s="2" t="s">
        <v>25</v>
      </c>
      <c r="M717" s="2" t="s">
        <v>22</v>
      </c>
      <c r="N717" s="2" t="s">
        <v>15</v>
      </c>
      <c r="O717" s="2" t="s">
        <v>129</v>
      </c>
      <c r="P717" s="2" t="s">
        <v>542</v>
      </c>
      <c r="Q717" s="2" t="s">
        <v>4926</v>
      </c>
      <c r="R717" s="2" t="s">
        <v>541</v>
      </c>
      <c r="S717" s="2" t="s">
        <v>125</v>
      </c>
      <c r="T717" s="2" t="s">
        <v>4696</v>
      </c>
      <c r="U717" s="2" t="s">
        <v>12</v>
      </c>
      <c r="V717" s="2" t="s">
        <v>4765</v>
      </c>
      <c r="W717" s="2" t="s">
        <v>4931</v>
      </c>
      <c r="X717" s="2" t="s">
        <v>4925</v>
      </c>
      <c r="Y717" s="2" t="s">
        <v>539</v>
      </c>
      <c r="Z717" s="2" t="s">
        <v>5579</v>
      </c>
      <c r="AA7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7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7" s="6" t="str">
        <f>IF(_xlfn.IFNA(INDEX(configuracoes!$A$2:$A$10,MATCH(base_tc_geral[[#This Row],[TIPO]],configuracoes!$A$2:$A$10,0)),"NÃO")="NÃO","NÃO","SIM")</f>
        <v>SIM</v>
      </c>
    </row>
    <row r="718" spans="1:31" x14ac:dyDescent="0.25">
      <c r="A718" s="2" t="s">
        <v>1306</v>
      </c>
      <c r="B718" s="2">
        <v>109000427</v>
      </c>
      <c r="C718" s="2" t="s">
        <v>15</v>
      </c>
      <c r="D718" s="2" t="s">
        <v>4503</v>
      </c>
      <c r="E718" s="2" t="s">
        <v>86</v>
      </c>
      <c r="F718" s="2" t="s">
        <v>88</v>
      </c>
      <c r="G718" s="2" t="s">
        <v>58</v>
      </c>
      <c r="H718" s="2" t="s">
        <v>87</v>
      </c>
      <c r="I718" s="2" t="s">
        <v>33</v>
      </c>
      <c r="J718" s="2" t="s">
        <v>91</v>
      </c>
      <c r="K718" s="2" t="s">
        <v>13</v>
      </c>
      <c r="L718" s="2" t="s">
        <v>61</v>
      </c>
      <c r="M718" s="2" t="s">
        <v>408</v>
      </c>
      <c r="N718" s="2" t="s">
        <v>15</v>
      </c>
      <c r="O718" s="2" t="s">
        <v>95</v>
      </c>
      <c r="P718" s="2" t="s">
        <v>1308</v>
      </c>
      <c r="Q718" s="2" t="s">
        <v>4926</v>
      </c>
      <c r="R718" s="2" t="s">
        <v>259</v>
      </c>
      <c r="S718" s="2" t="s">
        <v>4699</v>
      </c>
      <c r="T718" s="2" t="s">
        <v>4696</v>
      </c>
      <c r="U718" s="2" t="s">
        <v>39</v>
      </c>
      <c r="V718" s="2" t="s">
        <v>4795</v>
      </c>
      <c r="W718" s="2" t="s">
        <v>4984</v>
      </c>
      <c r="X718" s="2" t="s">
        <v>408</v>
      </c>
      <c r="Y718" s="2" t="s">
        <v>1307</v>
      </c>
      <c r="Z718" s="2" t="s">
        <v>5580</v>
      </c>
      <c r="AA7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7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8" s="6" t="str">
        <f>IF(_xlfn.IFNA(INDEX(configuracoes!$A$2:$A$10,MATCH(base_tc_geral[[#This Row],[TIPO]],configuracoes!$A$2:$A$10,0)),"NÃO")="NÃO","NÃO","SIM")</f>
        <v>NÃO</v>
      </c>
    </row>
    <row r="719" spans="1:31" x14ac:dyDescent="0.25">
      <c r="A719" s="2" t="s">
        <v>3114</v>
      </c>
      <c r="B719" s="2">
        <v>109000017</v>
      </c>
      <c r="C719" s="2" t="s">
        <v>15</v>
      </c>
      <c r="D719" s="2" t="s">
        <v>4542</v>
      </c>
      <c r="E719" s="2" t="s">
        <v>86</v>
      </c>
      <c r="F719" s="2" t="s">
        <v>363</v>
      </c>
      <c r="G719" s="2" t="s">
        <v>89</v>
      </c>
      <c r="H719" s="2" t="s">
        <v>210</v>
      </c>
      <c r="I719" s="2" t="s">
        <v>33</v>
      </c>
      <c r="J719" s="2" t="s">
        <v>124</v>
      </c>
      <c r="K719" s="2" t="s">
        <v>92</v>
      </c>
      <c r="L719" s="2" t="s">
        <v>37</v>
      </c>
      <c r="M719" s="2" t="s">
        <v>44</v>
      </c>
      <c r="N719" s="2" t="s">
        <v>15</v>
      </c>
      <c r="O719" s="2" t="s">
        <v>214</v>
      </c>
      <c r="P719" s="2" t="s">
        <v>3116</v>
      </c>
      <c r="Q719" s="2" t="s">
        <v>4926</v>
      </c>
      <c r="R719" s="2" t="s">
        <v>212</v>
      </c>
      <c r="S719" s="2" t="s">
        <v>93</v>
      </c>
      <c r="T719" s="2" t="s">
        <v>4696</v>
      </c>
      <c r="U719" s="2" t="s">
        <v>12</v>
      </c>
      <c r="V719" s="2" t="s">
        <v>4794</v>
      </c>
      <c r="W719" s="2" t="s">
        <v>5013</v>
      </c>
      <c r="X719" s="2" t="s">
        <v>44</v>
      </c>
      <c r="Y719" s="2" t="s">
        <v>3115</v>
      </c>
      <c r="Z719" s="2" t="s">
        <v>5581</v>
      </c>
      <c r="AA7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7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19" s="6" t="str">
        <f>IF(_xlfn.IFNA(INDEX(configuracoes!$A$2:$A$10,MATCH(base_tc_geral[[#This Row],[TIPO]],configuracoes!$A$2:$A$10,0)),"NÃO")="NÃO","NÃO","SIM")</f>
        <v>NÃO</v>
      </c>
    </row>
    <row r="720" spans="1:31" x14ac:dyDescent="0.25">
      <c r="A720" s="2" t="s">
        <v>3499</v>
      </c>
      <c r="B720" s="2">
        <v>102100917</v>
      </c>
      <c r="C720" s="2" t="s">
        <v>15</v>
      </c>
      <c r="D720" s="2" t="s">
        <v>4486</v>
      </c>
      <c r="E720" s="2" t="s">
        <v>106</v>
      </c>
      <c r="F720" s="2" t="s">
        <v>116</v>
      </c>
      <c r="G720" s="2" t="s">
        <v>245</v>
      </c>
      <c r="H720" s="2" t="s">
        <v>115</v>
      </c>
      <c r="I720" s="2" t="s">
        <v>33</v>
      </c>
      <c r="J720" s="2" t="s">
        <v>109</v>
      </c>
      <c r="K720" s="2" t="s">
        <v>20</v>
      </c>
      <c r="L720" s="2" t="s">
        <v>21</v>
      </c>
      <c r="M720" s="2" t="s">
        <v>22</v>
      </c>
      <c r="N720" s="2" t="s">
        <v>15</v>
      </c>
      <c r="O720" s="2" t="s">
        <v>119</v>
      </c>
      <c r="P720" s="2" t="s">
        <v>3501</v>
      </c>
      <c r="Q720" s="2" t="s">
        <v>4926</v>
      </c>
      <c r="R720" s="2" t="s">
        <v>117</v>
      </c>
      <c r="S720" s="2" t="s">
        <v>736</v>
      </c>
      <c r="T720" s="2" t="s">
        <v>167</v>
      </c>
      <c r="U720" s="2" t="s">
        <v>12</v>
      </c>
      <c r="V720" s="2" t="s">
        <v>4902</v>
      </c>
      <c r="W720" s="2" t="s">
        <v>4982</v>
      </c>
      <c r="X720" s="2" t="s">
        <v>4925</v>
      </c>
      <c r="Y720" s="2" t="s">
        <v>3500</v>
      </c>
      <c r="Z720" s="2" t="s">
        <v>5582</v>
      </c>
      <c r="AA7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7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0" s="6" t="str">
        <f>IF(_xlfn.IFNA(INDEX(configuracoes!$A$2:$A$10,MATCH(base_tc_geral[[#This Row],[TIPO]],configuracoes!$A$2:$A$10,0)),"NÃO")="NÃO","NÃO","SIM")</f>
        <v>SIM</v>
      </c>
    </row>
    <row r="721" spans="1:31" x14ac:dyDescent="0.25">
      <c r="A721" s="2" t="s">
        <v>3944</v>
      </c>
      <c r="B721" s="2">
        <v>105303134</v>
      </c>
      <c r="C721" s="2" t="s">
        <v>15</v>
      </c>
      <c r="D721" s="2" t="s">
        <v>4606</v>
      </c>
      <c r="E721" s="2" t="s">
        <v>28</v>
      </c>
      <c r="F721" s="2" t="s">
        <v>290</v>
      </c>
      <c r="G721" s="2" t="s">
        <v>58</v>
      </c>
      <c r="H721" s="2" t="s">
        <v>34</v>
      </c>
      <c r="I721" s="2" t="s">
        <v>33</v>
      </c>
      <c r="J721" s="2" t="s">
        <v>34</v>
      </c>
      <c r="K721" s="2" t="s">
        <v>92</v>
      </c>
      <c r="L721" s="2" t="s">
        <v>61</v>
      </c>
      <c r="M721" s="2" t="s">
        <v>44</v>
      </c>
      <c r="N721" s="2" t="s">
        <v>15</v>
      </c>
      <c r="O721" s="2" t="s">
        <v>156</v>
      </c>
      <c r="P721" s="2" t="s">
        <v>3946</v>
      </c>
      <c r="Q721" s="2" t="s">
        <v>4926</v>
      </c>
      <c r="R721" s="2" t="s">
        <v>442</v>
      </c>
      <c r="S721" s="2" t="s">
        <v>167</v>
      </c>
      <c r="T721" s="2" t="s">
        <v>167</v>
      </c>
      <c r="U721" s="2" t="s">
        <v>12</v>
      </c>
      <c r="V721" s="2" t="s">
        <v>4763</v>
      </c>
      <c r="W721" s="2" t="s">
        <v>4999</v>
      </c>
      <c r="X721" s="2" t="s">
        <v>44</v>
      </c>
      <c r="Y721" s="2" t="s">
        <v>3945</v>
      </c>
      <c r="Z721" s="2" t="s">
        <v>6331</v>
      </c>
      <c r="AA7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7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7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1" s="6" t="str">
        <f>IF(_xlfn.IFNA(INDEX(configuracoes!$A$2:$A$10,MATCH(base_tc_geral[[#This Row],[TIPO]],configuracoes!$A$2:$A$10,0)),"NÃO")="NÃO","NÃO","SIM")</f>
        <v>NÃO</v>
      </c>
    </row>
    <row r="722" spans="1:31" x14ac:dyDescent="0.25">
      <c r="A722" s="2" t="s">
        <v>2333</v>
      </c>
      <c r="B722" s="2">
        <v>101005989</v>
      </c>
      <c r="C722" s="2" t="s">
        <v>15</v>
      </c>
      <c r="D722" s="2" t="s">
        <v>4484</v>
      </c>
      <c r="E722" s="2" t="s">
        <v>47</v>
      </c>
      <c r="F722" s="2" t="s">
        <v>433</v>
      </c>
      <c r="G722" s="2" t="s">
        <v>4780</v>
      </c>
      <c r="H722" s="2" t="s">
        <v>56</v>
      </c>
      <c r="I722" s="2" t="s">
        <v>16</v>
      </c>
      <c r="J722" s="2" t="s">
        <v>60</v>
      </c>
      <c r="K722" s="2" t="s">
        <v>20</v>
      </c>
      <c r="L722" s="2" t="s">
        <v>21</v>
      </c>
      <c r="M722" s="2" t="s">
        <v>22</v>
      </c>
      <c r="N722" s="2" t="s">
        <v>15</v>
      </c>
      <c r="O722" s="2" t="s">
        <v>63</v>
      </c>
      <c r="P722" s="2" t="s">
        <v>2335</v>
      </c>
      <c r="Q722" s="2" t="s">
        <v>4926</v>
      </c>
      <c r="R722" s="2" t="s">
        <v>59</v>
      </c>
      <c r="S722" s="2" t="s">
        <v>51</v>
      </c>
      <c r="T722" s="2" t="s">
        <v>4697</v>
      </c>
      <c r="U722" s="2" t="s">
        <v>12</v>
      </c>
      <c r="V722" s="2" t="s">
        <v>4779</v>
      </c>
      <c r="W722" s="2" t="s">
        <v>4982</v>
      </c>
      <c r="X722" s="2" t="s">
        <v>4925</v>
      </c>
      <c r="Y722" s="2" t="s">
        <v>2334</v>
      </c>
      <c r="Z722" s="2" t="s">
        <v>6332</v>
      </c>
      <c r="AA7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7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2" s="6" t="str">
        <f>IF(_xlfn.IFNA(INDEX(configuracoes!$A$2:$A$10,MATCH(base_tc_geral[[#This Row],[TIPO]],configuracoes!$A$2:$A$10,0)),"NÃO")="NÃO","NÃO","SIM")</f>
        <v>SIM</v>
      </c>
    </row>
    <row r="723" spans="1:31" x14ac:dyDescent="0.25">
      <c r="A723" s="2" t="s">
        <v>3920</v>
      </c>
      <c r="B723" s="2">
        <v>101007963</v>
      </c>
      <c r="C723" s="2" t="s">
        <v>15</v>
      </c>
      <c r="D723" s="2" t="s">
        <v>4481</v>
      </c>
      <c r="E723" s="2" t="s">
        <v>47</v>
      </c>
      <c r="F723" s="2" t="s">
        <v>601</v>
      </c>
      <c r="G723" s="2" t="s">
        <v>245</v>
      </c>
      <c r="H723" s="2" t="s">
        <v>60</v>
      </c>
      <c r="I723" s="2" t="s">
        <v>16</v>
      </c>
      <c r="J723" s="2" t="s">
        <v>60</v>
      </c>
      <c r="K723" s="2" t="s">
        <v>20</v>
      </c>
      <c r="L723" s="2" t="s">
        <v>21</v>
      </c>
      <c r="M723" s="2" t="s">
        <v>22</v>
      </c>
      <c r="N723" s="2" t="s">
        <v>15</v>
      </c>
      <c r="O723" s="2" t="s">
        <v>161</v>
      </c>
      <c r="P723" s="2" t="s">
        <v>3922</v>
      </c>
      <c r="Q723" s="2" t="s">
        <v>4926</v>
      </c>
      <c r="R723" s="2" t="s">
        <v>246</v>
      </c>
      <c r="S723" s="2" t="s">
        <v>51</v>
      </c>
      <c r="T723" s="2" t="s">
        <v>4697</v>
      </c>
      <c r="U723" s="2" t="s">
        <v>12</v>
      </c>
      <c r="V723" s="2" t="s">
        <v>4778</v>
      </c>
      <c r="W723" s="2" t="s">
        <v>4982</v>
      </c>
      <c r="X723" s="2" t="s">
        <v>4925</v>
      </c>
      <c r="Y723" s="2" t="s">
        <v>3921</v>
      </c>
      <c r="Z723" s="2" t="s">
        <v>6333</v>
      </c>
      <c r="AA7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7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3" s="6" t="str">
        <f>IF(_xlfn.IFNA(INDEX(configuracoes!$A$2:$A$10,MATCH(base_tc_geral[[#This Row],[TIPO]],configuracoes!$A$2:$A$10,0)),"NÃO")="NÃO","NÃO","SIM")</f>
        <v>SIM</v>
      </c>
    </row>
    <row r="724" spans="1:31" x14ac:dyDescent="0.25">
      <c r="A724" s="2" t="s">
        <v>3959</v>
      </c>
      <c r="B724" s="2">
        <v>105303207</v>
      </c>
      <c r="C724" s="2" t="s">
        <v>15</v>
      </c>
      <c r="D724" s="2" t="s">
        <v>4597</v>
      </c>
      <c r="E724" s="2" t="s">
        <v>28</v>
      </c>
      <c r="F724" s="2" t="s">
        <v>154</v>
      </c>
      <c r="G724" s="2" t="s">
        <v>883</v>
      </c>
      <c r="H724" s="2" t="s">
        <v>34</v>
      </c>
      <c r="I724" s="2" t="s">
        <v>33</v>
      </c>
      <c r="J724" s="2" t="s">
        <v>34</v>
      </c>
      <c r="K724" s="2" t="s">
        <v>20</v>
      </c>
      <c r="L724" s="2" t="s">
        <v>21</v>
      </c>
      <c r="M724" s="2" t="s">
        <v>22</v>
      </c>
      <c r="N724" s="2" t="s">
        <v>15</v>
      </c>
      <c r="O724" s="2" t="s">
        <v>156</v>
      </c>
      <c r="P724" s="2" t="s">
        <v>3961</v>
      </c>
      <c r="Q724" s="2" t="s">
        <v>4926</v>
      </c>
      <c r="R724" s="2" t="s">
        <v>2243</v>
      </c>
      <c r="S724" s="2" t="s">
        <v>167</v>
      </c>
      <c r="T724" s="2" t="s">
        <v>167</v>
      </c>
      <c r="U724" s="2" t="s">
        <v>12</v>
      </c>
      <c r="V724" s="2" t="s">
        <v>4852</v>
      </c>
      <c r="W724" s="2" t="s">
        <v>4982</v>
      </c>
      <c r="X724" s="2" t="s">
        <v>4925</v>
      </c>
      <c r="Y724" s="2" t="s">
        <v>3960</v>
      </c>
      <c r="Z724" s="2" t="s">
        <v>6334</v>
      </c>
      <c r="AA7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7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7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4" s="6" t="str">
        <f>IF(_xlfn.IFNA(INDEX(configuracoes!$A$2:$A$10,MATCH(base_tc_geral[[#This Row],[TIPO]],configuracoes!$A$2:$A$10,0)),"NÃO")="NÃO","NÃO","SIM")</f>
        <v>SIM</v>
      </c>
    </row>
    <row r="725" spans="1:31" x14ac:dyDescent="0.25">
      <c r="A725" s="2" t="s">
        <v>2885</v>
      </c>
      <c r="B725" s="2">
        <v>101001782</v>
      </c>
      <c r="C725" s="2" t="s">
        <v>15</v>
      </c>
      <c r="D725" s="2" t="s">
        <v>4484</v>
      </c>
      <c r="E725" s="2" t="s">
        <v>47</v>
      </c>
      <c r="F725" s="2" t="s">
        <v>464</v>
      </c>
      <c r="G725" s="2" t="s">
        <v>637</v>
      </c>
      <c r="H725" s="2" t="s">
        <v>48</v>
      </c>
      <c r="I725" s="2" t="s">
        <v>16</v>
      </c>
      <c r="J725" s="2" t="s">
        <v>48</v>
      </c>
      <c r="K725" s="2" t="s">
        <v>20</v>
      </c>
      <c r="L725" s="2" t="s">
        <v>19</v>
      </c>
      <c r="M725" s="2" t="s">
        <v>22</v>
      </c>
      <c r="N725" s="2" t="s">
        <v>15</v>
      </c>
      <c r="O725" s="2" t="s">
        <v>53</v>
      </c>
      <c r="P725" s="2" t="s">
        <v>2887</v>
      </c>
      <c r="Q725" s="2" t="s">
        <v>4926</v>
      </c>
      <c r="R725" s="2" t="s">
        <v>512</v>
      </c>
      <c r="S725" s="2" t="s">
        <v>51</v>
      </c>
      <c r="T725" s="2" t="s">
        <v>4697</v>
      </c>
      <c r="U725" s="2" t="s">
        <v>12</v>
      </c>
      <c r="V725" s="2" t="s">
        <v>4861</v>
      </c>
      <c r="W725" s="2" t="s">
        <v>4982</v>
      </c>
      <c r="X725" s="2" t="s">
        <v>4925</v>
      </c>
      <c r="Y725" s="2" t="s">
        <v>2886</v>
      </c>
      <c r="Z725" s="2" t="s">
        <v>6335</v>
      </c>
      <c r="AA7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7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5" s="6" t="str">
        <f>IF(_xlfn.IFNA(INDEX(configuracoes!$A$2:$A$10,MATCH(base_tc_geral[[#This Row],[TIPO]],configuracoes!$A$2:$A$10,0)),"NÃO")="NÃO","NÃO","SIM")</f>
        <v>SIM</v>
      </c>
    </row>
    <row r="726" spans="1:31" x14ac:dyDescent="0.25">
      <c r="A726" s="2" t="s">
        <v>812</v>
      </c>
      <c r="B726" s="2">
        <v>109000427</v>
      </c>
      <c r="C726" s="2" t="s">
        <v>15</v>
      </c>
      <c r="D726" s="2" t="s">
        <v>4519</v>
      </c>
      <c r="E726" s="2" t="s">
        <v>86</v>
      </c>
      <c r="F726" s="2" t="s">
        <v>199</v>
      </c>
      <c r="G726" s="2" t="s">
        <v>89</v>
      </c>
      <c r="H726" s="2" t="s">
        <v>198</v>
      </c>
      <c r="I726" s="2" t="s">
        <v>33</v>
      </c>
      <c r="J726" s="2" t="s">
        <v>91</v>
      </c>
      <c r="K726" s="2" t="s">
        <v>13</v>
      </c>
      <c r="L726" s="2" t="s">
        <v>37</v>
      </c>
      <c r="M726" s="2" t="s">
        <v>44</v>
      </c>
      <c r="N726" s="2" t="s">
        <v>15</v>
      </c>
      <c r="O726" s="2" t="s">
        <v>201</v>
      </c>
      <c r="P726" s="2" t="s">
        <v>814</v>
      </c>
      <c r="Q726" s="2" t="s">
        <v>4926</v>
      </c>
      <c r="R726" s="2" t="s">
        <v>259</v>
      </c>
      <c r="S726" s="2" t="s">
        <v>4699</v>
      </c>
      <c r="T726" s="2" t="s">
        <v>4696</v>
      </c>
      <c r="U726" s="2" t="s">
        <v>12</v>
      </c>
      <c r="V726" s="2" t="s">
        <v>4795</v>
      </c>
      <c r="W726" s="2" t="s">
        <v>4984</v>
      </c>
      <c r="X726" s="2" t="s">
        <v>44</v>
      </c>
      <c r="Y726" s="2" t="s">
        <v>813</v>
      </c>
      <c r="Z726" s="2" t="s">
        <v>6336</v>
      </c>
      <c r="AA7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7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6" s="6" t="str">
        <f>IF(_xlfn.IFNA(INDEX(configuracoes!$A$2:$A$10,MATCH(base_tc_geral[[#This Row],[TIPO]],configuracoes!$A$2:$A$10,0)),"NÃO")="NÃO","NÃO","SIM")</f>
        <v>NÃO</v>
      </c>
    </row>
    <row r="727" spans="1:31" x14ac:dyDescent="0.25">
      <c r="A727" s="2" t="s">
        <v>1953</v>
      </c>
      <c r="B727" s="2">
        <v>109000943</v>
      </c>
      <c r="C727" s="2" t="s">
        <v>15</v>
      </c>
      <c r="D727" s="2" t="s">
        <v>4488</v>
      </c>
      <c r="E727" s="2" t="s">
        <v>86</v>
      </c>
      <c r="F727" s="2" t="s">
        <v>205</v>
      </c>
      <c r="G727" s="2" t="s">
        <v>245</v>
      </c>
      <c r="H727" s="2" t="s">
        <v>122</v>
      </c>
      <c r="I727" s="2" t="s">
        <v>33</v>
      </c>
      <c r="J727" s="2" t="s">
        <v>124</v>
      </c>
      <c r="K727" s="2" t="s">
        <v>20</v>
      </c>
      <c r="L727" s="2" t="s">
        <v>21</v>
      </c>
      <c r="M727" s="2" t="s">
        <v>22</v>
      </c>
      <c r="N727" s="2" t="s">
        <v>15</v>
      </c>
      <c r="O727" s="2" t="s">
        <v>129</v>
      </c>
      <c r="P727" s="2" t="s">
        <v>1955</v>
      </c>
      <c r="Q727" s="2" t="s">
        <v>4926</v>
      </c>
      <c r="R727" s="2" t="s">
        <v>206</v>
      </c>
      <c r="S727" s="2" t="s">
        <v>125</v>
      </c>
      <c r="T727" s="2" t="s">
        <v>4696</v>
      </c>
      <c r="U727" s="2" t="s">
        <v>12</v>
      </c>
      <c r="V727" s="2" t="s">
        <v>4771</v>
      </c>
      <c r="W727" s="2" t="s">
        <v>4931</v>
      </c>
      <c r="X727" s="2" t="s">
        <v>4925</v>
      </c>
      <c r="Y727" s="2" t="s">
        <v>1954</v>
      </c>
      <c r="Z727" s="2" t="s">
        <v>5583</v>
      </c>
      <c r="AA7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7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7" s="6" t="str">
        <f>IF(_xlfn.IFNA(INDEX(configuracoes!$A$2:$A$10,MATCH(base_tc_geral[[#This Row],[TIPO]],configuracoes!$A$2:$A$10,0)),"NÃO")="NÃO","NÃO","SIM")</f>
        <v>SIM</v>
      </c>
    </row>
    <row r="728" spans="1:31" x14ac:dyDescent="0.25">
      <c r="A728" s="2" t="s">
        <v>353</v>
      </c>
      <c r="B728" s="2">
        <v>109000943</v>
      </c>
      <c r="C728" s="2" t="s">
        <v>15</v>
      </c>
      <c r="D728" s="2" t="s">
        <v>4781</v>
      </c>
      <c r="E728" s="2" t="s">
        <v>86</v>
      </c>
      <c r="F728" s="2" t="s">
        <v>205</v>
      </c>
      <c r="G728" s="2" t="s">
        <v>89</v>
      </c>
      <c r="H728" s="2" t="s">
        <v>122</v>
      </c>
      <c r="I728" s="2" t="s">
        <v>33</v>
      </c>
      <c r="J728" s="2" t="s">
        <v>124</v>
      </c>
      <c r="K728" s="2" t="s">
        <v>92</v>
      </c>
      <c r="L728" s="2" t="s">
        <v>37</v>
      </c>
      <c r="M728" s="2" t="s">
        <v>44</v>
      </c>
      <c r="N728" s="2" t="s">
        <v>15</v>
      </c>
      <c r="O728" s="2" t="s">
        <v>129</v>
      </c>
      <c r="P728" s="2" t="s">
        <v>355</v>
      </c>
      <c r="Q728" s="2" t="s">
        <v>4926</v>
      </c>
      <c r="R728" s="2" t="s">
        <v>206</v>
      </c>
      <c r="S728" s="2" t="s">
        <v>125</v>
      </c>
      <c r="T728" s="2" t="s">
        <v>4696</v>
      </c>
      <c r="U728" s="2" t="s">
        <v>12</v>
      </c>
      <c r="V728" s="2" t="s">
        <v>4784</v>
      </c>
      <c r="W728" s="2" t="s">
        <v>4999</v>
      </c>
      <c r="X728" s="2" t="s">
        <v>44</v>
      </c>
      <c r="Y728" s="2" t="s">
        <v>354</v>
      </c>
      <c r="Z728" s="2" t="s">
        <v>5584</v>
      </c>
      <c r="AA7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7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28" s="6" t="str">
        <f>IF(_xlfn.IFNA(INDEX(configuracoes!$A$2:$A$10,MATCH(base_tc_geral[[#This Row],[TIPO]],configuracoes!$A$2:$A$10,0)),"NÃO")="NÃO","NÃO","SIM")</f>
        <v>NÃO</v>
      </c>
    </row>
    <row r="729" spans="1:31" x14ac:dyDescent="0.25">
      <c r="A729" s="2" t="s">
        <v>2012</v>
      </c>
      <c r="B729" s="2">
        <v>109000943</v>
      </c>
      <c r="C729" s="2" t="s">
        <v>24</v>
      </c>
      <c r="D729" s="2" t="s">
        <v>4768</v>
      </c>
      <c r="E729" s="2" t="s">
        <v>86</v>
      </c>
      <c r="F729" s="2" t="s">
        <v>205</v>
      </c>
      <c r="G729" s="2" t="s">
        <v>245</v>
      </c>
      <c r="H729" s="2" t="s">
        <v>122</v>
      </c>
      <c r="I729" s="2" t="s">
        <v>33</v>
      </c>
      <c r="J729" s="2" t="s">
        <v>124</v>
      </c>
      <c r="K729" s="2" t="s">
        <v>20</v>
      </c>
      <c r="L729" s="2" t="s">
        <v>21</v>
      </c>
      <c r="M729" s="2" t="s">
        <v>22</v>
      </c>
      <c r="N729" s="2" t="s">
        <v>24</v>
      </c>
      <c r="O729" s="2" t="s">
        <v>129</v>
      </c>
      <c r="P729" s="2" t="s">
        <v>2014</v>
      </c>
      <c r="Q729" s="2" t="s">
        <v>4926</v>
      </c>
      <c r="R729" s="2" t="s">
        <v>206</v>
      </c>
      <c r="S729" s="2" t="s">
        <v>125</v>
      </c>
      <c r="T729" s="2" t="s">
        <v>4696</v>
      </c>
      <c r="U729" s="2" t="s">
        <v>39</v>
      </c>
      <c r="V729" s="2" t="s">
        <v>4784</v>
      </c>
      <c r="W729" s="2" t="s">
        <v>4982</v>
      </c>
      <c r="X729" s="2" t="s">
        <v>4925</v>
      </c>
      <c r="Y729" s="2" t="s">
        <v>2013</v>
      </c>
      <c r="Z729" s="2" t="s">
        <v>5585</v>
      </c>
      <c r="AA7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7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29" s="6" t="str">
        <f>IF(_xlfn.IFNA(INDEX(configuracoes!$A$2:$A$10,MATCH(base_tc_geral[[#This Row],[TIPO]],configuracoes!$A$2:$A$10,0)),"NÃO")="NÃO","NÃO","SIM")</f>
        <v>SIM</v>
      </c>
    </row>
    <row r="730" spans="1:31" x14ac:dyDescent="0.25">
      <c r="A730" s="2" t="s">
        <v>456</v>
      </c>
      <c r="B730" s="2">
        <v>109506174</v>
      </c>
      <c r="C730" s="2" t="s">
        <v>15</v>
      </c>
      <c r="D730" s="2" t="s">
        <v>4590</v>
      </c>
      <c r="E730" s="2" t="s">
        <v>86</v>
      </c>
      <c r="F730" s="2" t="s">
        <v>459</v>
      </c>
      <c r="G730" s="2" t="s">
        <v>89</v>
      </c>
      <c r="H730" s="2" t="s">
        <v>458</v>
      </c>
      <c r="I730" s="2" t="s">
        <v>33</v>
      </c>
      <c r="J730" s="2" t="s">
        <v>91</v>
      </c>
      <c r="K730" s="2" t="s">
        <v>92</v>
      </c>
      <c r="L730" s="2" t="s">
        <v>37</v>
      </c>
      <c r="M730" s="2" t="s">
        <v>44</v>
      </c>
      <c r="N730" s="2" t="s">
        <v>15</v>
      </c>
      <c r="O730" s="2" t="s">
        <v>461</v>
      </c>
      <c r="P730" s="2" t="s">
        <v>460</v>
      </c>
      <c r="Q730" s="2" t="s">
        <v>4926</v>
      </c>
      <c r="R730" s="2" t="s">
        <v>2782</v>
      </c>
      <c r="S730" s="2" t="s">
        <v>93</v>
      </c>
      <c r="T730" s="2" t="s">
        <v>4696</v>
      </c>
      <c r="U730" s="2" t="s">
        <v>12</v>
      </c>
      <c r="V730" s="2" t="s">
        <v>4796</v>
      </c>
      <c r="W730" s="2" t="s">
        <v>4999</v>
      </c>
      <c r="X730" s="2" t="s">
        <v>44</v>
      </c>
      <c r="Y730" s="2" t="s">
        <v>457</v>
      </c>
      <c r="Z730" s="2" t="s">
        <v>5586</v>
      </c>
      <c r="AA7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7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0" s="6" t="str">
        <f>IF(_xlfn.IFNA(INDEX(configuracoes!$A$2:$A$10,MATCH(base_tc_geral[[#This Row],[TIPO]],configuracoes!$A$2:$A$10,0)),"NÃO")="NÃO","NÃO","SIM")</f>
        <v>NÃO</v>
      </c>
    </row>
    <row r="731" spans="1:31" x14ac:dyDescent="0.25">
      <c r="A731" s="2" t="s">
        <v>933</v>
      </c>
      <c r="B731" s="2">
        <v>109000017</v>
      </c>
      <c r="C731" s="2" t="s">
        <v>15</v>
      </c>
      <c r="D731" s="2" t="s">
        <v>4484</v>
      </c>
      <c r="E731" s="2" t="s">
        <v>86</v>
      </c>
      <c r="F731" s="2" t="s">
        <v>211</v>
      </c>
      <c r="G731" s="2" t="s">
        <v>89</v>
      </c>
      <c r="H731" s="2" t="s">
        <v>210</v>
      </c>
      <c r="I731" s="2" t="s">
        <v>33</v>
      </c>
      <c r="J731" s="2" t="s">
        <v>124</v>
      </c>
      <c r="K731" s="2" t="s">
        <v>92</v>
      </c>
      <c r="L731" s="2" t="s">
        <v>37</v>
      </c>
      <c r="M731" s="2" t="s">
        <v>44</v>
      </c>
      <c r="N731" s="2" t="s">
        <v>15</v>
      </c>
      <c r="O731" s="2" t="s">
        <v>214</v>
      </c>
      <c r="P731" s="2" t="s">
        <v>935</v>
      </c>
      <c r="Q731" s="2" t="s">
        <v>4926</v>
      </c>
      <c r="R731" s="2" t="s">
        <v>212</v>
      </c>
      <c r="S731" s="2" t="s">
        <v>93</v>
      </c>
      <c r="T731" s="2" t="s">
        <v>4696</v>
      </c>
      <c r="U731" s="2" t="s">
        <v>12</v>
      </c>
      <c r="V731" s="2" t="s">
        <v>4820</v>
      </c>
      <c r="W731" s="2" t="s">
        <v>5013</v>
      </c>
      <c r="X731" s="2" t="s">
        <v>44</v>
      </c>
      <c r="Y731" s="2" t="s">
        <v>934</v>
      </c>
      <c r="Z731" s="2" t="s">
        <v>5850</v>
      </c>
      <c r="AA7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7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1" s="6" t="str">
        <f>IF(_xlfn.IFNA(INDEX(configuracoes!$A$2:$A$10,MATCH(base_tc_geral[[#This Row],[TIPO]],configuracoes!$A$2:$A$10,0)),"NÃO")="NÃO","NÃO","SIM")</f>
        <v>NÃO</v>
      </c>
    </row>
    <row r="732" spans="1:31" x14ac:dyDescent="0.25">
      <c r="A732" s="2" t="s">
        <v>3998</v>
      </c>
      <c r="B732" s="2">
        <v>109000340</v>
      </c>
      <c r="C732" s="2" t="s">
        <v>15</v>
      </c>
      <c r="D732" s="2" t="s">
        <v>4506</v>
      </c>
      <c r="E732" s="2" t="s">
        <v>86</v>
      </c>
      <c r="F732" s="2" t="s">
        <v>88</v>
      </c>
      <c r="G732" s="2" t="s">
        <v>58</v>
      </c>
      <c r="H732" s="2" t="s">
        <v>87</v>
      </c>
      <c r="I732" s="2" t="s">
        <v>33</v>
      </c>
      <c r="J732" s="2" t="s">
        <v>91</v>
      </c>
      <c r="K732" s="2" t="s">
        <v>92</v>
      </c>
      <c r="L732" s="2" t="s">
        <v>61</v>
      </c>
      <c r="M732" s="2" t="s">
        <v>44</v>
      </c>
      <c r="N732" s="2" t="s">
        <v>15</v>
      </c>
      <c r="O732" s="2" t="s">
        <v>95</v>
      </c>
      <c r="P732" s="2" t="s">
        <v>4000</v>
      </c>
      <c r="Q732" s="2" t="s">
        <v>4926</v>
      </c>
      <c r="R732" s="2" t="s">
        <v>90</v>
      </c>
      <c r="S732" s="2" t="s">
        <v>93</v>
      </c>
      <c r="T732" s="2" t="s">
        <v>4696</v>
      </c>
      <c r="U732" s="2" t="s">
        <v>12</v>
      </c>
      <c r="V732" s="2" t="s">
        <v>4796</v>
      </c>
      <c r="W732" s="2" t="s">
        <v>5013</v>
      </c>
      <c r="X732" s="2" t="s">
        <v>44</v>
      </c>
      <c r="Y732" s="2" t="s">
        <v>3999</v>
      </c>
      <c r="Z732" s="2" t="s">
        <v>5851</v>
      </c>
      <c r="AA7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7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2" s="6" t="str">
        <f>IF(_xlfn.IFNA(INDEX(configuracoes!$A$2:$A$10,MATCH(base_tc_geral[[#This Row],[TIPO]],configuracoes!$A$2:$A$10,0)),"NÃO")="NÃO","NÃO","SIM")</f>
        <v>NÃO</v>
      </c>
    </row>
    <row r="733" spans="1:31" x14ac:dyDescent="0.25">
      <c r="A733" s="2" t="s">
        <v>2571</v>
      </c>
      <c r="B733" s="2">
        <v>109505858</v>
      </c>
      <c r="C733" s="2" t="s">
        <v>15</v>
      </c>
      <c r="D733" s="2" t="s">
        <v>4515</v>
      </c>
      <c r="E733" s="2" t="s">
        <v>86</v>
      </c>
      <c r="F733" s="2" t="s">
        <v>218</v>
      </c>
      <c r="G733" s="2" t="s">
        <v>172</v>
      </c>
      <c r="H733" s="2" t="s">
        <v>217</v>
      </c>
      <c r="I733" s="2" t="s">
        <v>33</v>
      </c>
      <c r="J733" s="2" t="s">
        <v>91</v>
      </c>
      <c r="K733" s="2" t="s">
        <v>13</v>
      </c>
      <c r="L733" s="2" t="s">
        <v>17</v>
      </c>
      <c r="M733" s="2" t="s">
        <v>22</v>
      </c>
      <c r="N733" s="2" t="s">
        <v>15</v>
      </c>
      <c r="O733" s="2" t="s">
        <v>221</v>
      </c>
      <c r="P733" s="2" t="s">
        <v>2573</v>
      </c>
      <c r="Q733" s="2" t="s">
        <v>4926</v>
      </c>
      <c r="R733" s="2" t="s">
        <v>1466</v>
      </c>
      <c r="S733" s="2" t="s">
        <v>93</v>
      </c>
      <c r="T733" s="2" t="s">
        <v>4696</v>
      </c>
      <c r="U733" s="2" t="s">
        <v>12</v>
      </c>
      <c r="V733" s="2" t="s">
        <v>4802</v>
      </c>
      <c r="W733" s="2" t="s">
        <v>17</v>
      </c>
      <c r="X733" s="2" t="s">
        <v>4925</v>
      </c>
      <c r="Y733" s="2" t="s">
        <v>2572</v>
      </c>
      <c r="Z733" s="2" t="s">
        <v>5852</v>
      </c>
      <c r="AA7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7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3" s="6" t="str">
        <f>IF(_xlfn.IFNA(INDEX(configuracoes!$A$2:$A$10,MATCH(base_tc_geral[[#This Row],[TIPO]],configuracoes!$A$2:$A$10,0)),"NÃO")="NÃO","NÃO","SIM")</f>
        <v>NÃO</v>
      </c>
    </row>
    <row r="734" spans="1:31" x14ac:dyDescent="0.25">
      <c r="A734" s="2" t="s">
        <v>4238</v>
      </c>
      <c r="B734" s="2">
        <v>101005241</v>
      </c>
      <c r="C734" s="2" t="s">
        <v>15</v>
      </c>
      <c r="D734" s="2" t="s">
        <v>4621</v>
      </c>
      <c r="E734" s="2" t="s">
        <v>47</v>
      </c>
      <c r="F734" s="2" t="s">
        <v>2862</v>
      </c>
      <c r="G734" s="2" t="s">
        <v>99</v>
      </c>
      <c r="H734" s="2" t="s">
        <v>141</v>
      </c>
      <c r="I734" s="2" t="s">
        <v>16</v>
      </c>
      <c r="J734" s="2" t="s">
        <v>141</v>
      </c>
      <c r="K734" s="2" t="s">
        <v>20</v>
      </c>
      <c r="L734" s="2" t="s">
        <v>25</v>
      </c>
      <c r="M734" s="2" t="s">
        <v>22</v>
      </c>
      <c r="N734" s="2" t="s">
        <v>15</v>
      </c>
      <c r="O734" s="2" t="s">
        <v>145</v>
      </c>
      <c r="P734" s="2" t="s">
        <v>4240</v>
      </c>
      <c r="Q734" s="2" t="s">
        <v>4926</v>
      </c>
      <c r="R734" s="2" t="s">
        <v>143</v>
      </c>
      <c r="S734" s="2" t="s">
        <v>4698</v>
      </c>
      <c r="T734" s="2" t="s">
        <v>4697</v>
      </c>
      <c r="U734" s="2" t="s">
        <v>12</v>
      </c>
      <c r="V734" s="2" t="s">
        <v>4845</v>
      </c>
      <c r="W734" s="2" t="s">
        <v>4982</v>
      </c>
      <c r="X734" s="2" t="s">
        <v>4925</v>
      </c>
      <c r="Y734" s="2" t="s">
        <v>4239</v>
      </c>
      <c r="Z734" s="2" t="s">
        <v>6337</v>
      </c>
      <c r="AA7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7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4" s="6" t="str">
        <f>IF(_xlfn.IFNA(INDEX(configuracoes!$A$2:$A$10,MATCH(base_tc_geral[[#This Row],[TIPO]],configuracoes!$A$2:$A$10,0)),"NÃO")="NÃO","NÃO","SIM")</f>
        <v>SIM</v>
      </c>
    </row>
    <row r="735" spans="1:31" x14ac:dyDescent="0.25">
      <c r="A735" s="2" t="s">
        <v>4022</v>
      </c>
      <c r="B735" s="2">
        <v>109000340</v>
      </c>
      <c r="C735" s="2" t="s">
        <v>15</v>
      </c>
      <c r="D735" s="2" t="s">
        <v>4516</v>
      </c>
      <c r="E735" s="2" t="s">
        <v>86</v>
      </c>
      <c r="F735" s="2" t="s">
        <v>1320</v>
      </c>
      <c r="G735" s="2" t="s">
        <v>630</v>
      </c>
      <c r="H735" s="2" t="s">
        <v>1321</v>
      </c>
      <c r="I735" s="2" t="s">
        <v>33</v>
      </c>
      <c r="J735" s="2" t="s">
        <v>91</v>
      </c>
      <c r="K735" s="2" t="s">
        <v>20</v>
      </c>
      <c r="L735" s="2" t="s">
        <v>21</v>
      </c>
      <c r="M735" s="2" t="s">
        <v>22</v>
      </c>
      <c r="N735" s="2" t="s">
        <v>15</v>
      </c>
      <c r="O735" s="2" t="s">
        <v>1322</v>
      </c>
      <c r="P735" s="2" t="s">
        <v>4024</v>
      </c>
      <c r="Q735" s="2" t="s">
        <v>4926</v>
      </c>
      <c r="R735" s="2" t="s">
        <v>90</v>
      </c>
      <c r="S735" s="2" t="s">
        <v>93</v>
      </c>
      <c r="T735" s="2" t="s">
        <v>4696</v>
      </c>
      <c r="U735" s="2" t="s">
        <v>12</v>
      </c>
      <c r="V735" s="2" t="s">
        <v>4898</v>
      </c>
      <c r="W735" s="2" t="s">
        <v>4982</v>
      </c>
      <c r="X735" s="2" t="s">
        <v>4925</v>
      </c>
      <c r="Y735" s="2" t="s">
        <v>4023</v>
      </c>
      <c r="Z735" s="2" t="s">
        <v>6338</v>
      </c>
      <c r="AA7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7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5" s="6" t="str">
        <f>IF(_xlfn.IFNA(INDEX(configuracoes!$A$2:$A$10,MATCH(base_tc_geral[[#This Row],[TIPO]],configuracoes!$A$2:$A$10,0)),"NÃO")="NÃO","NÃO","SIM")</f>
        <v>SIM</v>
      </c>
    </row>
    <row r="736" spans="1:31" x14ac:dyDescent="0.25">
      <c r="A736" s="2" t="s">
        <v>2815</v>
      </c>
      <c r="B736" s="2">
        <v>101008134</v>
      </c>
      <c r="C736" s="2" t="s">
        <v>15</v>
      </c>
      <c r="D736" s="2" t="s">
        <v>4486</v>
      </c>
      <c r="E736" s="2" t="s">
        <v>47</v>
      </c>
      <c r="F736" s="2" t="s">
        <v>368</v>
      </c>
      <c r="G736" s="2" t="s">
        <v>89</v>
      </c>
      <c r="H736" s="2" t="s">
        <v>227</v>
      </c>
      <c r="I736" s="2" t="s">
        <v>16</v>
      </c>
      <c r="J736" s="2" t="s">
        <v>227</v>
      </c>
      <c r="K736" s="2" t="s">
        <v>13</v>
      </c>
      <c r="L736" s="2" t="s">
        <v>37</v>
      </c>
      <c r="M736" s="2" t="s">
        <v>74</v>
      </c>
      <c r="N736" s="2" t="s">
        <v>15</v>
      </c>
      <c r="O736" s="2" t="s">
        <v>271</v>
      </c>
      <c r="P736" s="2" t="s">
        <v>2817</v>
      </c>
      <c r="Q736" s="2" t="s">
        <v>4926</v>
      </c>
      <c r="R736" s="2" t="s">
        <v>351</v>
      </c>
      <c r="S736" s="2" t="s">
        <v>101</v>
      </c>
      <c r="T736" s="2" t="s">
        <v>4697</v>
      </c>
      <c r="U736" s="2" t="s">
        <v>12</v>
      </c>
      <c r="V736" s="2" t="s">
        <v>4834</v>
      </c>
      <c r="W736" s="2" t="s">
        <v>4999</v>
      </c>
      <c r="X736" s="2" t="s">
        <v>74</v>
      </c>
      <c r="Y736" s="2" t="s">
        <v>2816</v>
      </c>
      <c r="Z736" s="2" t="s">
        <v>6339</v>
      </c>
      <c r="AA7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7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6" s="6" t="str">
        <f>IF(_xlfn.IFNA(INDEX(configuracoes!$A$2:$A$10,MATCH(base_tc_geral[[#This Row],[TIPO]],configuracoes!$A$2:$A$10,0)),"NÃO")="NÃO","NÃO","SIM")</f>
        <v>NÃO</v>
      </c>
    </row>
    <row r="737" spans="1:31" x14ac:dyDescent="0.25">
      <c r="A737" s="2" t="s">
        <v>3325</v>
      </c>
      <c r="B737" s="2">
        <v>101001488</v>
      </c>
      <c r="C737" s="2" t="s">
        <v>15</v>
      </c>
      <c r="D737" s="2" t="s">
        <v>4543</v>
      </c>
      <c r="E737" s="2" t="s">
        <v>47</v>
      </c>
      <c r="F737" s="2" t="s">
        <v>251</v>
      </c>
      <c r="G737" s="2" t="s">
        <v>648</v>
      </c>
      <c r="H737" s="2" t="s">
        <v>224</v>
      </c>
      <c r="I737" s="2" t="s">
        <v>16</v>
      </c>
      <c r="J737" s="2" t="s">
        <v>227</v>
      </c>
      <c r="K737" s="2" t="s">
        <v>20</v>
      </c>
      <c r="L737" s="2" t="s">
        <v>25</v>
      </c>
      <c r="M737" s="2" t="s">
        <v>22</v>
      </c>
      <c r="N737" s="2" t="s">
        <v>15</v>
      </c>
      <c r="O737" s="2" t="s">
        <v>229</v>
      </c>
      <c r="P737" s="2" t="s">
        <v>3327</v>
      </c>
      <c r="Q737" s="2" t="s">
        <v>4926</v>
      </c>
      <c r="R737" s="2" t="s">
        <v>252</v>
      </c>
      <c r="S737" s="2" t="s">
        <v>101</v>
      </c>
      <c r="T737" s="2" t="s">
        <v>4697</v>
      </c>
      <c r="U737" s="2" t="s">
        <v>12</v>
      </c>
      <c r="V737" s="2" t="s">
        <v>4866</v>
      </c>
      <c r="W737" s="2" t="s">
        <v>4931</v>
      </c>
      <c r="X737" s="2" t="s">
        <v>4925</v>
      </c>
      <c r="Y737" s="2" t="s">
        <v>3326</v>
      </c>
      <c r="Z737" s="2" t="s">
        <v>6340</v>
      </c>
      <c r="AA7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7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7" s="6" t="str">
        <f>IF(_xlfn.IFNA(INDEX(configuracoes!$A$2:$A$10,MATCH(base_tc_geral[[#This Row],[TIPO]],configuracoes!$A$2:$A$10,0)),"NÃO")="NÃO","NÃO","SIM")</f>
        <v>SIM</v>
      </c>
    </row>
    <row r="738" spans="1:31" x14ac:dyDescent="0.25">
      <c r="A738" s="2" t="s">
        <v>2932</v>
      </c>
      <c r="B738" s="2">
        <v>109506032</v>
      </c>
      <c r="C738" s="2" t="s">
        <v>15</v>
      </c>
      <c r="D738" s="2" t="s">
        <v>4541</v>
      </c>
      <c r="E738" s="2" t="s">
        <v>86</v>
      </c>
      <c r="F738" s="2" t="s">
        <v>505</v>
      </c>
      <c r="G738" s="2" t="s">
        <v>245</v>
      </c>
      <c r="H738" s="2" t="s">
        <v>164</v>
      </c>
      <c r="I738" s="2" t="s">
        <v>33</v>
      </c>
      <c r="J738" s="2" t="s">
        <v>124</v>
      </c>
      <c r="K738" s="2" t="s">
        <v>20</v>
      </c>
      <c r="L738" s="2" t="s">
        <v>21</v>
      </c>
      <c r="M738" s="2" t="s">
        <v>22</v>
      </c>
      <c r="N738" s="2" t="s">
        <v>15</v>
      </c>
      <c r="O738" s="2" t="s">
        <v>169</v>
      </c>
      <c r="P738" s="2" t="s">
        <v>2934</v>
      </c>
      <c r="Q738" s="2" t="s">
        <v>4926</v>
      </c>
      <c r="R738" s="2" t="s">
        <v>2892</v>
      </c>
      <c r="S738" s="2" t="s">
        <v>93</v>
      </c>
      <c r="T738" s="2" t="s">
        <v>4696</v>
      </c>
      <c r="U738" s="2" t="s">
        <v>12</v>
      </c>
      <c r="V738" s="2" t="s">
        <v>4785</v>
      </c>
      <c r="W738" s="2" t="s">
        <v>4982</v>
      </c>
      <c r="X738" s="2" t="s">
        <v>4925</v>
      </c>
      <c r="Y738" s="2" t="s">
        <v>2933</v>
      </c>
      <c r="Z738" s="2" t="s">
        <v>6341</v>
      </c>
      <c r="AA7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7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8" s="6" t="str">
        <f>IF(_xlfn.IFNA(INDEX(configuracoes!$A$2:$A$10,MATCH(base_tc_geral[[#This Row],[TIPO]],configuracoes!$A$2:$A$10,0)),"NÃO")="NÃO","NÃO","SIM")</f>
        <v>SIM</v>
      </c>
    </row>
    <row r="739" spans="1:31" x14ac:dyDescent="0.25">
      <c r="A739" s="2" t="s">
        <v>1903</v>
      </c>
      <c r="B739" s="2">
        <v>109000017</v>
      </c>
      <c r="C739" s="2" t="s">
        <v>15</v>
      </c>
      <c r="D739" s="2" t="s">
        <v>4499</v>
      </c>
      <c r="E739" s="2" t="s">
        <v>86</v>
      </c>
      <c r="F739" s="2" t="s">
        <v>298</v>
      </c>
      <c r="G739" s="2" t="s">
        <v>245</v>
      </c>
      <c r="H739" s="2" t="s">
        <v>210</v>
      </c>
      <c r="I739" s="2" t="s">
        <v>33</v>
      </c>
      <c r="J739" s="2" t="s">
        <v>124</v>
      </c>
      <c r="K739" s="2" t="s">
        <v>20</v>
      </c>
      <c r="L739" s="2" t="s">
        <v>21</v>
      </c>
      <c r="M739" s="2" t="s">
        <v>22</v>
      </c>
      <c r="N739" s="2" t="s">
        <v>15</v>
      </c>
      <c r="O739" s="2" t="s">
        <v>214</v>
      </c>
      <c r="P739" s="2" t="s">
        <v>1905</v>
      </c>
      <c r="Q739" s="2" t="s">
        <v>4926</v>
      </c>
      <c r="R739" s="2" t="s">
        <v>212</v>
      </c>
      <c r="S739" s="2" t="s">
        <v>93</v>
      </c>
      <c r="T739" s="2" t="s">
        <v>4696</v>
      </c>
      <c r="U739" s="2" t="s">
        <v>12</v>
      </c>
      <c r="V739" s="2" t="s">
        <v>4794</v>
      </c>
      <c r="W739" s="2" t="s">
        <v>4982</v>
      </c>
      <c r="X739" s="2" t="s">
        <v>4925</v>
      </c>
      <c r="Y739" s="2" t="s">
        <v>1904</v>
      </c>
      <c r="Z739" s="2" t="s">
        <v>6342</v>
      </c>
      <c r="AA7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7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39" s="6" t="str">
        <f>IF(_xlfn.IFNA(INDEX(configuracoes!$A$2:$A$10,MATCH(base_tc_geral[[#This Row],[TIPO]],configuracoes!$A$2:$A$10,0)),"NÃO")="NÃO","NÃO","SIM")</f>
        <v>SIM</v>
      </c>
    </row>
    <row r="740" spans="1:31" x14ac:dyDescent="0.25">
      <c r="A740" s="2" t="s">
        <v>1794</v>
      </c>
      <c r="B740" s="2">
        <v>109504369</v>
      </c>
      <c r="C740" s="2" t="s">
        <v>15</v>
      </c>
      <c r="D740" s="2" t="s">
        <v>4484</v>
      </c>
      <c r="E740" s="2" t="s">
        <v>86</v>
      </c>
      <c r="F740" s="2" t="s">
        <v>459</v>
      </c>
      <c r="G740" s="2" t="s">
        <v>58</v>
      </c>
      <c r="H740" s="2" t="s">
        <v>458</v>
      </c>
      <c r="I740" s="2" t="s">
        <v>33</v>
      </c>
      <c r="J740" s="2" t="s">
        <v>91</v>
      </c>
      <c r="K740" s="2" t="s">
        <v>13</v>
      </c>
      <c r="L740" s="2" t="s">
        <v>61</v>
      </c>
      <c r="M740" s="2" t="s">
        <v>44</v>
      </c>
      <c r="N740" s="2" t="s">
        <v>15</v>
      </c>
      <c r="O740" s="2" t="s">
        <v>461</v>
      </c>
      <c r="P740" s="2" t="s">
        <v>1796</v>
      </c>
      <c r="Q740" s="2" t="s">
        <v>4926</v>
      </c>
      <c r="R740" s="2" t="s">
        <v>829</v>
      </c>
      <c r="S740" s="2" t="s">
        <v>4699</v>
      </c>
      <c r="T740" s="2" t="s">
        <v>4696</v>
      </c>
      <c r="U740" s="2" t="s">
        <v>12</v>
      </c>
      <c r="V740" s="2" t="s">
        <v>4904</v>
      </c>
      <c r="W740" s="2" t="s">
        <v>4984</v>
      </c>
      <c r="X740" s="2" t="s">
        <v>44</v>
      </c>
      <c r="Y740" s="2" t="s">
        <v>1795</v>
      </c>
      <c r="Z740" s="2" t="s">
        <v>6343</v>
      </c>
      <c r="AA7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7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0" s="6" t="str">
        <f>IF(_xlfn.IFNA(INDEX(configuracoes!$A$2:$A$10,MATCH(base_tc_geral[[#This Row],[TIPO]],configuracoes!$A$2:$A$10,0)),"NÃO")="NÃO","NÃO","SIM")</f>
        <v>NÃO</v>
      </c>
    </row>
    <row r="741" spans="1:31" x14ac:dyDescent="0.25">
      <c r="A741" s="2" t="s">
        <v>2300</v>
      </c>
      <c r="B741" s="2">
        <v>109000340</v>
      </c>
      <c r="C741" s="2" t="s">
        <v>15</v>
      </c>
      <c r="D741" s="2" t="s">
        <v>4584</v>
      </c>
      <c r="E741" s="2" t="s">
        <v>86</v>
      </c>
      <c r="F741" s="2" t="s">
        <v>88</v>
      </c>
      <c r="G741" s="2" t="s">
        <v>172</v>
      </c>
      <c r="H741" s="2" t="s">
        <v>87</v>
      </c>
      <c r="I741" s="2" t="s">
        <v>33</v>
      </c>
      <c r="J741" s="2" t="s">
        <v>91</v>
      </c>
      <c r="K741" s="2" t="s">
        <v>13</v>
      </c>
      <c r="L741" s="2" t="s">
        <v>17</v>
      </c>
      <c r="M741" s="2" t="s">
        <v>18</v>
      </c>
      <c r="N741" s="2" t="s">
        <v>15</v>
      </c>
      <c r="O741" s="2" t="s">
        <v>95</v>
      </c>
      <c r="P741" s="2" t="s">
        <v>2302</v>
      </c>
      <c r="Q741" s="2" t="s">
        <v>4926</v>
      </c>
      <c r="R741" s="2" t="s">
        <v>90</v>
      </c>
      <c r="S741" s="2" t="s">
        <v>93</v>
      </c>
      <c r="T741" s="2" t="s">
        <v>4696</v>
      </c>
      <c r="U741" s="2" t="s">
        <v>12</v>
      </c>
      <c r="V741" s="2" t="s">
        <v>4796</v>
      </c>
      <c r="W741" s="2" t="s">
        <v>4982</v>
      </c>
      <c r="X741" s="2" t="s">
        <v>4998</v>
      </c>
      <c r="Y741" s="2" t="s">
        <v>2301</v>
      </c>
      <c r="Z741" s="2" t="s">
        <v>6344</v>
      </c>
      <c r="AA7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7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1" s="6" t="str">
        <f>IF(_xlfn.IFNA(INDEX(configuracoes!$A$2:$A$10,MATCH(base_tc_geral[[#This Row],[TIPO]],configuracoes!$A$2:$A$10,0)),"NÃO")="NÃO","NÃO","SIM")</f>
        <v>NÃO</v>
      </c>
    </row>
    <row r="742" spans="1:31" x14ac:dyDescent="0.25">
      <c r="A742" s="2" t="s">
        <v>3527</v>
      </c>
      <c r="B742" s="2">
        <v>102101634</v>
      </c>
      <c r="C742" s="2" t="s">
        <v>146</v>
      </c>
      <c r="D742" s="2" t="s">
        <v>4578</v>
      </c>
      <c r="E742" s="2" t="s">
        <v>106</v>
      </c>
      <c r="F742" s="2" t="s">
        <v>509</v>
      </c>
      <c r="G742" s="2" t="s">
        <v>711</v>
      </c>
      <c r="H742" s="2" t="s">
        <v>130</v>
      </c>
      <c r="I742" s="2" t="s">
        <v>33</v>
      </c>
      <c r="J742" s="2" t="s">
        <v>109</v>
      </c>
      <c r="K742" s="2" t="s">
        <v>13</v>
      </c>
      <c r="L742" s="2" t="s">
        <v>126</v>
      </c>
      <c r="M742" s="2" t="s">
        <v>22</v>
      </c>
      <c r="N742" s="2" t="s">
        <v>146</v>
      </c>
      <c r="O742" s="2" t="s">
        <v>132</v>
      </c>
      <c r="P742" s="2" t="s">
        <v>3529</v>
      </c>
      <c r="Q742" s="2" t="s">
        <v>4926</v>
      </c>
      <c r="R742" s="2" t="s">
        <v>406</v>
      </c>
      <c r="S742" s="2" t="s">
        <v>736</v>
      </c>
      <c r="T742" s="2" t="s">
        <v>167</v>
      </c>
      <c r="U742" s="2" t="s">
        <v>39</v>
      </c>
      <c r="V742" s="2" t="s">
        <v>4772</v>
      </c>
      <c r="W742" s="2" t="s">
        <v>4982</v>
      </c>
      <c r="X742" s="2" t="s">
        <v>4925</v>
      </c>
      <c r="Y742" s="2" t="s">
        <v>3528</v>
      </c>
      <c r="Z742" s="2" t="s">
        <v>6345</v>
      </c>
      <c r="AA7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7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742" s="6" t="str">
        <f>IF(_xlfn.IFNA(INDEX(configuracoes!$A$2:$A$10,MATCH(base_tc_geral[[#This Row],[TIPO]],configuracoes!$A$2:$A$10,0)),"NÃO")="NÃO","NÃO","SIM")</f>
        <v>SIM</v>
      </c>
    </row>
    <row r="743" spans="1:31" x14ac:dyDescent="0.25">
      <c r="A743" s="2" t="s">
        <v>2725</v>
      </c>
      <c r="B743" s="2">
        <v>101008134</v>
      </c>
      <c r="C743" s="2" t="s">
        <v>24</v>
      </c>
      <c r="D743" s="2" t="s">
        <v>4482</v>
      </c>
      <c r="E743" s="2" t="s">
        <v>47</v>
      </c>
      <c r="F743" s="2" t="s">
        <v>368</v>
      </c>
      <c r="G743" s="2" t="s">
        <v>245</v>
      </c>
      <c r="H743" s="2" t="s">
        <v>227</v>
      </c>
      <c r="I743" s="2" t="s">
        <v>16</v>
      </c>
      <c r="J743" s="2" t="s">
        <v>227</v>
      </c>
      <c r="K743" s="2" t="s">
        <v>20</v>
      </c>
      <c r="L743" s="2" t="s">
        <v>21</v>
      </c>
      <c r="M743" s="2" t="s">
        <v>22</v>
      </c>
      <c r="N743" s="2" t="s">
        <v>24</v>
      </c>
      <c r="O743" s="2" t="s">
        <v>271</v>
      </c>
      <c r="P743" s="2" t="s">
        <v>2727</v>
      </c>
      <c r="Q743" s="2" t="s">
        <v>4926</v>
      </c>
      <c r="R743" s="2" t="s">
        <v>351</v>
      </c>
      <c r="S743" s="2" t="s">
        <v>101</v>
      </c>
      <c r="T743" s="2" t="s">
        <v>4697</v>
      </c>
      <c r="U743" s="2" t="s">
        <v>39</v>
      </c>
      <c r="V743" s="2" t="s">
        <v>4834</v>
      </c>
      <c r="W743" s="2" t="s">
        <v>4982</v>
      </c>
      <c r="X743" s="2" t="s">
        <v>4925</v>
      </c>
      <c r="Y743" s="2" t="s">
        <v>2726</v>
      </c>
      <c r="Z743" s="2" t="s">
        <v>6346</v>
      </c>
      <c r="AA7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7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43" s="6" t="str">
        <f>IF(_xlfn.IFNA(INDEX(configuracoes!$A$2:$A$10,MATCH(base_tc_geral[[#This Row],[TIPO]],configuracoes!$A$2:$A$10,0)),"NÃO")="NÃO","NÃO","SIM")</f>
        <v>SIM</v>
      </c>
    </row>
    <row r="744" spans="1:31" x14ac:dyDescent="0.25">
      <c r="A744" s="2" t="s">
        <v>608</v>
      </c>
      <c r="B744" s="2">
        <v>109505149</v>
      </c>
      <c r="C744" s="2" t="s">
        <v>15</v>
      </c>
      <c r="D744" s="2" t="s">
        <v>4544</v>
      </c>
      <c r="E744" s="2" t="s">
        <v>86</v>
      </c>
      <c r="F744" s="2" t="s">
        <v>540</v>
      </c>
      <c r="G744" s="2" t="s">
        <v>99</v>
      </c>
      <c r="H744" s="2" t="s">
        <v>283</v>
      </c>
      <c r="I744" s="2" t="s">
        <v>33</v>
      </c>
      <c r="J744" s="2" t="s">
        <v>124</v>
      </c>
      <c r="K744" s="2" t="s">
        <v>13</v>
      </c>
      <c r="L744" s="2" t="s">
        <v>25</v>
      </c>
      <c r="M744" s="2" t="s">
        <v>22</v>
      </c>
      <c r="N744" s="2" t="s">
        <v>15</v>
      </c>
      <c r="O744" s="2" t="s">
        <v>287</v>
      </c>
      <c r="P744" s="2" t="s">
        <v>610</v>
      </c>
      <c r="Q744" s="2" t="s">
        <v>4926</v>
      </c>
      <c r="R744" s="2" t="s">
        <v>125</v>
      </c>
      <c r="S744" s="2" t="s">
        <v>125</v>
      </c>
      <c r="T744" s="2" t="s">
        <v>4696</v>
      </c>
      <c r="U744" s="2" t="s">
        <v>12</v>
      </c>
      <c r="V744" s="2" t="s">
        <v>4765</v>
      </c>
      <c r="W744" s="2" t="s">
        <v>4982</v>
      </c>
      <c r="X744" s="2" t="s">
        <v>4925</v>
      </c>
      <c r="Y744" s="2" t="s">
        <v>609</v>
      </c>
      <c r="Z744" s="2" t="s">
        <v>6347</v>
      </c>
      <c r="AA7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VINICIUS </v>
      </c>
      <c r="AB7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4" s="6" t="str">
        <f>IF(_xlfn.IFNA(INDEX(configuracoes!$A$2:$A$10,MATCH(base_tc_geral[[#This Row],[TIPO]],configuracoes!$A$2:$A$10,0)),"NÃO")="NÃO","NÃO","SIM")</f>
        <v>SIM</v>
      </c>
    </row>
    <row r="745" spans="1:31" x14ac:dyDescent="0.25">
      <c r="A745" s="2" t="s">
        <v>1161</v>
      </c>
      <c r="B745" s="2">
        <v>101006255</v>
      </c>
      <c r="C745" s="2" t="s">
        <v>15</v>
      </c>
      <c r="D745" s="2" t="s">
        <v>4598</v>
      </c>
      <c r="E745" s="2" t="s">
        <v>47</v>
      </c>
      <c r="F745" s="2" t="s">
        <v>1112</v>
      </c>
      <c r="G745" s="2" t="s">
        <v>245</v>
      </c>
      <c r="H745" s="2" t="s">
        <v>224</v>
      </c>
      <c r="I745" s="2" t="s">
        <v>16</v>
      </c>
      <c r="J745" s="2" t="s">
        <v>227</v>
      </c>
      <c r="K745" s="2" t="s">
        <v>20</v>
      </c>
      <c r="L745" s="2" t="s">
        <v>21</v>
      </c>
      <c r="M745" s="2" t="s">
        <v>22</v>
      </c>
      <c r="N745" s="2" t="s">
        <v>15</v>
      </c>
      <c r="O745" s="2" t="s">
        <v>229</v>
      </c>
      <c r="P745" s="2" t="s">
        <v>1163</v>
      </c>
      <c r="Q745" s="2" t="s">
        <v>4926</v>
      </c>
      <c r="R745" s="2" t="s">
        <v>369</v>
      </c>
      <c r="S745" s="2" t="s">
        <v>4698</v>
      </c>
      <c r="T745" s="2" t="s">
        <v>4697</v>
      </c>
      <c r="U745" s="2" t="s">
        <v>12</v>
      </c>
      <c r="V745" s="2" t="s">
        <v>4817</v>
      </c>
      <c r="W745" s="2" t="s">
        <v>4982</v>
      </c>
      <c r="X745" s="2" t="s">
        <v>4925</v>
      </c>
      <c r="Y745" s="2" t="s">
        <v>1162</v>
      </c>
      <c r="Z745" s="2" t="s">
        <v>6348</v>
      </c>
      <c r="AA7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7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5" s="6" t="str">
        <f>IF(_xlfn.IFNA(INDEX(configuracoes!$A$2:$A$10,MATCH(base_tc_geral[[#This Row],[TIPO]],configuracoes!$A$2:$A$10,0)),"NÃO")="NÃO","NÃO","SIM")</f>
        <v>SIM</v>
      </c>
    </row>
    <row r="746" spans="1:31" x14ac:dyDescent="0.25">
      <c r="A746" s="2" t="s">
        <v>1882</v>
      </c>
      <c r="B746" s="2">
        <v>109000926</v>
      </c>
      <c r="C746" s="2" t="s">
        <v>15</v>
      </c>
      <c r="D746" s="2" t="s">
        <v>4509</v>
      </c>
      <c r="E746" s="2" t="s">
        <v>86</v>
      </c>
      <c r="F746" s="2" t="s">
        <v>325</v>
      </c>
      <c r="G746" s="2" t="s">
        <v>89</v>
      </c>
      <c r="H746" s="2" t="s">
        <v>283</v>
      </c>
      <c r="I746" s="2" t="s">
        <v>33</v>
      </c>
      <c r="J746" s="2" t="s">
        <v>124</v>
      </c>
      <c r="K746" s="2" t="s">
        <v>13</v>
      </c>
      <c r="L746" s="2" t="s">
        <v>37</v>
      </c>
      <c r="M746" s="2" t="s">
        <v>44</v>
      </c>
      <c r="N746" s="2" t="s">
        <v>15</v>
      </c>
      <c r="O746" s="2" t="s">
        <v>287</v>
      </c>
      <c r="P746" s="2" t="s">
        <v>1884</v>
      </c>
      <c r="Q746" s="2" t="s">
        <v>4926</v>
      </c>
      <c r="R746" s="2" t="s">
        <v>285</v>
      </c>
      <c r="S746" s="2" t="s">
        <v>125</v>
      </c>
      <c r="T746" s="2" t="s">
        <v>4696</v>
      </c>
      <c r="U746" s="2" t="s">
        <v>12</v>
      </c>
      <c r="V746" s="2" t="s">
        <v>4777</v>
      </c>
      <c r="W746" s="2" t="s">
        <v>5013</v>
      </c>
      <c r="X746" s="2" t="s">
        <v>44</v>
      </c>
      <c r="Y746" s="2" t="s">
        <v>1883</v>
      </c>
      <c r="Z746" s="2" t="s">
        <v>6349</v>
      </c>
      <c r="AA7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7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6" s="6" t="str">
        <f>IF(_xlfn.IFNA(INDEX(configuracoes!$A$2:$A$10,MATCH(base_tc_geral[[#This Row],[TIPO]],configuracoes!$A$2:$A$10,0)),"NÃO")="NÃO","NÃO","SIM")</f>
        <v>NÃO</v>
      </c>
    </row>
    <row r="747" spans="1:31" x14ac:dyDescent="0.25">
      <c r="A747" s="2" t="s">
        <v>770</v>
      </c>
      <c r="B747" s="2">
        <v>101010210</v>
      </c>
      <c r="C747" s="2" t="s">
        <v>15</v>
      </c>
      <c r="D747" s="2" t="s">
        <v>4490</v>
      </c>
      <c r="E747" s="2" t="s">
        <v>47</v>
      </c>
      <c r="F747" s="2" t="s">
        <v>98</v>
      </c>
      <c r="G747" s="2" t="s">
        <v>99</v>
      </c>
      <c r="H747" s="2" t="s">
        <v>56</v>
      </c>
      <c r="I747" s="2" t="s">
        <v>16</v>
      </c>
      <c r="J747" s="2" t="s">
        <v>60</v>
      </c>
      <c r="K747" s="2" t="s">
        <v>20</v>
      </c>
      <c r="L747" s="2" t="s">
        <v>25</v>
      </c>
      <c r="M747" s="2" t="s">
        <v>22</v>
      </c>
      <c r="N747" s="2" t="s">
        <v>15</v>
      </c>
      <c r="O747" s="2" t="s">
        <v>63</v>
      </c>
      <c r="P747" s="2" t="s">
        <v>772</v>
      </c>
      <c r="Q747" s="2" t="s">
        <v>4926</v>
      </c>
      <c r="R747" s="2" t="s">
        <v>294</v>
      </c>
      <c r="S747" s="2" t="s">
        <v>101</v>
      </c>
      <c r="T747" s="2" t="s">
        <v>4697</v>
      </c>
      <c r="U747" s="2" t="s">
        <v>12</v>
      </c>
      <c r="V747" s="2" t="s">
        <v>4809</v>
      </c>
      <c r="W747" s="2" t="s">
        <v>4931</v>
      </c>
      <c r="X747" s="2" t="s">
        <v>4925</v>
      </c>
      <c r="Y747" s="2" t="s">
        <v>771</v>
      </c>
      <c r="Z747" s="2" t="s">
        <v>6350</v>
      </c>
      <c r="AA7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7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7" s="6" t="str">
        <f>IF(_xlfn.IFNA(INDEX(configuracoes!$A$2:$A$10,MATCH(base_tc_geral[[#This Row],[TIPO]],configuracoes!$A$2:$A$10,0)),"NÃO")="NÃO","NÃO","SIM")</f>
        <v>SIM</v>
      </c>
    </row>
    <row r="748" spans="1:31" x14ac:dyDescent="0.25">
      <c r="A748" s="2" t="s">
        <v>3486</v>
      </c>
      <c r="B748" s="2">
        <v>102100917</v>
      </c>
      <c r="C748" s="2" t="s">
        <v>15</v>
      </c>
      <c r="D748" s="2" t="s">
        <v>4486</v>
      </c>
      <c r="E748" s="2" t="s">
        <v>106</v>
      </c>
      <c r="F748" s="2" t="s">
        <v>116</v>
      </c>
      <c r="G748" s="2" t="s">
        <v>870</v>
      </c>
      <c r="H748" s="2" t="s">
        <v>115</v>
      </c>
      <c r="I748" s="2" t="s">
        <v>33</v>
      </c>
      <c r="J748" s="2" t="s">
        <v>109</v>
      </c>
      <c r="K748" s="2" t="s">
        <v>20</v>
      </c>
      <c r="L748" s="2" t="s">
        <v>76</v>
      </c>
      <c r="M748" s="2" t="s">
        <v>22</v>
      </c>
      <c r="N748" s="2" t="s">
        <v>15</v>
      </c>
      <c r="O748" s="2" t="s">
        <v>119</v>
      </c>
      <c r="P748" s="2" t="s">
        <v>3488</v>
      </c>
      <c r="Q748" s="2" t="s">
        <v>4926</v>
      </c>
      <c r="R748" s="2" t="s">
        <v>117</v>
      </c>
      <c r="S748" s="2" t="s">
        <v>736</v>
      </c>
      <c r="T748" s="2" t="s">
        <v>167</v>
      </c>
      <c r="U748" s="2" t="s">
        <v>12</v>
      </c>
      <c r="V748" s="2" t="s">
        <v>4902</v>
      </c>
      <c r="W748" s="2" t="s">
        <v>4982</v>
      </c>
      <c r="X748" s="2" t="s">
        <v>4925</v>
      </c>
      <c r="Y748" s="2" t="s">
        <v>3487</v>
      </c>
      <c r="Z748" s="2" t="s">
        <v>6351</v>
      </c>
      <c r="AA7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7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8" s="6" t="str">
        <f>IF(_xlfn.IFNA(INDEX(configuracoes!$A$2:$A$10,MATCH(base_tc_geral[[#This Row],[TIPO]],configuracoes!$A$2:$A$10,0)),"NÃO")="NÃO","NÃO","SIM")</f>
        <v>SIM</v>
      </c>
    </row>
    <row r="749" spans="1:31" x14ac:dyDescent="0.25">
      <c r="A749" s="2" t="s">
        <v>3848</v>
      </c>
      <c r="B749" s="2">
        <v>109500315</v>
      </c>
      <c r="C749" s="2" t="s">
        <v>15</v>
      </c>
      <c r="D749" s="2" t="s">
        <v>4481</v>
      </c>
      <c r="E749" s="2" t="s">
        <v>86</v>
      </c>
      <c r="F749" s="2" t="s">
        <v>211</v>
      </c>
      <c r="G749" s="2" t="s">
        <v>172</v>
      </c>
      <c r="H749" s="2" t="s">
        <v>210</v>
      </c>
      <c r="I749" s="2" t="s">
        <v>33</v>
      </c>
      <c r="J749" s="2" t="s">
        <v>124</v>
      </c>
      <c r="K749" s="2" t="s">
        <v>13</v>
      </c>
      <c r="L749" s="2" t="s">
        <v>17</v>
      </c>
      <c r="M749" s="2" t="s">
        <v>23</v>
      </c>
      <c r="N749" s="2" t="s">
        <v>15</v>
      </c>
      <c r="O749" s="2" t="s">
        <v>214</v>
      </c>
      <c r="P749" s="2" t="s">
        <v>3850</v>
      </c>
      <c r="Q749" s="2" t="s">
        <v>4926</v>
      </c>
      <c r="R749" s="2" t="s">
        <v>173</v>
      </c>
      <c r="S749" s="2" t="s">
        <v>93</v>
      </c>
      <c r="T749" s="2" t="s">
        <v>4696</v>
      </c>
      <c r="U749" s="2" t="s">
        <v>12</v>
      </c>
      <c r="V749" s="2" t="s">
        <v>4887</v>
      </c>
      <c r="W749" s="2" t="s">
        <v>17</v>
      </c>
      <c r="X749" s="2" t="s">
        <v>4998</v>
      </c>
      <c r="Y749" s="2" t="s">
        <v>3849</v>
      </c>
      <c r="Z749" s="2" t="s">
        <v>6352</v>
      </c>
      <c r="AA7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7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49" s="6" t="str">
        <f>IF(_xlfn.IFNA(INDEX(configuracoes!$A$2:$A$10,MATCH(base_tc_geral[[#This Row],[TIPO]],configuracoes!$A$2:$A$10,0)),"NÃO")="NÃO","NÃO","SIM")</f>
        <v>NÃO</v>
      </c>
    </row>
    <row r="750" spans="1:31" x14ac:dyDescent="0.25">
      <c r="A750" s="2" t="s">
        <v>483</v>
      </c>
      <c r="B750" s="2">
        <v>101003771</v>
      </c>
      <c r="C750" s="2" t="s">
        <v>15</v>
      </c>
      <c r="D750" s="2" t="s">
        <v>4484</v>
      </c>
      <c r="E750" s="2" t="s">
        <v>47</v>
      </c>
      <c r="F750" s="2" t="s">
        <v>49</v>
      </c>
      <c r="G750" s="2" t="s">
        <v>172</v>
      </c>
      <c r="H750" s="2" t="s">
        <v>48</v>
      </c>
      <c r="I750" s="2" t="s">
        <v>16</v>
      </c>
      <c r="J750" s="2" t="s">
        <v>48</v>
      </c>
      <c r="K750" s="2" t="s">
        <v>92</v>
      </c>
      <c r="L750" s="2" t="s">
        <v>17</v>
      </c>
      <c r="M750" s="2" t="s">
        <v>18</v>
      </c>
      <c r="N750" s="2" t="s">
        <v>15</v>
      </c>
      <c r="O750" s="2" t="s">
        <v>53</v>
      </c>
      <c r="P750" s="2" t="s">
        <v>485</v>
      </c>
      <c r="Q750" s="2" t="s">
        <v>4926</v>
      </c>
      <c r="R750" s="2" t="s">
        <v>465</v>
      </c>
      <c r="S750" s="2" t="s">
        <v>51</v>
      </c>
      <c r="T750" s="2" t="s">
        <v>4697</v>
      </c>
      <c r="U750" s="2" t="s">
        <v>12</v>
      </c>
      <c r="V750" s="2" t="s">
        <v>4810</v>
      </c>
      <c r="W750" s="2" t="s">
        <v>17</v>
      </c>
      <c r="X750" s="2" t="s">
        <v>4998</v>
      </c>
      <c r="Y750" s="2" t="s">
        <v>484</v>
      </c>
      <c r="Z750" s="2" t="s">
        <v>6353</v>
      </c>
      <c r="AA7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7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0" s="6" t="str">
        <f>IF(_xlfn.IFNA(INDEX(configuracoes!$A$2:$A$10,MATCH(base_tc_geral[[#This Row],[TIPO]],configuracoes!$A$2:$A$10,0)),"NÃO")="NÃO","NÃO","SIM")</f>
        <v>NÃO</v>
      </c>
    </row>
    <row r="751" spans="1:31" x14ac:dyDescent="0.25">
      <c r="A751" s="2" t="s">
        <v>652</v>
      </c>
      <c r="B751" s="2">
        <v>101010210</v>
      </c>
      <c r="C751" s="2" t="s">
        <v>15</v>
      </c>
      <c r="D751" s="2" t="s">
        <v>4487</v>
      </c>
      <c r="E751" s="2" t="s">
        <v>47</v>
      </c>
      <c r="F751" s="2" t="s">
        <v>264</v>
      </c>
      <c r="G751" s="2" t="s">
        <v>648</v>
      </c>
      <c r="H751" s="2" t="s">
        <v>227</v>
      </c>
      <c r="I751" s="2" t="s">
        <v>16</v>
      </c>
      <c r="J751" s="2" t="s">
        <v>227</v>
      </c>
      <c r="K751" s="2" t="s">
        <v>13</v>
      </c>
      <c r="L751" s="2" t="s">
        <v>25</v>
      </c>
      <c r="M751" s="2" t="s">
        <v>22</v>
      </c>
      <c r="N751" s="2" t="s">
        <v>15</v>
      </c>
      <c r="O751" s="2" t="s">
        <v>266</v>
      </c>
      <c r="P751" s="2" t="s">
        <v>654</v>
      </c>
      <c r="Q751" s="2" t="s">
        <v>4926</v>
      </c>
      <c r="R751" s="2" t="s">
        <v>294</v>
      </c>
      <c r="S751" s="2" t="s">
        <v>101</v>
      </c>
      <c r="T751" s="2" t="s">
        <v>4697</v>
      </c>
      <c r="U751" s="2" t="s">
        <v>12</v>
      </c>
      <c r="V751" s="2" t="s">
        <v>4809</v>
      </c>
      <c r="W751" s="2" t="s">
        <v>4931</v>
      </c>
      <c r="X751" s="2" t="s">
        <v>4925</v>
      </c>
      <c r="Y751" s="2" t="s">
        <v>653</v>
      </c>
      <c r="Z751" s="2" t="s">
        <v>6354</v>
      </c>
      <c r="AA7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7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1" s="6" t="str">
        <f>IF(_xlfn.IFNA(INDEX(configuracoes!$A$2:$A$10,MATCH(base_tc_geral[[#This Row],[TIPO]],configuracoes!$A$2:$A$10,0)),"NÃO")="NÃO","NÃO","SIM")</f>
        <v>SIM</v>
      </c>
    </row>
    <row r="752" spans="1:31" x14ac:dyDescent="0.25">
      <c r="A752" s="2" t="s">
        <v>3818</v>
      </c>
      <c r="B752" s="2">
        <v>109000943</v>
      </c>
      <c r="C752" s="2" t="s">
        <v>15</v>
      </c>
      <c r="D752" s="2" t="s">
        <v>4481</v>
      </c>
      <c r="E752" s="2" t="s">
        <v>86</v>
      </c>
      <c r="F752" s="2" t="s">
        <v>205</v>
      </c>
      <c r="G752" s="2" t="s">
        <v>245</v>
      </c>
      <c r="H752" s="2" t="s">
        <v>122</v>
      </c>
      <c r="I752" s="2" t="s">
        <v>33</v>
      </c>
      <c r="J752" s="2" t="s">
        <v>124</v>
      </c>
      <c r="K752" s="2" t="s">
        <v>20</v>
      </c>
      <c r="L752" s="2" t="s">
        <v>21</v>
      </c>
      <c r="M752" s="2" t="s">
        <v>22</v>
      </c>
      <c r="N752" s="2" t="s">
        <v>15</v>
      </c>
      <c r="O752" s="2" t="s">
        <v>129</v>
      </c>
      <c r="P752" s="2" t="s">
        <v>3820</v>
      </c>
      <c r="Q752" s="2" t="s">
        <v>4926</v>
      </c>
      <c r="R752" s="2" t="s">
        <v>206</v>
      </c>
      <c r="S752" s="2" t="s">
        <v>125</v>
      </c>
      <c r="T752" s="2" t="s">
        <v>4696</v>
      </c>
      <c r="U752" s="2" t="s">
        <v>12</v>
      </c>
      <c r="V752" s="2" t="s">
        <v>4784</v>
      </c>
      <c r="W752" s="2" t="s">
        <v>4982</v>
      </c>
      <c r="X752" s="2" t="s">
        <v>4925</v>
      </c>
      <c r="Y752" s="2" t="s">
        <v>3819</v>
      </c>
      <c r="Z752" s="2" t="s">
        <v>6355</v>
      </c>
      <c r="AA7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7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2" s="6" t="str">
        <f>IF(_xlfn.IFNA(INDEX(configuracoes!$A$2:$A$10,MATCH(base_tc_geral[[#This Row],[TIPO]],configuracoes!$A$2:$A$10,0)),"NÃO")="NÃO","NÃO","SIM")</f>
        <v>SIM</v>
      </c>
    </row>
    <row r="753" spans="1:31" x14ac:dyDescent="0.25">
      <c r="A753" s="2" t="s">
        <v>828</v>
      </c>
      <c r="B753" s="2">
        <v>109504369</v>
      </c>
      <c r="C753" s="2" t="s">
        <v>15</v>
      </c>
      <c r="D753" s="2" t="s">
        <v>4516</v>
      </c>
      <c r="E753" s="2" t="s">
        <v>86</v>
      </c>
      <c r="F753" s="2" t="s">
        <v>459</v>
      </c>
      <c r="G753" s="2" t="s">
        <v>58</v>
      </c>
      <c r="H753" s="2" t="s">
        <v>458</v>
      </c>
      <c r="I753" s="2" t="s">
        <v>33</v>
      </c>
      <c r="J753" s="2" t="s">
        <v>91</v>
      </c>
      <c r="K753" s="2" t="s">
        <v>13</v>
      </c>
      <c r="L753" s="2" t="s">
        <v>61</v>
      </c>
      <c r="M753" s="2" t="s">
        <v>74</v>
      </c>
      <c r="N753" s="2" t="s">
        <v>15</v>
      </c>
      <c r="O753" s="2" t="s">
        <v>461</v>
      </c>
      <c r="P753" s="2" t="s">
        <v>831</v>
      </c>
      <c r="Q753" s="2" t="s">
        <v>4926</v>
      </c>
      <c r="R753" s="2" t="s">
        <v>829</v>
      </c>
      <c r="S753" s="2" t="s">
        <v>4699</v>
      </c>
      <c r="T753" s="2" t="s">
        <v>4696</v>
      </c>
      <c r="U753" s="2" t="s">
        <v>12</v>
      </c>
      <c r="V753" s="2" t="s">
        <v>4795</v>
      </c>
      <c r="W753" s="2" t="s">
        <v>4984</v>
      </c>
      <c r="X753" s="2" t="s">
        <v>74</v>
      </c>
      <c r="Y753" s="2" t="s">
        <v>830</v>
      </c>
      <c r="Z753" s="2" t="s">
        <v>6356</v>
      </c>
      <c r="AA7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7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3" s="6" t="str">
        <f>IF(_xlfn.IFNA(INDEX(configuracoes!$A$2:$A$10,MATCH(base_tc_geral[[#This Row],[TIPO]],configuracoes!$A$2:$A$10,0)),"NÃO")="NÃO","NÃO","SIM")</f>
        <v>NÃO</v>
      </c>
    </row>
    <row r="754" spans="1:31" x14ac:dyDescent="0.25">
      <c r="A754" s="2" t="s">
        <v>2523</v>
      </c>
      <c r="B754" s="2">
        <v>101010209</v>
      </c>
      <c r="C754" s="2" t="s">
        <v>15</v>
      </c>
      <c r="D754" s="2" t="s">
        <v>4481</v>
      </c>
      <c r="E754" s="2" t="s">
        <v>47</v>
      </c>
      <c r="F754" s="2" t="s">
        <v>278</v>
      </c>
      <c r="G754" s="2" t="s">
        <v>364</v>
      </c>
      <c r="H754" s="2" t="s">
        <v>60</v>
      </c>
      <c r="I754" s="2" t="s">
        <v>16</v>
      </c>
      <c r="J754" s="2" t="s">
        <v>60</v>
      </c>
      <c r="K754" s="2" t="s">
        <v>13</v>
      </c>
      <c r="L754" s="2" t="s">
        <v>37</v>
      </c>
      <c r="M754" s="2" t="s">
        <v>74</v>
      </c>
      <c r="N754" s="2" t="s">
        <v>15</v>
      </c>
      <c r="O754" s="2" t="s">
        <v>161</v>
      </c>
      <c r="P754" s="2" t="s">
        <v>2525</v>
      </c>
      <c r="Q754" s="2" t="s">
        <v>4926</v>
      </c>
      <c r="R754" s="2" t="s">
        <v>279</v>
      </c>
      <c r="S754" s="2" t="s">
        <v>51</v>
      </c>
      <c r="T754" s="2" t="s">
        <v>4697</v>
      </c>
      <c r="U754" s="2" t="s">
        <v>12</v>
      </c>
      <c r="V754" s="2" t="s">
        <v>4821</v>
      </c>
      <c r="W754" s="2" t="s">
        <v>4999</v>
      </c>
      <c r="X754" s="2" t="s">
        <v>74</v>
      </c>
      <c r="Y754" s="2" t="s">
        <v>2524</v>
      </c>
      <c r="Z754" s="2" t="s">
        <v>6357</v>
      </c>
      <c r="AA7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7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4" s="6" t="str">
        <f>IF(_xlfn.IFNA(INDEX(configuracoes!$A$2:$A$10,MATCH(base_tc_geral[[#This Row],[TIPO]],configuracoes!$A$2:$A$10,0)),"NÃO")="NÃO","NÃO","SIM")</f>
        <v>NÃO</v>
      </c>
    </row>
    <row r="755" spans="1:31" x14ac:dyDescent="0.25">
      <c r="A755" s="2" t="s">
        <v>3787</v>
      </c>
      <c r="B755" s="2">
        <v>102101634</v>
      </c>
      <c r="C755" s="2" t="s">
        <v>15</v>
      </c>
      <c r="D755" s="2" t="s">
        <v>4664</v>
      </c>
      <c r="E755" s="2" t="s">
        <v>106</v>
      </c>
      <c r="F755" s="2" t="s">
        <v>108</v>
      </c>
      <c r="G755" s="2" t="s">
        <v>711</v>
      </c>
      <c r="H755" s="2" t="s">
        <v>107</v>
      </c>
      <c r="I755" s="2" t="s">
        <v>33</v>
      </c>
      <c r="J755" s="2" t="s">
        <v>109</v>
      </c>
      <c r="K755" s="2" t="s">
        <v>13</v>
      </c>
      <c r="L755" s="2" t="s">
        <v>126</v>
      </c>
      <c r="M755" s="2" t="s">
        <v>128</v>
      </c>
      <c r="N755" s="2" t="s">
        <v>15</v>
      </c>
      <c r="O755" s="2" t="s">
        <v>112</v>
      </c>
      <c r="P755" s="2" t="s">
        <v>3789</v>
      </c>
      <c r="Q755" s="2" t="s">
        <v>4926</v>
      </c>
      <c r="R755" s="2" t="s">
        <v>406</v>
      </c>
      <c r="S755" s="2" t="s">
        <v>736</v>
      </c>
      <c r="T755" s="2" t="s">
        <v>167</v>
      </c>
      <c r="U755" s="2" t="s">
        <v>12</v>
      </c>
      <c r="V755" s="2" t="s">
        <v>4853</v>
      </c>
      <c r="W755" s="2" t="s">
        <v>4987</v>
      </c>
      <c r="X755" s="2" t="s">
        <v>4989</v>
      </c>
      <c r="Y755" s="2" t="s">
        <v>3788</v>
      </c>
      <c r="Z755" s="2" t="s">
        <v>6358</v>
      </c>
      <c r="AA7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7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5" s="6" t="str">
        <f>IF(_xlfn.IFNA(INDEX(configuracoes!$A$2:$A$10,MATCH(base_tc_geral[[#This Row],[TIPO]],configuracoes!$A$2:$A$10,0)),"NÃO")="NÃO","NÃO","SIM")</f>
        <v>SIM</v>
      </c>
    </row>
    <row r="756" spans="1:31" x14ac:dyDescent="0.25">
      <c r="A756" s="2" t="s">
        <v>2139</v>
      </c>
      <c r="B756" s="2">
        <v>101007963</v>
      </c>
      <c r="C756" s="2" t="s">
        <v>15</v>
      </c>
      <c r="D756" s="2" t="s">
        <v>4481</v>
      </c>
      <c r="E756" s="2" t="s">
        <v>47</v>
      </c>
      <c r="F756" s="2" t="s">
        <v>244</v>
      </c>
      <c r="G756" s="2" t="s">
        <v>4780</v>
      </c>
      <c r="H756" s="2" t="s">
        <v>60</v>
      </c>
      <c r="I756" s="2" t="s">
        <v>16</v>
      </c>
      <c r="J756" s="2" t="s">
        <v>60</v>
      </c>
      <c r="K756" s="2" t="s">
        <v>20</v>
      </c>
      <c r="L756" s="2" t="s">
        <v>21</v>
      </c>
      <c r="M756" s="2" t="s">
        <v>22</v>
      </c>
      <c r="N756" s="2" t="s">
        <v>15</v>
      </c>
      <c r="O756" s="2" t="s">
        <v>161</v>
      </c>
      <c r="P756" s="2" t="s">
        <v>2141</v>
      </c>
      <c r="Q756" s="2" t="s">
        <v>4926</v>
      </c>
      <c r="R756" s="2" t="s">
        <v>246</v>
      </c>
      <c r="S756" s="2" t="s">
        <v>51</v>
      </c>
      <c r="T756" s="2" t="s">
        <v>4697</v>
      </c>
      <c r="U756" s="2" t="s">
        <v>12</v>
      </c>
      <c r="V756" s="2" t="s">
        <v>4778</v>
      </c>
      <c r="W756" s="2" t="s">
        <v>4982</v>
      </c>
      <c r="X756" s="2" t="s">
        <v>4925</v>
      </c>
      <c r="Y756" s="2" t="s">
        <v>2140</v>
      </c>
      <c r="Z756" s="2" t="s">
        <v>5815</v>
      </c>
      <c r="AA7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7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6" s="6" t="str">
        <f>IF(_xlfn.IFNA(INDEX(configuracoes!$A$2:$A$10,MATCH(base_tc_geral[[#This Row],[TIPO]],configuracoes!$A$2:$A$10,0)),"NÃO")="NÃO","NÃO","SIM")</f>
        <v>SIM</v>
      </c>
    </row>
    <row r="757" spans="1:31" x14ac:dyDescent="0.25">
      <c r="A757" s="2" t="s">
        <v>2574</v>
      </c>
      <c r="B757" s="2">
        <v>109505858</v>
      </c>
      <c r="C757" s="2" t="s">
        <v>24</v>
      </c>
      <c r="D757" s="2" t="s">
        <v>4503</v>
      </c>
      <c r="E757" s="2" t="s">
        <v>86</v>
      </c>
      <c r="F757" s="2" t="s">
        <v>817</v>
      </c>
      <c r="G757" s="2" t="s">
        <v>172</v>
      </c>
      <c r="H757" s="2" t="s">
        <v>217</v>
      </c>
      <c r="I757" s="2" t="s">
        <v>33</v>
      </c>
      <c r="J757" s="2" t="s">
        <v>91</v>
      </c>
      <c r="K757" s="2" t="s">
        <v>13</v>
      </c>
      <c r="L757" s="2" t="s">
        <v>17</v>
      </c>
      <c r="M757" s="2" t="s">
        <v>18</v>
      </c>
      <c r="N757" s="2" t="s">
        <v>24</v>
      </c>
      <c r="O757" s="2" t="s">
        <v>221</v>
      </c>
      <c r="P757" s="2" t="s">
        <v>2576</v>
      </c>
      <c r="Q757" s="2" t="s">
        <v>4926</v>
      </c>
      <c r="R757" s="2" t="s">
        <v>1466</v>
      </c>
      <c r="S757" s="2" t="s">
        <v>93</v>
      </c>
      <c r="T757" s="2" t="s">
        <v>4696</v>
      </c>
      <c r="U757" s="2" t="s">
        <v>39</v>
      </c>
      <c r="V757" s="2" t="s">
        <v>4802</v>
      </c>
      <c r="W757" s="2" t="s">
        <v>17</v>
      </c>
      <c r="X757" s="2" t="s">
        <v>4998</v>
      </c>
      <c r="Y757" s="2" t="s">
        <v>2575</v>
      </c>
      <c r="Z757" s="2" t="s">
        <v>5816</v>
      </c>
      <c r="AA7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7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57" s="6" t="str">
        <f>IF(_xlfn.IFNA(INDEX(configuracoes!$A$2:$A$10,MATCH(base_tc_geral[[#This Row],[TIPO]],configuracoes!$A$2:$A$10,0)),"NÃO")="NÃO","NÃO","SIM")</f>
        <v>NÃO</v>
      </c>
    </row>
    <row r="758" spans="1:31" x14ac:dyDescent="0.25">
      <c r="A758" s="2" t="s">
        <v>1303</v>
      </c>
      <c r="B758" s="2">
        <v>109000427</v>
      </c>
      <c r="C758" s="2" t="s">
        <v>15</v>
      </c>
      <c r="D758" s="2" t="s">
        <v>4507</v>
      </c>
      <c r="E758" s="2" t="s">
        <v>86</v>
      </c>
      <c r="F758" s="2" t="s">
        <v>199</v>
      </c>
      <c r="G758" s="2" t="s">
        <v>58</v>
      </c>
      <c r="H758" s="2" t="s">
        <v>198</v>
      </c>
      <c r="I758" s="2" t="s">
        <v>33</v>
      </c>
      <c r="J758" s="2" t="s">
        <v>91</v>
      </c>
      <c r="K758" s="2" t="s">
        <v>13</v>
      </c>
      <c r="L758" s="2" t="s">
        <v>61</v>
      </c>
      <c r="M758" s="2" t="s">
        <v>44</v>
      </c>
      <c r="N758" s="2" t="s">
        <v>15</v>
      </c>
      <c r="O758" s="2" t="s">
        <v>201</v>
      </c>
      <c r="P758" s="2" t="s">
        <v>1305</v>
      </c>
      <c r="Q758" s="2" t="s">
        <v>4926</v>
      </c>
      <c r="R758" s="2" t="s">
        <v>259</v>
      </c>
      <c r="S758" s="2" t="s">
        <v>4699</v>
      </c>
      <c r="T758" s="2" t="s">
        <v>4696</v>
      </c>
      <c r="U758" s="2" t="s">
        <v>12</v>
      </c>
      <c r="V758" s="2" t="s">
        <v>4795</v>
      </c>
      <c r="W758" s="2" t="s">
        <v>4984</v>
      </c>
      <c r="X758" s="2" t="s">
        <v>44</v>
      </c>
      <c r="Y758" s="2" t="s">
        <v>1304</v>
      </c>
      <c r="Z758" s="2" t="s">
        <v>5817</v>
      </c>
      <c r="AA7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7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8" s="6" t="str">
        <f>IF(_xlfn.IFNA(INDEX(configuracoes!$A$2:$A$10,MATCH(base_tc_geral[[#This Row],[TIPO]],configuracoes!$A$2:$A$10,0)),"NÃO")="NÃO","NÃO","SIM")</f>
        <v>NÃO</v>
      </c>
    </row>
    <row r="759" spans="1:31" x14ac:dyDescent="0.25">
      <c r="A759" s="2" t="s">
        <v>915</v>
      </c>
      <c r="B759" s="2">
        <v>102002917</v>
      </c>
      <c r="C759" s="2" t="s">
        <v>15</v>
      </c>
      <c r="D759" s="2" t="s">
        <v>4481</v>
      </c>
      <c r="E759" s="2" t="s">
        <v>106</v>
      </c>
      <c r="F759" s="2" t="s">
        <v>863</v>
      </c>
      <c r="G759" s="2" t="s">
        <v>89</v>
      </c>
      <c r="H759" s="2" t="s">
        <v>427</v>
      </c>
      <c r="I759" s="2" t="s">
        <v>33</v>
      </c>
      <c r="J759" s="2" t="s">
        <v>109</v>
      </c>
      <c r="K759" s="2" t="s">
        <v>13</v>
      </c>
      <c r="L759" s="2" t="s">
        <v>37</v>
      </c>
      <c r="M759" s="2" t="s">
        <v>74</v>
      </c>
      <c r="N759" s="2" t="s">
        <v>15</v>
      </c>
      <c r="O759" s="2" t="s">
        <v>430</v>
      </c>
      <c r="P759" s="2" t="s">
        <v>917</v>
      </c>
      <c r="Q759" s="2" t="s">
        <v>4926</v>
      </c>
      <c r="R759" s="2" t="s">
        <v>5069</v>
      </c>
      <c r="S759" s="2" t="s">
        <v>736</v>
      </c>
      <c r="T759" s="2" t="s">
        <v>167</v>
      </c>
      <c r="U759" s="2" t="s">
        <v>12</v>
      </c>
      <c r="V759" s="2" t="s">
        <v>4818</v>
      </c>
      <c r="W759" s="2" t="s">
        <v>4999</v>
      </c>
      <c r="X759" s="2" t="s">
        <v>74</v>
      </c>
      <c r="Y759" s="2" t="s">
        <v>916</v>
      </c>
      <c r="Z759" s="2" t="s">
        <v>5818</v>
      </c>
      <c r="AA7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7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59" s="6" t="str">
        <f>IF(_xlfn.IFNA(INDEX(configuracoes!$A$2:$A$10,MATCH(base_tc_geral[[#This Row],[TIPO]],configuracoes!$A$2:$A$10,0)),"NÃO")="NÃO","NÃO","SIM")</f>
        <v>NÃO</v>
      </c>
    </row>
    <row r="760" spans="1:31" x14ac:dyDescent="0.25">
      <c r="A760" s="2" t="s">
        <v>3218</v>
      </c>
      <c r="B760" s="2">
        <v>109500038</v>
      </c>
      <c r="C760" s="2" t="s">
        <v>15</v>
      </c>
      <c r="D760" s="2" t="s">
        <v>4572</v>
      </c>
      <c r="E760" s="2" t="s">
        <v>86</v>
      </c>
      <c r="F760" s="2" t="s">
        <v>445</v>
      </c>
      <c r="G760" s="2" t="s">
        <v>58</v>
      </c>
      <c r="H760" s="2" t="s">
        <v>122</v>
      </c>
      <c r="I760" s="2" t="s">
        <v>33</v>
      </c>
      <c r="J760" s="2" t="s">
        <v>124</v>
      </c>
      <c r="K760" s="2" t="s">
        <v>13</v>
      </c>
      <c r="L760" s="2" t="s">
        <v>61</v>
      </c>
      <c r="M760" s="2" t="s">
        <v>18</v>
      </c>
      <c r="N760" s="2" t="s">
        <v>15</v>
      </c>
      <c r="O760" s="2" t="s">
        <v>129</v>
      </c>
      <c r="P760" s="2" t="s">
        <v>3220</v>
      </c>
      <c r="Q760" s="2" t="s">
        <v>4926</v>
      </c>
      <c r="R760" s="2" t="s">
        <v>3212</v>
      </c>
      <c r="S760" s="2" t="s">
        <v>4699</v>
      </c>
      <c r="T760" s="2" t="s">
        <v>4696</v>
      </c>
      <c r="U760" s="2" t="s">
        <v>12</v>
      </c>
      <c r="V760" s="2" t="s">
        <v>4782</v>
      </c>
      <c r="W760" s="2" t="s">
        <v>4984</v>
      </c>
      <c r="X760" s="2" t="s">
        <v>4998</v>
      </c>
      <c r="Y760" s="2" t="s">
        <v>3219</v>
      </c>
      <c r="Z760" s="2" t="s">
        <v>5516</v>
      </c>
      <c r="AA7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PATRICIO MARTINS </v>
      </c>
      <c r="AB7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0" s="6" t="str">
        <f>IF(_xlfn.IFNA(INDEX(configuracoes!$A$2:$A$10,MATCH(base_tc_geral[[#This Row],[TIPO]],configuracoes!$A$2:$A$10,0)),"NÃO")="NÃO","NÃO","SIM")</f>
        <v>NÃO</v>
      </c>
    </row>
    <row r="761" spans="1:31" x14ac:dyDescent="0.25">
      <c r="A761" s="2" t="s">
        <v>3995</v>
      </c>
      <c r="B761" s="2">
        <v>109000340</v>
      </c>
      <c r="C761" s="2" t="s">
        <v>15</v>
      </c>
      <c r="D761" s="2" t="s">
        <v>4484</v>
      </c>
      <c r="E761" s="2" t="s">
        <v>86</v>
      </c>
      <c r="F761" s="2" t="s">
        <v>1320</v>
      </c>
      <c r="G761" s="2" t="s">
        <v>89</v>
      </c>
      <c r="H761" s="2" t="s">
        <v>1321</v>
      </c>
      <c r="I761" s="2" t="s">
        <v>33</v>
      </c>
      <c r="J761" s="2" t="s">
        <v>91</v>
      </c>
      <c r="K761" s="2" t="s">
        <v>13</v>
      </c>
      <c r="L761" s="2" t="s">
        <v>37</v>
      </c>
      <c r="M761" s="2" t="s">
        <v>44</v>
      </c>
      <c r="N761" s="2" t="s">
        <v>15</v>
      </c>
      <c r="O761" s="2" t="s">
        <v>1322</v>
      </c>
      <c r="P761" s="2" t="s">
        <v>3997</v>
      </c>
      <c r="Q761" s="2" t="s">
        <v>4926</v>
      </c>
      <c r="R761" s="2" t="s">
        <v>90</v>
      </c>
      <c r="S761" s="2" t="s">
        <v>93</v>
      </c>
      <c r="T761" s="2" t="s">
        <v>4696</v>
      </c>
      <c r="U761" s="2" t="s">
        <v>12</v>
      </c>
      <c r="V761" s="2" t="s">
        <v>4796</v>
      </c>
      <c r="W761" s="2" t="s">
        <v>4999</v>
      </c>
      <c r="X761" s="2" t="s">
        <v>44</v>
      </c>
      <c r="Y761" s="2" t="s">
        <v>3996</v>
      </c>
      <c r="Z761" s="2" t="s">
        <v>5517</v>
      </c>
      <c r="AA7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7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1" s="6" t="str">
        <f>IF(_xlfn.IFNA(INDEX(configuracoes!$A$2:$A$10,MATCH(base_tc_geral[[#This Row],[TIPO]],configuracoes!$A$2:$A$10,0)),"NÃO")="NÃO","NÃO","SIM")</f>
        <v>NÃO</v>
      </c>
    </row>
    <row r="762" spans="1:31" x14ac:dyDescent="0.25">
      <c r="A762" s="2" t="s">
        <v>4163</v>
      </c>
      <c r="B762" s="2">
        <v>109506174</v>
      </c>
      <c r="C762" s="2" t="s">
        <v>15</v>
      </c>
      <c r="D762" s="2" t="s">
        <v>4487</v>
      </c>
      <c r="E762" s="2" t="s">
        <v>86</v>
      </c>
      <c r="F762" s="2" t="s">
        <v>840</v>
      </c>
      <c r="G762" s="2" t="s">
        <v>637</v>
      </c>
      <c r="H762" s="2" t="s">
        <v>198</v>
      </c>
      <c r="I762" s="2" t="s">
        <v>33</v>
      </c>
      <c r="J762" s="2" t="s">
        <v>91</v>
      </c>
      <c r="K762" s="2" t="s">
        <v>20</v>
      </c>
      <c r="L762" s="2" t="s">
        <v>19</v>
      </c>
      <c r="M762" s="2" t="s">
        <v>22</v>
      </c>
      <c r="N762" s="2" t="s">
        <v>15</v>
      </c>
      <c r="O762" s="2" t="s">
        <v>201</v>
      </c>
      <c r="P762" s="2" t="s">
        <v>4165</v>
      </c>
      <c r="Q762" s="2" t="s">
        <v>4926</v>
      </c>
      <c r="R762" s="2" t="s">
        <v>2782</v>
      </c>
      <c r="S762" s="2" t="s">
        <v>93</v>
      </c>
      <c r="T762" s="2" t="s">
        <v>4696</v>
      </c>
      <c r="U762" s="2" t="s">
        <v>12</v>
      </c>
      <c r="V762" s="2" t="s">
        <v>4796</v>
      </c>
      <c r="W762" s="2" t="s">
        <v>4982</v>
      </c>
      <c r="X762" s="2" t="s">
        <v>4925</v>
      </c>
      <c r="Y762" s="2" t="s">
        <v>4164</v>
      </c>
      <c r="Z762" s="2" t="s">
        <v>5518</v>
      </c>
      <c r="AA7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7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2" s="6" t="str">
        <f>IF(_xlfn.IFNA(INDEX(configuracoes!$A$2:$A$10,MATCH(base_tc_geral[[#This Row],[TIPO]],configuracoes!$A$2:$A$10,0)),"NÃO")="NÃO","NÃO","SIM")</f>
        <v>SIM</v>
      </c>
    </row>
    <row r="763" spans="1:31" x14ac:dyDescent="0.25">
      <c r="A763" s="2" t="s">
        <v>1614</v>
      </c>
      <c r="B763" s="2">
        <v>105302862</v>
      </c>
      <c r="C763" s="2" t="s">
        <v>40</v>
      </c>
      <c r="D763" s="2" t="s">
        <v>4542</v>
      </c>
      <c r="E763" s="2" t="s">
        <v>28</v>
      </c>
      <c r="F763" s="2" t="s">
        <v>80</v>
      </c>
      <c r="G763" s="2" t="s">
        <v>58</v>
      </c>
      <c r="H763" s="2" t="s">
        <v>79</v>
      </c>
      <c r="I763" s="2" t="s">
        <v>33</v>
      </c>
      <c r="J763" s="2" t="s">
        <v>34</v>
      </c>
      <c r="K763" s="2" t="s">
        <v>13</v>
      </c>
      <c r="L763" s="2" t="s">
        <v>61</v>
      </c>
      <c r="M763" s="2" t="s">
        <v>74</v>
      </c>
      <c r="N763" s="2" t="s">
        <v>40</v>
      </c>
      <c r="O763" s="2" t="s">
        <v>83</v>
      </c>
      <c r="P763" s="2" t="s">
        <v>1616</v>
      </c>
      <c r="Q763" s="2" t="s">
        <v>4926</v>
      </c>
      <c r="R763" s="2" t="s">
        <v>963</v>
      </c>
      <c r="S763" s="2" t="s">
        <v>260</v>
      </c>
      <c r="T763" s="2" t="s">
        <v>167</v>
      </c>
      <c r="U763" s="2" t="s">
        <v>39</v>
      </c>
      <c r="V763" s="2" t="s">
        <v>4804</v>
      </c>
      <c r="W763" s="2" t="s">
        <v>4984</v>
      </c>
      <c r="X763" s="2" t="s">
        <v>74</v>
      </c>
      <c r="Y763" s="2" t="s">
        <v>1615</v>
      </c>
      <c r="Z763" s="2" t="s">
        <v>5519</v>
      </c>
      <c r="AA7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PEREIRA </v>
      </c>
      <c r="AB7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7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763" s="6" t="str">
        <f>IF(_xlfn.IFNA(INDEX(configuracoes!$A$2:$A$10,MATCH(base_tc_geral[[#This Row],[TIPO]],configuracoes!$A$2:$A$10,0)),"NÃO")="NÃO","NÃO","SIM")</f>
        <v>NÃO</v>
      </c>
    </row>
    <row r="764" spans="1:31" x14ac:dyDescent="0.25">
      <c r="A764" s="2" t="s">
        <v>4814</v>
      </c>
      <c r="B764" s="2">
        <v>101004033</v>
      </c>
      <c r="C764" s="2" t="s">
        <v>15</v>
      </c>
      <c r="D764" s="2" t="s">
        <v>4489</v>
      </c>
      <c r="E764" s="2" t="s">
        <v>47</v>
      </c>
      <c r="F764" s="2" t="s">
        <v>303</v>
      </c>
      <c r="G764" s="2" t="s">
        <v>136</v>
      </c>
      <c r="H764" s="2" t="s">
        <v>60</v>
      </c>
      <c r="I764" s="2" t="s">
        <v>16</v>
      </c>
      <c r="J764" s="2" t="s">
        <v>60</v>
      </c>
      <c r="K764" s="2" t="s">
        <v>13</v>
      </c>
      <c r="L764" s="2" t="s">
        <v>72</v>
      </c>
      <c r="M764" s="2" t="s">
        <v>73</v>
      </c>
      <c r="N764" s="2" t="s">
        <v>15</v>
      </c>
      <c r="O764" s="2" t="s">
        <v>161</v>
      </c>
      <c r="P764" s="2" t="s">
        <v>4816</v>
      </c>
      <c r="Q764" s="2" t="s">
        <v>4926</v>
      </c>
      <c r="R764" s="2" t="s">
        <v>304</v>
      </c>
      <c r="S764" s="2" t="s">
        <v>51</v>
      </c>
      <c r="T764" s="2" t="s">
        <v>4697</v>
      </c>
      <c r="U764" s="2" t="s">
        <v>39</v>
      </c>
      <c r="V764" s="2" t="s">
        <v>4813</v>
      </c>
      <c r="W764" s="2" t="s">
        <v>72</v>
      </c>
      <c r="X764" s="2" t="s">
        <v>5011</v>
      </c>
      <c r="Y764" s="2" t="s">
        <v>4815</v>
      </c>
      <c r="Z764" s="2" t="s">
        <v>5520</v>
      </c>
      <c r="AA7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7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4" s="6" t="str">
        <f>IF(_xlfn.IFNA(INDEX(configuracoes!$A$2:$A$10,MATCH(base_tc_geral[[#This Row],[TIPO]],configuracoes!$A$2:$A$10,0)),"NÃO")="NÃO","NÃO","SIM")</f>
        <v>NÃO</v>
      </c>
    </row>
    <row r="765" spans="1:31" x14ac:dyDescent="0.25">
      <c r="A765" s="2" t="s">
        <v>2655</v>
      </c>
      <c r="B765" s="2">
        <v>109000340</v>
      </c>
      <c r="C765" s="2" t="s">
        <v>15</v>
      </c>
      <c r="D765" s="2" t="s">
        <v>4484</v>
      </c>
      <c r="E765" s="2" t="s">
        <v>86</v>
      </c>
      <c r="F765" s="2" t="s">
        <v>1320</v>
      </c>
      <c r="G765" s="2" t="s">
        <v>630</v>
      </c>
      <c r="H765" s="2" t="s">
        <v>1321</v>
      </c>
      <c r="I765" s="2" t="s">
        <v>33</v>
      </c>
      <c r="J765" s="2" t="s">
        <v>91</v>
      </c>
      <c r="K765" s="2" t="s">
        <v>20</v>
      </c>
      <c r="L765" s="2" t="s">
        <v>21</v>
      </c>
      <c r="M765" s="2" t="s">
        <v>22</v>
      </c>
      <c r="N765" s="2" t="s">
        <v>15</v>
      </c>
      <c r="O765" s="2" t="s">
        <v>1322</v>
      </c>
      <c r="P765" s="2" t="s">
        <v>2657</v>
      </c>
      <c r="Q765" s="2" t="s">
        <v>4926</v>
      </c>
      <c r="R765" s="2" t="s">
        <v>90</v>
      </c>
      <c r="S765" s="2" t="s">
        <v>93</v>
      </c>
      <c r="T765" s="2" t="s">
        <v>4696</v>
      </c>
      <c r="U765" s="2" t="s">
        <v>12</v>
      </c>
      <c r="V765" s="2" t="s">
        <v>4898</v>
      </c>
      <c r="W765" s="2" t="s">
        <v>4982</v>
      </c>
      <c r="X765" s="2" t="s">
        <v>4925</v>
      </c>
      <c r="Y765" s="2" t="s">
        <v>2656</v>
      </c>
      <c r="Z765" s="2" t="s">
        <v>5521</v>
      </c>
      <c r="AA7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7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5" s="6" t="str">
        <f>IF(_xlfn.IFNA(INDEX(configuracoes!$A$2:$A$10,MATCH(base_tc_geral[[#This Row],[TIPO]],configuracoes!$A$2:$A$10,0)),"NÃO")="NÃO","NÃO","SIM")</f>
        <v>SIM</v>
      </c>
    </row>
    <row r="766" spans="1:31" x14ac:dyDescent="0.25">
      <c r="A766" s="2" t="s">
        <v>1985</v>
      </c>
      <c r="B766" s="2">
        <v>109000926</v>
      </c>
      <c r="C766" s="2" t="s">
        <v>15</v>
      </c>
      <c r="D766" s="2" t="s">
        <v>4499</v>
      </c>
      <c r="E766" s="2" t="s">
        <v>86</v>
      </c>
      <c r="F766" s="2" t="s">
        <v>325</v>
      </c>
      <c r="G766" s="2" t="s">
        <v>245</v>
      </c>
      <c r="H766" s="2" t="s">
        <v>283</v>
      </c>
      <c r="I766" s="2" t="s">
        <v>33</v>
      </c>
      <c r="J766" s="2" t="s">
        <v>124</v>
      </c>
      <c r="K766" s="2" t="s">
        <v>20</v>
      </c>
      <c r="L766" s="2" t="s">
        <v>21</v>
      </c>
      <c r="M766" s="2" t="s">
        <v>22</v>
      </c>
      <c r="N766" s="2" t="s">
        <v>15</v>
      </c>
      <c r="O766" s="2" t="s">
        <v>287</v>
      </c>
      <c r="P766" s="2" t="s">
        <v>1987</v>
      </c>
      <c r="Q766" s="2" t="s">
        <v>4926</v>
      </c>
      <c r="R766" s="2" t="s">
        <v>285</v>
      </c>
      <c r="S766" s="2" t="s">
        <v>125</v>
      </c>
      <c r="T766" s="2" t="s">
        <v>4696</v>
      </c>
      <c r="U766" s="2" t="s">
        <v>12</v>
      </c>
      <c r="V766" s="2" t="s">
        <v>4777</v>
      </c>
      <c r="W766" s="2" t="s">
        <v>4982</v>
      </c>
      <c r="X766" s="2" t="s">
        <v>4925</v>
      </c>
      <c r="Y766" s="2" t="s">
        <v>1986</v>
      </c>
      <c r="Z766" s="2" t="s">
        <v>5522</v>
      </c>
      <c r="AA7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7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6" s="6" t="str">
        <f>IF(_xlfn.IFNA(INDEX(configuracoes!$A$2:$A$10,MATCH(base_tc_geral[[#This Row],[TIPO]],configuracoes!$A$2:$A$10,0)),"NÃO")="NÃO","NÃO","SIM")</f>
        <v>SIM</v>
      </c>
    </row>
    <row r="767" spans="1:31" x14ac:dyDescent="0.25">
      <c r="A767" s="2" t="s">
        <v>642</v>
      </c>
      <c r="B767" s="2">
        <v>102101220</v>
      </c>
      <c r="C767" s="2" t="s">
        <v>15</v>
      </c>
      <c r="D767" s="2" t="s">
        <v>4485</v>
      </c>
      <c r="E767" s="2" t="s">
        <v>106</v>
      </c>
      <c r="F767" s="2" t="s">
        <v>428</v>
      </c>
      <c r="G767" s="2" t="s">
        <v>637</v>
      </c>
      <c r="H767" s="2" t="s">
        <v>427</v>
      </c>
      <c r="I767" s="2" t="s">
        <v>33</v>
      </c>
      <c r="J767" s="2" t="s">
        <v>109</v>
      </c>
      <c r="K767" s="2" t="s">
        <v>20</v>
      </c>
      <c r="L767" s="2" t="s">
        <v>19</v>
      </c>
      <c r="M767" s="2" t="s">
        <v>22</v>
      </c>
      <c r="N767" s="2" t="s">
        <v>15</v>
      </c>
      <c r="O767" s="2" t="s">
        <v>430</v>
      </c>
      <c r="P767" s="2" t="s">
        <v>644</v>
      </c>
      <c r="Q767" s="2" t="s">
        <v>4926</v>
      </c>
      <c r="R767" s="2" t="s">
        <v>625</v>
      </c>
      <c r="S767" s="2" t="s">
        <v>736</v>
      </c>
      <c r="T767" s="2" t="s">
        <v>167</v>
      </c>
      <c r="U767" s="2" t="s">
        <v>12</v>
      </c>
      <c r="V767" s="2" t="s">
        <v>4895</v>
      </c>
      <c r="W767" s="2" t="s">
        <v>42</v>
      </c>
      <c r="X767" s="2" t="s">
        <v>4925</v>
      </c>
      <c r="Y767" s="2" t="s">
        <v>643</v>
      </c>
      <c r="Z767" s="2" t="s">
        <v>5523</v>
      </c>
      <c r="AA7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7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7" s="6" t="str">
        <f>IF(_xlfn.IFNA(INDEX(configuracoes!$A$2:$A$10,MATCH(base_tc_geral[[#This Row],[TIPO]],configuracoes!$A$2:$A$10,0)),"NÃO")="NÃO","NÃO","SIM")</f>
        <v>SIM</v>
      </c>
    </row>
    <row r="768" spans="1:31" x14ac:dyDescent="0.25">
      <c r="A768" s="2" t="s">
        <v>1416</v>
      </c>
      <c r="B768" s="2">
        <v>109506248</v>
      </c>
      <c r="C768" s="2" t="s">
        <v>15</v>
      </c>
      <c r="D768" s="2" t="s">
        <v>4621</v>
      </c>
      <c r="E768" s="2" t="s">
        <v>86</v>
      </c>
      <c r="F768" s="2" t="s">
        <v>123</v>
      </c>
      <c r="G768" s="2" t="s">
        <v>58</v>
      </c>
      <c r="H768" s="2" t="s">
        <v>122</v>
      </c>
      <c r="I768" s="2" t="s">
        <v>33</v>
      </c>
      <c r="J768" s="2" t="s">
        <v>124</v>
      </c>
      <c r="K768" s="2" t="s">
        <v>13</v>
      </c>
      <c r="L768" s="2" t="s">
        <v>61</v>
      </c>
      <c r="M768" s="2" t="s">
        <v>44</v>
      </c>
      <c r="N768" s="2" t="s">
        <v>15</v>
      </c>
      <c r="O768" s="2" t="s">
        <v>129</v>
      </c>
      <c r="P768" s="2" t="s">
        <v>1419</v>
      </c>
      <c r="Q768" s="2" t="s">
        <v>4926</v>
      </c>
      <c r="R768" s="2" t="s">
        <v>1417</v>
      </c>
      <c r="S768" s="2" t="s">
        <v>4699</v>
      </c>
      <c r="T768" s="2" t="s">
        <v>4696</v>
      </c>
      <c r="U768" s="2" t="s">
        <v>39</v>
      </c>
      <c r="V768" s="2" t="s">
        <v>4800</v>
      </c>
      <c r="W768" s="2" t="s">
        <v>5037</v>
      </c>
      <c r="X768" s="2" t="s">
        <v>44</v>
      </c>
      <c r="Y768" s="2" t="s">
        <v>1418</v>
      </c>
      <c r="Z768" s="2" t="s">
        <v>5524</v>
      </c>
      <c r="AA7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GUSTAVO </v>
      </c>
      <c r="AB7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8" s="6" t="str">
        <f>IF(_xlfn.IFNA(INDEX(configuracoes!$A$2:$A$10,MATCH(base_tc_geral[[#This Row],[TIPO]],configuracoes!$A$2:$A$10,0)),"NÃO")="NÃO","NÃO","SIM")</f>
        <v>NÃO</v>
      </c>
    </row>
    <row r="769" spans="1:31" x14ac:dyDescent="0.25">
      <c r="A769" s="2" t="s">
        <v>2009</v>
      </c>
      <c r="B769" s="2">
        <v>109000943</v>
      </c>
      <c r="C769" s="2" t="s">
        <v>15</v>
      </c>
      <c r="D769" s="2" t="s">
        <v>4915</v>
      </c>
      <c r="E769" s="2" t="s">
        <v>86</v>
      </c>
      <c r="F769" s="2" t="s">
        <v>205</v>
      </c>
      <c r="G769" s="2" t="s">
        <v>58</v>
      </c>
      <c r="H769" s="2" t="s">
        <v>122</v>
      </c>
      <c r="I769" s="2" t="s">
        <v>33</v>
      </c>
      <c r="J769" s="2" t="s">
        <v>124</v>
      </c>
      <c r="K769" s="2" t="s">
        <v>92</v>
      </c>
      <c r="L769" s="2" t="s">
        <v>61</v>
      </c>
      <c r="M769" s="2" t="s">
        <v>44</v>
      </c>
      <c r="N769" s="2" t="s">
        <v>15</v>
      </c>
      <c r="O769" s="2" t="s">
        <v>129</v>
      </c>
      <c r="P769" s="2" t="s">
        <v>2011</v>
      </c>
      <c r="Q769" s="2" t="s">
        <v>4926</v>
      </c>
      <c r="R769" s="2" t="s">
        <v>206</v>
      </c>
      <c r="S769" s="2" t="s">
        <v>125</v>
      </c>
      <c r="T769" s="2" t="s">
        <v>4696</v>
      </c>
      <c r="U769" s="2" t="s">
        <v>12</v>
      </c>
      <c r="V769" s="2" t="s">
        <v>4784</v>
      </c>
      <c r="W769" s="2" t="s">
        <v>4999</v>
      </c>
      <c r="X769" s="2" t="s">
        <v>44</v>
      </c>
      <c r="Y769" s="2" t="s">
        <v>2010</v>
      </c>
      <c r="Z769" s="2" t="s">
        <v>5525</v>
      </c>
      <c r="AA7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7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7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69" s="6" t="str">
        <f>IF(_xlfn.IFNA(INDEX(configuracoes!$A$2:$A$10,MATCH(base_tc_geral[[#This Row],[TIPO]],configuracoes!$A$2:$A$10,0)),"NÃO")="NÃO","NÃO","SIM")</f>
        <v>NÃO</v>
      </c>
    </row>
    <row r="770" spans="1:31" x14ac:dyDescent="0.25">
      <c r="A770" s="2" t="s">
        <v>2193</v>
      </c>
      <c r="B770" s="2">
        <v>105301785</v>
      </c>
      <c r="C770" s="2" t="s">
        <v>15</v>
      </c>
      <c r="D770" s="2" t="s">
        <v>4613</v>
      </c>
      <c r="E770" s="2" t="s">
        <v>28</v>
      </c>
      <c r="F770" s="2" t="s">
        <v>290</v>
      </c>
      <c r="G770" s="2" t="s">
        <v>149</v>
      </c>
      <c r="H770" s="2" t="s">
        <v>34</v>
      </c>
      <c r="I770" s="2" t="s">
        <v>33</v>
      </c>
      <c r="J770" s="2" t="s">
        <v>34</v>
      </c>
      <c r="K770" s="2" t="s">
        <v>13</v>
      </c>
      <c r="L770" s="2" t="s">
        <v>61</v>
      </c>
      <c r="M770" s="2" t="s">
        <v>2195</v>
      </c>
      <c r="N770" s="2" t="s">
        <v>15</v>
      </c>
      <c r="O770" s="2" t="s">
        <v>156</v>
      </c>
      <c r="P770" s="2" t="s">
        <v>2196</v>
      </c>
      <c r="Q770" s="2" t="s">
        <v>4926</v>
      </c>
      <c r="R770" s="2" t="s">
        <v>4361</v>
      </c>
      <c r="S770" s="2" t="s">
        <v>4704</v>
      </c>
      <c r="T770" s="2" t="s">
        <v>4701</v>
      </c>
      <c r="U770" s="2" t="s">
        <v>12</v>
      </c>
      <c r="V770" s="2" t="s">
        <v>4763</v>
      </c>
      <c r="W770" s="2" t="s">
        <v>4987</v>
      </c>
      <c r="X770" s="2" t="s">
        <v>5527</v>
      </c>
      <c r="Y770" s="2" t="s">
        <v>2194</v>
      </c>
      <c r="Z770" s="2" t="s">
        <v>5526</v>
      </c>
      <c r="AA7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TOSCANO </v>
      </c>
      <c r="AB7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ANDRE LUIS </v>
      </c>
      <c r="AC7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7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70" s="6" t="str">
        <f>IF(_xlfn.IFNA(INDEX(configuracoes!$A$2:$A$10,MATCH(base_tc_geral[[#This Row],[TIPO]],configuracoes!$A$2:$A$10,0)),"NÃO")="NÃO","NÃO","SIM")</f>
        <v>NÃO</v>
      </c>
    </row>
    <row r="771" spans="1:31" x14ac:dyDescent="0.25">
      <c r="A771" s="2" t="s">
        <v>3227</v>
      </c>
      <c r="B771" s="2">
        <v>109505858</v>
      </c>
      <c r="C771" s="2" t="s">
        <v>15</v>
      </c>
      <c r="D771" s="2" t="s">
        <v>4527</v>
      </c>
      <c r="E771" s="2" t="s">
        <v>86</v>
      </c>
      <c r="F771" s="2" t="s">
        <v>559</v>
      </c>
      <c r="G771" s="2" t="s">
        <v>630</v>
      </c>
      <c r="H771" s="2" t="s">
        <v>558</v>
      </c>
      <c r="I771" s="2" t="s">
        <v>33</v>
      </c>
      <c r="J771" s="2" t="s">
        <v>91</v>
      </c>
      <c r="K771" s="2" t="s">
        <v>20</v>
      </c>
      <c r="L771" s="2" t="s">
        <v>21</v>
      </c>
      <c r="M771" s="2" t="s">
        <v>22</v>
      </c>
      <c r="N771" s="2" t="s">
        <v>15</v>
      </c>
      <c r="O771" s="2" t="s">
        <v>561</v>
      </c>
      <c r="P771" s="2" t="s">
        <v>3229</v>
      </c>
      <c r="Q771" s="2" t="s">
        <v>4926</v>
      </c>
      <c r="R771" s="2" t="s">
        <v>1466</v>
      </c>
      <c r="S771" s="2" t="s">
        <v>93</v>
      </c>
      <c r="T771" s="2" t="s">
        <v>4696</v>
      </c>
      <c r="U771" s="2" t="s">
        <v>12</v>
      </c>
      <c r="V771" s="2" t="s">
        <v>4802</v>
      </c>
      <c r="W771" s="2" t="s">
        <v>4982</v>
      </c>
      <c r="X771" s="2" t="s">
        <v>4925</v>
      </c>
      <c r="Y771" s="2" t="s">
        <v>3228</v>
      </c>
      <c r="Z771" s="2" t="s">
        <v>5528</v>
      </c>
      <c r="AA7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7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71" s="6" t="str">
        <f>IF(_xlfn.IFNA(INDEX(configuracoes!$A$2:$A$10,MATCH(base_tc_geral[[#This Row],[TIPO]],configuracoes!$A$2:$A$10,0)),"NÃO")="NÃO","NÃO","SIM")</f>
        <v>SIM</v>
      </c>
    </row>
    <row r="772" spans="1:31" x14ac:dyDescent="0.25">
      <c r="A772" s="2" t="s">
        <v>1538</v>
      </c>
      <c r="B772" s="2">
        <v>109000017</v>
      </c>
      <c r="C772" s="2" t="s">
        <v>15</v>
      </c>
      <c r="D772" s="2" t="s">
        <v>4481</v>
      </c>
      <c r="E772" s="2" t="s">
        <v>86</v>
      </c>
      <c r="F772" s="2" t="s">
        <v>211</v>
      </c>
      <c r="G772" s="2" t="s">
        <v>89</v>
      </c>
      <c r="H772" s="2" t="s">
        <v>210</v>
      </c>
      <c r="I772" s="2" t="s">
        <v>33</v>
      </c>
      <c r="J772" s="2" t="s">
        <v>124</v>
      </c>
      <c r="K772" s="2" t="s">
        <v>92</v>
      </c>
      <c r="L772" s="2" t="s">
        <v>37</v>
      </c>
      <c r="M772" s="2" t="s">
        <v>44</v>
      </c>
      <c r="N772" s="2" t="s">
        <v>15</v>
      </c>
      <c r="O772" s="2" t="s">
        <v>214</v>
      </c>
      <c r="P772" s="2" t="s">
        <v>1540</v>
      </c>
      <c r="Q772" s="2" t="s">
        <v>4926</v>
      </c>
      <c r="R772" s="2" t="s">
        <v>212</v>
      </c>
      <c r="S772" s="2" t="s">
        <v>93</v>
      </c>
      <c r="T772" s="2" t="s">
        <v>4696</v>
      </c>
      <c r="U772" s="2" t="s">
        <v>12</v>
      </c>
      <c r="V772" s="2" t="s">
        <v>4820</v>
      </c>
      <c r="W772" s="2" t="s">
        <v>4999</v>
      </c>
      <c r="X772" s="2" t="s">
        <v>44</v>
      </c>
      <c r="Y772" s="2" t="s">
        <v>1539</v>
      </c>
      <c r="Z772" s="2" t="s">
        <v>5819</v>
      </c>
      <c r="AA7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7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72" s="6" t="str">
        <f>IF(_xlfn.IFNA(INDEX(configuracoes!$A$2:$A$10,MATCH(base_tc_geral[[#This Row],[TIPO]],configuracoes!$A$2:$A$10,0)),"NÃO")="NÃO","NÃO","SIM")</f>
        <v>NÃO</v>
      </c>
    </row>
    <row r="773" spans="1:31" x14ac:dyDescent="0.25">
      <c r="A773" s="2" t="s">
        <v>3183</v>
      </c>
      <c r="B773" s="2">
        <v>109000499</v>
      </c>
      <c r="C773" s="2" t="s">
        <v>15</v>
      </c>
      <c r="D773" s="2" t="s">
        <v>4510</v>
      </c>
      <c r="E773" s="2" t="s">
        <v>86</v>
      </c>
      <c r="F773" s="2" t="s">
        <v>274</v>
      </c>
      <c r="G773" s="2" t="s">
        <v>149</v>
      </c>
      <c r="H773" s="2" t="s">
        <v>210</v>
      </c>
      <c r="I773" s="2" t="s">
        <v>33</v>
      </c>
      <c r="J773" s="2" t="s">
        <v>124</v>
      </c>
      <c r="K773" s="2" t="s">
        <v>13</v>
      </c>
      <c r="L773" s="2" t="s">
        <v>61</v>
      </c>
      <c r="M773" s="2" t="s">
        <v>18</v>
      </c>
      <c r="N773" s="2" t="s">
        <v>15</v>
      </c>
      <c r="O773" s="2" t="s">
        <v>214</v>
      </c>
      <c r="P773" s="2" t="s">
        <v>3185</v>
      </c>
      <c r="Q773" s="2" t="s">
        <v>4926</v>
      </c>
      <c r="R773" s="2" t="s">
        <v>321</v>
      </c>
      <c r="S773" s="2" t="s">
        <v>93</v>
      </c>
      <c r="T773" s="2" t="s">
        <v>4696</v>
      </c>
      <c r="U773" s="2" t="s">
        <v>12</v>
      </c>
      <c r="V773" s="2" t="s">
        <v>4783</v>
      </c>
      <c r="W773" s="2" t="s">
        <v>4982</v>
      </c>
      <c r="X773" s="2" t="s">
        <v>4998</v>
      </c>
      <c r="Y773" s="2" t="s">
        <v>3184</v>
      </c>
      <c r="Z773" s="2" t="s">
        <v>5820</v>
      </c>
      <c r="AA7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7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73" s="6" t="str">
        <f>IF(_xlfn.IFNA(INDEX(configuracoes!$A$2:$A$10,MATCH(base_tc_geral[[#This Row],[TIPO]],configuracoes!$A$2:$A$10,0)),"NÃO")="NÃO","NÃO","SIM")</f>
        <v>NÃO</v>
      </c>
    </row>
    <row r="774" spans="1:31" x14ac:dyDescent="0.25">
      <c r="A774" s="2" t="s">
        <v>1602</v>
      </c>
      <c r="B774" s="2">
        <v>101005376</v>
      </c>
      <c r="C774" s="2" t="s">
        <v>15</v>
      </c>
      <c r="D774" s="2" t="s">
        <v>4541</v>
      </c>
      <c r="E774" s="2" t="s">
        <v>47</v>
      </c>
      <c r="F774" s="2" t="s">
        <v>350</v>
      </c>
      <c r="G774" s="2" t="s">
        <v>149</v>
      </c>
      <c r="H774" s="2" t="s">
        <v>227</v>
      </c>
      <c r="I774" s="2" t="s">
        <v>16</v>
      </c>
      <c r="J774" s="2" t="s">
        <v>227</v>
      </c>
      <c r="K774" s="2" t="s">
        <v>20</v>
      </c>
      <c r="L774" s="2" t="s">
        <v>61</v>
      </c>
      <c r="M774" s="2" t="s">
        <v>22</v>
      </c>
      <c r="N774" s="2" t="s">
        <v>15</v>
      </c>
      <c r="O774" s="2" t="s">
        <v>271</v>
      </c>
      <c r="P774" s="2" t="s">
        <v>1604</v>
      </c>
      <c r="Q774" s="2" t="s">
        <v>4926</v>
      </c>
      <c r="R774" s="2" t="s">
        <v>959</v>
      </c>
      <c r="S774" s="2" t="s">
        <v>359</v>
      </c>
      <c r="T774" s="2" t="s">
        <v>4697</v>
      </c>
      <c r="U774" s="2" t="s">
        <v>12</v>
      </c>
      <c r="V774" s="2" t="s">
        <v>4829</v>
      </c>
      <c r="W774" s="2" t="s">
        <v>4982</v>
      </c>
      <c r="X774" s="2" t="s">
        <v>4925</v>
      </c>
      <c r="Y774" s="2" t="s">
        <v>1603</v>
      </c>
      <c r="Z774" s="2" t="s">
        <v>5821</v>
      </c>
      <c r="AA7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VENILSON </v>
      </c>
      <c r="AB7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7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74" s="6" t="str">
        <f>IF(_xlfn.IFNA(INDEX(configuracoes!$A$2:$A$10,MATCH(base_tc_geral[[#This Row],[TIPO]],configuracoes!$A$2:$A$10,0)),"NÃO")="NÃO","NÃO","SIM")</f>
        <v>NÃO</v>
      </c>
    </row>
    <row r="775" spans="1:31" x14ac:dyDescent="0.25">
      <c r="A775" s="2" t="s">
        <v>383</v>
      </c>
      <c r="B775" s="2">
        <v>101006811</v>
      </c>
      <c r="C775" s="2" t="s">
        <v>15</v>
      </c>
      <c r="D775" s="2" t="s">
        <v>4489</v>
      </c>
      <c r="E775" s="2" t="s">
        <v>47</v>
      </c>
      <c r="F775" s="2" t="s">
        <v>49</v>
      </c>
      <c r="G775" s="2" t="s">
        <v>630</v>
      </c>
      <c r="H775" s="2" t="s">
        <v>48</v>
      </c>
      <c r="I775" s="2" t="s">
        <v>16</v>
      </c>
      <c r="J775" s="2" t="s">
        <v>48</v>
      </c>
      <c r="K775" s="2" t="s">
        <v>20</v>
      </c>
      <c r="L775" s="2" t="s">
        <v>21</v>
      </c>
      <c r="M775" s="2" t="s">
        <v>22</v>
      </c>
      <c r="N775" s="2" t="s">
        <v>15</v>
      </c>
      <c r="O775" s="2" t="s">
        <v>53</v>
      </c>
      <c r="P775" s="2" t="s">
        <v>385</v>
      </c>
      <c r="Q775" s="2" t="s">
        <v>4926</v>
      </c>
      <c r="R775" s="2" t="s">
        <v>50</v>
      </c>
      <c r="S775" s="2" t="s">
        <v>51</v>
      </c>
      <c r="T775" s="2" t="s">
        <v>4697</v>
      </c>
      <c r="U775" s="2" t="s">
        <v>12</v>
      </c>
      <c r="V775" s="2" t="s">
        <v>4860</v>
      </c>
      <c r="W775" s="2" t="s">
        <v>4982</v>
      </c>
      <c r="X775" s="2" t="s">
        <v>4925</v>
      </c>
      <c r="Y775" s="2" t="s">
        <v>384</v>
      </c>
      <c r="Z775" s="2" t="s">
        <v>5822</v>
      </c>
      <c r="AA7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7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75" s="6" t="str">
        <f>IF(_xlfn.IFNA(INDEX(configuracoes!$A$2:$A$10,MATCH(base_tc_geral[[#This Row],[TIPO]],configuracoes!$A$2:$A$10,0)),"NÃO")="NÃO","NÃO","SIM")</f>
        <v>SIM</v>
      </c>
    </row>
    <row r="776" spans="1:31" x14ac:dyDescent="0.25">
      <c r="A776" s="2" t="s">
        <v>1861</v>
      </c>
      <c r="B776" s="2">
        <v>109000017</v>
      </c>
      <c r="C776" s="2" t="s">
        <v>15</v>
      </c>
      <c r="D776" s="2" t="s">
        <v>4523</v>
      </c>
      <c r="E776" s="2" t="s">
        <v>86</v>
      </c>
      <c r="F776" s="2" t="s">
        <v>298</v>
      </c>
      <c r="G776" s="2" t="s">
        <v>58</v>
      </c>
      <c r="H776" s="2" t="s">
        <v>210</v>
      </c>
      <c r="I776" s="2" t="s">
        <v>33</v>
      </c>
      <c r="J776" s="2" t="s">
        <v>124</v>
      </c>
      <c r="K776" s="2" t="s">
        <v>92</v>
      </c>
      <c r="L776" s="2" t="s">
        <v>61</v>
      </c>
      <c r="M776" s="2" t="s">
        <v>38</v>
      </c>
      <c r="N776" s="2" t="s">
        <v>15</v>
      </c>
      <c r="O776" s="2" t="s">
        <v>214</v>
      </c>
      <c r="P776" s="2" t="s">
        <v>1863</v>
      </c>
      <c r="Q776" s="2" t="s">
        <v>4926</v>
      </c>
      <c r="R776" s="2" t="s">
        <v>212</v>
      </c>
      <c r="S776" s="2" t="s">
        <v>93</v>
      </c>
      <c r="T776" s="2" t="s">
        <v>4696</v>
      </c>
      <c r="U776" s="2" t="s">
        <v>12</v>
      </c>
      <c r="V776" s="2" t="s">
        <v>4794</v>
      </c>
      <c r="W776" s="2" t="s">
        <v>5013</v>
      </c>
      <c r="X776" s="2" t="s">
        <v>38</v>
      </c>
      <c r="Y776" s="2" t="s">
        <v>1862</v>
      </c>
      <c r="Z776" s="2" t="s">
        <v>5823</v>
      </c>
      <c r="AA7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7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76" s="6" t="str">
        <f>IF(_xlfn.IFNA(INDEX(configuracoes!$A$2:$A$10,MATCH(base_tc_geral[[#This Row],[TIPO]],configuracoes!$A$2:$A$10,0)),"NÃO")="NÃO","NÃO","SIM")</f>
        <v>NÃO</v>
      </c>
    </row>
    <row r="777" spans="1:31" x14ac:dyDescent="0.25">
      <c r="A777" s="2" t="s">
        <v>1189</v>
      </c>
      <c r="B777" s="2">
        <v>101005989</v>
      </c>
      <c r="C777" s="2" t="s">
        <v>15</v>
      </c>
      <c r="D777" s="2" t="s">
        <v>4537</v>
      </c>
      <c r="E777" s="2" t="s">
        <v>47</v>
      </c>
      <c r="F777" s="2" t="s">
        <v>57</v>
      </c>
      <c r="G777" s="2" t="s">
        <v>58</v>
      </c>
      <c r="H777" s="2" t="s">
        <v>56</v>
      </c>
      <c r="I777" s="2" t="s">
        <v>16</v>
      </c>
      <c r="J777" s="2" t="s">
        <v>60</v>
      </c>
      <c r="K777" s="2" t="s">
        <v>20</v>
      </c>
      <c r="L777" s="2" t="s">
        <v>61</v>
      </c>
      <c r="M777" s="2" t="s">
        <v>22</v>
      </c>
      <c r="N777" s="2" t="s">
        <v>15</v>
      </c>
      <c r="O777" s="2" t="s">
        <v>63</v>
      </c>
      <c r="P777" s="2" t="s">
        <v>1191</v>
      </c>
      <c r="Q777" s="2" t="s">
        <v>4926</v>
      </c>
      <c r="R777" s="2" t="s">
        <v>59</v>
      </c>
      <c r="S777" s="2" t="s">
        <v>51</v>
      </c>
      <c r="T777" s="2" t="s">
        <v>4697</v>
      </c>
      <c r="U777" s="2" t="s">
        <v>12</v>
      </c>
      <c r="V777" s="2" t="s">
        <v>4859</v>
      </c>
      <c r="W777" s="2" t="s">
        <v>4982</v>
      </c>
      <c r="X777" s="2" t="s">
        <v>4925</v>
      </c>
      <c r="Y777" s="2" t="s">
        <v>1190</v>
      </c>
      <c r="Z777" s="2" t="s">
        <v>5824</v>
      </c>
      <c r="AA7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7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77" s="6" t="str">
        <f>IF(_xlfn.IFNA(INDEX(configuracoes!$A$2:$A$10,MATCH(base_tc_geral[[#This Row],[TIPO]],configuracoes!$A$2:$A$10,0)),"NÃO")="NÃO","NÃO","SIM")</f>
        <v>NÃO</v>
      </c>
    </row>
    <row r="778" spans="1:31" x14ac:dyDescent="0.25">
      <c r="A778" s="2" t="s">
        <v>1556</v>
      </c>
      <c r="B778" s="2">
        <v>109505858</v>
      </c>
      <c r="C778" s="2" t="s">
        <v>24</v>
      </c>
      <c r="D778" s="2" t="s">
        <v>4503</v>
      </c>
      <c r="E778" s="2" t="s">
        <v>86</v>
      </c>
      <c r="F778" s="2" t="s">
        <v>559</v>
      </c>
      <c r="G778" s="2" t="s">
        <v>172</v>
      </c>
      <c r="H778" s="2" t="s">
        <v>558</v>
      </c>
      <c r="I778" s="2" t="s">
        <v>33</v>
      </c>
      <c r="J778" s="2" t="s">
        <v>91</v>
      </c>
      <c r="K778" s="2" t="s">
        <v>13</v>
      </c>
      <c r="L778" s="2" t="s">
        <v>17</v>
      </c>
      <c r="M778" s="2" t="s">
        <v>18</v>
      </c>
      <c r="N778" s="2" t="s">
        <v>24</v>
      </c>
      <c r="O778" s="2" t="s">
        <v>561</v>
      </c>
      <c r="P778" s="2" t="s">
        <v>1558</v>
      </c>
      <c r="Q778" s="2" t="s">
        <v>4926</v>
      </c>
      <c r="R778" s="2" t="s">
        <v>1466</v>
      </c>
      <c r="S778" s="2" t="s">
        <v>93</v>
      </c>
      <c r="T778" s="2" t="s">
        <v>4696</v>
      </c>
      <c r="U778" s="2" t="s">
        <v>39</v>
      </c>
      <c r="V778" s="2" t="s">
        <v>4802</v>
      </c>
      <c r="W778" s="2" t="s">
        <v>17</v>
      </c>
      <c r="X778" s="2" t="s">
        <v>4998</v>
      </c>
      <c r="Y778" s="2" t="s">
        <v>1557</v>
      </c>
      <c r="Z778" s="2" t="s">
        <v>5825</v>
      </c>
      <c r="AA7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7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78" s="6" t="str">
        <f>IF(_xlfn.IFNA(INDEX(configuracoes!$A$2:$A$10,MATCH(base_tc_geral[[#This Row],[TIPO]],configuracoes!$A$2:$A$10,0)),"NÃO")="NÃO","NÃO","SIM")</f>
        <v>NÃO</v>
      </c>
    </row>
    <row r="779" spans="1:31" x14ac:dyDescent="0.25">
      <c r="A779" s="2" t="s">
        <v>2974</v>
      </c>
      <c r="B779" s="2">
        <v>101010062</v>
      </c>
      <c r="C779" s="2" t="s">
        <v>24</v>
      </c>
      <c r="D779" s="2" t="s">
        <v>4482</v>
      </c>
      <c r="E779" s="2" t="s">
        <v>47</v>
      </c>
      <c r="F779" s="2" t="s">
        <v>181</v>
      </c>
      <c r="G779" s="2" t="s">
        <v>883</v>
      </c>
      <c r="H779" s="2" t="s">
        <v>66</v>
      </c>
      <c r="I779" s="2" t="s">
        <v>16</v>
      </c>
      <c r="J779" s="2" t="s">
        <v>66</v>
      </c>
      <c r="K779" s="2" t="s">
        <v>20</v>
      </c>
      <c r="L779" s="2" t="s">
        <v>21</v>
      </c>
      <c r="M779" s="2" t="s">
        <v>22</v>
      </c>
      <c r="N779" s="2" t="s">
        <v>24</v>
      </c>
      <c r="O779" s="2" t="s">
        <v>71</v>
      </c>
      <c r="P779" s="2" t="s">
        <v>2976</v>
      </c>
      <c r="Q779" s="2" t="s">
        <v>4926</v>
      </c>
      <c r="R779" s="2" t="s">
        <v>1699</v>
      </c>
      <c r="S779" s="2" t="s">
        <v>4698</v>
      </c>
      <c r="T779" s="2" t="s">
        <v>4697</v>
      </c>
      <c r="U779" s="2" t="s">
        <v>39</v>
      </c>
      <c r="V779" s="2" t="s">
        <v>4792</v>
      </c>
      <c r="W779" s="2" t="s">
        <v>4982</v>
      </c>
      <c r="X779" s="2" t="s">
        <v>4925</v>
      </c>
      <c r="Y779" s="2" t="s">
        <v>2975</v>
      </c>
      <c r="Z779" s="2" t="s">
        <v>5529</v>
      </c>
      <c r="AA7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7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7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79" s="6" t="str">
        <f>IF(_xlfn.IFNA(INDEX(configuracoes!$A$2:$A$10,MATCH(base_tc_geral[[#This Row],[TIPO]],configuracoes!$A$2:$A$10,0)),"NÃO")="NÃO","NÃO","SIM")</f>
        <v>SIM</v>
      </c>
    </row>
    <row r="780" spans="1:31" x14ac:dyDescent="0.25">
      <c r="A780" s="2" t="s">
        <v>2363</v>
      </c>
      <c r="B780" s="2">
        <v>102101393</v>
      </c>
      <c r="C780" s="2" t="s">
        <v>15</v>
      </c>
      <c r="D780" s="2" t="s">
        <v>4559</v>
      </c>
      <c r="E780" s="2" t="s">
        <v>106</v>
      </c>
      <c r="F780" s="2" t="s">
        <v>131</v>
      </c>
      <c r="G780" s="2" t="s">
        <v>172</v>
      </c>
      <c r="H780" s="2" t="s">
        <v>130</v>
      </c>
      <c r="I780" s="2" t="s">
        <v>33</v>
      </c>
      <c r="J780" s="2" t="s">
        <v>109</v>
      </c>
      <c r="K780" s="2" t="s">
        <v>13</v>
      </c>
      <c r="L780" s="2" t="s">
        <v>17</v>
      </c>
      <c r="M780" s="2" t="s">
        <v>18</v>
      </c>
      <c r="N780" s="2" t="s">
        <v>15</v>
      </c>
      <c r="O780" s="2" t="s">
        <v>132</v>
      </c>
      <c r="P780" s="2" t="s">
        <v>2365</v>
      </c>
      <c r="Q780" s="2" t="s">
        <v>4926</v>
      </c>
      <c r="R780" s="2" t="s">
        <v>735</v>
      </c>
      <c r="S780" s="2" t="s">
        <v>736</v>
      </c>
      <c r="T780" s="2" t="s">
        <v>167</v>
      </c>
      <c r="U780" s="2" t="s">
        <v>12</v>
      </c>
      <c r="V780" s="2" t="s">
        <v>4886</v>
      </c>
      <c r="W780" s="2" t="s">
        <v>17</v>
      </c>
      <c r="X780" s="2" t="s">
        <v>4998</v>
      </c>
      <c r="Y780" s="2" t="s">
        <v>2364</v>
      </c>
      <c r="Z780" s="2" t="s">
        <v>5530</v>
      </c>
      <c r="AA7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7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0" s="6" t="str">
        <f>IF(_xlfn.IFNA(INDEX(configuracoes!$A$2:$A$10,MATCH(base_tc_geral[[#This Row],[TIPO]],configuracoes!$A$2:$A$10,0)),"NÃO")="NÃO","NÃO","SIM")</f>
        <v>NÃO</v>
      </c>
    </row>
    <row r="781" spans="1:31" x14ac:dyDescent="0.25">
      <c r="A781" s="2" t="s">
        <v>4385</v>
      </c>
      <c r="B781" s="2">
        <v>109505287</v>
      </c>
      <c r="C781" s="2" t="s">
        <v>15</v>
      </c>
      <c r="D781" s="2" t="s">
        <v>4481</v>
      </c>
      <c r="E781" s="2" t="s">
        <v>86</v>
      </c>
      <c r="F781" s="2" t="s">
        <v>205</v>
      </c>
      <c r="G781" s="2" t="s">
        <v>149</v>
      </c>
      <c r="H781" s="2" t="s">
        <v>122</v>
      </c>
      <c r="I781" s="2" t="s">
        <v>33</v>
      </c>
      <c r="J781" s="2" t="s">
        <v>124</v>
      </c>
      <c r="K781" s="2" t="s">
        <v>20</v>
      </c>
      <c r="L781" s="2" t="s">
        <v>61</v>
      </c>
      <c r="M781" s="2" t="s">
        <v>134</v>
      </c>
      <c r="N781" s="2" t="s">
        <v>15</v>
      </c>
      <c r="O781" s="2" t="s">
        <v>129</v>
      </c>
      <c r="P781" s="2" t="s">
        <v>4388</v>
      </c>
      <c r="Q781" s="2" t="s">
        <v>4926</v>
      </c>
      <c r="R781" s="2" t="s">
        <v>4386</v>
      </c>
      <c r="S781" s="2" t="s">
        <v>4700</v>
      </c>
      <c r="T781" s="2" t="s">
        <v>4701</v>
      </c>
      <c r="U781" s="2" t="s">
        <v>39</v>
      </c>
      <c r="V781" s="2" t="s">
        <v>4784</v>
      </c>
      <c r="W781" s="2" t="s">
        <v>4993</v>
      </c>
      <c r="X781" s="2" t="s">
        <v>5532</v>
      </c>
      <c r="Y781" s="2" t="s">
        <v>4387</v>
      </c>
      <c r="Z781" s="2" t="s">
        <v>5531</v>
      </c>
      <c r="AA7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CARDOZO </v>
      </c>
      <c r="AB7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7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7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1" s="6" t="str">
        <f>IF(_xlfn.IFNA(INDEX(configuracoes!$A$2:$A$10,MATCH(base_tc_geral[[#This Row],[TIPO]],configuracoes!$A$2:$A$10,0)),"NÃO")="NÃO","NÃO","SIM")</f>
        <v>NÃO</v>
      </c>
    </row>
    <row r="782" spans="1:31" x14ac:dyDescent="0.25">
      <c r="A782" s="2" t="s">
        <v>1179</v>
      </c>
      <c r="B782" s="2">
        <v>109000017</v>
      </c>
      <c r="C782" s="2" t="s">
        <v>24</v>
      </c>
      <c r="D782" s="2" t="s">
        <v>4768</v>
      </c>
      <c r="E782" s="2" t="s">
        <v>86</v>
      </c>
      <c r="F782" s="2" t="s">
        <v>211</v>
      </c>
      <c r="G782" s="2" t="s">
        <v>58</v>
      </c>
      <c r="H782" s="2" t="s">
        <v>210</v>
      </c>
      <c r="I782" s="2" t="s">
        <v>33</v>
      </c>
      <c r="J782" s="2" t="s">
        <v>124</v>
      </c>
      <c r="K782" s="2" t="s">
        <v>92</v>
      </c>
      <c r="L782" s="2" t="s">
        <v>61</v>
      </c>
      <c r="M782" s="2" t="s">
        <v>44</v>
      </c>
      <c r="N782" s="2" t="s">
        <v>24</v>
      </c>
      <c r="O782" s="2" t="s">
        <v>214</v>
      </c>
      <c r="P782" s="2" t="s">
        <v>1181</v>
      </c>
      <c r="Q782" s="2" t="s">
        <v>4926</v>
      </c>
      <c r="R782" s="2" t="s">
        <v>212</v>
      </c>
      <c r="S782" s="2" t="s">
        <v>93</v>
      </c>
      <c r="T782" s="2" t="s">
        <v>4696</v>
      </c>
      <c r="U782" s="2" t="s">
        <v>39</v>
      </c>
      <c r="V782" s="2" t="s">
        <v>4820</v>
      </c>
      <c r="W782" s="2" t="s">
        <v>4999</v>
      </c>
      <c r="X782" s="2" t="s">
        <v>44</v>
      </c>
      <c r="Y782" s="2" t="s">
        <v>1180</v>
      </c>
      <c r="Z782" s="2" t="s">
        <v>5533</v>
      </c>
      <c r="AA7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7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82" s="6" t="str">
        <f>IF(_xlfn.IFNA(INDEX(configuracoes!$A$2:$A$10,MATCH(base_tc_geral[[#This Row],[TIPO]],configuracoes!$A$2:$A$10,0)),"NÃO")="NÃO","NÃO","SIM")</f>
        <v>NÃO</v>
      </c>
    </row>
    <row r="783" spans="1:31" x14ac:dyDescent="0.25">
      <c r="A783" s="2" t="s">
        <v>4137</v>
      </c>
      <c r="B783" s="2">
        <v>109505719</v>
      </c>
      <c r="C783" s="2" t="s">
        <v>15</v>
      </c>
      <c r="D783" s="2" t="s">
        <v>4515</v>
      </c>
      <c r="E783" s="2" t="s">
        <v>86</v>
      </c>
      <c r="F783" s="2" t="s">
        <v>211</v>
      </c>
      <c r="G783" s="2" t="s">
        <v>149</v>
      </c>
      <c r="H783" s="2" t="s">
        <v>210</v>
      </c>
      <c r="I783" s="2" t="s">
        <v>33</v>
      </c>
      <c r="J783" s="2" t="s">
        <v>124</v>
      </c>
      <c r="K783" s="2" t="s">
        <v>13</v>
      </c>
      <c r="L783" s="2" t="s">
        <v>61</v>
      </c>
      <c r="M783" s="2" t="s">
        <v>2764</v>
      </c>
      <c r="N783" s="2" t="s">
        <v>15</v>
      </c>
      <c r="O783" s="2" t="s">
        <v>214</v>
      </c>
      <c r="P783" s="2" t="s">
        <v>4140</v>
      </c>
      <c r="Q783" s="2" t="s">
        <v>4926</v>
      </c>
      <c r="R783" s="2" t="s">
        <v>4138</v>
      </c>
      <c r="S783" s="2" t="s">
        <v>4703</v>
      </c>
      <c r="T783" s="2" t="s">
        <v>4701</v>
      </c>
      <c r="U783" s="2" t="s">
        <v>12</v>
      </c>
      <c r="V783" s="2" t="s">
        <v>4914</v>
      </c>
      <c r="W783" s="2" t="s">
        <v>5534</v>
      </c>
      <c r="X783" s="2" t="s">
        <v>5536</v>
      </c>
      <c r="Y783" s="2" t="s">
        <v>4139</v>
      </c>
      <c r="Z783" s="2" t="s">
        <v>5535</v>
      </c>
      <c r="AA7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DIEGO MARTINS </v>
      </c>
      <c r="AB7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FERREIRA </v>
      </c>
      <c r="AC7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7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3" s="6" t="str">
        <f>IF(_xlfn.IFNA(INDEX(configuracoes!$A$2:$A$10,MATCH(base_tc_geral[[#This Row],[TIPO]],configuracoes!$A$2:$A$10,0)),"NÃO")="NÃO","NÃO","SIM")</f>
        <v>NÃO</v>
      </c>
    </row>
    <row r="784" spans="1:31" x14ac:dyDescent="0.25">
      <c r="A784" s="2" t="s">
        <v>4867</v>
      </c>
      <c r="B784" s="2">
        <v>101004033</v>
      </c>
      <c r="C784" s="2" t="s">
        <v>15</v>
      </c>
      <c r="D784" s="2" t="s">
        <v>4499</v>
      </c>
      <c r="E784" s="2" t="s">
        <v>47</v>
      </c>
      <c r="F784" s="2" t="s">
        <v>303</v>
      </c>
      <c r="G784" s="2" t="s">
        <v>136</v>
      </c>
      <c r="H784" s="2" t="s">
        <v>60</v>
      </c>
      <c r="I784" s="2" t="s">
        <v>16</v>
      </c>
      <c r="J784" s="2" t="s">
        <v>60</v>
      </c>
      <c r="K784" s="2" t="s">
        <v>13</v>
      </c>
      <c r="L784" s="2" t="s">
        <v>72</v>
      </c>
      <c r="M784" s="2" t="s">
        <v>73</v>
      </c>
      <c r="N784" s="2" t="s">
        <v>15</v>
      </c>
      <c r="O784" s="2" t="s">
        <v>161</v>
      </c>
      <c r="P784" s="2" t="s">
        <v>4869</v>
      </c>
      <c r="Q784" s="2" t="s">
        <v>4926</v>
      </c>
      <c r="R784" s="2" t="s">
        <v>304</v>
      </c>
      <c r="S784" s="2" t="s">
        <v>51</v>
      </c>
      <c r="T784" s="2" t="s">
        <v>4697</v>
      </c>
      <c r="U784" s="2" t="s">
        <v>39</v>
      </c>
      <c r="V784" s="2" t="s">
        <v>4813</v>
      </c>
      <c r="W784" s="2" t="s">
        <v>72</v>
      </c>
      <c r="X784" s="2" t="s">
        <v>5011</v>
      </c>
      <c r="Y784" s="2" t="s">
        <v>4868</v>
      </c>
      <c r="Z784" s="2" t="s">
        <v>5537</v>
      </c>
      <c r="AA7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7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4" s="6" t="str">
        <f>IF(_xlfn.IFNA(INDEX(configuracoes!$A$2:$A$10,MATCH(base_tc_geral[[#This Row],[TIPO]],configuracoes!$A$2:$A$10,0)),"NÃO")="NÃO","NÃO","SIM")</f>
        <v>NÃO</v>
      </c>
    </row>
    <row r="785" spans="1:31" x14ac:dyDescent="0.25">
      <c r="A785" s="2" t="s">
        <v>1261</v>
      </c>
      <c r="B785" s="2">
        <v>102101393</v>
      </c>
      <c r="C785" s="2" t="s">
        <v>15</v>
      </c>
      <c r="D785" s="2" t="s">
        <v>4489</v>
      </c>
      <c r="E785" s="2" t="s">
        <v>106</v>
      </c>
      <c r="F785" s="2" t="s">
        <v>863</v>
      </c>
      <c r="G785" s="2" t="s">
        <v>172</v>
      </c>
      <c r="H785" s="2" t="s">
        <v>427</v>
      </c>
      <c r="I785" s="2" t="s">
        <v>33</v>
      </c>
      <c r="J785" s="2" t="s">
        <v>109</v>
      </c>
      <c r="K785" s="2" t="s">
        <v>13</v>
      </c>
      <c r="L785" s="2" t="s">
        <v>17</v>
      </c>
      <c r="M785" s="2" t="s">
        <v>23</v>
      </c>
      <c r="N785" s="2" t="s">
        <v>15</v>
      </c>
      <c r="O785" s="2" t="s">
        <v>430</v>
      </c>
      <c r="P785" s="2" t="s">
        <v>1263</v>
      </c>
      <c r="Q785" s="2" t="s">
        <v>4926</v>
      </c>
      <c r="R785" s="2" t="s">
        <v>735</v>
      </c>
      <c r="S785" s="2" t="s">
        <v>736</v>
      </c>
      <c r="T785" s="2" t="s">
        <v>167</v>
      </c>
      <c r="U785" s="2" t="s">
        <v>12</v>
      </c>
      <c r="V785" s="2" t="s">
        <v>4886</v>
      </c>
      <c r="W785" s="2" t="s">
        <v>17</v>
      </c>
      <c r="X785" s="2" t="s">
        <v>4998</v>
      </c>
      <c r="Y785" s="2" t="s">
        <v>1262</v>
      </c>
      <c r="Z785" s="2" t="s">
        <v>5538</v>
      </c>
      <c r="AA7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7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5" s="6" t="str">
        <f>IF(_xlfn.IFNA(INDEX(configuracoes!$A$2:$A$10,MATCH(base_tc_geral[[#This Row],[TIPO]],configuracoes!$A$2:$A$10,0)),"NÃO")="NÃO","NÃO","SIM")</f>
        <v>NÃO</v>
      </c>
    </row>
    <row r="786" spans="1:31" x14ac:dyDescent="0.25">
      <c r="A786" s="2" t="s">
        <v>1465</v>
      </c>
      <c r="B786" s="2">
        <v>109505858</v>
      </c>
      <c r="C786" s="2" t="s">
        <v>15</v>
      </c>
      <c r="D786" s="2" t="s">
        <v>4484</v>
      </c>
      <c r="E786" s="2" t="s">
        <v>86</v>
      </c>
      <c r="F786" s="2" t="s">
        <v>218</v>
      </c>
      <c r="G786" s="2" t="s">
        <v>630</v>
      </c>
      <c r="H786" s="2" t="s">
        <v>217</v>
      </c>
      <c r="I786" s="2" t="s">
        <v>33</v>
      </c>
      <c r="J786" s="2" t="s">
        <v>91</v>
      </c>
      <c r="K786" s="2" t="s">
        <v>20</v>
      </c>
      <c r="L786" s="2" t="s">
        <v>21</v>
      </c>
      <c r="M786" s="2" t="s">
        <v>22</v>
      </c>
      <c r="N786" s="2" t="s">
        <v>15</v>
      </c>
      <c r="O786" s="2" t="s">
        <v>221</v>
      </c>
      <c r="P786" s="2" t="s">
        <v>1468</v>
      </c>
      <c r="Q786" s="2" t="s">
        <v>4926</v>
      </c>
      <c r="R786" s="2" t="s">
        <v>1466</v>
      </c>
      <c r="S786" s="2" t="s">
        <v>93</v>
      </c>
      <c r="T786" s="2" t="s">
        <v>4696</v>
      </c>
      <c r="U786" s="2" t="s">
        <v>12</v>
      </c>
      <c r="V786" s="2" t="s">
        <v>4802</v>
      </c>
      <c r="W786" s="2" t="s">
        <v>4982</v>
      </c>
      <c r="X786" s="2" t="s">
        <v>4925</v>
      </c>
      <c r="Y786" s="2" t="s">
        <v>1467</v>
      </c>
      <c r="Z786" s="2" t="s">
        <v>5826</v>
      </c>
      <c r="AA7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7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6" s="6" t="str">
        <f>IF(_xlfn.IFNA(INDEX(configuracoes!$A$2:$A$10,MATCH(base_tc_geral[[#This Row],[TIPO]],configuracoes!$A$2:$A$10,0)),"NÃO")="NÃO","NÃO","SIM")</f>
        <v>SIM</v>
      </c>
    </row>
    <row r="787" spans="1:31" x14ac:dyDescent="0.25">
      <c r="A787" s="2" t="s">
        <v>3694</v>
      </c>
      <c r="B787" s="2">
        <v>101008003</v>
      </c>
      <c r="C787" s="2" t="s">
        <v>15</v>
      </c>
      <c r="D787" s="2" t="s">
        <v>4493</v>
      </c>
      <c r="E787" s="2" t="s">
        <v>47</v>
      </c>
      <c r="F787" s="2" t="s">
        <v>159</v>
      </c>
      <c r="G787" s="2" t="s">
        <v>99</v>
      </c>
      <c r="H787" s="2" t="s">
        <v>60</v>
      </c>
      <c r="I787" s="2" t="s">
        <v>16</v>
      </c>
      <c r="J787" s="2" t="s">
        <v>60</v>
      </c>
      <c r="K787" s="2" t="s">
        <v>13</v>
      </c>
      <c r="L787" s="2" t="s">
        <v>25</v>
      </c>
      <c r="M787" s="2" t="s">
        <v>22</v>
      </c>
      <c r="N787" s="2" t="s">
        <v>15</v>
      </c>
      <c r="O787" s="2" t="s">
        <v>161</v>
      </c>
      <c r="P787" s="2" t="s">
        <v>3696</v>
      </c>
      <c r="Q787" s="2" t="s">
        <v>4926</v>
      </c>
      <c r="R787" s="2" t="s">
        <v>100</v>
      </c>
      <c r="S787" s="2" t="s">
        <v>101</v>
      </c>
      <c r="T787" s="2" t="s">
        <v>4697</v>
      </c>
      <c r="U787" s="2" t="s">
        <v>12</v>
      </c>
      <c r="V787" s="2" t="s">
        <v>4806</v>
      </c>
      <c r="W787" s="2" t="s">
        <v>4931</v>
      </c>
      <c r="X787" s="2" t="s">
        <v>4925</v>
      </c>
      <c r="Y787" s="2" t="s">
        <v>3695</v>
      </c>
      <c r="Z787" s="2" t="s">
        <v>5827</v>
      </c>
      <c r="AA7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7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7" s="6" t="str">
        <f>IF(_xlfn.IFNA(INDEX(configuracoes!$A$2:$A$10,MATCH(base_tc_geral[[#This Row],[TIPO]],configuracoes!$A$2:$A$10,0)),"NÃO")="NÃO","NÃO","SIM")</f>
        <v>SIM</v>
      </c>
    </row>
    <row r="788" spans="1:31" x14ac:dyDescent="0.25">
      <c r="A788" s="2" t="s">
        <v>3190</v>
      </c>
      <c r="B788" s="2">
        <v>109000119</v>
      </c>
      <c r="C788" s="2" t="s">
        <v>15</v>
      </c>
      <c r="D788" s="2" t="s">
        <v>4489</v>
      </c>
      <c r="E788" s="2" t="s">
        <v>86</v>
      </c>
      <c r="F788" s="2" t="s">
        <v>274</v>
      </c>
      <c r="G788" s="2" t="s">
        <v>58</v>
      </c>
      <c r="H788" s="2" t="s">
        <v>210</v>
      </c>
      <c r="I788" s="2" t="s">
        <v>33</v>
      </c>
      <c r="J788" s="2" t="s">
        <v>124</v>
      </c>
      <c r="K788" s="2" t="s">
        <v>13</v>
      </c>
      <c r="L788" s="2" t="s">
        <v>61</v>
      </c>
      <c r="M788" s="2" t="s">
        <v>44</v>
      </c>
      <c r="N788" s="2" t="s">
        <v>15</v>
      </c>
      <c r="O788" s="2" t="s">
        <v>214</v>
      </c>
      <c r="P788" s="2" t="s">
        <v>3192</v>
      </c>
      <c r="Q788" s="2" t="s">
        <v>4926</v>
      </c>
      <c r="R788" s="2" t="s">
        <v>191</v>
      </c>
      <c r="S788" s="2" t="s">
        <v>4699</v>
      </c>
      <c r="T788" s="2" t="s">
        <v>4696</v>
      </c>
      <c r="U788" s="2" t="s">
        <v>12</v>
      </c>
      <c r="V788" s="2" t="s">
        <v>4849</v>
      </c>
      <c r="W788" s="2" t="s">
        <v>4984</v>
      </c>
      <c r="X788" s="2" t="s">
        <v>44</v>
      </c>
      <c r="Y788" s="2" t="s">
        <v>3191</v>
      </c>
      <c r="Z788" s="2" t="s">
        <v>5828</v>
      </c>
      <c r="AA7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7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88" s="6" t="str">
        <f>IF(_xlfn.IFNA(INDEX(configuracoes!$A$2:$A$10,MATCH(base_tc_geral[[#This Row],[TIPO]],configuracoes!$A$2:$A$10,0)),"NÃO")="NÃO","NÃO","SIM")</f>
        <v>NÃO</v>
      </c>
    </row>
    <row r="789" spans="1:31" x14ac:dyDescent="0.25">
      <c r="A789" s="2" t="s">
        <v>3766</v>
      </c>
      <c r="B789" s="2">
        <v>102101634</v>
      </c>
      <c r="C789" s="2" t="s">
        <v>40</v>
      </c>
      <c r="D789" s="2" t="s">
        <v>4660</v>
      </c>
      <c r="E789" s="2" t="s">
        <v>106</v>
      </c>
      <c r="F789" s="2" t="s">
        <v>186</v>
      </c>
      <c r="G789" s="2" t="s">
        <v>870</v>
      </c>
      <c r="H789" s="2" t="s">
        <v>107</v>
      </c>
      <c r="I789" s="2" t="s">
        <v>33</v>
      </c>
      <c r="J789" s="2" t="s">
        <v>109</v>
      </c>
      <c r="K789" s="2" t="s">
        <v>13</v>
      </c>
      <c r="L789" s="2" t="s">
        <v>76</v>
      </c>
      <c r="M789" s="2" t="s">
        <v>18</v>
      </c>
      <c r="N789" s="2" t="s">
        <v>40</v>
      </c>
      <c r="O789" s="2" t="s">
        <v>112</v>
      </c>
      <c r="P789" s="2" t="s">
        <v>3768</v>
      </c>
      <c r="Q789" s="2" t="s">
        <v>4926</v>
      </c>
      <c r="R789" s="2" t="s">
        <v>406</v>
      </c>
      <c r="S789" s="2" t="s">
        <v>736</v>
      </c>
      <c r="T789" s="2" t="s">
        <v>167</v>
      </c>
      <c r="U789" s="2" t="s">
        <v>39</v>
      </c>
      <c r="V789" s="2" t="s">
        <v>4772</v>
      </c>
      <c r="W789" s="2" t="s">
        <v>4982</v>
      </c>
      <c r="X789" s="2" t="s">
        <v>4998</v>
      </c>
      <c r="Y789" s="2" t="s">
        <v>3767</v>
      </c>
      <c r="Z789" s="2" t="s">
        <v>5829</v>
      </c>
      <c r="AA7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7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789" s="6" t="str">
        <f>IF(_xlfn.IFNA(INDEX(configuracoes!$A$2:$A$10,MATCH(base_tc_geral[[#This Row],[TIPO]],configuracoes!$A$2:$A$10,0)),"NÃO")="NÃO","NÃO","SIM")</f>
        <v>SIM</v>
      </c>
    </row>
    <row r="790" spans="1:31" x14ac:dyDescent="0.25">
      <c r="A790" s="2" t="s">
        <v>1345</v>
      </c>
      <c r="B790" s="2">
        <v>102100390</v>
      </c>
      <c r="C790" s="2" t="s">
        <v>40</v>
      </c>
      <c r="D790" s="2" t="s">
        <v>4617</v>
      </c>
      <c r="E790" s="2" t="s">
        <v>106</v>
      </c>
      <c r="F790" s="2" t="s">
        <v>509</v>
      </c>
      <c r="G790" s="2" t="s">
        <v>870</v>
      </c>
      <c r="H790" s="2" t="s">
        <v>130</v>
      </c>
      <c r="I790" s="2" t="s">
        <v>33</v>
      </c>
      <c r="J790" s="2" t="s">
        <v>109</v>
      </c>
      <c r="K790" s="2" t="s">
        <v>13</v>
      </c>
      <c r="L790" s="2" t="s">
        <v>76</v>
      </c>
      <c r="M790" s="2" t="s">
        <v>18</v>
      </c>
      <c r="N790" s="2" t="s">
        <v>40</v>
      </c>
      <c r="O790" s="2" t="s">
        <v>132</v>
      </c>
      <c r="P790" s="2" t="s">
        <v>1347</v>
      </c>
      <c r="Q790" s="2" t="s">
        <v>4926</v>
      </c>
      <c r="R790" s="2" t="s">
        <v>1092</v>
      </c>
      <c r="S790" s="2" t="s">
        <v>736</v>
      </c>
      <c r="T790" s="2" t="s">
        <v>167</v>
      </c>
      <c r="U790" s="2" t="s">
        <v>39</v>
      </c>
      <c r="V790" s="2" t="s">
        <v>4853</v>
      </c>
      <c r="W790" s="2" t="s">
        <v>4982</v>
      </c>
      <c r="X790" s="2" t="s">
        <v>4998</v>
      </c>
      <c r="Y790" s="2" t="s">
        <v>1346</v>
      </c>
      <c r="Z790" s="2" t="s">
        <v>5830</v>
      </c>
      <c r="AA7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7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7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7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790" s="6" t="str">
        <f>IF(_xlfn.IFNA(INDEX(configuracoes!$A$2:$A$10,MATCH(base_tc_geral[[#This Row],[TIPO]],configuracoes!$A$2:$A$10,0)),"NÃO")="NÃO","NÃO","SIM")</f>
        <v>SIM</v>
      </c>
    </row>
    <row r="791" spans="1:31" x14ac:dyDescent="0.25">
      <c r="A791" s="2" t="s">
        <v>3298</v>
      </c>
      <c r="B791" s="2">
        <v>101008003</v>
      </c>
      <c r="C791" s="2" t="s">
        <v>15</v>
      </c>
      <c r="D791" s="2" t="s">
        <v>4651</v>
      </c>
      <c r="E791" s="2" t="s">
        <v>47</v>
      </c>
      <c r="F791" s="2" t="s">
        <v>98</v>
      </c>
      <c r="G791" s="2" t="s">
        <v>648</v>
      </c>
      <c r="H791" s="2" t="s">
        <v>56</v>
      </c>
      <c r="I791" s="2" t="s">
        <v>16</v>
      </c>
      <c r="J791" s="2" t="s">
        <v>60</v>
      </c>
      <c r="K791" s="2" t="s">
        <v>13</v>
      </c>
      <c r="L791" s="2" t="s">
        <v>25</v>
      </c>
      <c r="M791" s="2" t="s">
        <v>22</v>
      </c>
      <c r="N791" s="2" t="s">
        <v>15</v>
      </c>
      <c r="O791" s="2" t="s">
        <v>63</v>
      </c>
      <c r="P791" s="2" t="s">
        <v>3300</v>
      </c>
      <c r="Q791" s="2" t="s">
        <v>4926</v>
      </c>
      <c r="R791" s="2" t="s">
        <v>100</v>
      </c>
      <c r="S791" s="2" t="s">
        <v>101</v>
      </c>
      <c r="T791" s="2" t="s">
        <v>4697</v>
      </c>
      <c r="U791" s="2" t="s">
        <v>12</v>
      </c>
      <c r="V791" s="2" t="s">
        <v>4806</v>
      </c>
      <c r="W791" s="2" t="s">
        <v>4931</v>
      </c>
      <c r="X791" s="2" t="s">
        <v>4925</v>
      </c>
      <c r="Y791" s="2" t="s">
        <v>3299</v>
      </c>
      <c r="Z791" s="2" t="s">
        <v>5831</v>
      </c>
      <c r="AA7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7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7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91" s="6" t="str">
        <f>IF(_xlfn.IFNA(INDEX(configuracoes!$A$2:$A$10,MATCH(base_tc_geral[[#This Row],[TIPO]],configuracoes!$A$2:$A$10,0)),"NÃO")="NÃO","NÃO","SIM")</f>
        <v>SIM</v>
      </c>
    </row>
    <row r="792" spans="1:31" x14ac:dyDescent="0.25">
      <c r="A792" s="2" t="s">
        <v>1864</v>
      </c>
      <c r="B792" s="2">
        <v>109000017</v>
      </c>
      <c r="C792" s="2" t="s">
        <v>15</v>
      </c>
      <c r="D792" s="2" t="s">
        <v>4645</v>
      </c>
      <c r="E792" s="2" t="s">
        <v>86</v>
      </c>
      <c r="F792" s="2" t="s">
        <v>363</v>
      </c>
      <c r="G792" s="2" t="s">
        <v>58</v>
      </c>
      <c r="H792" s="2" t="s">
        <v>210</v>
      </c>
      <c r="I792" s="2" t="s">
        <v>33</v>
      </c>
      <c r="J792" s="2" t="s">
        <v>124</v>
      </c>
      <c r="K792" s="2" t="s">
        <v>13</v>
      </c>
      <c r="L792" s="2" t="s">
        <v>61</v>
      </c>
      <c r="M792" s="2" t="s">
        <v>44</v>
      </c>
      <c r="N792" s="2" t="s">
        <v>15</v>
      </c>
      <c r="O792" s="2" t="s">
        <v>214</v>
      </c>
      <c r="P792" s="2" t="s">
        <v>1866</v>
      </c>
      <c r="Q792" s="2" t="s">
        <v>4926</v>
      </c>
      <c r="R792" s="2" t="s">
        <v>212</v>
      </c>
      <c r="S792" s="2" t="s">
        <v>93</v>
      </c>
      <c r="T792" s="2" t="s">
        <v>4696</v>
      </c>
      <c r="U792" s="2" t="s">
        <v>12</v>
      </c>
      <c r="V792" s="2" t="s">
        <v>4794</v>
      </c>
      <c r="W792" s="2" t="s">
        <v>4982</v>
      </c>
      <c r="X792" s="2" t="s">
        <v>44</v>
      </c>
      <c r="Y792" s="2" t="s">
        <v>1865</v>
      </c>
      <c r="Z792" s="2" t="s">
        <v>5832</v>
      </c>
      <c r="AA7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7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92" s="6" t="str">
        <f>IF(_xlfn.IFNA(INDEX(configuracoes!$A$2:$A$10,MATCH(base_tc_geral[[#This Row],[TIPO]],configuracoes!$A$2:$A$10,0)),"NÃO")="NÃO","NÃO","SIM")</f>
        <v>NÃO</v>
      </c>
    </row>
    <row r="793" spans="1:31" x14ac:dyDescent="0.25">
      <c r="A793" s="2" t="s">
        <v>2267</v>
      </c>
      <c r="B793" s="2">
        <v>109000340</v>
      </c>
      <c r="C793" s="2" t="s">
        <v>40</v>
      </c>
      <c r="D793" s="2" t="s">
        <v>4675</v>
      </c>
      <c r="E793" s="2" t="s">
        <v>86</v>
      </c>
      <c r="F793" s="2" t="s">
        <v>1320</v>
      </c>
      <c r="G793" s="2" t="s">
        <v>630</v>
      </c>
      <c r="H793" s="2" t="s">
        <v>1321</v>
      </c>
      <c r="I793" s="2" t="s">
        <v>33</v>
      </c>
      <c r="J793" s="2" t="s">
        <v>91</v>
      </c>
      <c r="K793" s="2" t="s">
        <v>20</v>
      </c>
      <c r="L793" s="2" t="s">
        <v>21</v>
      </c>
      <c r="M793" s="2" t="s">
        <v>22</v>
      </c>
      <c r="N793" s="2" t="s">
        <v>40</v>
      </c>
      <c r="O793" s="2" t="s">
        <v>1322</v>
      </c>
      <c r="P793" s="2" t="s">
        <v>2269</v>
      </c>
      <c r="Q793" s="2" t="s">
        <v>4926</v>
      </c>
      <c r="R793" s="2" t="s">
        <v>90</v>
      </c>
      <c r="S793" s="2" t="s">
        <v>93</v>
      </c>
      <c r="T793" s="2" t="s">
        <v>4696</v>
      </c>
      <c r="U793" s="2" t="s">
        <v>39</v>
      </c>
      <c r="V793" s="2" t="s">
        <v>4898</v>
      </c>
      <c r="W793" s="2" t="s">
        <v>4982</v>
      </c>
      <c r="X793" s="2" t="s">
        <v>4925</v>
      </c>
      <c r="Y793" s="2" t="s">
        <v>2268</v>
      </c>
      <c r="Z793" s="2" t="s">
        <v>5833</v>
      </c>
      <c r="AA7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7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793" s="6" t="str">
        <f>IF(_xlfn.IFNA(INDEX(configuracoes!$A$2:$A$10,MATCH(base_tc_geral[[#This Row],[TIPO]],configuracoes!$A$2:$A$10,0)),"NÃO")="NÃO","NÃO","SIM")</f>
        <v>SIM</v>
      </c>
    </row>
    <row r="794" spans="1:31" x14ac:dyDescent="0.25">
      <c r="A794" s="2" t="s">
        <v>3129</v>
      </c>
      <c r="B794" s="2">
        <v>109501286</v>
      </c>
      <c r="C794" s="2" t="s">
        <v>15</v>
      </c>
      <c r="D794" s="2" t="s">
        <v>4481</v>
      </c>
      <c r="E794" s="2" t="s">
        <v>86</v>
      </c>
      <c r="F794" s="2" t="s">
        <v>497</v>
      </c>
      <c r="G794" s="2" t="s">
        <v>711</v>
      </c>
      <c r="H794" s="2" t="s">
        <v>164</v>
      </c>
      <c r="I794" s="2" t="s">
        <v>33</v>
      </c>
      <c r="J794" s="2" t="s">
        <v>124</v>
      </c>
      <c r="K794" s="2" t="s">
        <v>13</v>
      </c>
      <c r="L794" s="2" t="s">
        <v>126</v>
      </c>
      <c r="M794" s="2" t="s">
        <v>22</v>
      </c>
      <c r="N794" s="2" t="s">
        <v>15</v>
      </c>
      <c r="O794" s="2" t="s">
        <v>169</v>
      </c>
      <c r="P794" s="2" t="s">
        <v>3131</v>
      </c>
      <c r="Q794" s="2" t="s">
        <v>4926</v>
      </c>
      <c r="R794" s="2" t="s">
        <v>498</v>
      </c>
      <c r="S794" s="2" t="s">
        <v>93</v>
      </c>
      <c r="T794" s="2" t="s">
        <v>4696</v>
      </c>
      <c r="U794" s="2" t="s">
        <v>12</v>
      </c>
      <c r="V794" s="2" t="s">
        <v>4766</v>
      </c>
      <c r="W794" s="2" t="s">
        <v>4982</v>
      </c>
      <c r="X794" s="2" t="s">
        <v>4925</v>
      </c>
      <c r="Y794" s="2" t="s">
        <v>3130</v>
      </c>
      <c r="Z794" s="2" t="s">
        <v>5834</v>
      </c>
      <c r="AA7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7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94" s="6" t="str">
        <f>IF(_xlfn.IFNA(INDEX(configuracoes!$A$2:$A$10,MATCH(base_tc_geral[[#This Row],[TIPO]],configuracoes!$A$2:$A$10,0)),"NÃO")="NÃO","NÃO","SIM")</f>
        <v>SIM</v>
      </c>
    </row>
    <row r="795" spans="1:31" x14ac:dyDescent="0.25">
      <c r="A795" s="2" t="s">
        <v>306</v>
      </c>
      <c r="B795" s="2">
        <v>101004033</v>
      </c>
      <c r="C795" s="2" t="s">
        <v>15</v>
      </c>
      <c r="D795" s="2" t="s">
        <v>4516</v>
      </c>
      <c r="E795" s="2" t="s">
        <v>47</v>
      </c>
      <c r="F795" s="2" t="s">
        <v>303</v>
      </c>
      <c r="G795" s="2" t="s">
        <v>245</v>
      </c>
      <c r="H795" s="2" t="s">
        <v>60</v>
      </c>
      <c r="I795" s="2" t="s">
        <v>16</v>
      </c>
      <c r="J795" s="2" t="s">
        <v>60</v>
      </c>
      <c r="K795" s="2" t="s">
        <v>20</v>
      </c>
      <c r="L795" s="2" t="s">
        <v>21</v>
      </c>
      <c r="M795" s="2" t="s">
        <v>22</v>
      </c>
      <c r="N795" s="2" t="s">
        <v>15</v>
      </c>
      <c r="O795" s="2" t="s">
        <v>161</v>
      </c>
      <c r="P795" s="2" t="s">
        <v>308</v>
      </c>
      <c r="Q795" s="2" t="s">
        <v>4926</v>
      </c>
      <c r="R795" s="2" t="s">
        <v>304</v>
      </c>
      <c r="S795" s="2" t="s">
        <v>51</v>
      </c>
      <c r="T795" s="2" t="s">
        <v>4697</v>
      </c>
      <c r="U795" s="2" t="s">
        <v>12</v>
      </c>
      <c r="V795" s="2" t="s">
        <v>4813</v>
      </c>
      <c r="W795" s="2" t="s">
        <v>4982</v>
      </c>
      <c r="X795" s="2" t="s">
        <v>4925</v>
      </c>
      <c r="Y795" s="2" t="s">
        <v>307</v>
      </c>
      <c r="Z795" s="2" t="s">
        <v>5835</v>
      </c>
      <c r="AA7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7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95" s="6" t="str">
        <f>IF(_xlfn.IFNA(INDEX(configuracoes!$A$2:$A$10,MATCH(base_tc_geral[[#This Row],[TIPO]],configuracoes!$A$2:$A$10,0)),"NÃO")="NÃO","NÃO","SIM")</f>
        <v>SIM</v>
      </c>
    </row>
    <row r="796" spans="1:31" x14ac:dyDescent="0.25">
      <c r="A796" s="2" t="s">
        <v>1662</v>
      </c>
      <c r="B796" s="2">
        <v>101005989</v>
      </c>
      <c r="C796" s="2" t="s">
        <v>15</v>
      </c>
      <c r="D796" s="2" t="s">
        <v>4631</v>
      </c>
      <c r="E796" s="2" t="s">
        <v>47</v>
      </c>
      <c r="F796" s="2" t="s">
        <v>57</v>
      </c>
      <c r="G796" s="2" t="s">
        <v>364</v>
      </c>
      <c r="H796" s="2" t="s">
        <v>56</v>
      </c>
      <c r="I796" s="2" t="s">
        <v>16</v>
      </c>
      <c r="J796" s="2" t="s">
        <v>60</v>
      </c>
      <c r="K796" s="2" t="s">
        <v>13</v>
      </c>
      <c r="L796" s="2" t="s">
        <v>37</v>
      </c>
      <c r="M796" s="2" t="s">
        <v>74</v>
      </c>
      <c r="N796" s="2" t="s">
        <v>15</v>
      </c>
      <c r="O796" s="2" t="s">
        <v>63</v>
      </c>
      <c r="P796" s="2" t="s">
        <v>1664</v>
      </c>
      <c r="Q796" s="2" t="s">
        <v>4926</v>
      </c>
      <c r="R796" s="2" t="s">
        <v>59</v>
      </c>
      <c r="S796" s="2" t="s">
        <v>51</v>
      </c>
      <c r="T796" s="2" t="s">
        <v>4697</v>
      </c>
      <c r="U796" s="2" t="s">
        <v>12</v>
      </c>
      <c r="V796" s="2" t="s">
        <v>4779</v>
      </c>
      <c r="W796" s="2" t="s">
        <v>4999</v>
      </c>
      <c r="X796" s="2" t="s">
        <v>74</v>
      </c>
      <c r="Y796" s="2" t="s">
        <v>1663</v>
      </c>
      <c r="Z796" s="2" t="s">
        <v>5836</v>
      </c>
      <c r="AA7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7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7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96" s="6" t="str">
        <f>IF(_xlfn.IFNA(INDEX(configuracoes!$A$2:$A$10,MATCH(base_tc_geral[[#This Row],[TIPO]],configuracoes!$A$2:$A$10,0)),"NÃO")="NÃO","NÃO","SIM")</f>
        <v>NÃO</v>
      </c>
    </row>
    <row r="797" spans="1:31" x14ac:dyDescent="0.25">
      <c r="A797" s="2" t="s">
        <v>1605</v>
      </c>
      <c r="B797" s="2">
        <v>101005376</v>
      </c>
      <c r="C797" s="2" t="s">
        <v>24</v>
      </c>
      <c r="D797" s="2" t="s">
        <v>4482</v>
      </c>
      <c r="E797" s="2" t="s">
        <v>47</v>
      </c>
      <c r="F797" s="2" t="s">
        <v>57</v>
      </c>
      <c r="G797" s="2" t="s">
        <v>58</v>
      </c>
      <c r="H797" s="2" t="s">
        <v>56</v>
      </c>
      <c r="I797" s="2" t="s">
        <v>16</v>
      </c>
      <c r="J797" s="2" t="s">
        <v>60</v>
      </c>
      <c r="K797" s="2" t="s">
        <v>13</v>
      </c>
      <c r="L797" s="2" t="s">
        <v>61</v>
      </c>
      <c r="M797" s="2" t="s">
        <v>38</v>
      </c>
      <c r="N797" s="2" t="s">
        <v>24</v>
      </c>
      <c r="O797" s="2" t="s">
        <v>63</v>
      </c>
      <c r="P797" s="2" t="s">
        <v>1607</v>
      </c>
      <c r="Q797" s="2" t="s">
        <v>4926</v>
      </c>
      <c r="R797" s="2" t="s">
        <v>959</v>
      </c>
      <c r="S797" s="2" t="s">
        <v>359</v>
      </c>
      <c r="T797" s="2" t="s">
        <v>4697</v>
      </c>
      <c r="U797" s="2" t="s">
        <v>39</v>
      </c>
      <c r="V797" s="2" t="s">
        <v>4812</v>
      </c>
      <c r="W797" s="2" t="s">
        <v>5037</v>
      </c>
      <c r="X797" s="2" t="s">
        <v>38</v>
      </c>
      <c r="Y797" s="2" t="s">
        <v>1606</v>
      </c>
      <c r="Z797" s="2" t="s">
        <v>5837</v>
      </c>
      <c r="AA7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VENILSON </v>
      </c>
      <c r="AB7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7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7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797" s="6" t="str">
        <f>IF(_xlfn.IFNA(INDEX(configuracoes!$A$2:$A$10,MATCH(base_tc_geral[[#This Row],[TIPO]],configuracoes!$A$2:$A$10,0)),"NÃO")="NÃO","NÃO","SIM")</f>
        <v>NÃO</v>
      </c>
    </row>
    <row r="798" spans="1:31" x14ac:dyDescent="0.25">
      <c r="A798" s="2" t="s">
        <v>2544</v>
      </c>
      <c r="B798" s="2">
        <v>109504193</v>
      </c>
      <c r="C798" s="2" t="s">
        <v>15</v>
      </c>
      <c r="D798" s="2" t="s">
        <v>4572</v>
      </c>
      <c r="E798" s="2" t="s">
        <v>86</v>
      </c>
      <c r="F798" s="2" t="s">
        <v>363</v>
      </c>
      <c r="G798" s="2" t="s">
        <v>58</v>
      </c>
      <c r="H798" s="2" t="s">
        <v>210</v>
      </c>
      <c r="I798" s="2" t="s">
        <v>33</v>
      </c>
      <c r="J798" s="2" t="s">
        <v>124</v>
      </c>
      <c r="K798" s="2" t="s">
        <v>13</v>
      </c>
      <c r="L798" s="2" t="s">
        <v>61</v>
      </c>
      <c r="M798" s="2" t="s">
        <v>44</v>
      </c>
      <c r="N798" s="2" t="s">
        <v>15</v>
      </c>
      <c r="O798" s="2" t="s">
        <v>214</v>
      </c>
      <c r="P798" s="2" t="s">
        <v>2546</v>
      </c>
      <c r="Q798" s="2" t="s">
        <v>4926</v>
      </c>
      <c r="R798" s="2" t="s">
        <v>639</v>
      </c>
      <c r="S798" s="2" t="s">
        <v>4699</v>
      </c>
      <c r="T798" s="2" t="s">
        <v>4696</v>
      </c>
      <c r="U798" s="2" t="s">
        <v>12</v>
      </c>
      <c r="V798" s="2" t="s">
        <v>4800</v>
      </c>
      <c r="W798" s="2" t="s">
        <v>5037</v>
      </c>
      <c r="X798" s="2" t="s">
        <v>44</v>
      </c>
      <c r="Y798" s="2" t="s">
        <v>2545</v>
      </c>
      <c r="Z798" s="2" t="s">
        <v>5838</v>
      </c>
      <c r="AA7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7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7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98" s="6" t="str">
        <f>IF(_xlfn.IFNA(INDEX(configuracoes!$A$2:$A$10,MATCH(base_tc_geral[[#This Row],[TIPO]],configuracoes!$A$2:$A$10,0)),"NÃO")="NÃO","NÃO","SIM")</f>
        <v>NÃO</v>
      </c>
    </row>
    <row r="799" spans="1:31" x14ac:dyDescent="0.25">
      <c r="A799" s="2" t="s">
        <v>2018</v>
      </c>
      <c r="B799" s="2">
        <v>109500315</v>
      </c>
      <c r="C799" s="2" t="s">
        <v>15</v>
      </c>
      <c r="D799" s="2" t="s">
        <v>4487</v>
      </c>
      <c r="E799" s="2" t="s">
        <v>86</v>
      </c>
      <c r="F799" s="2" t="s">
        <v>205</v>
      </c>
      <c r="G799" s="2" t="s">
        <v>172</v>
      </c>
      <c r="H799" s="2" t="s">
        <v>122</v>
      </c>
      <c r="I799" s="2" t="s">
        <v>33</v>
      </c>
      <c r="J799" s="2" t="s">
        <v>124</v>
      </c>
      <c r="K799" s="2" t="s">
        <v>13</v>
      </c>
      <c r="L799" s="2" t="s">
        <v>17</v>
      </c>
      <c r="M799" s="2" t="s">
        <v>22</v>
      </c>
      <c r="N799" s="2" t="s">
        <v>15</v>
      </c>
      <c r="O799" s="2" t="s">
        <v>129</v>
      </c>
      <c r="P799" s="2" t="s">
        <v>2020</v>
      </c>
      <c r="Q799" s="2" t="s">
        <v>4926</v>
      </c>
      <c r="R799" s="2" t="s">
        <v>173</v>
      </c>
      <c r="S799" s="2" t="s">
        <v>93</v>
      </c>
      <c r="T799" s="2" t="s">
        <v>4696</v>
      </c>
      <c r="U799" s="2" t="s">
        <v>12</v>
      </c>
      <c r="V799" s="2" t="s">
        <v>4887</v>
      </c>
      <c r="W799" s="2" t="s">
        <v>17</v>
      </c>
      <c r="X799" s="2" t="s">
        <v>4925</v>
      </c>
      <c r="Y799" s="2" t="s">
        <v>2019</v>
      </c>
      <c r="Z799" s="2" t="s">
        <v>5839</v>
      </c>
      <c r="AA7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7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7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7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799" s="6" t="str">
        <f>IF(_xlfn.IFNA(INDEX(configuracoes!$A$2:$A$10,MATCH(base_tc_geral[[#This Row],[TIPO]],configuracoes!$A$2:$A$10,0)),"NÃO")="NÃO","NÃO","SIM")</f>
        <v>NÃO</v>
      </c>
    </row>
    <row r="800" spans="1:31" x14ac:dyDescent="0.25">
      <c r="A800" s="2" t="s">
        <v>3956</v>
      </c>
      <c r="B800" s="2">
        <v>105303134</v>
      </c>
      <c r="C800" s="2" t="s">
        <v>15</v>
      </c>
      <c r="D800" s="2" t="s">
        <v>4555</v>
      </c>
      <c r="E800" s="2" t="s">
        <v>28</v>
      </c>
      <c r="F800" s="2" t="s">
        <v>290</v>
      </c>
      <c r="G800" s="2" t="s">
        <v>883</v>
      </c>
      <c r="H800" s="2" t="s">
        <v>34</v>
      </c>
      <c r="I800" s="2" t="s">
        <v>33</v>
      </c>
      <c r="J800" s="2" t="s">
        <v>34</v>
      </c>
      <c r="K800" s="2" t="s">
        <v>20</v>
      </c>
      <c r="L800" s="2" t="s">
        <v>21</v>
      </c>
      <c r="M800" s="2" t="s">
        <v>22</v>
      </c>
      <c r="N800" s="2" t="s">
        <v>15</v>
      </c>
      <c r="O800" s="2" t="s">
        <v>156</v>
      </c>
      <c r="P800" s="2" t="s">
        <v>3958</v>
      </c>
      <c r="Q800" s="2" t="s">
        <v>4926</v>
      </c>
      <c r="R800" s="2" t="s">
        <v>442</v>
      </c>
      <c r="S800" s="2" t="s">
        <v>167</v>
      </c>
      <c r="T800" s="2" t="s">
        <v>167</v>
      </c>
      <c r="U800" s="2" t="s">
        <v>12</v>
      </c>
      <c r="V800" s="2" t="s">
        <v>4763</v>
      </c>
      <c r="W800" s="2" t="s">
        <v>4982</v>
      </c>
      <c r="X800" s="2" t="s">
        <v>4925</v>
      </c>
      <c r="Y800" s="2" t="s">
        <v>3957</v>
      </c>
      <c r="Z800" s="2" t="s">
        <v>5840</v>
      </c>
      <c r="AA8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8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0" s="6" t="str">
        <f>IF(_xlfn.IFNA(INDEX(configuracoes!$A$2:$A$10,MATCH(base_tc_geral[[#This Row],[TIPO]],configuracoes!$A$2:$A$10,0)),"NÃO")="NÃO","NÃO","SIM")</f>
        <v>SIM</v>
      </c>
    </row>
    <row r="801" spans="1:31" x14ac:dyDescent="0.25">
      <c r="A801" s="2" t="s">
        <v>3619</v>
      </c>
      <c r="B801" s="2">
        <v>109506172</v>
      </c>
      <c r="C801" s="2" t="s">
        <v>15</v>
      </c>
      <c r="D801" s="2" t="s">
        <v>4579</v>
      </c>
      <c r="E801" s="2" t="s">
        <v>86</v>
      </c>
      <c r="F801" s="2" t="s">
        <v>177</v>
      </c>
      <c r="G801" s="2" t="s">
        <v>245</v>
      </c>
      <c r="H801" s="2" t="s">
        <v>164</v>
      </c>
      <c r="I801" s="2" t="s">
        <v>33</v>
      </c>
      <c r="J801" s="2" t="s">
        <v>124</v>
      </c>
      <c r="K801" s="2" t="s">
        <v>20</v>
      </c>
      <c r="L801" s="2" t="s">
        <v>21</v>
      </c>
      <c r="M801" s="2" t="s">
        <v>22</v>
      </c>
      <c r="N801" s="2" t="s">
        <v>15</v>
      </c>
      <c r="O801" s="2" t="s">
        <v>169</v>
      </c>
      <c r="P801" s="2" t="s">
        <v>3621</v>
      </c>
      <c r="Q801" s="2" t="s">
        <v>4926</v>
      </c>
      <c r="R801" s="2" t="s">
        <v>3588</v>
      </c>
      <c r="S801" s="2" t="s">
        <v>93</v>
      </c>
      <c r="T801" s="2" t="s">
        <v>4696</v>
      </c>
      <c r="U801" s="2" t="s">
        <v>12</v>
      </c>
      <c r="V801" s="2" t="s">
        <v>4794</v>
      </c>
      <c r="W801" s="2" t="s">
        <v>4982</v>
      </c>
      <c r="X801" s="2" t="s">
        <v>4925</v>
      </c>
      <c r="Y801" s="2" t="s">
        <v>3620</v>
      </c>
      <c r="Z801" s="2" t="s">
        <v>5841</v>
      </c>
      <c r="AA8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8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1" s="6" t="str">
        <f>IF(_xlfn.IFNA(INDEX(configuracoes!$A$2:$A$10,MATCH(base_tc_geral[[#This Row],[TIPO]],configuracoes!$A$2:$A$10,0)),"NÃO")="NÃO","NÃO","SIM")</f>
        <v>SIM</v>
      </c>
    </row>
    <row r="802" spans="1:31" x14ac:dyDescent="0.25">
      <c r="A802" s="2" t="s">
        <v>1438</v>
      </c>
      <c r="B802" s="2">
        <v>105303208</v>
      </c>
      <c r="C802" s="2" t="s">
        <v>24</v>
      </c>
      <c r="D802" s="2" t="s">
        <v>4482</v>
      </c>
      <c r="E802" s="2" t="s">
        <v>28</v>
      </c>
      <c r="F802" s="2" t="s">
        <v>440</v>
      </c>
      <c r="G802" s="2" t="s">
        <v>89</v>
      </c>
      <c r="H802" s="2" t="s">
        <v>34</v>
      </c>
      <c r="I802" s="2" t="s">
        <v>33</v>
      </c>
      <c r="J802" s="2" t="s">
        <v>34</v>
      </c>
      <c r="K802" s="2" t="s">
        <v>92</v>
      </c>
      <c r="L802" s="2" t="s">
        <v>37</v>
      </c>
      <c r="M802" s="2" t="s">
        <v>38</v>
      </c>
      <c r="N802" s="2" t="s">
        <v>24</v>
      </c>
      <c r="O802" s="2" t="s">
        <v>156</v>
      </c>
      <c r="P802" s="2" t="s">
        <v>1440</v>
      </c>
      <c r="Q802" s="2" t="s">
        <v>4926</v>
      </c>
      <c r="R802" s="2" t="s">
        <v>849</v>
      </c>
      <c r="S802" s="2" t="s">
        <v>167</v>
      </c>
      <c r="T802" s="2" t="s">
        <v>167</v>
      </c>
      <c r="U802" s="2" t="s">
        <v>39</v>
      </c>
      <c r="V802" s="2" t="s">
        <v>4774</v>
      </c>
      <c r="W802" s="2" t="s">
        <v>4999</v>
      </c>
      <c r="X802" s="2" t="s">
        <v>38</v>
      </c>
      <c r="Y802" s="2" t="s">
        <v>1439</v>
      </c>
      <c r="Z802" s="2" t="s">
        <v>5842</v>
      </c>
      <c r="AA8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8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02" s="6" t="str">
        <f>IF(_xlfn.IFNA(INDEX(configuracoes!$A$2:$A$10,MATCH(base_tc_geral[[#This Row],[TIPO]],configuracoes!$A$2:$A$10,0)),"NÃO")="NÃO","NÃO","SIM")</f>
        <v>NÃO</v>
      </c>
    </row>
    <row r="803" spans="1:31" x14ac:dyDescent="0.25">
      <c r="A803" s="2" t="s">
        <v>1043</v>
      </c>
      <c r="B803" s="2">
        <v>109504012</v>
      </c>
      <c r="C803" s="2" t="s">
        <v>15</v>
      </c>
      <c r="D803" s="2" t="s">
        <v>4553</v>
      </c>
      <c r="E803" s="2" t="s">
        <v>28</v>
      </c>
      <c r="F803" s="2" t="s">
        <v>570</v>
      </c>
      <c r="G803" s="2" t="s">
        <v>89</v>
      </c>
      <c r="H803" s="2" t="s">
        <v>34</v>
      </c>
      <c r="I803" s="2" t="s">
        <v>33</v>
      </c>
      <c r="J803" s="2" t="s">
        <v>34</v>
      </c>
      <c r="K803" s="2" t="s">
        <v>92</v>
      </c>
      <c r="L803" s="2" t="s">
        <v>37</v>
      </c>
      <c r="M803" s="2" t="s">
        <v>38</v>
      </c>
      <c r="N803" s="2" t="s">
        <v>15</v>
      </c>
      <c r="O803" s="2" t="s">
        <v>156</v>
      </c>
      <c r="P803" s="2" t="s">
        <v>1045</v>
      </c>
      <c r="Q803" s="2" t="s">
        <v>4926</v>
      </c>
      <c r="R803" s="2" t="s">
        <v>166</v>
      </c>
      <c r="S803" s="2" t="s">
        <v>167</v>
      </c>
      <c r="T803" s="2" t="s">
        <v>167</v>
      </c>
      <c r="U803" s="2" t="s">
        <v>12</v>
      </c>
      <c r="V803" s="2" t="s">
        <v>4775</v>
      </c>
      <c r="W803" s="2" t="s">
        <v>5013</v>
      </c>
      <c r="X803" s="2" t="s">
        <v>38</v>
      </c>
      <c r="Y803" s="2" t="s">
        <v>1044</v>
      </c>
      <c r="Z803" s="2" t="s">
        <v>5843</v>
      </c>
      <c r="AA8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8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3" s="6" t="str">
        <f>IF(_xlfn.IFNA(INDEX(configuracoes!$A$2:$A$10,MATCH(base_tc_geral[[#This Row],[TIPO]],configuracoes!$A$2:$A$10,0)),"NÃO")="NÃO","NÃO","SIM")</f>
        <v>NÃO</v>
      </c>
    </row>
    <row r="804" spans="1:31" x14ac:dyDescent="0.25">
      <c r="A804" s="2" t="s">
        <v>599</v>
      </c>
      <c r="B804" s="2">
        <v>101003771</v>
      </c>
      <c r="C804" s="2" t="s">
        <v>15</v>
      </c>
      <c r="D804" s="2" t="s">
        <v>4486</v>
      </c>
      <c r="E804" s="2" t="s">
        <v>47</v>
      </c>
      <c r="F804" s="2" t="s">
        <v>303</v>
      </c>
      <c r="G804" s="2" t="s">
        <v>172</v>
      </c>
      <c r="H804" s="2" t="s">
        <v>60</v>
      </c>
      <c r="I804" s="2" t="s">
        <v>16</v>
      </c>
      <c r="J804" s="2" t="s">
        <v>60</v>
      </c>
      <c r="K804" s="2" t="s">
        <v>13</v>
      </c>
      <c r="L804" s="2" t="s">
        <v>17</v>
      </c>
      <c r="M804" s="2" t="s">
        <v>18</v>
      </c>
      <c r="N804" s="2" t="s">
        <v>15</v>
      </c>
      <c r="O804" s="2" t="s">
        <v>161</v>
      </c>
      <c r="P804" s="2" t="s">
        <v>602</v>
      </c>
      <c r="Q804" s="2" t="s">
        <v>4926</v>
      </c>
      <c r="R804" s="2" t="s">
        <v>465</v>
      </c>
      <c r="S804" s="2" t="s">
        <v>51</v>
      </c>
      <c r="T804" s="2" t="s">
        <v>4697</v>
      </c>
      <c r="U804" s="2" t="s">
        <v>12</v>
      </c>
      <c r="V804" s="2" t="s">
        <v>4810</v>
      </c>
      <c r="W804" s="2" t="s">
        <v>17</v>
      </c>
      <c r="X804" s="2" t="s">
        <v>4998</v>
      </c>
      <c r="Y804" s="2" t="s">
        <v>600</v>
      </c>
      <c r="Z804" s="2" t="s">
        <v>5539</v>
      </c>
      <c r="AA8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8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4" s="6" t="str">
        <f>IF(_xlfn.IFNA(INDEX(configuracoes!$A$2:$A$10,MATCH(base_tc_geral[[#This Row],[TIPO]],configuracoes!$A$2:$A$10,0)),"NÃO")="NÃO","NÃO","SIM")</f>
        <v>NÃO</v>
      </c>
    </row>
    <row r="805" spans="1:31" x14ac:dyDescent="0.25">
      <c r="A805" s="2" t="s">
        <v>3757</v>
      </c>
      <c r="B805" s="2">
        <v>102101634</v>
      </c>
      <c r="C805" s="2" t="s">
        <v>389</v>
      </c>
      <c r="D805" s="2" t="s">
        <v>4482</v>
      </c>
      <c r="E805" s="2" t="s">
        <v>106</v>
      </c>
      <c r="F805" s="2" t="s">
        <v>108</v>
      </c>
      <c r="G805" s="2" t="s">
        <v>364</v>
      </c>
      <c r="H805" s="2" t="s">
        <v>107</v>
      </c>
      <c r="I805" s="2" t="s">
        <v>33</v>
      </c>
      <c r="J805" s="2" t="s">
        <v>109</v>
      </c>
      <c r="K805" s="2" t="s">
        <v>92</v>
      </c>
      <c r="L805" s="2" t="s">
        <v>37</v>
      </c>
      <c r="M805" s="2" t="s">
        <v>44</v>
      </c>
      <c r="N805" s="2" t="s">
        <v>389</v>
      </c>
      <c r="O805" s="2" t="s">
        <v>112</v>
      </c>
      <c r="P805" s="2" t="s">
        <v>3759</v>
      </c>
      <c r="Q805" s="2" t="s">
        <v>4926</v>
      </c>
      <c r="R805" s="2" t="s">
        <v>406</v>
      </c>
      <c r="S805" s="2" t="s">
        <v>736</v>
      </c>
      <c r="T805" s="2" t="s">
        <v>167</v>
      </c>
      <c r="U805" s="2" t="s">
        <v>39</v>
      </c>
      <c r="V805" s="2" t="s">
        <v>4886</v>
      </c>
      <c r="W805" s="2" t="s">
        <v>5013</v>
      </c>
      <c r="X805" s="2" t="s">
        <v>44</v>
      </c>
      <c r="Y805" s="2" t="s">
        <v>3758</v>
      </c>
      <c r="Z805" s="2" t="s">
        <v>5540</v>
      </c>
      <c r="AA8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8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05" s="6" t="str">
        <f>IF(_xlfn.IFNA(INDEX(configuracoes!$A$2:$A$10,MATCH(base_tc_geral[[#This Row],[TIPO]],configuracoes!$A$2:$A$10,0)),"NÃO")="NÃO","NÃO","SIM")</f>
        <v>NÃO</v>
      </c>
    </row>
    <row r="806" spans="1:31" x14ac:dyDescent="0.25">
      <c r="A806" s="2" t="s">
        <v>3560</v>
      </c>
      <c r="B806" s="2">
        <v>101005380</v>
      </c>
      <c r="C806" s="2" t="s">
        <v>15</v>
      </c>
      <c r="D806" s="2" t="s">
        <v>4481</v>
      </c>
      <c r="E806" s="2" t="s">
        <v>47</v>
      </c>
      <c r="F806" s="2" t="s">
        <v>67</v>
      </c>
      <c r="G806" s="2" t="s">
        <v>364</v>
      </c>
      <c r="H806" s="2" t="s">
        <v>66</v>
      </c>
      <c r="I806" s="2" t="s">
        <v>16</v>
      </c>
      <c r="J806" s="2" t="s">
        <v>66</v>
      </c>
      <c r="K806" s="2" t="s">
        <v>13</v>
      </c>
      <c r="L806" s="2" t="s">
        <v>37</v>
      </c>
      <c r="M806" s="2" t="s">
        <v>74</v>
      </c>
      <c r="N806" s="2" t="s">
        <v>15</v>
      </c>
      <c r="O806" s="2" t="s">
        <v>71</v>
      </c>
      <c r="P806" s="2" t="s">
        <v>3562</v>
      </c>
      <c r="Q806" s="2" t="s">
        <v>4926</v>
      </c>
      <c r="R806" s="2" t="s">
        <v>69</v>
      </c>
      <c r="S806" s="2" t="s">
        <v>4698</v>
      </c>
      <c r="T806" s="2" t="s">
        <v>4697</v>
      </c>
      <c r="U806" s="2" t="s">
        <v>12</v>
      </c>
      <c r="V806" s="2" t="s">
        <v>4787</v>
      </c>
      <c r="W806" s="2" t="s">
        <v>4999</v>
      </c>
      <c r="X806" s="2" t="s">
        <v>74</v>
      </c>
      <c r="Y806" s="2" t="s">
        <v>3561</v>
      </c>
      <c r="Z806" s="2" t="s">
        <v>5541</v>
      </c>
      <c r="AA8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8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6" s="6" t="str">
        <f>IF(_xlfn.IFNA(INDEX(configuracoes!$A$2:$A$10,MATCH(base_tc_geral[[#This Row],[TIPO]],configuracoes!$A$2:$A$10,0)),"NÃO")="NÃO","NÃO","SIM")</f>
        <v>NÃO</v>
      </c>
    </row>
    <row r="807" spans="1:31" x14ac:dyDescent="0.25">
      <c r="A807" s="2" t="s">
        <v>4107</v>
      </c>
      <c r="B807" s="2">
        <v>108401409</v>
      </c>
      <c r="C807" s="2" t="s">
        <v>15</v>
      </c>
      <c r="D807" s="2" t="s">
        <v>4623</v>
      </c>
      <c r="E807" s="2" t="s">
        <v>47</v>
      </c>
      <c r="F807" s="2" t="s">
        <v>225</v>
      </c>
      <c r="G807" s="2" t="s">
        <v>446</v>
      </c>
      <c r="H807" s="2" t="s">
        <v>224</v>
      </c>
      <c r="I807" s="2" t="s">
        <v>16</v>
      </c>
      <c r="J807" s="2" t="s">
        <v>227</v>
      </c>
      <c r="K807" s="2" t="s">
        <v>13</v>
      </c>
      <c r="L807" s="2" t="s">
        <v>72</v>
      </c>
      <c r="M807" s="2" t="s">
        <v>75</v>
      </c>
      <c r="N807" s="2" t="s">
        <v>15</v>
      </c>
      <c r="O807" s="2" t="s">
        <v>229</v>
      </c>
      <c r="P807" s="2" t="s">
        <v>4109</v>
      </c>
      <c r="Q807" s="2" t="s">
        <v>4926</v>
      </c>
      <c r="R807" s="2" t="s">
        <v>2738</v>
      </c>
      <c r="S807" s="2" t="s">
        <v>359</v>
      </c>
      <c r="T807" s="2" t="s">
        <v>4697</v>
      </c>
      <c r="U807" s="2" t="s">
        <v>12</v>
      </c>
      <c r="V807" s="2" t="s">
        <v>4844</v>
      </c>
      <c r="W807" s="2" t="s">
        <v>42</v>
      </c>
      <c r="X807" s="2" t="s">
        <v>75</v>
      </c>
      <c r="Y807" s="2" t="s">
        <v>4108</v>
      </c>
      <c r="Z807" s="2" t="s">
        <v>5542</v>
      </c>
      <c r="AA8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8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8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7" s="6" t="str">
        <f>IF(_xlfn.IFNA(INDEX(configuracoes!$A$2:$A$10,MATCH(base_tc_geral[[#This Row],[TIPO]],configuracoes!$A$2:$A$10,0)),"NÃO")="NÃO","NÃO","SIM")</f>
        <v>NÃO</v>
      </c>
    </row>
    <row r="808" spans="1:31" x14ac:dyDescent="0.25">
      <c r="A808" s="2" t="s">
        <v>1222</v>
      </c>
      <c r="B808" s="2">
        <v>102100390</v>
      </c>
      <c r="C808" s="2" t="s">
        <v>15</v>
      </c>
      <c r="D808" s="2" t="s">
        <v>4538</v>
      </c>
      <c r="E808" s="2" t="s">
        <v>106</v>
      </c>
      <c r="F808" s="2" t="s">
        <v>405</v>
      </c>
      <c r="G808" s="2" t="s">
        <v>245</v>
      </c>
      <c r="H808" s="2" t="s">
        <v>130</v>
      </c>
      <c r="I808" s="2" t="s">
        <v>33</v>
      </c>
      <c r="J808" s="2" t="s">
        <v>109</v>
      </c>
      <c r="K808" s="2" t="s">
        <v>20</v>
      </c>
      <c r="L808" s="2" t="s">
        <v>21</v>
      </c>
      <c r="M808" s="2" t="s">
        <v>22</v>
      </c>
      <c r="N808" s="2" t="s">
        <v>15</v>
      </c>
      <c r="O808" s="2" t="s">
        <v>132</v>
      </c>
      <c r="P808" s="2" t="s">
        <v>1224</v>
      </c>
      <c r="Q808" s="2" t="s">
        <v>4926</v>
      </c>
      <c r="R808" s="2" t="s">
        <v>1092</v>
      </c>
      <c r="S808" s="2" t="s">
        <v>736</v>
      </c>
      <c r="T808" s="2" t="s">
        <v>167</v>
      </c>
      <c r="U808" s="2" t="s">
        <v>12</v>
      </c>
      <c r="V808" s="2" t="s">
        <v>4901</v>
      </c>
      <c r="W808" s="2" t="s">
        <v>4982</v>
      </c>
      <c r="X808" s="2" t="s">
        <v>4925</v>
      </c>
      <c r="Y808" s="2" t="s">
        <v>1223</v>
      </c>
      <c r="Z808" s="2" t="s">
        <v>5543</v>
      </c>
      <c r="AA8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8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8" s="6" t="str">
        <f>IF(_xlfn.IFNA(INDEX(configuracoes!$A$2:$A$10,MATCH(base_tc_geral[[#This Row],[TIPO]],configuracoes!$A$2:$A$10,0)),"NÃO")="NÃO","NÃO","SIM")</f>
        <v>SIM</v>
      </c>
    </row>
    <row r="809" spans="1:31" x14ac:dyDescent="0.25">
      <c r="A809" s="2" t="s">
        <v>471</v>
      </c>
      <c r="B809" s="2">
        <v>105303207</v>
      </c>
      <c r="C809" s="2" t="s">
        <v>15</v>
      </c>
      <c r="D809" s="2" t="s">
        <v>4648</v>
      </c>
      <c r="E809" s="2" t="s">
        <v>28</v>
      </c>
      <c r="F809" s="2" t="s">
        <v>423</v>
      </c>
      <c r="G809" s="2" t="s">
        <v>58</v>
      </c>
      <c r="H809" s="2" t="s">
        <v>34</v>
      </c>
      <c r="I809" s="2" t="s">
        <v>33</v>
      </c>
      <c r="J809" s="2" t="s">
        <v>34</v>
      </c>
      <c r="K809" s="2" t="s">
        <v>92</v>
      </c>
      <c r="L809" s="2" t="s">
        <v>61</v>
      </c>
      <c r="M809" s="2" t="s">
        <v>44</v>
      </c>
      <c r="N809" s="2" t="s">
        <v>15</v>
      </c>
      <c r="O809" s="2" t="s">
        <v>156</v>
      </c>
      <c r="P809" s="2" t="s">
        <v>473</v>
      </c>
      <c r="Q809" s="2" t="s">
        <v>4926</v>
      </c>
      <c r="R809" s="2" t="s">
        <v>2243</v>
      </c>
      <c r="S809" s="2" t="s">
        <v>167</v>
      </c>
      <c r="T809" s="2" t="s">
        <v>167</v>
      </c>
      <c r="U809" s="2" t="s">
        <v>12</v>
      </c>
      <c r="V809" s="2" t="s">
        <v>4852</v>
      </c>
      <c r="W809" s="2" t="s">
        <v>4999</v>
      </c>
      <c r="X809" s="2" t="s">
        <v>44</v>
      </c>
      <c r="Y809" s="2" t="s">
        <v>472</v>
      </c>
      <c r="Z809" s="2" t="s">
        <v>5544</v>
      </c>
      <c r="AA8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8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09" s="6" t="str">
        <f>IF(_xlfn.IFNA(INDEX(configuracoes!$A$2:$A$10,MATCH(base_tc_geral[[#This Row],[TIPO]],configuracoes!$A$2:$A$10,0)),"NÃO")="NÃO","NÃO","SIM")</f>
        <v>NÃO</v>
      </c>
    </row>
    <row r="810" spans="1:31" x14ac:dyDescent="0.25">
      <c r="A810" s="2" t="s">
        <v>1767</v>
      </c>
      <c r="B810" s="2">
        <v>109504012</v>
      </c>
      <c r="C810" s="2" t="s">
        <v>15</v>
      </c>
      <c r="D810" s="2" t="s">
        <v>4493</v>
      </c>
      <c r="E810" s="2" t="s">
        <v>28</v>
      </c>
      <c r="F810" s="2" t="s">
        <v>290</v>
      </c>
      <c r="G810" s="2" t="s">
        <v>172</v>
      </c>
      <c r="H810" s="2" t="s">
        <v>34</v>
      </c>
      <c r="I810" s="2" t="s">
        <v>33</v>
      </c>
      <c r="J810" s="2" t="s">
        <v>34</v>
      </c>
      <c r="K810" s="2" t="s">
        <v>13</v>
      </c>
      <c r="L810" s="2" t="s">
        <v>17</v>
      </c>
      <c r="M810" s="2" t="s">
        <v>22</v>
      </c>
      <c r="N810" s="2" t="s">
        <v>15</v>
      </c>
      <c r="O810" s="2" t="s">
        <v>156</v>
      </c>
      <c r="P810" s="2" t="s">
        <v>1769</v>
      </c>
      <c r="Q810" s="2" t="s">
        <v>4926</v>
      </c>
      <c r="R810" s="2" t="s">
        <v>166</v>
      </c>
      <c r="S810" s="2" t="s">
        <v>167</v>
      </c>
      <c r="T810" s="2" t="s">
        <v>167</v>
      </c>
      <c r="U810" s="2" t="s">
        <v>12</v>
      </c>
      <c r="V810" s="2" t="s">
        <v>4776</v>
      </c>
      <c r="W810" s="2" t="s">
        <v>4982</v>
      </c>
      <c r="X810" s="2" t="s">
        <v>4925</v>
      </c>
      <c r="Y810" s="2" t="s">
        <v>1768</v>
      </c>
      <c r="Z810" s="2" t="s">
        <v>5545</v>
      </c>
      <c r="AA8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8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10" s="6" t="str">
        <f>IF(_xlfn.IFNA(INDEX(configuracoes!$A$2:$A$10,MATCH(base_tc_geral[[#This Row],[TIPO]],configuracoes!$A$2:$A$10,0)),"NÃO")="NÃO","NÃO","SIM")</f>
        <v>NÃO</v>
      </c>
    </row>
    <row r="811" spans="1:31" x14ac:dyDescent="0.25">
      <c r="A811" s="2" t="s">
        <v>4016</v>
      </c>
      <c r="B811" s="2">
        <v>109000340</v>
      </c>
      <c r="C811" s="2" t="s">
        <v>24</v>
      </c>
      <c r="D811" s="2" t="s">
        <v>4503</v>
      </c>
      <c r="E811" s="2" t="s">
        <v>86</v>
      </c>
      <c r="F811" s="2" t="s">
        <v>1320</v>
      </c>
      <c r="G811" s="2" t="s">
        <v>870</v>
      </c>
      <c r="H811" s="2" t="s">
        <v>1321</v>
      </c>
      <c r="I811" s="2" t="s">
        <v>33</v>
      </c>
      <c r="J811" s="2" t="s">
        <v>91</v>
      </c>
      <c r="K811" s="2" t="s">
        <v>13</v>
      </c>
      <c r="L811" s="2" t="s">
        <v>76</v>
      </c>
      <c r="M811" s="2" t="s">
        <v>22</v>
      </c>
      <c r="N811" s="2" t="s">
        <v>24</v>
      </c>
      <c r="O811" s="2" t="s">
        <v>1322</v>
      </c>
      <c r="P811" s="2" t="s">
        <v>4018</v>
      </c>
      <c r="Q811" s="2" t="s">
        <v>4926</v>
      </c>
      <c r="R811" s="2" t="s">
        <v>90</v>
      </c>
      <c r="S811" s="2" t="s">
        <v>93</v>
      </c>
      <c r="T811" s="2" t="s">
        <v>4696</v>
      </c>
      <c r="U811" s="2" t="s">
        <v>39</v>
      </c>
      <c r="V811" s="2" t="s">
        <v>4898</v>
      </c>
      <c r="W811" s="2" t="s">
        <v>17</v>
      </c>
      <c r="X811" s="2" t="s">
        <v>4925</v>
      </c>
      <c r="Y811" s="2" t="s">
        <v>4017</v>
      </c>
      <c r="Z811" s="2" t="s">
        <v>5844</v>
      </c>
      <c r="AA8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8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11" s="6" t="str">
        <f>IF(_xlfn.IFNA(INDEX(configuracoes!$A$2:$A$10,MATCH(base_tc_geral[[#This Row],[TIPO]],configuracoes!$A$2:$A$10,0)),"NÃO")="NÃO","NÃO","SIM")</f>
        <v>SIM</v>
      </c>
    </row>
    <row r="812" spans="1:31" x14ac:dyDescent="0.25">
      <c r="A812" s="2" t="s">
        <v>3887</v>
      </c>
      <c r="B812" s="2">
        <v>101007665</v>
      </c>
      <c r="C812" s="2" t="s">
        <v>15</v>
      </c>
      <c r="D812" s="2" t="s">
        <v>4489</v>
      </c>
      <c r="E812" s="2" t="s">
        <v>47</v>
      </c>
      <c r="F812" s="2" t="s">
        <v>2104</v>
      </c>
      <c r="G812" s="2" t="s">
        <v>149</v>
      </c>
      <c r="H812" s="2" t="s">
        <v>56</v>
      </c>
      <c r="I812" s="2" t="s">
        <v>16</v>
      </c>
      <c r="J812" s="2" t="s">
        <v>60</v>
      </c>
      <c r="K812" s="2" t="s">
        <v>20</v>
      </c>
      <c r="L812" s="2" t="s">
        <v>61</v>
      </c>
      <c r="M812" s="2" t="s">
        <v>22</v>
      </c>
      <c r="N812" s="2" t="s">
        <v>15</v>
      </c>
      <c r="O812" s="2" t="s">
        <v>63</v>
      </c>
      <c r="P812" s="2" t="s">
        <v>3889</v>
      </c>
      <c r="Q812" s="2" t="s">
        <v>4926</v>
      </c>
      <c r="R812" s="2" t="s">
        <v>342</v>
      </c>
      <c r="S812" s="2" t="s">
        <v>51</v>
      </c>
      <c r="T812" s="2" t="s">
        <v>4697</v>
      </c>
      <c r="U812" s="2" t="s">
        <v>12</v>
      </c>
      <c r="V812" s="2" t="s">
        <v>4866</v>
      </c>
      <c r="W812" s="2" t="s">
        <v>4982</v>
      </c>
      <c r="X812" s="2" t="s">
        <v>4925</v>
      </c>
      <c r="Y812" s="2" t="s">
        <v>3888</v>
      </c>
      <c r="Z812" s="2" t="s">
        <v>5845</v>
      </c>
      <c r="AA8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8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12" s="6" t="str">
        <f>IF(_xlfn.IFNA(INDEX(configuracoes!$A$2:$A$10,MATCH(base_tc_geral[[#This Row],[TIPO]],configuracoes!$A$2:$A$10,0)),"NÃO")="NÃO","NÃO","SIM")</f>
        <v>NÃO</v>
      </c>
    </row>
    <row r="813" spans="1:31" x14ac:dyDescent="0.25">
      <c r="A813" s="2" t="s">
        <v>1137</v>
      </c>
      <c r="B813" s="2">
        <v>109000926</v>
      </c>
      <c r="C813" s="2" t="s">
        <v>15</v>
      </c>
      <c r="D813" s="2" t="s">
        <v>4527</v>
      </c>
      <c r="E813" s="2" t="s">
        <v>86</v>
      </c>
      <c r="F813" s="2" t="s">
        <v>123</v>
      </c>
      <c r="G813" s="2" t="s">
        <v>58</v>
      </c>
      <c r="H813" s="2" t="s">
        <v>122</v>
      </c>
      <c r="I813" s="2" t="s">
        <v>33</v>
      </c>
      <c r="J813" s="2" t="s">
        <v>124</v>
      </c>
      <c r="K813" s="2" t="s">
        <v>13</v>
      </c>
      <c r="L813" s="2" t="s">
        <v>61</v>
      </c>
      <c r="M813" s="2" t="s">
        <v>38</v>
      </c>
      <c r="N813" s="2" t="s">
        <v>15</v>
      </c>
      <c r="O813" s="2" t="s">
        <v>129</v>
      </c>
      <c r="P813" s="2" t="s">
        <v>1139</v>
      </c>
      <c r="Q813" s="2" t="s">
        <v>4926</v>
      </c>
      <c r="R813" s="2" t="s">
        <v>285</v>
      </c>
      <c r="S813" s="2" t="s">
        <v>125</v>
      </c>
      <c r="T813" s="2" t="s">
        <v>4696</v>
      </c>
      <c r="U813" s="2" t="s">
        <v>12</v>
      </c>
      <c r="V813" s="2" t="s">
        <v>4777</v>
      </c>
      <c r="W813" s="2" t="s">
        <v>4999</v>
      </c>
      <c r="X813" s="2" t="s">
        <v>38</v>
      </c>
      <c r="Y813" s="2" t="s">
        <v>1138</v>
      </c>
      <c r="Z813" s="2" t="s">
        <v>5846</v>
      </c>
      <c r="AA8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8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13" s="6" t="str">
        <f>IF(_xlfn.IFNA(INDEX(configuracoes!$A$2:$A$10,MATCH(base_tc_geral[[#This Row],[TIPO]],configuracoes!$A$2:$A$10,0)),"NÃO")="NÃO","NÃO","SIM")</f>
        <v>NÃO</v>
      </c>
    </row>
    <row r="814" spans="1:31" x14ac:dyDescent="0.25">
      <c r="A814" s="2" t="s">
        <v>3815</v>
      </c>
      <c r="B814" s="2">
        <v>109000943</v>
      </c>
      <c r="C814" s="2" t="s">
        <v>24</v>
      </c>
      <c r="D814" s="2" t="s">
        <v>4482</v>
      </c>
      <c r="E814" s="2" t="s">
        <v>86</v>
      </c>
      <c r="F814" s="2" t="s">
        <v>205</v>
      </c>
      <c r="G814" s="2" t="s">
        <v>711</v>
      </c>
      <c r="H814" s="2" t="s">
        <v>122</v>
      </c>
      <c r="I814" s="2" t="s">
        <v>33</v>
      </c>
      <c r="J814" s="2" t="s">
        <v>124</v>
      </c>
      <c r="K814" s="2" t="s">
        <v>13</v>
      </c>
      <c r="L814" s="2" t="s">
        <v>126</v>
      </c>
      <c r="M814" s="2" t="s">
        <v>22</v>
      </c>
      <c r="N814" s="2" t="s">
        <v>24</v>
      </c>
      <c r="O814" s="2" t="s">
        <v>129</v>
      </c>
      <c r="P814" s="2" t="s">
        <v>3817</v>
      </c>
      <c r="Q814" s="2" t="s">
        <v>4926</v>
      </c>
      <c r="R814" s="2" t="s">
        <v>206</v>
      </c>
      <c r="S814" s="2" t="s">
        <v>125</v>
      </c>
      <c r="T814" s="2" t="s">
        <v>4696</v>
      </c>
      <c r="U814" s="2" t="s">
        <v>39</v>
      </c>
      <c r="V814" s="2" t="s">
        <v>4784</v>
      </c>
      <c r="W814" s="2" t="s">
        <v>4982</v>
      </c>
      <c r="X814" s="2" t="s">
        <v>4925</v>
      </c>
      <c r="Y814" s="2" t="s">
        <v>3816</v>
      </c>
      <c r="Z814" s="2" t="s">
        <v>5847</v>
      </c>
      <c r="AA8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8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14" s="6" t="str">
        <f>IF(_xlfn.IFNA(INDEX(configuracoes!$A$2:$A$10,MATCH(base_tc_geral[[#This Row],[TIPO]],configuracoes!$A$2:$A$10,0)),"NÃO")="NÃO","NÃO","SIM")</f>
        <v>SIM</v>
      </c>
    </row>
    <row r="815" spans="1:31" x14ac:dyDescent="0.25">
      <c r="A815" s="2" t="s">
        <v>2517</v>
      </c>
      <c r="B815" s="2">
        <v>101010209</v>
      </c>
      <c r="C815" s="2" t="s">
        <v>15</v>
      </c>
      <c r="D815" s="2" t="s">
        <v>4881</v>
      </c>
      <c r="E815" s="2" t="s">
        <v>47</v>
      </c>
      <c r="F815" s="2" t="s">
        <v>278</v>
      </c>
      <c r="G815" s="2" t="s">
        <v>245</v>
      </c>
      <c r="H815" s="2" t="s">
        <v>60</v>
      </c>
      <c r="I815" s="2" t="s">
        <v>16</v>
      </c>
      <c r="J815" s="2" t="s">
        <v>60</v>
      </c>
      <c r="K815" s="2" t="s">
        <v>20</v>
      </c>
      <c r="L815" s="2" t="s">
        <v>21</v>
      </c>
      <c r="M815" s="2" t="s">
        <v>22</v>
      </c>
      <c r="N815" s="2" t="s">
        <v>15</v>
      </c>
      <c r="O815" s="2" t="s">
        <v>161</v>
      </c>
      <c r="P815" s="2" t="s">
        <v>2519</v>
      </c>
      <c r="Q815" s="2" t="s">
        <v>4926</v>
      </c>
      <c r="R815" s="2" t="s">
        <v>279</v>
      </c>
      <c r="S815" s="2" t="s">
        <v>51</v>
      </c>
      <c r="T815" s="2" t="s">
        <v>4697</v>
      </c>
      <c r="U815" s="2" t="s">
        <v>12</v>
      </c>
      <c r="V815" s="2" t="s">
        <v>4821</v>
      </c>
      <c r="W815" s="2" t="s">
        <v>4982</v>
      </c>
      <c r="X815" s="2" t="s">
        <v>4925</v>
      </c>
      <c r="Y815" s="2" t="s">
        <v>2518</v>
      </c>
      <c r="Z815" s="2" t="s">
        <v>5848</v>
      </c>
      <c r="AA8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8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15" s="6" t="str">
        <f>IF(_xlfn.IFNA(INDEX(configuracoes!$A$2:$A$10,MATCH(base_tc_geral[[#This Row],[TIPO]],configuracoes!$A$2:$A$10,0)),"NÃO")="NÃO","NÃO","SIM")</f>
        <v>SIM</v>
      </c>
    </row>
    <row r="816" spans="1:31" x14ac:dyDescent="0.25">
      <c r="A816" s="2" t="s">
        <v>2142</v>
      </c>
      <c r="B816" s="2">
        <v>101007963</v>
      </c>
      <c r="C816" s="2" t="s">
        <v>15</v>
      </c>
      <c r="D816" s="2" t="s">
        <v>4515</v>
      </c>
      <c r="E816" s="2" t="s">
        <v>47</v>
      </c>
      <c r="F816" s="2" t="s">
        <v>601</v>
      </c>
      <c r="G816" s="2" t="s">
        <v>245</v>
      </c>
      <c r="H816" s="2" t="s">
        <v>60</v>
      </c>
      <c r="I816" s="2" t="s">
        <v>16</v>
      </c>
      <c r="J816" s="2" t="s">
        <v>60</v>
      </c>
      <c r="K816" s="2" t="s">
        <v>20</v>
      </c>
      <c r="L816" s="2" t="s">
        <v>21</v>
      </c>
      <c r="M816" s="2" t="s">
        <v>22</v>
      </c>
      <c r="N816" s="2" t="s">
        <v>15</v>
      </c>
      <c r="O816" s="2" t="s">
        <v>161</v>
      </c>
      <c r="P816" s="2" t="s">
        <v>2144</v>
      </c>
      <c r="Q816" s="2" t="s">
        <v>4926</v>
      </c>
      <c r="R816" s="2" t="s">
        <v>246</v>
      </c>
      <c r="S816" s="2" t="s">
        <v>51</v>
      </c>
      <c r="T816" s="2" t="s">
        <v>4697</v>
      </c>
      <c r="U816" s="2" t="s">
        <v>12</v>
      </c>
      <c r="V816" s="2" t="s">
        <v>4778</v>
      </c>
      <c r="W816" s="2" t="s">
        <v>4982</v>
      </c>
      <c r="X816" s="2" t="s">
        <v>4925</v>
      </c>
      <c r="Y816" s="2" t="s">
        <v>2143</v>
      </c>
      <c r="Z816" s="2" t="s">
        <v>5849</v>
      </c>
      <c r="AA8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8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16" s="6" t="str">
        <f>IF(_xlfn.IFNA(INDEX(configuracoes!$A$2:$A$10,MATCH(base_tc_geral[[#This Row],[TIPO]],configuracoes!$A$2:$A$10,0)),"NÃO")="NÃO","NÃO","SIM")</f>
        <v>SIM</v>
      </c>
    </row>
    <row r="817" spans="1:31" x14ac:dyDescent="0.25">
      <c r="A817" s="2" t="s">
        <v>3584</v>
      </c>
      <c r="B817" s="2">
        <v>101005380</v>
      </c>
      <c r="C817" s="2" t="s">
        <v>15</v>
      </c>
      <c r="D817" s="2" t="s">
        <v>4781</v>
      </c>
      <c r="E817" s="2" t="s">
        <v>47</v>
      </c>
      <c r="F817" s="2" t="s">
        <v>67</v>
      </c>
      <c r="G817" s="2" t="s">
        <v>364</v>
      </c>
      <c r="H817" s="2" t="s">
        <v>66</v>
      </c>
      <c r="I817" s="2" t="s">
        <v>16</v>
      </c>
      <c r="J817" s="2" t="s">
        <v>66</v>
      </c>
      <c r="K817" s="2" t="s">
        <v>13</v>
      </c>
      <c r="L817" s="2" t="s">
        <v>37</v>
      </c>
      <c r="M817" s="2" t="s">
        <v>38</v>
      </c>
      <c r="N817" s="2" t="s">
        <v>15</v>
      </c>
      <c r="O817" s="2" t="s">
        <v>71</v>
      </c>
      <c r="P817" s="2" t="s">
        <v>3586</v>
      </c>
      <c r="Q817" s="2" t="s">
        <v>4926</v>
      </c>
      <c r="R817" s="2" t="s">
        <v>69</v>
      </c>
      <c r="S817" s="2" t="s">
        <v>4698</v>
      </c>
      <c r="T817" s="2" t="s">
        <v>4697</v>
      </c>
      <c r="U817" s="2" t="s">
        <v>12</v>
      </c>
      <c r="V817" s="2" t="s">
        <v>4787</v>
      </c>
      <c r="W817" s="2" t="s">
        <v>4999</v>
      </c>
      <c r="X817" s="2" t="s">
        <v>38</v>
      </c>
      <c r="Y817" s="2" t="s">
        <v>3585</v>
      </c>
      <c r="Z817" s="2" t="s">
        <v>5869</v>
      </c>
      <c r="AA8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8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17" s="6" t="str">
        <f>IF(_xlfn.IFNA(INDEX(configuracoes!$A$2:$A$10,MATCH(base_tc_geral[[#This Row],[TIPO]],configuracoes!$A$2:$A$10,0)),"NÃO")="NÃO","NÃO","SIM")</f>
        <v>NÃO</v>
      </c>
    </row>
    <row r="818" spans="1:31" x14ac:dyDescent="0.25">
      <c r="A818" s="2" t="s">
        <v>4373</v>
      </c>
      <c r="B818" s="2">
        <v>101005380</v>
      </c>
      <c r="C818" s="2" t="s">
        <v>15</v>
      </c>
      <c r="D818" s="2" t="s">
        <v>4575</v>
      </c>
      <c r="E818" s="2" t="s">
        <v>47</v>
      </c>
      <c r="F818" s="2" t="s">
        <v>67</v>
      </c>
      <c r="G818" s="2" t="s">
        <v>883</v>
      </c>
      <c r="H818" s="2" t="s">
        <v>66</v>
      </c>
      <c r="I818" s="2" t="s">
        <v>16</v>
      </c>
      <c r="J818" s="2" t="s">
        <v>66</v>
      </c>
      <c r="K818" s="2" t="s">
        <v>20</v>
      </c>
      <c r="L818" s="2" t="s">
        <v>21</v>
      </c>
      <c r="M818" s="2" t="s">
        <v>22</v>
      </c>
      <c r="N818" s="2" t="s">
        <v>15</v>
      </c>
      <c r="O818" s="2" t="s">
        <v>71</v>
      </c>
      <c r="P818" s="2" t="s">
        <v>4375</v>
      </c>
      <c r="Q818" s="2" t="s">
        <v>4926</v>
      </c>
      <c r="R818" s="2" t="s">
        <v>69</v>
      </c>
      <c r="S818" s="2" t="s">
        <v>4698</v>
      </c>
      <c r="T818" s="2" t="s">
        <v>4697</v>
      </c>
      <c r="U818" s="2" t="s">
        <v>12</v>
      </c>
      <c r="V818" s="2" t="s">
        <v>4787</v>
      </c>
      <c r="W818" s="2" t="s">
        <v>4982</v>
      </c>
      <c r="X818" s="2" t="s">
        <v>4925</v>
      </c>
      <c r="Y818" s="2" t="s">
        <v>4374</v>
      </c>
      <c r="Z818" s="2" t="s">
        <v>5870</v>
      </c>
      <c r="AA8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8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18" s="6" t="str">
        <f>IF(_xlfn.IFNA(INDEX(configuracoes!$A$2:$A$10,MATCH(base_tc_geral[[#This Row],[TIPO]],configuracoes!$A$2:$A$10,0)),"NÃO")="NÃO","NÃO","SIM")</f>
        <v>SIM</v>
      </c>
    </row>
    <row r="819" spans="1:31" x14ac:dyDescent="0.25">
      <c r="A819" s="2" t="s">
        <v>842</v>
      </c>
      <c r="B819" s="2">
        <v>109504369</v>
      </c>
      <c r="C819" s="2" t="s">
        <v>24</v>
      </c>
      <c r="D819" s="2" t="s">
        <v>4482</v>
      </c>
      <c r="E819" s="2" t="s">
        <v>86</v>
      </c>
      <c r="F819" s="2" t="s">
        <v>459</v>
      </c>
      <c r="G819" s="2" t="s">
        <v>58</v>
      </c>
      <c r="H819" s="2" t="s">
        <v>458</v>
      </c>
      <c r="I819" s="2" t="s">
        <v>33</v>
      </c>
      <c r="J819" s="2" t="s">
        <v>91</v>
      </c>
      <c r="K819" s="2" t="s">
        <v>13</v>
      </c>
      <c r="L819" s="2" t="s">
        <v>61</v>
      </c>
      <c r="M819" s="2" t="s">
        <v>74</v>
      </c>
      <c r="N819" s="2" t="s">
        <v>24</v>
      </c>
      <c r="O819" s="2" t="s">
        <v>461</v>
      </c>
      <c r="P819" s="2" t="s">
        <v>844</v>
      </c>
      <c r="Q819" s="2" t="s">
        <v>4926</v>
      </c>
      <c r="R819" s="2" t="s">
        <v>829</v>
      </c>
      <c r="S819" s="2" t="s">
        <v>4699</v>
      </c>
      <c r="T819" s="2" t="s">
        <v>4696</v>
      </c>
      <c r="U819" s="2" t="s">
        <v>39</v>
      </c>
      <c r="V819" s="2" t="s">
        <v>4904</v>
      </c>
      <c r="W819" s="2" t="s">
        <v>4984</v>
      </c>
      <c r="X819" s="2" t="s">
        <v>74</v>
      </c>
      <c r="Y819" s="2" t="s">
        <v>843</v>
      </c>
      <c r="Z819" s="2" t="s">
        <v>5871</v>
      </c>
      <c r="AA8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8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8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19" s="6" t="str">
        <f>IF(_xlfn.IFNA(INDEX(configuracoes!$A$2:$A$10,MATCH(base_tc_geral[[#This Row],[TIPO]],configuracoes!$A$2:$A$10,0)),"NÃO")="NÃO","NÃO","SIM")</f>
        <v>NÃO</v>
      </c>
    </row>
    <row r="820" spans="1:31" x14ac:dyDescent="0.25">
      <c r="A820" s="2" t="s">
        <v>694</v>
      </c>
      <c r="B820" s="2">
        <v>101001670</v>
      </c>
      <c r="C820" s="2" t="s">
        <v>24</v>
      </c>
      <c r="D820" s="2" t="s">
        <v>4482</v>
      </c>
      <c r="E820" s="2" t="s">
        <v>47</v>
      </c>
      <c r="F820" s="2" t="s">
        <v>225</v>
      </c>
      <c r="G820" s="2" t="s">
        <v>245</v>
      </c>
      <c r="H820" s="2" t="s">
        <v>224</v>
      </c>
      <c r="I820" s="2" t="s">
        <v>16</v>
      </c>
      <c r="J820" s="2" t="s">
        <v>227</v>
      </c>
      <c r="K820" s="2" t="s">
        <v>20</v>
      </c>
      <c r="L820" s="2" t="s">
        <v>21</v>
      </c>
      <c r="M820" s="2" t="s">
        <v>22</v>
      </c>
      <c r="N820" s="2" t="s">
        <v>24</v>
      </c>
      <c r="O820" s="2" t="s">
        <v>229</v>
      </c>
      <c r="P820" s="2" t="s">
        <v>696</v>
      </c>
      <c r="Q820" s="2" t="s">
        <v>4926</v>
      </c>
      <c r="R820" s="2" t="s">
        <v>226</v>
      </c>
      <c r="S820" s="2" t="s">
        <v>4698</v>
      </c>
      <c r="T820" s="2" t="s">
        <v>4697</v>
      </c>
      <c r="U820" s="2" t="s">
        <v>39</v>
      </c>
      <c r="V820" s="2" t="s">
        <v>4844</v>
      </c>
      <c r="W820" s="2" t="s">
        <v>4982</v>
      </c>
      <c r="X820" s="2" t="s">
        <v>4925</v>
      </c>
      <c r="Y820" s="2" t="s">
        <v>695</v>
      </c>
      <c r="Z820" s="2" t="s">
        <v>5872</v>
      </c>
      <c r="AA8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8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20" s="6" t="str">
        <f>IF(_xlfn.IFNA(INDEX(configuracoes!$A$2:$A$10,MATCH(base_tc_geral[[#This Row],[TIPO]],configuracoes!$A$2:$A$10,0)),"NÃO")="NÃO","NÃO","SIM")</f>
        <v>SIM</v>
      </c>
    </row>
    <row r="821" spans="1:31" x14ac:dyDescent="0.25">
      <c r="A821" s="2" t="s">
        <v>3652</v>
      </c>
      <c r="B821" s="2">
        <v>101008003</v>
      </c>
      <c r="C821" s="2" t="s">
        <v>15</v>
      </c>
      <c r="D821" s="2" t="s">
        <v>4492</v>
      </c>
      <c r="E821" s="2" t="s">
        <v>47</v>
      </c>
      <c r="F821" s="2" t="s">
        <v>159</v>
      </c>
      <c r="G821" s="2" t="s">
        <v>99</v>
      </c>
      <c r="H821" s="2" t="s">
        <v>60</v>
      </c>
      <c r="I821" s="2" t="s">
        <v>16</v>
      </c>
      <c r="J821" s="2" t="s">
        <v>60</v>
      </c>
      <c r="K821" s="2" t="s">
        <v>13</v>
      </c>
      <c r="L821" s="2" t="s">
        <v>25</v>
      </c>
      <c r="M821" s="2" t="s">
        <v>103</v>
      </c>
      <c r="N821" s="2" t="s">
        <v>15</v>
      </c>
      <c r="O821" s="2" t="s">
        <v>161</v>
      </c>
      <c r="P821" s="2" t="s">
        <v>3654</v>
      </c>
      <c r="Q821" s="2" t="s">
        <v>4926</v>
      </c>
      <c r="R821" s="2" t="s">
        <v>100</v>
      </c>
      <c r="S821" s="2" t="s">
        <v>101</v>
      </c>
      <c r="T821" s="2" t="s">
        <v>4697</v>
      </c>
      <c r="U821" s="2" t="s">
        <v>12</v>
      </c>
      <c r="V821" s="2" t="s">
        <v>4806</v>
      </c>
      <c r="W821" s="2" t="s">
        <v>4931</v>
      </c>
      <c r="X821" s="2" t="s">
        <v>5276</v>
      </c>
      <c r="Y821" s="2" t="s">
        <v>3653</v>
      </c>
      <c r="Z821" s="2" t="s">
        <v>5873</v>
      </c>
      <c r="AA8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8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21" s="6" t="str">
        <f>IF(_xlfn.IFNA(INDEX(configuracoes!$A$2:$A$10,MATCH(base_tc_geral[[#This Row],[TIPO]],configuracoes!$A$2:$A$10,0)),"NÃO")="NÃO","NÃO","SIM")</f>
        <v>SIM</v>
      </c>
    </row>
    <row r="822" spans="1:31" x14ac:dyDescent="0.25">
      <c r="A822" s="2" t="s">
        <v>4723</v>
      </c>
      <c r="B822" s="2">
        <v>101005989</v>
      </c>
      <c r="C822" s="2" t="s">
        <v>15</v>
      </c>
      <c r="D822" s="2" t="s">
        <v>4481</v>
      </c>
      <c r="E822" s="2" t="s">
        <v>47</v>
      </c>
      <c r="F822" s="2" t="s">
        <v>433</v>
      </c>
      <c r="G822" s="2" t="s">
        <v>136</v>
      </c>
      <c r="H822" s="2" t="s">
        <v>56</v>
      </c>
      <c r="I822" s="2" t="s">
        <v>16</v>
      </c>
      <c r="J822" s="2" t="s">
        <v>60</v>
      </c>
      <c r="K822" s="2" t="s">
        <v>13</v>
      </c>
      <c r="L822" s="2" t="s">
        <v>72</v>
      </c>
      <c r="M822" s="2" t="s">
        <v>73</v>
      </c>
      <c r="N822" s="2" t="s">
        <v>15</v>
      </c>
      <c r="O822" s="2" t="s">
        <v>63</v>
      </c>
      <c r="P822" s="2" t="s">
        <v>4725</v>
      </c>
      <c r="Q822" s="2" t="s">
        <v>4926</v>
      </c>
      <c r="R822" s="2" t="s">
        <v>59</v>
      </c>
      <c r="S822" s="2" t="s">
        <v>51</v>
      </c>
      <c r="T822" s="2" t="s">
        <v>4697</v>
      </c>
      <c r="U822" s="2" t="s">
        <v>39</v>
      </c>
      <c r="V822" s="2" t="s">
        <v>4779</v>
      </c>
      <c r="W822" s="2" t="s">
        <v>72</v>
      </c>
      <c r="X822" s="2" t="s">
        <v>5011</v>
      </c>
      <c r="Y822" s="2" t="s">
        <v>4724</v>
      </c>
      <c r="Z822" s="2" t="s">
        <v>5874</v>
      </c>
      <c r="AA8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8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22" s="6" t="str">
        <f>IF(_xlfn.IFNA(INDEX(configuracoes!$A$2:$A$10,MATCH(base_tc_geral[[#This Row],[TIPO]],configuracoes!$A$2:$A$10,0)),"NÃO")="NÃO","NÃO","SIM")</f>
        <v>NÃO</v>
      </c>
    </row>
    <row r="823" spans="1:31" x14ac:dyDescent="0.25">
      <c r="A823" s="2" t="s">
        <v>257</v>
      </c>
      <c r="B823" s="2">
        <v>109000427</v>
      </c>
      <c r="C823" s="2" t="s">
        <v>15</v>
      </c>
      <c r="D823" s="2" t="s">
        <v>4501</v>
      </c>
      <c r="E823" s="2" t="s">
        <v>86</v>
      </c>
      <c r="F823" s="2" t="s">
        <v>88</v>
      </c>
      <c r="G823" s="2" t="s">
        <v>58</v>
      </c>
      <c r="H823" s="2" t="s">
        <v>87</v>
      </c>
      <c r="I823" s="2" t="s">
        <v>33</v>
      </c>
      <c r="J823" s="2" t="s">
        <v>91</v>
      </c>
      <c r="K823" s="2" t="s">
        <v>13</v>
      </c>
      <c r="L823" s="2" t="s">
        <v>61</v>
      </c>
      <c r="M823" s="2" t="s">
        <v>44</v>
      </c>
      <c r="N823" s="2" t="s">
        <v>15</v>
      </c>
      <c r="O823" s="2" t="s">
        <v>95</v>
      </c>
      <c r="P823" s="2" t="s">
        <v>261</v>
      </c>
      <c r="Q823" s="2" t="s">
        <v>4926</v>
      </c>
      <c r="R823" s="2" t="s">
        <v>259</v>
      </c>
      <c r="S823" s="2" t="s">
        <v>4699</v>
      </c>
      <c r="T823" s="2" t="s">
        <v>4696</v>
      </c>
      <c r="U823" s="2" t="s">
        <v>12</v>
      </c>
      <c r="V823" s="2" t="s">
        <v>4795</v>
      </c>
      <c r="W823" s="2" t="s">
        <v>4984</v>
      </c>
      <c r="X823" s="2" t="s">
        <v>44</v>
      </c>
      <c r="Y823" s="2" t="s">
        <v>258</v>
      </c>
      <c r="Z823" s="2" t="s">
        <v>5881</v>
      </c>
      <c r="AA8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8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8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23" s="6" t="str">
        <f>IF(_xlfn.IFNA(INDEX(configuracoes!$A$2:$A$10,MATCH(base_tc_geral[[#This Row],[TIPO]],configuracoes!$A$2:$A$10,0)),"NÃO")="NÃO","NÃO","SIM")</f>
        <v>NÃO</v>
      </c>
    </row>
    <row r="824" spans="1:31" x14ac:dyDescent="0.25">
      <c r="A824" s="2" t="s">
        <v>1324</v>
      </c>
      <c r="B824" s="2">
        <v>109504369</v>
      </c>
      <c r="C824" s="2" t="s">
        <v>24</v>
      </c>
      <c r="D824" s="2" t="s">
        <v>4768</v>
      </c>
      <c r="E824" s="2" t="s">
        <v>86</v>
      </c>
      <c r="F824" s="2" t="s">
        <v>459</v>
      </c>
      <c r="G824" s="2" t="s">
        <v>58</v>
      </c>
      <c r="H824" s="2" t="s">
        <v>458</v>
      </c>
      <c r="I824" s="2" t="s">
        <v>33</v>
      </c>
      <c r="J824" s="2" t="s">
        <v>91</v>
      </c>
      <c r="K824" s="2" t="s">
        <v>13</v>
      </c>
      <c r="L824" s="2" t="s">
        <v>61</v>
      </c>
      <c r="M824" s="2" t="s">
        <v>44</v>
      </c>
      <c r="N824" s="2" t="s">
        <v>24</v>
      </c>
      <c r="O824" s="2" t="s">
        <v>461</v>
      </c>
      <c r="P824" s="2" t="s">
        <v>1326</v>
      </c>
      <c r="Q824" s="2" t="s">
        <v>4926</v>
      </c>
      <c r="R824" s="2" t="s">
        <v>829</v>
      </c>
      <c r="S824" s="2" t="s">
        <v>4699</v>
      </c>
      <c r="T824" s="2" t="s">
        <v>4696</v>
      </c>
      <c r="U824" s="2" t="s">
        <v>39</v>
      </c>
      <c r="V824" s="2" t="s">
        <v>4904</v>
      </c>
      <c r="W824" s="2" t="s">
        <v>4984</v>
      </c>
      <c r="X824" s="2" t="s">
        <v>44</v>
      </c>
      <c r="Y824" s="2" t="s">
        <v>1325</v>
      </c>
      <c r="Z824" s="2" t="s">
        <v>5882</v>
      </c>
      <c r="AA8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8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8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24" s="6" t="str">
        <f>IF(_xlfn.IFNA(INDEX(configuracoes!$A$2:$A$10,MATCH(base_tc_geral[[#This Row],[TIPO]],configuracoes!$A$2:$A$10,0)),"NÃO")="NÃO","NÃO","SIM")</f>
        <v>NÃO</v>
      </c>
    </row>
    <row r="825" spans="1:31" x14ac:dyDescent="0.25">
      <c r="A825" s="2" t="s">
        <v>2550</v>
      </c>
      <c r="B825" s="2">
        <v>109504193</v>
      </c>
      <c r="C825" s="2" t="s">
        <v>15</v>
      </c>
      <c r="D825" s="2" t="s">
        <v>4481</v>
      </c>
      <c r="E825" s="2" t="s">
        <v>86</v>
      </c>
      <c r="F825" s="2" t="s">
        <v>211</v>
      </c>
      <c r="G825" s="2" t="s">
        <v>58</v>
      </c>
      <c r="H825" s="2" t="s">
        <v>210</v>
      </c>
      <c r="I825" s="2" t="s">
        <v>33</v>
      </c>
      <c r="J825" s="2" t="s">
        <v>124</v>
      </c>
      <c r="K825" s="2" t="s">
        <v>13</v>
      </c>
      <c r="L825" s="2" t="s">
        <v>61</v>
      </c>
      <c r="M825" s="2" t="s">
        <v>38</v>
      </c>
      <c r="N825" s="2" t="s">
        <v>15</v>
      </c>
      <c r="O825" s="2" t="s">
        <v>214</v>
      </c>
      <c r="P825" s="2" t="s">
        <v>2552</v>
      </c>
      <c r="Q825" s="2" t="s">
        <v>4926</v>
      </c>
      <c r="R825" s="2" t="s">
        <v>639</v>
      </c>
      <c r="S825" s="2" t="s">
        <v>4699</v>
      </c>
      <c r="T825" s="2" t="s">
        <v>4696</v>
      </c>
      <c r="U825" s="2" t="s">
        <v>12</v>
      </c>
      <c r="V825" s="2" t="s">
        <v>4800</v>
      </c>
      <c r="W825" s="2" t="s">
        <v>5037</v>
      </c>
      <c r="X825" s="2" t="s">
        <v>38</v>
      </c>
      <c r="Y825" s="2" t="s">
        <v>2551</v>
      </c>
      <c r="Z825" s="2" t="s">
        <v>5883</v>
      </c>
      <c r="AA8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JOSE </v>
      </c>
      <c r="AB8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8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25" s="6" t="str">
        <f>IF(_xlfn.IFNA(INDEX(configuracoes!$A$2:$A$10,MATCH(base_tc_geral[[#This Row],[TIPO]],configuracoes!$A$2:$A$10,0)),"NÃO")="NÃO","NÃO","SIM")</f>
        <v>NÃO</v>
      </c>
    </row>
    <row r="826" spans="1:31" x14ac:dyDescent="0.25">
      <c r="A826" s="2" t="s">
        <v>1532</v>
      </c>
      <c r="B826" s="2">
        <v>109000017</v>
      </c>
      <c r="C826" s="2" t="s">
        <v>24</v>
      </c>
      <c r="D826" s="2" t="s">
        <v>4482</v>
      </c>
      <c r="E826" s="2" t="s">
        <v>86</v>
      </c>
      <c r="F826" s="2" t="s">
        <v>274</v>
      </c>
      <c r="G826" s="2" t="s">
        <v>245</v>
      </c>
      <c r="H826" s="2" t="s">
        <v>210</v>
      </c>
      <c r="I826" s="2" t="s">
        <v>33</v>
      </c>
      <c r="J826" s="2" t="s">
        <v>124</v>
      </c>
      <c r="K826" s="2" t="s">
        <v>20</v>
      </c>
      <c r="L826" s="2" t="s">
        <v>21</v>
      </c>
      <c r="M826" s="2" t="s">
        <v>22</v>
      </c>
      <c r="N826" s="2" t="s">
        <v>24</v>
      </c>
      <c r="O826" s="2" t="s">
        <v>214</v>
      </c>
      <c r="P826" s="2" t="s">
        <v>1534</v>
      </c>
      <c r="Q826" s="2" t="s">
        <v>4926</v>
      </c>
      <c r="R826" s="2" t="s">
        <v>212</v>
      </c>
      <c r="S826" s="2" t="s">
        <v>93</v>
      </c>
      <c r="T826" s="2" t="s">
        <v>4696</v>
      </c>
      <c r="U826" s="2" t="s">
        <v>39</v>
      </c>
      <c r="V826" s="2" t="s">
        <v>4846</v>
      </c>
      <c r="W826" s="2" t="s">
        <v>4982</v>
      </c>
      <c r="X826" s="2" t="s">
        <v>4925</v>
      </c>
      <c r="Y826" s="2" t="s">
        <v>1533</v>
      </c>
      <c r="Z826" s="2" t="s">
        <v>5884</v>
      </c>
      <c r="AA8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8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26" s="6" t="str">
        <f>IF(_xlfn.IFNA(INDEX(configuracoes!$A$2:$A$10,MATCH(base_tc_geral[[#This Row],[TIPO]],configuracoes!$A$2:$A$10,0)),"NÃO")="NÃO","NÃO","SIM")</f>
        <v>SIM</v>
      </c>
    </row>
    <row r="827" spans="1:31" x14ac:dyDescent="0.25">
      <c r="A827" s="2" t="s">
        <v>239</v>
      </c>
      <c r="B827" s="2">
        <v>101005241</v>
      </c>
      <c r="C827" s="2" t="s">
        <v>15</v>
      </c>
      <c r="D827" s="2" t="s">
        <v>4495</v>
      </c>
      <c r="E827" s="2" t="s">
        <v>47</v>
      </c>
      <c r="F827" s="2" t="s">
        <v>142</v>
      </c>
      <c r="G827" s="2" t="s">
        <v>883</v>
      </c>
      <c r="H827" s="2" t="s">
        <v>141</v>
      </c>
      <c r="I827" s="2" t="s">
        <v>16</v>
      </c>
      <c r="J827" s="2" t="s">
        <v>141</v>
      </c>
      <c r="K827" s="2" t="s">
        <v>20</v>
      </c>
      <c r="L827" s="2" t="s">
        <v>21</v>
      </c>
      <c r="M827" s="2" t="s">
        <v>22</v>
      </c>
      <c r="N827" s="2" t="s">
        <v>15</v>
      </c>
      <c r="O827" s="2" t="s">
        <v>145</v>
      </c>
      <c r="P827" s="2" t="s">
        <v>241</v>
      </c>
      <c r="Q827" s="2" t="s">
        <v>4926</v>
      </c>
      <c r="R827" s="2" t="s">
        <v>143</v>
      </c>
      <c r="S827" s="2" t="s">
        <v>4698</v>
      </c>
      <c r="T827" s="2" t="s">
        <v>4697</v>
      </c>
      <c r="U827" s="2" t="s">
        <v>12</v>
      </c>
      <c r="V827" s="2" t="s">
        <v>4845</v>
      </c>
      <c r="W827" s="2" t="s">
        <v>17</v>
      </c>
      <c r="X827" s="2" t="s">
        <v>4925</v>
      </c>
      <c r="Y827" s="2" t="s">
        <v>240</v>
      </c>
      <c r="Z827" s="2" t="s">
        <v>5885</v>
      </c>
      <c r="AA8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8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27" s="6" t="str">
        <f>IF(_xlfn.IFNA(INDEX(configuracoes!$A$2:$A$10,MATCH(base_tc_geral[[#This Row],[TIPO]],configuracoes!$A$2:$A$10,0)),"NÃO")="NÃO","NÃO","SIM")</f>
        <v>SIM</v>
      </c>
    </row>
    <row r="828" spans="1:31" x14ac:dyDescent="0.25">
      <c r="A828" s="2" t="s">
        <v>1006</v>
      </c>
      <c r="B828" s="2">
        <v>109500177</v>
      </c>
      <c r="C828" s="2" t="s">
        <v>15</v>
      </c>
      <c r="D828" s="2" t="s">
        <v>4553</v>
      </c>
      <c r="E828" s="2" t="s">
        <v>86</v>
      </c>
      <c r="F828" s="2" t="s">
        <v>445</v>
      </c>
      <c r="G828" s="2" t="s">
        <v>41</v>
      </c>
      <c r="H828" s="2" t="s">
        <v>122</v>
      </c>
      <c r="I828" s="2" t="s">
        <v>33</v>
      </c>
      <c r="J828" s="2" t="s">
        <v>124</v>
      </c>
      <c r="K828" s="2" t="s">
        <v>13</v>
      </c>
      <c r="L828" s="2" t="s">
        <v>42</v>
      </c>
      <c r="M828" s="2" t="s">
        <v>75</v>
      </c>
      <c r="N828" s="2" t="s">
        <v>15</v>
      </c>
      <c r="O828" s="2" t="s">
        <v>129</v>
      </c>
      <c r="P828" s="2" t="s">
        <v>1008</v>
      </c>
      <c r="Q828" s="2" t="s">
        <v>4926</v>
      </c>
      <c r="R828" s="2" t="s">
        <v>447</v>
      </c>
      <c r="S828" s="2" t="s">
        <v>125</v>
      </c>
      <c r="T828" s="2" t="s">
        <v>4696</v>
      </c>
      <c r="U828" s="2" t="s">
        <v>12</v>
      </c>
      <c r="V828" s="2" t="s">
        <v>4897</v>
      </c>
      <c r="W828" s="2" t="s">
        <v>42</v>
      </c>
      <c r="X828" s="2" t="s">
        <v>75</v>
      </c>
      <c r="Y828" s="2" t="s">
        <v>1007</v>
      </c>
      <c r="Z828" s="2" t="s">
        <v>5886</v>
      </c>
      <c r="AA8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8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28" s="6" t="str">
        <f>IF(_xlfn.IFNA(INDEX(configuracoes!$A$2:$A$10,MATCH(base_tc_geral[[#This Row],[TIPO]],configuracoes!$A$2:$A$10,0)),"NÃO")="NÃO","NÃO","SIM")</f>
        <v>SIM</v>
      </c>
    </row>
    <row r="829" spans="1:31" x14ac:dyDescent="0.25">
      <c r="A829" s="2" t="s">
        <v>2794</v>
      </c>
      <c r="B829" s="2">
        <v>109506174</v>
      </c>
      <c r="C829" s="2" t="s">
        <v>15</v>
      </c>
      <c r="D829" s="2" t="s">
        <v>4535</v>
      </c>
      <c r="E829" s="2" t="s">
        <v>86</v>
      </c>
      <c r="F829" s="2" t="s">
        <v>459</v>
      </c>
      <c r="G829" s="2" t="s">
        <v>630</v>
      </c>
      <c r="H829" s="2" t="s">
        <v>458</v>
      </c>
      <c r="I829" s="2" t="s">
        <v>33</v>
      </c>
      <c r="J829" s="2" t="s">
        <v>91</v>
      </c>
      <c r="K829" s="2" t="s">
        <v>20</v>
      </c>
      <c r="L829" s="2" t="s">
        <v>21</v>
      </c>
      <c r="M829" s="2" t="s">
        <v>22</v>
      </c>
      <c r="N829" s="2" t="s">
        <v>15</v>
      </c>
      <c r="O829" s="2" t="s">
        <v>461</v>
      </c>
      <c r="P829" s="2" t="s">
        <v>2796</v>
      </c>
      <c r="Q829" s="2" t="s">
        <v>4926</v>
      </c>
      <c r="R829" s="2" t="s">
        <v>2782</v>
      </c>
      <c r="S829" s="2" t="s">
        <v>93</v>
      </c>
      <c r="T829" s="2" t="s">
        <v>4696</v>
      </c>
      <c r="U829" s="2" t="s">
        <v>12</v>
      </c>
      <c r="V829" s="2" t="s">
        <v>4796</v>
      </c>
      <c r="W829" s="2" t="s">
        <v>4982</v>
      </c>
      <c r="X829" s="2" t="s">
        <v>4925</v>
      </c>
      <c r="Y829" s="2" t="s">
        <v>2795</v>
      </c>
      <c r="Z829" s="2" t="s">
        <v>5887</v>
      </c>
      <c r="AA8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8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29" s="6" t="str">
        <f>IF(_xlfn.IFNA(INDEX(configuracoes!$A$2:$A$10,MATCH(base_tc_geral[[#This Row],[TIPO]],configuracoes!$A$2:$A$10,0)),"NÃO")="NÃO","NÃO","SIM")</f>
        <v>SIM</v>
      </c>
    </row>
    <row r="830" spans="1:31" x14ac:dyDescent="0.25">
      <c r="A830" s="2" t="s">
        <v>3502</v>
      </c>
      <c r="B830" s="2">
        <v>102100917</v>
      </c>
      <c r="C830" s="2" t="s">
        <v>15</v>
      </c>
      <c r="D830" s="2" t="s">
        <v>4484</v>
      </c>
      <c r="E830" s="2" t="s">
        <v>106</v>
      </c>
      <c r="F830" s="2" t="s">
        <v>116</v>
      </c>
      <c r="G830" s="2" t="s">
        <v>245</v>
      </c>
      <c r="H830" s="2" t="s">
        <v>115</v>
      </c>
      <c r="I830" s="2" t="s">
        <v>33</v>
      </c>
      <c r="J830" s="2" t="s">
        <v>109</v>
      </c>
      <c r="K830" s="2" t="s">
        <v>20</v>
      </c>
      <c r="L830" s="2" t="s">
        <v>21</v>
      </c>
      <c r="M830" s="2" t="s">
        <v>22</v>
      </c>
      <c r="N830" s="2" t="s">
        <v>15</v>
      </c>
      <c r="O830" s="2" t="s">
        <v>119</v>
      </c>
      <c r="P830" s="2" t="s">
        <v>3504</v>
      </c>
      <c r="Q830" s="2" t="s">
        <v>4926</v>
      </c>
      <c r="R830" s="2" t="s">
        <v>117</v>
      </c>
      <c r="S830" s="2" t="s">
        <v>736</v>
      </c>
      <c r="T830" s="2" t="s">
        <v>167</v>
      </c>
      <c r="U830" s="2" t="s">
        <v>12</v>
      </c>
      <c r="V830" s="2" t="s">
        <v>4902</v>
      </c>
      <c r="W830" s="2" t="s">
        <v>4982</v>
      </c>
      <c r="X830" s="2" t="s">
        <v>4925</v>
      </c>
      <c r="Y830" s="2" t="s">
        <v>3503</v>
      </c>
      <c r="Z830" s="2" t="s">
        <v>5546</v>
      </c>
      <c r="AA8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8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0" s="6" t="str">
        <f>IF(_xlfn.IFNA(INDEX(configuracoes!$A$2:$A$10,MATCH(base_tc_geral[[#This Row],[TIPO]],configuracoes!$A$2:$A$10,0)),"NÃO")="NÃO","NÃO","SIM")</f>
        <v>SIM</v>
      </c>
    </row>
    <row r="831" spans="1:31" x14ac:dyDescent="0.25">
      <c r="A831" s="2" t="s">
        <v>3193</v>
      </c>
      <c r="B831" s="2">
        <v>109000119</v>
      </c>
      <c r="C831" s="2" t="s">
        <v>15</v>
      </c>
      <c r="D831" s="2" t="s">
        <v>4523</v>
      </c>
      <c r="E831" s="2" t="s">
        <v>86</v>
      </c>
      <c r="F831" s="2" t="s">
        <v>123</v>
      </c>
      <c r="G831" s="2" t="s">
        <v>58</v>
      </c>
      <c r="H831" s="2" t="s">
        <v>122</v>
      </c>
      <c r="I831" s="2" t="s">
        <v>33</v>
      </c>
      <c r="J831" s="2" t="s">
        <v>124</v>
      </c>
      <c r="K831" s="2" t="s">
        <v>13</v>
      </c>
      <c r="L831" s="2" t="s">
        <v>61</v>
      </c>
      <c r="M831" s="2" t="s">
        <v>44</v>
      </c>
      <c r="N831" s="2" t="s">
        <v>15</v>
      </c>
      <c r="O831" s="2" t="s">
        <v>129</v>
      </c>
      <c r="P831" s="2" t="s">
        <v>3195</v>
      </c>
      <c r="Q831" s="2" t="s">
        <v>4926</v>
      </c>
      <c r="R831" s="2" t="s">
        <v>191</v>
      </c>
      <c r="S831" s="2" t="s">
        <v>4699</v>
      </c>
      <c r="T831" s="2" t="s">
        <v>4696</v>
      </c>
      <c r="U831" s="2" t="s">
        <v>12</v>
      </c>
      <c r="V831" s="2" t="s">
        <v>4849</v>
      </c>
      <c r="W831" s="2" t="s">
        <v>4984</v>
      </c>
      <c r="X831" s="2" t="s">
        <v>44</v>
      </c>
      <c r="Y831" s="2" t="s">
        <v>3194</v>
      </c>
      <c r="Z831" s="2" t="s">
        <v>5547</v>
      </c>
      <c r="AA8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8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8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1" s="6" t="str">
        <f>IF(_xlfn.IFNA(INDEX(configuracoes!$A$2:$A$10,MATCH(base_tc_geral[[#This Row],[TIPO]],configuracoes!$A$2:$A$10,0)),"NÃO")="NÃO","NÃO","SIM")</f>
        <v>NÃO</v>
      </c>
    </row>
    <row r="832" spans="1:31" x14ac:dyDescent="0.25">
      <c r="A832" s="2" t="s">
        <v>2610</v>
      </c>
      <c r="B832" s="2">
        <v>102101393</v>
      </c>
      <c r="C832" s="2" t="s">
        <v>15</v>
      </c>
      <c r="D832" s="2" t="s">
        <v>4516</v>
      </c>
      <c r="E832" s="2" t="s">
        <v>106</v>
      </c>
      <c r="F832" s="2" t="s">
        <v>116</v>
      </c>
      <c r="G832" s="2" t="s">
        <v>172</v>
      </c>
      <c r="H832" s="2" t="s">
        <v>115</v>
      </c>
      <c r="I832" s="2" t="s">
        <v>33</v>
      </c>
      <c r="J832" s="2" t="s">
        <v>109</v>
      </c>
      <c r="K832" s="2" t="s">
        <v>13</v>
      </c>
      <c r="L832" s="2" t="s">
        <v>17</v>
      </c>
      <c r="M832" s="2" t="s">
        <v>23</v>
      </c>
      <c r="N832" s="2" t="s">
        <v>15</v>
      </c>
      <c r="O832" s="2" t="s">
        <v>119</v>
      </c>
      <c r="P832" s="2" t="s">
        <v>2612</v>
      </c>
      <c r="Q832" s="2" t="s">
        <v>4926</v>
      </c>
      <c r="R832" s="2" t="s">
        <v>735</v>
      </c>
      <c r="S832" s="2" t="s">
        <v>736</v>
      </c>
      <c r="T832" s="2" t="s">
        <v>167</v>
      </c>
      <c r="U832" s="2" t="s">
        <v>12</v>
      </c>
      <c r="V832" s="2" t="s">
        <v>4886</v>
      </c>
      <c r="W832" s="2" t="s">
        <v>17</v>
      </c>
      <c r="X832" s="2" t="s">
        <v>4998</v>
      </c>
      <c r="Y832" s="2" t="s">
        <v>2611</v>
      </c>
      <c r="Z832" s="2" t="s">
        <v>5548</v>
      </c>
      <c r="AA8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8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2" s="6" t="str">
        <f>IF(_xlfn.IFNA(INDEX(configuracoes!$A$2:$A$10,MATCH(base_tc_geral[[#This Row],[TIPO]],configuracoes!$A$2:$A$10,0)),"NÃO")="NÃO","NÃO","SIM")</f>
        <v>NÃO</v>
      </c>
    </row>
    <row r="833" spans="1:31" x14ac:dyDescent="0.25">
      <c r="A833" s="2" t="s">
        <v>3304</v>
      </c>
      <c r="B833" s="2">
        <v>101006811</v>
      </c>
      <c r="C833" s="2" t="s">
        <v>15</v>
      </c>
      <c r="D833" s="2" t="s">
        <v>4499</v>
      </c>
      <c r="E833" s="2" t="s">
        <v>47</v>
      </c>
      <c r="F833" s="2" t="s">
        <v>49</v>
      </c>
      <c r="G833" s="2" t="s">
        <v>630</v>
      </c>
      <c r="H833" s="2" t="s">
        <v>48</v>
      </c>
      <c r="I833" s="2" t="s">
        <v>16</v>
      </c>
      <c r="J833" s="2" t="s">
        <v>48</v>
      </c>
      <c r="K833" s="2" t="s">
        <v>20</v>
      </c>
      <c r="L833" s="2" t="s">
        <v>21</v>
      </c>
      <c r="M833" s="2" t="s">
        <v>22</v>
      </c>
      <c r="N833" s="2" t="s">
        <v>15</v>
      </c>
      <c r="O833" s="2" t="s">
        <v>53</v>
      </c>
      <c r="P833" s="2" t="s">
        <v>3306</v>
      </c>
      <c r="Q833" s="2" t="s">
        <v>4926</v>
      </c>
      <c r="R833" s="2" t="s">
        <v>50</v>
      </c>
      <c r="S833" s="2" t="s">
        <v>51</v>
      </c>
      <c r="T833" s="2" t="s">
        <v>4697</v>
      </c>
      <c r="U833" s="2" t="s">
        <v>12</v>
      </c>
      <c r="V833" s="2" t="s">
        <v>4860</v>
      </c>
      <c r="W833" s="2" t="s">
        <v>4982</v>
      </c>
      <c r="X833" s="2" t="s">
        <v>4925</v>
      </c>
      <c r="Y833" s="2" t="s">
        <v>3305</v>
      </c>
      <c r="Z833" s="2" t="s">
        <v>5549</v>
      </c>
      <c r="AA8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8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3" s="6" t="str">
        <f>IF(_xlfn.IFNA(INDEX(configuracoes!$A$2:$A$10,MATCH(base_tc_geral[[#This Row],[TIPO]],configuracoes!$A$2:$A$10,0)),"NÃO")="NÃO","NÃO","SIM")</f>
        <v>SIM</v>
      </c>
    </row>
    <row r="834" spans="1:31" x14ac:dyDescent="0.25">
      <c r="A834" s="2" t="s">
        <v>3796</v>
      </c>
      <c r="B834" s="2">
        <v>102101634</v>
      </c>
      <c r="C834" s="2" t="s">
        <v>15</v>
      </c>
      <c r="D834" s="2" t="s">
        <v>4502</v>
      </c>
      <c r="E834" s="2" t="s">
        <v>106</v>
      </c>
      <c r="F834" s="2" t="s">
        <v>108</v>
      </c>
      <c r="G834" s="2" t="s">
        <v>245</v>
      </c>
      <c r="H834" s="2" t="s">
        <v>107</v>
      </c>
      <c r="I834" s="2" t="s">
        <v>33</v>
      </c>
      <c r="J834" s="2" t="s">
        <v>109</v>
      </c>
      <c r="K834" s="2" t="s">
        <v>20</v>
      </c>
      <c r="L834" s="2" t="s">
        <v>21</v>
      </c>
      <c r="M834" s="2" t="s">
        <v>22</v>
      </c>
      <c r="N834" s="2" t="s">
        <v>15</v>
      </c>
      <c r="O834" s="2" t="s">
        <v>112</v>
      </c>
      <c r="P834" s="2" t="s">
        <v>3798</v>
      </c>
      <c r="Q834" s="2" t="s">
        <v>4926</v>
      </c>
      <c r="R834" s="2" t="s">
        <v>406</v>
      </c>
      <c r="S834" s="2" t="s">
        <v>736</v>
      </c>
      <c r="T834" s="2" t="s">
        <v>167</v>
      </c>
      <c r="U834" s="2" t="s">
        <v>12</v>
      </c>
      <c r="V834" s="2" t="s">
        <v>4853</v>
      </c>
      <c r="W834" s="2" t="s">
        <v>4982</v>
      </c>
      <c r="X834" s="2" t="s">
        <v>4925</v>
      </c>
      <c r="Y834" s="2" t="s">
        <v>3797</v>
      </c>
      <c r="Z834" s="2" t="s">
        <v>5550</v>
      </c>
      <c r="AA8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8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4" s="6" t="str">
        <f>IF(_xlfn.IFNA(INDEX(configuracoes!$A$2:$A$10,MATCH(base_tc_geral[[#This Row],[TIPO]],configuracoes!$A$2:$A$10,0)),"NÃO")="NÃO","NÃO","SIM")</f>
        <v>SIM</v>
      </c>
    </row>
    <row r="835" spans="1:31" x14ac:dyDescent="0.25">
      <c r="A835" s="2" t="s">
        <v>2442</v>
      </c>
      <c r="B835" s="2">
        <v>102100390</v>
      </c>
      <c r="C835" s="2" t="s">
        <v>15</v>
      </c>
      <c r="D835" s="2" t="s">
        <v>4486</v>
      </c>
      <c r="E835" s="2" t="s">
        <v>106</v>
      </c>
      <c r="F835" s="2" t="s">
        <v>405</v>
      </c>
      <c r="G835" s="2" t="s">
        <v>637</v>
      </c>
      <c r="H835" s="2" t="s">
        <v>130</v>
      </c>
      <c r="I835" s="2" t="s">
        <v>33</v>
      </c>
      <c r="J835" s="2" t="s">
        <v>109</v>
      </c>
      <c r="K835" s="2" t="s">
        <v>20</v>
      </c>
      <c r="L835" s="2" t="s">
        <v>19</v>
      </c>
      <c r="M835" s="2" t="s">
        <v>22</v>
      </c>
      <c r="N835" s="2" t="s">
        <v>15</v>
      </c>
      <c r="O835" s="2" t="s">
        <v>132</v>
      </c>
      <c r="P835" s="2" t="s">
        <v>2444</v>
      </c>
      <c r="Q835" s="2" t="s">
        <v>4926</v>
      </c>
      <c r="R835" s="2" t="s">
        <v>1092</v>
      </c>
      <c r="S835" s="2" t="s">
        <v>736</v>
      </c>
      <c r="T835" s="2" t="s">
        <v>167</v>
      </c>
      <c r="U835" s="2" t="s">
        <v>12</v>
      </c>
      <c r="V835" s="2" t="s">
        <v>4901</v>
      </c>
      <c r="W835" s="2" t="s">
        <v>42</v>
      </c>
      <c r="X835" s="2" t="s">
        <v>4925</v>
      </c>
      <c r="Y835" s="2" t="s">
        <v>2443</v>
      </c>
      <c r="Z835" s="2" t="s">
        <v>5551</v>
      </c>
      <c r="AA8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8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5" s="6" t="str">
        <f>IF(_xlfn.IFNA(INDEX(configuracoes!$A$2:$A$10,MATCH(base_tc_geral[[#This Row],[TIPO]],configuracoes!$A$2:$A$10,0)),"NÃO")="NÃO","NÃO","SIM")</f>
        <v>SIM</v>
      </c>
    </row>
    <row r="836" spans="1:31" x14ac:dyDescent="0.25">
      <c r="A836" s="2" t="s">
        <v>3123</v>
      </c>
      <c r="B836" s="2">
        <v>109000017</v>
      </c>
      <c r="C836" s="2" t="s">
        <v>15</v>
      </c>
      <c r="D836" s="2" t="s">
        <v>4781</v>
      </c>
      <c r="E836" s="2" t="s">
        <v>86</v>
      </c>
      <c r="F836" s="2" t="s">
        <v>298</v>
      </c>
      <c r="G836" s="2" t="s">
        <v>245</v>
      </c>
      <c r="H836" s="2" t="s">
        <v>210</v>
      </c>
      <c r="I836" s="2" t="s">
        <v>33</v>
      </c>
      <c r="J836" s="2" t="s">
        <v>124</v>
      </c>
      <c r="K836" s="2" t="s">
        <v>20</v>
      </c>
      <c r="L836" s="2" t="s">
        <v>21</v>
      </c>
      <c r="M836" s="2" t="s">
        <v>22</v>
      </c>
      <c r="N836" s="2" t="s">
        <v>15</v>
      </c>
      <c r="O836" s="2" t="s">
        <v>214</v>
      </c>
      <c r="P836" s="2" t="s">
        <v>3125</v>
      </c>
      <c r="Q836" s="2" t="s">
        <v>4926</v>
      </c>
      <c r="R836" s="2" t="s">
        <v>212</v>
      </c>
      <c r="S836" s="2" t="s">
        <v>93</v>
      </c>
      <c r="T836" s="2" t="s">
        <v>4696</v>
      </c>
      <c r="U836" s="2" t="s">
        <v>12</v>
      </c>
      <c r="V836" s="2" t="s">
        <v>4794</v>
      </c>
      <c r="W836" s="2" t="s">
        <v>4982</v>
      </c>
      <c r="X836" s="2" t="s">
        <v>4925</v>
      </c>
      <c r="Y836" s="2" t="s">
        <v>3124</v>
      </c>
      <c r="Z836" s="2" t="s">
        <v>5925</v>
      </c>
      <c r="AA8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8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6" s="6" t="str">
        <f>IF(_xlfn.IFNA(INDEX(configuracoes!$A$2:$A$10,MATCH(base_tc_geral[[#This Row],[TIPO]],configuracoes!$A$2:$A$10,0)),"NÃO")="NÃO","NÃO","SIM")</f>
        <v>SIM</v>
      </c>
    </row>
    <row r="837" spans="1:31" x14ac:dyDescent="0.25">
      <c r="A837" s="2" t="s">
        <v>4272</v>
      </c>
      <c r="B837" s="2">
        <v>101001782</v>
      </c>
      <c r="C837" s="2" t="s">
        <v>15</v>
      </c>
      <c r="D837" s="2" t="s">
        <v>4484</v>
      </c>
      <c r="E837" s="2" t="s">
        <v>47</v>
      </c>
      <c r="F837" s="2" t="s">
        <v>464</v>
      </c>
      <c r="G837" s="2" t="s">
        <v>637</v>
      </c>
      <c r="H837" s="2" t="s">
        <v>48</v>
      </c>
      <c r="I837" s="2" t="s">
        <v>16</v>
      </c>
      <c r="J837" s="2" t="s">
        <v>48</v>
      </c>
      <c r="K837" s="2" t="s">
        <v>20</v>
      </c>
      <c r="L837" s="2" t="s">
        <v>19</v>
      </c>
      <c r="M837" s="2" t="s">
        <v>22</v>
      </c>
      <c r="N837" s="2" t="s">
        <v>15</v>
      </c>
      <c r="O837" s="2" t="s">
        <v>53</v>
      </c>
      <c r="P837" s="2" t="s">
        <v>4274</v>
      </c>
      <c r="Q837" s="2" t="s">
        <v>4926</v>
      </c>
      <c r="R837" s="2" t="s">
        <v>512</v>
      </c>
      <c r="S837" s="2" t="s">
        <v>51</v>
      </c>
      <c r="T837" s="2" t="s">
        <v>4697</v>
      </c>
      <c r="U837" s="2" t="s">
        <v>12</v>
      </c>
      <c r="V837" s="2" t="s">
        <v>4861</v>
      </c>
      <c r="W837" s="2" t="s">
        <v>4982</v>
      </c>
      <c r="X837" s="2" t="s">
        <v>4925</v>
      </c>
      <c r="Y837" s="2" t="s">
        <v>4273</v>
      </c>
      <c r="Z837" s="2" t="s">
        <v>5926</v>
      </c>
      <c r="AA8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8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7" s="6" t="str">
        <f>IF(_xlfn.IFNA(INDEX(configuracoes!$A$2:$A$10,MATCH(base_tc_geral[[#This Row],[TIPO]],configuracoes!$A$2:$A$10,0)),"NÃO")="NÃO","NÃO","SIM")</f>
        <v>SIM</v>
      </c>
    </row>
    <row r="838" spans="1:31" x14ac:dyDescent="0.25">
      <c r="A838" s="2" t="s">
        <v>2157</v>
      </c>
      <c r="B838" s="2">
        <v>101007963</v>
      </c>
      <c r="C838" s="2" t="s">
        <v>24</v>
      </c>
      <c r="D838" s="2" t="s">
        <v>4768</v>
      </c>
      <c r="E838" s="2" t="s">
        <v>47</v>
      </c>
      <c r="F838" s="2" t="s">
        <v>601</v>
      </c>
      <c r="G838" s="2" t="s">
        <v>245</v>
      </c>
      <c r="H838" s="2" t="s">
        <v>60</v>
      </c>
      <c r="I838" s="2" t="s">
        <v>16</v>
      </c>
      <c r="J838" s="2" t="s">
        <v>60</v>
      </c>
      <c r="K838" s="2" t="s">
        <v>20</v>
      </c>
      <c r="L838" s="2" t="s">
        <v>21</v>
      </c>
      <c r="M838" s="2" t="s">
        <v>22</v>
      </c>
      <c r="N838" s="2" t="s">
        <v>24</v>
      </c>
      <c r="O838" s="2" t="s">
        <v>161</v>
      </c>
      <c r="P838" s="2" t="s">
        <v>2159</v>
      </c>
      <c r="Q838" s="2" t="s">
        <v>4926</v>
      </c>
      <c r="R838" s="2" t="s">
        <v>246</v>
      </c>
      <c r="S838" s="2" t="s">
        <v>51</v>
      </c>
      <c r="T838" s="2" t="s">
        <v>4697</v>
      </c>
      <c r="U838" s="2" t="s">
        <v>39</v>
      </c>
      <c r="V838" s="2" t="s">
        <v>4778</v>
      </c>
      <c r="W838" s="2" t="s">
        <v>4982</v>
      </c>
      <c r="X838" s="2" t="s">
        <v>4925</v>
      </c>
      <c r="Y838" s="2" t="s">
        <v>2158</v>
      </c>
      <c r="Z838" s="2" t="s">
        <v>5927</v>
      </c>
      <c r="AA8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8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38" s="6" t="str">
        <f>IF(_xlfn.IFNA(INDEX(configuracoes!$A$2:$A$10,MATCH(base_tc_geral[[#This Row],[TIPO]],configuracoes!$A$2:$A$10,0)),"NÃO")="NÃO","NÃO","SIM")</f>
        <v>SIM</v>
      </c>
    </row>
    <row r="839" spans="1:31" x14ac:dyDescent="0.25">
      <c r="A839" s="2" t="s">
        <v>3364</v>
      </c>
      <c r="B839" s="2">
        <v>101001488</v>
      </c>
      <c r="C839" s="2" t="s">
        <v>15</v>
      </c>
      <c r="D839" s="2" t="s">
        <v>4493</v>
      </c>
      <c r="E839" s="2" t="s">
        <v>47</v>
      </c>
      <c r="F839" s="2" t="s">
        <v>251</v>
      </c>
      <c r="G839" s="2" t="s">
        <v>648</v>
      </c>
      <c r="H839" s="2" t="s">
        <v>224</v>
      </c>
      <c r="I839" s="2" t="s">
        <v>16</v>
      </c>
      <c r="J839" s="2" t="s">
        <v>227</v>
      </c>
      <c r="K839" s="2" t="s">
        <v>13</v>
      </c>
      <c r="L839" s="2" t="s">
        <v>25</v>
      </c>
      <c r="M839" s="2" t="s">
        <v>22</v>
      </c>
      <c r="N839" s="2" t="s">
        <v>15</v>
      </c>
      <c r="O839" s="2" t="s">
        <v>229</v>
      </c>
      <c r="P839" s="2" t="s">
        <v>3366</v>
      </c>
      <c r="Q839" s="2" t="s">
        <v>4926</v>
      </c>
      <c r="R839" s="2" t="s">
        <v>252</v>
      </c>
      <c r="S839" s="2" t="s">
        <v>101</v>
      </c>
      <c r="T839" s="2" t="s">
        <v>4697</v>
      </c>
      <c r="U839" s="2" t="s">
        <v>12</v>
      </c>
      <c r="V839" s="2" t="s">
        <v>4838</v>
      </c>
      <c r="W839" s="2" t="s">
        <v>4931</v>
      </c>
      <c r="X839" s="2" t="s">
        <v>4925</v>
      </c>
      <c r="Y839" s="2" t="s">
        <v>3365</v>
      </c>
      <c r="Z839" s="2" t="s">
        <v>5928</v>
      </c>
      <c r="AA8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8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39" s="6" t="str">
        <f>IF(_xlfn.IFNA(INDEX(configuracoes!$A$2:$A$10,MATCH(base_tc_geral[[#This Row],[TIPO]],configuracoes!$A$2:$A$10,0)),"NÃO")="NÃO","NÃO","SIM")</f>
        <v>SIM</v>
      </c>
    </row>
    <row r="840" spans="1:31" x14ac:dyDescent="0.25">
      <c r="A840" s="2" t="s">
        <v>791</v>
      </c>
      <c r="B840" s="2">
        <v>101010210</v>
      </c>
      <c r="C840" s="2" t="s">
        <v>15</v>
      </c>
      <c r="D840" s="2" t="s">
        <v>4487</v>
      </c>
      <c r="E840" s="2" t="s">
        <v>47</v>
      </c>
      <c r="F840" s="2" t="s">
        <v>251</v>
      </c>
      <c r="G840" s="2" t="s">
        <v>648</v>
      </c>
      <c r="H840" s="2" t="s">
        <v>224</v>
      </c>
      <c r="I840" s="2" t="s">
        <v>16</v>
      </c>
      <c r="J840" s="2" t="s">
        <v>227</v>
      </c>
      <c r="K840" s="2" t="s">
        <v>13</v>
      </c>
      <c r="L840" s="2" t="s">
        <v>25</v>
      </c>
      <c r="M840" s="2" t="s">
        <v>22</v>
      </c>
      <c r="N840" s="2" t="s">
        <v>15</v>
      </c>
      <c r="O840" s="2" t="s">
        <v>229</v>
      </c>
      <c r="P840" s="2" t="s">
        <v>793</v>
      </c>
      <c r="Q840" s="2" t="s">
        <v>4926</v>
      </c>
      <c r="R840" s="2" t="s">
        <v>294</v>
      </c>
      <c r="S840" s="2" t="s">
        <v>101</v>
      </c>
      <c r="T840" s="2" t="s">
        <v>4697</v>
      </c>
      <c r="U840" s="2" t="s">
        <v>12</v>
      </c>
      <c r="V840" s="2" t="s">
        <v>4811</v>
      </c>
      <c r="W840" s="2" t="s">
        <v>4931</v>
      </c>
      <c r="X840" s="2" t="s">
        <v>4925</v>
      </c>
      <c r="Y840" s="2" t="s">
        <v>792</v>
      </c>
      <c r="Z840" s="2" t="s">
        <v>5929</v>
      </c>
      <c r="AA8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8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0" s="6" t="str">
        <f>IF(_xlfn.IFNA(INDEX(configuracoes!$A$2:$A$10,MATCH(base_tc_geral[[#This Row],[TIPO]],configuracoes!$A$2:$A$10,0)),"NÃO")="NÃO","NÃO","SIM")</f>
        <v>SIM</v>
      </c>
    </row>
    <row r="841" spans="1:31" x14ac:dyDescent="0.25">
      <c r="A841" s="2" t="s">
        <v>1611</v>
      </c>
      <c r="B841" s="2">
        <v>101005376</v>
      </c>
      <c r="C841" s="2" t="s">
        <v>15</v>
      </c>
      <c r="D841" s="2" t="s">
        <v>4489</v>
      </c>
      <c r="E841" s="2" t="s">
        <v>47</v>
      </c>
      <c r="F841" s="2" t="s">
        <v>269</v>
      </c>
      <c r="G841" s="2" t="s">
        <v>58</v>
      </c>
      <c r="H841" s="2" t="s">
        <v>227</v>
      </c>
      <c r="I841" s="2" t="s">
        <v>16</v>
      </c>
      <c r="J841" s="2" t="s">
        <v>227</v>
      </c>
      <c r="K841" s="2" t="s">
        <v>13</v>
      </c>
      <c r="L841" s="2" t="s">
        <v>61</v>
      </c>
      <c r="M841" s="2" t="s">
        <v>18</v>
      </c>
      <c r="N841" s="2" t="s">
        <v>15</v>
      </c>
      <c r="O841" s="2" t="s">
        <v>271</v>
      </c>
      <c r="P841" s="2" t="s">
        <v>1613</v>
      </c>
      <c r="Q841" s="2" t="s">
        <v>4926</v>
      </c>
      <c r="R841" s="2" t="s">
        <v>959</v>
      </c>
      <c r="S841" s="2" t="s">
        <v>359</v>
      </c>
      <c r="T841" s="2" t="s">
        <v>4697</v>
      </c>
      <c r="U841" s="2" t="s">
        <v>12</v>
      </c>
      <c r="V841" s="2" t="s">
        <v>4812</v>
      </c>
      <c r="W841" s="2" t="s">
        <v>5037</v>
      </c>
      <c r="X841" s="2" t="s">
        <v>4998</v>
      </c>
      <c r="Y841" s="2" t="s">
        <v>1612</v>
      </c>
      <c r="Z841" s="2" t="s">
        <v>5930</v>
      </c>
      <c r="AA8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VENILSON </v>
      </c>
      <c r="AB8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8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1" s="6" t="str">
        <f>IF(_xlfn.IFNA(INDEX(configuracoes!$A$2:$A$10,MATCH(base_tc_geral[[#This Row],[TIPO]],configuracoes!$A$2:$A$10,0)),"NÃO")="NÃO","NÃO","SIM")</f>
        <v>NÃO</v>
      </c>
    </row>
    <row r="842" spans="1:31" x14ac:dyDescent="0.25">
      <c r="A842" s="2" t="s">
        <v>4729</v>
      </c>
      <c r="B842" s="2">
        <v>101007963</v>
      </c>
      <c r="C842" s="2" t="s">
        <v>15</v>
      </c>
      <c r="D842" s="2" t="s">
        <v>4576</v>
      </c>
      <c r="E842" s="2" t="s">
        <v>47</v>
      </c>
      <c r="F842" s="2" t="s">
        <v>601</v>
      </c>
      <c r="G842" s="2" t="s">
        <v>136</v>
      </c>
      <c r="H842" s="2" t="s">
        <v>60</v>
      </c>
      <c r="I842" s="2" t="s">
        <v>16</v>
      </c>
      <c r="J842" s="2" t="s">
        <v>60</v>
      </c>
      <c r="K842" s="2" t="s">
        <v>13</v>
      </c>
      <c r="L842" s="2" t="s">
        <v>72</v>
      </c>
      <c r="M842" s="2" t="s">
        <v>73</v>
      </c>
      <c r="N842" s="2" t="s">
        <v>15</v>
      </c>
      <c r="O842" s="2" t="s">
        <v>161</v>
      </c>
      <c r="P842" s="2" t="s">
        <v>4731</v>
      </c>
      <c r="Q842" s="2" t="s">
        <v>4926</v>
      </c>
      <c r="R842" s="2" t="s">
        <v>246</v>
      </c>
      <c r="S842" s="2" t="s">
        <v>51</v>
      </c>
      <c r="T842" s="2" t="s">
        <v>4697</v>
      </c>
      <c r="U842" s="2" t="s">
        <v>39</v>
      </c>
      <c r="V842" s="2" t="s">
        <v>4778</v>
      </c>
      <c r="W842" s="2" t="s">
        <v>72</v>
      </c>
      <c r="X842" s="2" t="s">
        <v>5011</v>
      </c>
      <c r="Y842" s="2" t="s">
        <v>4730</v>
      </c>
      <c r="Z842" s="2" t="s">
        <v>6035</v>
      </c>
      <c r="AA8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8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2" s="6" t="str">
        <f>IF(_xlfn.IFNA(INDEX(configuracoes!$A$2:$A$10,MATCH(base_tc_geral[[#This Row],[TIPO]],configuracoes!$A$2:$A$10,0)),"NÃO")="NÃO","NÃO","SIM")</f>
        <v>NÃO</v>
      </c>
    </row>
    <row r="843" spans="1:31" x14ac:dyDescent="0.25">
      <c r="A843" s="2" t="s">
        <v>3277</v>
      </c>
      <c r="B843" s="2">
        <v>101008003</v>
      </c>
      <c r="C843" s="2" t="s">
        <v>15</v>
      </c>
      <c r="D843" s="2" t="s">
        <v>4493</v>
      </c>
      <c r="E843" s="2" t="s">
        <v>47</v>
      </c>
      <c r="F843" s="2" t="s">
        <v>159</v>
      </c>
      <c r="G843" s="2" t="s">
        <v>99</v>
      </c>
      <c r="H843" s="2" t="s">
        <v>60</v>
      </c>
      <c r="I843" s="2" t="s">
        <v>16</v>
      </c>
      <c r="J843" s="2" t="s">
        <v>60</v>
      </c>
      <c r="K843" s="2" t="s">
        <v>13</v>
      </c>
      <c r="L843" s="2" t="s">
        <v>25</v>
      </c>
      <c r="M843" s="2" t="s">
        <v>22</v>
      </c>
      <c r="N843" s="2" t="s">
        <v>15</v>
      </c>
      <c r="O843" s="2" t="s">
        <v>161</v>
      </c>
      <c r="P843" s="2" t="s">
        <v>3279</v>
      </c>
      <c r="Q843" s="2" t="s">
        <v>4926</v>
      </c>
      <c r="R843" s="2" t="s">
        <v>100</v>
      </c>
      <c r="S843" s="2" t="s">
        <v>101</v>
      </c>
      <c r="T843" s="2" t="s">
        <v>4697</v>
      </c>
      <c r="U843" s="2" t="s">
        <v>12</v>
      </c>
      <c r="V843" s="2" t="s">
        <v>4807</v>
      </c>
      <c r="W843" s="2" t="s">
        <v>4931</v>
      </c>
      <c r="X843" s="2" t="s">
        <v>4925</v>
      </c>
      <c r="Y843" s="2" t="s">
        <v>3278</v>
      </c>
      <c r="Z843" s="2" t="s">
        <v>6036</v>
      </c>
      <c r="AA8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8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3" s="6" t="str">
        <f>IF(_xlfn.IFNA(INDEX(configuracoes!$A$2:$A$10,MATCH(base_tc_geral[[#This Row],[TIPO]],configuracoes!$A$2:$A$10,0)),"NÃO")="NÃO","NÃO","SIM")</f>
        <v>SIM</v>
      </c>
    </row>
    <row r="844" spans="1:31" x14ac:dyDescent="0.25">
      <c r="A844" s="2" t="s">
        <v>1192</v>
      </c>
      <c r="B844" s="2">
        <v>101005989</v>
      </c>
      <c r="C844" s="2" t="s">
        <v>24</v>
      </c>
      <c r="D844" s="2" t="s">
        <v>4482</v>
      </c>
      <c r="E844" s="2" t="s">
        <v>47</v>
      </c>
      <c r="F844" s="2" t="s">
        <v>57</v>
      </c>
      <c r="G844" s="2" t="s">
        <v>245</v>
      </c>
      <c r="H844" s="2" t="s">
        <v>56</v>
      </c>
      <c r="I844" s="2" t="s">
        <v>16</v>
      </c>
      <c r="J844" s="2" t="s">
        <v>60</v>
      </c>
      <c r="K844" s="2" t="s">
        <v>20</v>
      </c>
      <c r="L844" s="2" t="s">
        <v>21</v>
      </c>
      <c r="M844" s="2" t="s">
        <v>22</v>
      </c>
      <c r="N844" s="2" t="s">
        <v>24</v>
      </c>
      <c r="O844" s="2" t="s">
        <v>63</v>
      </c>
      <c r="P844" s="2" t="s">
        <v>1194</v>
      </c>
      <c r="Q844" s="2" t="s">
        <v>4926</v>
      </c>
      <c r="R844" s="2" t="s">
        <v>59</v>
      </c>
      <c r="S844" s="2" t="s">
        <v>51</v>
      </c>
      <c r="T844" s="2" t="s">
        <v>4697</v>
      </c>
      <c r="U844" s="2" t="s">
        <v>39</v>
      </c>
      <c r="V844" s="2" t="s">
        <v>4779</v>
      </c>
      <c r="W844" s="2" t="s">
        <v>4982</v>
      </c>
      <c r="X844" s="2" t="s">
        <v>4925</v>
      </c>
      <c r="Y844" s="2" t="s">
        <v>1193</v>
      </c>
      <c r="Z844" s="2" t="s">
        <v>6037</v>
      </c>
      <c r="AA8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8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44" s="6" t="str">
        <f>IF(_xlfn.IFNA(INDEX(configuracoes!$A$2:$A$10,MATCH(base_tc_geral[[#This Row],[TIPO]],configuracoes!$A$2:$A$10,0)),"NÃO")="NÃO","NÃO","SIM")</f>
        <v>SIM</v>
      </c>
    </row>
    <row r="845" spans="1:31" x14ac:dyDescent="0.25">
      <c r="A845" s="2" t="s">
        <v>3346</v>
      </c>
      <c r="B845" s="2">
        <v>101001488</v>
      </c>
      <c r="C845" s="2" t="s">
        <v>15</v>
      </c>
      <c r="D845" s="2" t="s">
        <v>4490</v>
      </c>
      <c r="E845" s="2" t="s">
        <v>47</v>
      </c>
      <c r="F845" s="2" t="s">
        <v>251</v>
      </c>
      <c r="G845" s="2" t="s">
        <v>613</v>
      </c>
      <c r="H845" s="2" t="s">
        <v>224</v>
      </c>
      <c r="I845" s="2" t="s">
        <v>16</v>
      </c>
      <c r="J845" s="2" t="s">
        <v>227</v>
      </c>
      <c r="K845" s="2" t="s">
        <v>20</v>
      </c>
      <c r="L845" s="2" t="s">
        <v>25</v>
      </c>
      <c r="M845" s="2" t="s">
        <v>22</v>
      </c>
      <c r="N845" s="2" t="s">
        <v>15</v>
      </c>
      <c r="O845" s="2" t="s">
        <v>229</v>
      </c>
      <c r="P845" s="2" t="s">
        <v>3348</v>
      </c>
      <c r="Q845" s="2" t="s">
        <v>4926</v>
      </c>
      <c r="R845" s="2" t="s">
        <v>252</v>
      </c>
      <c r="S845" s="2" t="s">
        <v>101</v>
      </c>
      <c r="T845" s="2" t="s">
        <v>4697</v>
      </c>
      <c r="U845" s="2" t="s">
        <v>12</v>
      </c>
      <c r="V845" s="2" t="s">
        <v>4811</v>
      </c>
      <c r="W845" s="2" t="s">
        <v>4931</v>
      </c>
      <c r="X845" s="2" t="s">
        <v>4925</v>
      </c>
      <c r="Y845" s="2" t="s">
        <v>3347</v>
      </c>
      <c r="Z845" s="2" t="s">
        <v>6038</v>
      </c>
      <c r="AA8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8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5" s="6" t="str">
        <f>IF(_xlfn.IFNA(INDEX(configuracoes!$A$2:$A$10,MATCH(base_tc_geral[[#This Row],[TIPO]],configuracoes!$A$2:$A$10,0)),"NÃO")="NÃO","NÃO","SIM")</f>
        <v>SIM</v>
      </c>
    </row>
    <row r="846" spans="1:31" x14ac:dyDescent="0.25">
      <c r="A846" s="2" t="s">
        <v>3379</v>
      </c>
      <c r="B846" s="2">
        <v>101006811</v>
      </c>
      <c r="C846" s="2" t="s">
        <v>15</v>
      </c>
      <c r="D846" s="2" t="s">
        <v>4481</v>
      </c>
      <c r="E846" s="2" t="s">
        <v>47</v>
      </c>
      <c r="F846" s="2" t="s">
        <v>49</v>
      </c>
      <c r="G846" s="2" t="s">
        <v>89</v>
      </c>
      <c r="H846" s="2" t="s">
        <v>48</v>
      </c>
      <c r="I846" s="2" t="s">
        <v>16</v>
      </c>
      <c r="J846" s="2" t="s">
        <v>48</v>
      </c>
      <c r="K846" s="2" t="s">
        <v>92</v>
      </c>
      <c r="L846" s="2" t="s">
        <v>37</v>
      </c>
      <c r="M846" s="2" t="s">
        <v>44</v>
      </c>
      <c r="N846" s="2" t="s">
        <v>15</v>
      </c>
      <c r="O846" s="2" t="s">
        <v>53</v>
      </c>
      <c r="P846" s="2" t="s">
        <v>3381</v>
      </c>
      <c r="Q846" s="2" t="s">
        <v>4926</v>
      </c>
      <c r="R846" s="2" t="s">
        <v>50</v>
      </c>
      <c r="S846" s="2" t="s">
        <v>51</v>
      </c>
      <c r="T846" s="2" t="s">
        <v>4697</v>
      </c>
      <c r="U846" s="2" t="s">
        <v>12</v>
      </c>
      <c r="V846" s="2" t="s">
        <v>4861</v>
      </c>
      <c r="W846" s="2" t="s">
        <v>5013</v>
      </c>
      <c r="X846" s="2" t="s">
        <v>44</v>
      </c>
      <c r="Y846" s="2" t="s">
        <v>3380</v>
      </c>
      <c r="Z846" s="2" t="s">
        <v>6039</v>
      </c>
      <c r="AA8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8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6" s="6" t="str">
        <f>IF(_xlfn.IFNA(INDEX(configuracoes!$A$2:$A$10,MATCH(base_tc_geral[[#This Row],[TIPO]],configuracoes!$A$2:$A$10,0)),"NÃO")="NÃO","NÃO","SIM")</f>
        <v>NÃO</v>
      </c>
    </row>
    <row r="847" spans="1:31" x14ac:dyDescent="0.25">
      <c r="A847" s="2" t="s">
        <v>4364</v>
      </c>
      <c r="B847" s="2">
        <v>101005527</v>
      </c>
      <c r="C847" s="2" t="s">
        <v>15</v>
      </c>
      <c r="D847" s="2" t="s">
        <v>4494</v>
      </c>
      <c r="E847" s="2" t="s">
        <v>47</v>
      </c>
      <c r="F847" s="2" t="s">
        <v>341</v>
      </c>
      <c r="G847" s="2" t="s">
        <v>58</v>
      </c>
      <c r="H847" s="2" t="s">
        <v>56</v>
      </c>
      <c r="I847" s="2" t="s">
        <v>16</v>
      </c>
      <c r="J847" s="2" t="s">
        <v>60</v>
      </c>
      <c r="K847" s="2" t="s">
        <v>13</v>
      </c>
      <c r="L847" s="2" t="s">
        <v>61</v>
      </c>
      <c r="M847" s="2" t="s">
        <v>44</v>
      </c>
      <c r="N847" s="2" t="s">
        <v>15</v>
      </c>
      <c r="O847" s="2" t="s">
        <v>63</v>
      </c>
      <c r="P847" s="2" t="s">
        <v>4366</v>
      </c>
      <c r="Q847" s="2" t="s">
        <v>4926</v>
      </c>
      <c r="R847" s="2" t="s">
        <v>3262</v>
      </c>
      <c r="S847" s="2" t="s">
        <v>4703</v>
      </c>
      <c r="T847" s="2" t="s">
        <v>4701</v>
      </c>
      <c r="U847" s="2" t="s">
        <v>12</v>
      </c>
      <c r="V847" s="2" t="s">
        <v>4830</v>
      </c>
      <c r="W847" s="2" t="s">
        <v>6040</v>
      </c>
      <c r="X847" s="2" t="s">
        <v>44</v>
      </c>
      <c r="Y847" s="2" t="s">
        <v>4365</v>
      </c>
      <c r="Z847" s="2" t="s">
        <v>6041</v>
      </c>
      <c r="AA8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DANIEL MARTINS </v>
      </c>
      <c r="AB8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FERREIRA </v>
      </c>
      <c r="AC8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8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7" s="6" t="str">
        <f>IF(_xlfn.IFNA(INDEX(configuracoes!$A$2:$A$10,MATCH(base_tc_geral[[#This Row],[TIPO]],configuracoes!$A$2:$A$10,0)),"NÃO")="NÃO","NÃO","SIM")</f>
        <v>NÃO</v>
      </c>
    </row>
    <row r="848" spans="1:31" x14ac:dyDescent="0.25">
      <c r="A848" s="2" t="s">
        <v>2218</v>
      </c>
      <c r="B848" s="2">
        <v>101005989</v>
      </c>
      <c r="C848" s="2" t="s">
        <v>15</v>
      </c>
      <c r="D848" s="2" t="s">
        <v>4564</v>
      </c>
      <c r="E848" s="2" t="s">
        <v>47</v>
      </c>
      <c r="F848" s="2" t="s">
        <v>433</v>
      </c>
      <c r="G848" s="2" t="s">
        <v>4780</v>
      </c>
      <c r="H848" s="2" t="s">
        <v>56</v>
      </c>
      <c r="I848" s="2" t="s">
        <v>16</v>
      </c>
      <c r="J848" s="2" t="s">
        <v>60</v>
      </c>
      <c r="K848" s="2" t="s">
        <v>20</v>
      </c>
      <c r="L848" s="2" t="s">
        <v>21</v>
      </c>
      <c r="M848" s="2" t="s">
        <v>22</v>
      </c>
      <c r="N848" s="2" t="s">
        <v>15</v>
      </c>
      <c r="O848" s="2" t="s">
        <v>63</v>
      </c>
      <c r="P848" s="2" t="s">
        <v>2220</v>
      </c>
      <c r="Q848" s="2" t="s">
        <v>4926</v>
      </c>
      <c r="R848" s="2" t="s">
        <v>59</v>
      </c>
      <c r="S848" s="2" t="s">
        <v>51</v>
      </c>
      <c r="T848" s="2" t="s">
        <v>4697</v>
      </c>
      <c r="U848" s="2" t="s">
        <v>12</v>
      </c>
      <c r="V848" s="2" t="s">
        <v>4779</v>
      </c>
      <c r="W848" s="2" t="s">
        <v>4982</v>
      </c>
      <c r="X848" s="2" t="s">
        <v>4925</v>
      </c>
      <c r="Y848" s="2" t="s">
        <v>2219</v>
      </c>
      <c r="Z848" s="2" t="s">
        <v>6042</v>
      </c>
      <c r="AA8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8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8" s="6" t="str">
        <f>IF(_xlfn.IFNA(INDEX(configuracoes!$A$2:$A$10,MATCH(base_tc_geral[[#This Row],[TIPO]],configuracoes!$A$2:$A$10,0)),"NÃO")="NÃO","NÃO","SIM")</f>
        <v>SIM</v>
      </c>
    </row>
    <row r="849" spans="1:31" x14ac:dyDescent="0.25">
      <c r="A849" s="2" t="s">
        <v>3261</v>
      </c>
      <c r="B849" s="2">
        <v>101005527</v>
      </c>
      <c r="C849" s="2" t="s">
        <v>15</v>
      </c>
      <c r="D849" s="2" t="s">
        <v>4484</v>
      </c>
      <c r="E849" s="2" t="s">
        <v>47</v>
      </c>
      <c r="F849" s="2" t="s">
        <v>312</v>
      </c>
      <c r="G849" s="2" t="s">
        <v>58</v>
      </c>
      <c r="H849" s="2" t="s">
        <v>311</v>
      </c>
      <c r="I849" s="2" t="s">
        <v>16</v>
      </c>
      <c r="J849" s="2" t="s">
        <v>141</v>
      </c>
      <c r="K849" s="2" t="s">
        <v>13</v>
      </c>
      <c r="L849" s="2" t="s">
        <v>61</v>
      </c>
      <c r="M849" s="2" t="s">
        <v>44</v>
      </c>
      <c r="N849" s="2" t="s">
        <v>15</v>
      </c>
      <c r="O849" s="2" t="s">
        <v>314</v>
      </c>
      <c r="P849" s="2" t="s">
        <v>3264</v>
      </c>
      <c r="Q849" s="2" t="s">
        <v>4926</v>
      </c>
      <c r="R849" s="2" t="s">
        <v>3262</v>
      </c>
      <c r="S849" s="2" t="s">
        <v>4703</v>
      </c>
      <c r="T849" s="2" t="s">
        <v>4701</v>
      </c>
      <c r="U849" s="2" t="s">
        <v>12</v>
      </c>
      <c r="V849" s="2" t="s">
        <v>4830</v>
      </c>
      <c r="W849" s="2" t="s">
        <v>6040</v>
      </c>
      <c r="X849" s="2" t="s">
        <v>44</v>
      </c>
      <c r="Y849" s="2" t="s">
        <v>3263</v>
      </c>
      <c r="Z849" s="2" t="s">
        <v>6043</v>
      </c>
      <c r="AA8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DANIEL MARTINS </v>
      </c>
      <c r="AB8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FERREIRA </v>
      </c>
      <c r="AC8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8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49" s="6" t="str">
        <f>IF(_xlfn.IFNA(INDEX(configuracoes!$A$2:$A$10,MATCH(base_tc_geral[[#This Row],[TIPO]],configuracoes!$A$2:$A$10,0)),"NÃO")="NÃO","NÃO","SIM")</f>
        <v>NÃO</v>
      </c>
    </row>
    <row r="850" spans="1:31" x14ac:dyDescent="0.25">
      <c r="A850" s="2" t="s">
        <v>1397</v>
      </c>
      <c r="B850" s="2">
        <v>101010209</v>
      </c>
      <c r="C850" s="2" t="s">
        <v>15</v>
      </c>
      <c r="D850" s="2" t="s">
        <v>4481</v>
      </c>
      <c r="E850" s="2" t="s">
        <v>47</v>
      </c>
      <c r="F850" s="2" t="s">
        <v>278</v>
      </c>
      <c r="G850" s="2" t="s">
        <v>245</v>
      </c>
      <c r="H850" s="2" t="s">
        <v>60</v>
      </c>
      <c r="I850" s="2" t="s">
        <v>16</v>
      </c>
      <c r="J850" s="2" t="s">
        <v>60</v>
      </c>
      <c r="K850" s="2" t="s">
        <v>20</v>
      </c>
      <c r="L850" s="2" t="s">
        <v>21</v>
      </c>
      <c r="M850" s="2" t="s">
        <v>22</v>
      </c>
      <c r="N850" s="2" t="s">
        <v>15</v>
      </c>
      <c r="O850" s="2" t="s">
        <v>161</v>
      </c>
      <c r="P850" s="2" t="s">
        <v>1399</v>
      </c>
      <c r="Q850" s="2" t="s">
        <v>4926</v>
      </c>
      <c r="R850" s="2" t="s">
        <v>279</v>
      </c>
      <c r="S850" s="2" t="s">
        <v>51</v>
      </c>
      <c r="T850" s="2" t="s">
        <v>4697</v>
      </c>
      <c r="U850" s="2" t="s">
        <v>12</v>
      </c>
      <c r="V850" s="2" t="s">
        <v>4821</v>
      </c>
      <c r="W850" s="2" t="s">
        <v>4982</v>
      </c>
      <c r="X850" s="2" t="s">
        <v>4925</v>
      </c>
      <c r="Y850" s="2" t="s">
        <v>1398</v>
      </c>
      <c r="Z850" s="2" t="s">
        <v>6044</v>
      </c>
      <c r="AA8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8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0" s="6" t="str">
        <f>IF(_xlfn.IFNA(INDEX(configuracoes!$A$2:$A$10,MATCH(base_tc_geral[[#This Row],[TIPO]],configuracoes!$A$2:$A$10,0)),"NÃO")="NÃO","NÃO","SIM")</f>
        <v>SIM</v>
      </c>
    </row>
    <row r="851" spans="1:31" x14ac:dyDescent="0.25">
      <c r="A851" s="2" t="s">
        <v>1252</v>
      </c>
      <c r="B851" s="2">
        <v>102100390</v>
      </c>
      <c r="C851" s="2" t="s">
        <v>40</v>
      </c>
      <c r="D851" s="2" t="s">
        <v>4602</v>
      </c>
      <c r="E851" s="2" t="s">
        <v>106</v>
      </c>
      <c r="F851" s="2" t="s">
        <v>329</v>
      </c>
      <c r="G851" s="2" t="s">
        <v>870</v>
      </c>
      <c r="H851" s="2" t="s">
        <v>107</v>
      </c>
      <c r="I851" s="2" t="s">
        <v>33</v>
      </c>
      <c r="J851" s="2" t="s">
        <v>109</v>
      </c>
      <c r="K851" s="2" t="s">
        <v>13</v>
      </c>
      <c r="L851" s="2" t="s">
        <v>76</v>
      </c>
      <c r="M851" s="2" t="s">
        <v>18</v>
      </c>
      <c r="N851" s="2" t="s">
        <v>40</v>
      </c>
      <c r="O851" s="2" t="s">
        <v>112</v>
      </c>
      <c r="P851" s="2" t="s">
        <v>1254</v>
      </c>
      <c r="Q851" s="2" t="s">
        <v>4926</v>
      </c>
      <c r="R851" s="2" t="s">
        <v>1092</v>
      </c>
      <c r="S851" s="2" t="s">
        <v>736</v>
      </c>
      <c r="T851" s="2" t="s">
        <v>167</v>
      </c>
      <c r="U851" s="2" t="s">
        <v>39</v>
      </c>
      <c r="V851" s="2" t="s">
        <v>4853</v>
      </c>
      <c r="W851" s="2" t="s">
        <v>4982</v>
      </c>
      <c r="X851" s="2" t="s">
        <v>4998</v>
      </c>
      <c r="Y851" s="2" t="s">
        <v>1253</v>
      </c>
      <c r="Z851" s="2" t="s">
        <v>6045</v>
      </c>
      <c r="AA8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8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851" s="6" t="str">
        <f>IF(_xlfn.IFNA(INDEX(configuracoes!$A$2:$A$10,MATCH(base_tc_geral[[#This Row],[TIPO]],configuracoes!$A$2:$A$10,0)),"NÃO")="NÃO","NÃO","SIM")</f>
        <v>SIM</v>
      </c>
    </row>
    <row r="852" spans="1:31" x14ac:dyDescent="0.25">
      <c r="A852" s="2" t="s">
        <v>673</v>
      </c>
      <c r="B852" s="2">
        <v>101010210</v>
      </c>
      <c r="C852" s="2" t="s">
        <v>15</v>
      </c>
      <c r="D852" s="2" t="s">
        <v>4487</v>
      </c>
      <c r="E852" s="2" t="s">
        <v>47</v>
      </c>
      <c r="F852" s="2" t="s">
        <v>264</v>
      </c>
      <c r="G852" s="2" t="s">
        <v>648</v>
      </c>
      <c r="H852" s="2" t="s">
        <v>227</v>
      </c>
      <c r="I852" s="2" t="s">
        <v>16</v>
      </c>
      <c r="J852" s="2" t="s">
        <v>227</v>
      </c>
      <c r="K852" s="2" t="s">
        <v>13</v>
      </c>
      <c r="L852" s="2" t="s">
        <v>25</v>
      </c>
      <c r="M852" s="2" t="s">
        <v>22</v>
      </c>
      <c r="N852" s="2" t="s">
        <v>15</v>
      </c>
      <c r="O852" s="2" t="s">
        <v>266</v>
      </c>
      <c r="P852" s="2" t="s">
        <v>675</v>
      </c>
      <c r="Q852" s="2" t="s">
        <v>4926</v>
      </c>
      <c r="R852" s="2" t="s">
        <v>294</v>
      </c>
      <c r="S852" s="2" t="s">
        <v>101</v>
      </c>
      <c r="T852" s="2" t="s">
        <v>4697</v>
      </c>
      <c r="U852" s="2" t="s">
        <v>12</v>
      </c>
      <c r="V852" s="2" t="s">
        <v>4809</v>
      </c>
      <c r="W852" s="2" t="s">
        <v>4931</v>
      </c>
      <c r="X852" s="2" t="s">
        <v>4925</v>
      </c>
      <c r="Y852" s="2" t="s">
        <v>674</v>
      </c>
      <c r="Z852" s="2" t="s">
        <v>6046</v>
      </c>
      <c r="AA8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8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2" s="6" t="str">
        <f>IF(_xlfn.IFNA(INDEX(configuracoes!$A$2:$A$10,MATCH(base_tc_geral[[#This Row],[TIPO]],configuracoes!$A$2:$A$10,0)),"NÃO")="NÃO","NÃO","SIM")</f>
        <v>SIM</v>
      </c>
    </row>
    <row r="853" spans="1:31" x14ac:dyDescent="0.25">
      <c r="A853" s="2" t="s">
        <v>4199</v>
      </c>
      <c r="B853" s="2">
        <v>101010209</v>
      </c>
      <c r="C853" s="2" t="s">
        <v>15</v>
      </c>
      <c r="D853" s="2" t="s">
        <v>4568</v>
      </c>
      <c r="E853" s="2" t="s">
        <v>47</v>
      </c>
      <c r="F853" s="2" t="s">
        <v>278</v>
      </c>
      <c r="G853" s="2" t="s">
        <v>245</v>
      </c>
      <c r="H853" s="2" t="s">
        <v>60</v>
      </c>
      <c r="I853" s="2" t="s">
        <v>16</v>
      </c>
      <c r="J853" s="2" t="s">
        <v>60</v>
      </c>
      <c r="K853" s="2" t="s">
        <v>20</v>
      </c>
      <c r="L853" s="2" t="s">
        <v>21</v>
      </c>
      <c r="M853" s="2" t="s">
        <v>22</v>
      </c>
      <c r="N853" s="2" t="s">
        <v>15</v>
      </c>
      <c r="O853" s="2" t="s">
        <v>161</v>
      </c>
      <c r="P853" s="2" t="s">
        <v>4201</v>
      </c>
      <c r="Q853" s="2" t="s">
        <v>4926</v>
      </c>
      <c r="R853" s="2" t="s">
        <v>279</v>
      </c>
      <c r="S853" s="2" t="s">
        <v>51</v>
      </c>
      <c r="T853" s="2" t="s">
        <v>4697</v>
      </c>
      <c r="U853" s="2" t="s">
        <v>12</v>
      </c>
      <c r="V853" s="2" t="s">
        <v>4813</v>
      </c>
      <c r="W853" s="2" t="s">
        <v>4982</v>
      </c>
      <c r="X853" s="2" t="s">
        <v>4925</v>
      </c>
      <c r="Y853" s="2" t="s">
        <v>4200</v>
      </c>
      <c r="Z853" s="2" t="s">
        <v>6047</v>
      </c>
      <c r="AA8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8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3" s="6" t="str">
        <f>IF(_xlfn.IFNA(INDEX(configuracoes!$A$2:$A$10,MATCH(base_tc_geral[[#This Row],[TIPO]],configuracoes!$A$2:$A$10,0)),"NÃO")="NÃO","NÃO","SIM")</f>
        <v>SIM</v>
      </c>
    </row>
    <row r="854" spans="1:31" x14ac:dyDescent="0.25">
      <c r="A854" s="2" t="s">
        <v>396</v>
      </c>
      <c r="B854" s="2">
        <v>101005456</v>
      </c>
      <c r="C854" s="2" t="s">
        <v>15</v>
      </c>
      <c r="D854" s="2" t="s">
        <v>4484</v>
      </c>
      <c r="E854" s="2" t="s">
        <v>47</v>
      </c>
      <c r="F854" s="2" t="s">
        <v>398</v>
      </c>
      <c r="G854" s="2" t="s">
        <v>58</v>
      </c>
      <c r="H854" s="2" t="s">
        <v>60</v>
      </c>
      <c r="I854" s="2" t="s">
        <v>16</v>
      </c>
      <c r="J854" s="2" t="s">
        <v>60</v>
      </c>
      <c r="K854" s="2" t="s">
        <v>13</v>
      </c>
      <c r="L854" s="2" t="s">
        <v>61</v>
      </c>
      <c r="M854" s="2" t="s">
        <v>18</v>
      </c>
      <c r="N854" s="2" t="s">
        <v>15</v>
      </c>
      <c r="O854" s="2" t="s">
        <v>161</v>
      </c>
      <c r="P854" s="2" t="s">
        <v>399</v>
      </c>
      <c r="Q854" s="2" t="s">
        <v>4926</v>
      </c>
      <c r="R854" s="2" t="s">
        <v>3187</v>
      </c>
      <c r="S854" s="2" t="s">
        <v>359</v>
      </c>
      <c r="T854" s="2" t="s">
        <v>4697</v>
      </c>
      <c r="U854" s="2" t="s">
        <v>12</v>
      </c>
      <c r="V854" s="2" t="s">
        <v>4844</v>
      </c>
      <c r="W854" s="2" t="s">
        <v>4984</v>
      </c>
      <c r="X854" s="2" t="s">
        <v>4998</v>
      </c>
      <c r="Y854" s="2" t="s">
        <v>397</v>
      </c>
      <c r="Z854" s="2" t="s">
        <v>6048</v>
      </c>
      <c r="AA8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MARCOS ALBERTO </v>
      </c>
      <c r="AB8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8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4" s="6" t="str">
        <f>IF(_xlfn.IFNA(INDEX(configuracoes!$A$2:$A$10,MATCH(base_tc_geral[[#This Row],[TIPO]],configuracoes!$A$2:$A$10,0)),"NÃO")="NÃO","NÃO","SIM")</f>
        <v>NÃO</v>
      </c>
    </row>
    <row r="855" spans="1:31" x14ac:dyDescent="0.25">
      <c r="A855" s="2" t="s">
        <v>4092</v>
      </c>
      <c r="B855" s="2">
        <v>108401409</v>
      </c>
      <c r="C855" s="2" t="s">
        <v>15</v>
      </c>
      <c r="D855" s="2" t="s">
        <v>4631</v>
      </c>
      <c r="E855" s="2" t="s">
        <v>47</v>
      </c>
      <c r="F855" s="2" t="s">
        <v>303</v>
      </c>
      <c r="G855" s="2" t="s">
        <v>41</v>
      </c>
      <c r="H855" s="2" t="s">
        <v>60</v>
      </c>
      <c r="I855" s="2" t="s">
        <v>16</v>
      </c>
      <c r="J855" s="2" t="s">
        <v>60</v>
      </c>
      <c r="K855" s="2" t="s">
        <v>13</v>
      </c>
      <c r="L855" s="2" t="s">
        <v>42</v>
      </c>
      <c r="M855" s="2" t="s">
        <v>75</v>
      </c>
      <c r="N855" s="2" t="s">
        <v>15</v>
      </c>
      <c r="O855" s="2" t="s">
        <v>161</v>
      </c>
      <c r="P855" s="2" t="s">
        <v>4094</v>
      </c>
      <c r="Q855" s="2" t="s">
        <v>4926</v>
      </c>
      <c r="R855" s="2" t="s">
        <v>2738</v>
      </c>
      <c r="S855" s="2" t="s">
        <v>359</v>
      </c>
      <c r="T855" s="2" t="s">
        <v>4697</v>
      </c>
      <c r="U855" s="2" t="s">
        <v>12</v>
      </c>
      <c r="V855" s="2" t="s">
        <v>4813</v>
      </c>
      <c r="W855" s="2" t="s">
        <v>42</v>
      </c>
      <c r="X855" s="2" t="s">
        <v>75</v>
      </c>
      <c r="Y855" s="2" t="s">
        <v>4093</v>
      </c>
      <c r="Z855" s="2" t="s">
        <v>6049</v>
      </c>
      <c r="AA8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8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8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5" s="6" t="str">
        <f>IF(_xlfn.IFNA(INDEX(configuracoes!$A$2:$A$10,MATCH(base_tc_geral[[#This Row],[TIPO]],configuracoes!$A$2:$A$10,0)),"NÃO")="NÃO","NÃO","SIM")</f>
        <v>SIM</v>
      </c>
    </row>
    <row r="856" spans="1:31" x14ac:dyDescent="0.25">
      <c r="A856" s="2" t="s">
        <v>1596</v>
      </c>
      <c r="B856" s="2">
        <v>101005376</v>
      </c>
      <c r="C856" s="2" t="s">
        <v>15</v>
      </c>
      <c r="D856" s="2" t="s">
        <v>4529</v>
      </c>
      <c r="E856" s="2" t="s">
        <v>47</v>
      </c>
      <c r="F856" s="2" t="s">
        <v>368</v>
      </c>
      <c r="G856" s="2" t="s">
        <v>58</v>
      </c>
      <c r="H856" s="2" t="s">
        <v>227</v>
      </c>
      <c r="I856" s="2" t="s">
        <v>16</v>
      </c>
      <c r="J856" s="2" t="s">
        <v>227</v>
      </c>
      <c r="K856" s="2" t="s">
        <v>13</v>
      </c>
      <c r="L856" s="2" t="s">
        <v>61</v>
      </c>
      <c r="M856" s="2" t="s">
        <v>22</v>
      </c>
      <c r="N856" s="2" t="s">
        <v>15</v>
      </c>
      <c r="O856" s="2" t="s">
        <v>271</v>
      </c>
      <c r="P856" s="2" t="s">
        <v>1598</v>
      </c>
      <c r="Q856" s="2" t="s">
        <v>4926</v>
      </c>
      <c r="R856" s="2" t="s">
        <v>959</v>
      </c>
      <c r="S856" s="2" t="s">
        <v>359</v>
      </c>
      <c r="T856" s="2" t="s">
        <v>4697</v>
      </c>
      <c r="U856" s="2" t="s">
        <v>39</v>
      </c>
      <c r="V856" s="2" t="s">
        <v>4812</v>
      </c>
      <c r="W856" s="2" t="s">
        <v>5037</v>
      </c>
      <c r="X856" s="2" t="s">
        <v>4925</v>
      </c>
      <c r="Y856" s="2" t="s">
        <v>1597</v>
      </c>
      <c r="Z856" s="2" t="s">
        <v>6050</v>
      </c>
      <c r="AA8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VENILSON </v>
      </c>
      <c r="AB8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8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6" s="6" t="str">
        <f>IF(_xlfn.IFNA(INDEX(configuracoes!$A$2:$A$10,MATCH(base_tc_geral[[#This Row],[TIPO]],configuracoes!$A$2:$A$10,0)),"NÃO")="NÃO","NÃO","SIM")</f>
        <v>NÃO</v>
      </c>
    </row>
    <row r="857" spans="1:31" x14ac:dyDescent="0.25">
      <c r="A857" s="2" t="s">
        <v>2136</v>
      </c>
      <c r="B857" s="2">
        <v>101007963</v>
      </c>
      <c r="C857" s="2" t="s">
        <v>15</v>
      </c>
      <c r="D857" s="2" t="s">
        <v>4481</v>
      </c>
      <c r="E857" s="2" t="s">
        <v>47</v>
      </c>
      <c r="F857" s="2" t="s">
        <v>601</v>
      </c>
      <c r="G857" s="2" t="s">
        <v>136</v>
      </c>
      <c r="H857" s="2" t="s">
        <v>60</v>
      </c>
      <c r="I857" s="2" t="s">
        <v>16</v>
      </c>
      <c r="J857" s="2" t="s">
        <v>60</v>
      </c>
      <c r="K857" s="2" t="s">
        <v>13</v>
      </c>
      <c r="L857" s="2" t="s">
        <v>72</v>
      </c>
      <c r="M857" s="2" t="s">
        <v>73</v>
      </c>
      <c r="N857" s="2" t="s">
        <v>15</v>
      </c>
      <c r="O857" s="2" t="s">
        <v>161</v>
      </c>
      <c r="P857" s="2" t="s">
        <v>2138</v>
      </c>
      <c r="Q857" s="2" t="s">
        <v>4926</v>
      </c>
      <c r="R857" s="2" t="s">
        <v>246</v>
      </c>
      <c r="S857" s="2" t="s">
        <v>51</v>
      </c>
      <c r="T857" s="2" t="s">
        <v>4697</v>
      </c>
      <c r="U857" s="2" t="s">
        <v>39</v>
      </c>
      <c r="V857" s="2" t="s">
        <v>4778</v>
      </c>
      <c r="W857" s="2" t="s">
        <v>72</v>
      </c>
      <c r="X857" s="2" t="s">
        <v>5011</v>
      </c>
      <c r="Y857" s="2" t="s">
        <v>2137</v>
      </c>
      <c r="Z857" s="2" t="s">
        <v>6051</v>
      </c>
      <c r="AA8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8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7" s="6" t="str">
        <f>IF(_xlfn.IFNA(INDEX(configuracoes!$A$2:$A$10,MATCH(base_tc_geral[[#This Row],[TIPO]],configuracoes!$A$2:$A$10,0)),"NÃO")="NÃO","NÃO","SIM")</f>
        <v>NÃO</v>
      </c>
    </row>
    <row r="858" spans="1:31" x14ac:dyDescent="0.25">
      <c r="A858" s="2" t="s">
        <v>435</v>
      </c>
      <c r="B858" s="2">
        <v>101005989</v>
      </c>
      <c r="C858" s="2" t="s">
        <v>15</v>
      </c>
      <c r="D858" s="2" t="s">
        <v>4534</v>
      </c>
      <c r="E858" s="2" t="s">
        <v>47</v>
      </c>
      <c r="F858" s="2" t="s">
        <v>433</v>
      </c>
      <c r="G858" s="2" t="s">
        <v>4780</v>
      </c>
      <c r="H858" s="2" t="s">
        <v>56</v>
      </c>
      <c r="I858" s="2" t="s">
        <v>16</v>
      </c>
      <c r="J858" s="2" t="s">
        <v>60</v>
      </c>
      <c r="K858" s="2" t="s">
        <v>20</v>
      </c>
      <c r="L858" s="2" t="s">
        <v>21</v>
      </c>
      <c r="M858" s="2" t="s">
        <v>22</v>
      </c>
      <c r="N858" s="2" t="s">
        <v>15</v>
      </c>
      <c r="O858" s="2" t="s">
        <v>63</v>
      </c>
      <c r="P858" s="2" t="s">
        <v>437</v>
      </c>
      <c r="Q858" s="2" t="s">
        <v>4926</v>
      </c>
      <c r="R858" s="2" t="s">
        <v>59</v>
      </c>
      <c r="S858" s="2" t="s">
        <v>51</v>
      </c>
      <c r="T858" s="2" t="s">
        <v>4697</v>
      </c>
      <c r="U858" s="2" t="s">
        <v>12</v>
      </c>
      <c r="V858" s="2" t="s">
        <v>4779</v>
      </c>
      <c r="W858" s="2" t="s">
        <v>4982</v>
      </c>
      <c r="X858" s="2" t="s">
        <v>4925</v>
      </c>
      <c r="Y858" s="2" t="s">
        <v>436</v>
      </c>
      <c r="Z858" s="2" t="s">
        <v>6052</v>
      </c>
      <c r="AA8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8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8" s="6" t="str">
        <f>IF(_xlfn.IFNA(INDEX(configuracoes!$A$2:$A$10,MATCH(base_tc_geral[[#This Row],[TIPO]],configuracoes!$A$2:$A$10,0)),"NÃO")="NÃO","NÃO","SIM")</f>
        <v>SIM</v>
      </c>
    </row>
    <row r="859" spans="1:31" x14ac:dyDescent="0.25">
      <c r="A859" s="2" t="s">
        <v>3274</v>
      </c>
      <c r="B859" s="2">
        <v>101008003</v>
      </c>
      <c r="C859" s="2" t="s">
        <v>15</v>
      </c>
      <c r="D859" s="2" t="s">
        <v>4495</v>
      </c>
      <c r="E859" s="2" t="s">
        <v>47</v>
      </c>
      <c r="F859" s="2" t="s">
        <v>98</v>
      </c>
      <c r="G859" s="2" t="s">
        <v>648</v>
      </c>
      <c r="H859" s="2" t="s">
        <v>56</v>
      </c>
      <c r="I859" s="2" t="s">
        <v>16</v>
      </c>
      <c r="J859" s="2" t="s">
        <v>60</v>
      </c>
      <c r="K859" s="2" t="s">
        <v>20</v>
      </c>
      <c r="L859" s="2" t="s">
        <v>25</v>
      </c>
      <c r="M859" s="2" t="s">
        <v>22</v>
      </c>
      <c r="N859" s="2" t="s">
        <v>15</v>
      </c>
      <c r="O859" s="2" t="s">
        <v>63</v>
      </c>
      <c r="P859" s="2" t="s">
        <v>3276</v>
      </c>
      <c r="Q859" s="2" t="s">
        <v>4926</v>
      </c>
      <c r="R859" s="2" t="s">
        <v>100</v>
      </c>
      <c r="S859" s="2" t="s">
        <v>101</v>
      </c>
      <c r="T859" s="2" t="s">
        <v>4697</v>
      </c>
      <c r="U859" s="2" t="s">
        <v>12</v>
      </c>
      <c r="V859" s="2" t="s">
        <v>4806</v>
      </c>
      <c r="W859" s="2" t="s">
        <v>4931</v>
      </c>
      <c r="X859" s="2" t="s">
        <v>4925</v>
      </c>
      <c r="Y859" s="2" t="s">
        <v>3275</v>
      </c>
      <c r="Z859" s="2" t="s">
        <v>6053</v>
      </c>
      <c r="AA8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8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59" s="6" t="str">
        <f>IF(_xlfn.IFNA(INDEX(configuracoes!$A$2:$A$10,MATCH(base_tc_geral[[#This Row],[TIPO]],configuracoes!$A$2:$A$10,0)),"NÃO")="NÃO","NÃO","SIM")</f>
        <v>SIM</v>
      </c>
    </row>
    <row r="860" spans="1:31" x14ac:dyDescent="0.25">
      <c r="A860" s="2" t="s">
        <v>1143</v>
      </c>
      <c r="B860" s="2">
        <v>101001670</v>
      </c>
      <c r="C860" s="2" t="s">
        <v>15</v>
      </c>
      <c r="D860" s="2" t="s">
        <v>4481</v>
      </c>
      <c r="E860" s="2" t="s">
        <v>47</v>
      </c>
      <c r="F860" s="2" t="s">
        <v>225</v>
      </c>
      <c r="G860" s="2" t="s">
        <v>245</v>
      </c>
      <c r="H860" s="2" t="s">
        <v>224</v>
      </c>
      <c r="I860" s="2" t="s">
        <v>16</v>
      </c>
      <c r="J860" s="2" t="s">
        <v>227</v>
      </c>
      <c r="K860" s="2" t="s">
        <v>20</v>
      </c>
      <c r="L860" s="2" t="s">
        <v>21</v>
      </c>
      <c r="M860" s="2" t="s">
        <v>22</v>
      </c>
      <c r="N860" s="2" t="s">
        <v>15</v>
      </c>
      <c r="O860" s="2" t="s">
        <v>229</v>
      </c>
      <c r="P860" s="2" t="s">
        <v>1145</v>
      </c>
      <c r="Q860" s="2" t="s">
        <v>4926</v>
      </c>
      <c r="R860" s="2" t="s">
        <v>226</v>
      </c>
      <c r="S860" s="2" t="s">
        <v>4698</v>
      </c>
      <c r="T860" s="2" t="s">
        <v>4697</v>
      </c>
      <c r="U860" s="2" t="s">
        <v>12</v>
      </c>
      <c r="V860" s="2" t="s">
        <v>4817</v>
      </c>
      <c r="W860" s="2" t="s">
        <v>4982</v>
      </c>
      <c r="X860" s="2" t="s">
        <v>4925</v>
      </c>
      <c r="Y860" s="2" t="s">
        <v>1144</v>
      </c>
      <c r="Z860" s="2" t="s">
        <v>6199</v>
      </c>
      <c r="AA8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8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60" s="6" t="str">
        <f>IF(_xlfn.IFNA(INDEX(configuracoes!$A$2:$A$10,MATCH(base_tc_geral[[#This Row],[TIPO]],configuracoes!$A$2:$A$10,0)),"NÃO")="NÃO","NÃO","SIM")</f>
        <v>SIM</v>
      </c>
    </row>
    <row r="861" spans="1:31" x14ac:dyDescent="0.25">
      <c r="A861" s="2" t="s">
        <v>755</v>
      </c>
      <c r="B861" s="2">
        <v>102101220</v>
      </c>
      <c r="C861" s="2" t="s">
        <v>15</v>
      </c>
      <c r="D861" s="2" t="s">
        <v>4486</v>
      </c>
      <c r="E861" s="2" t="s">
        <v>106</v>
      </c>
      <c r="F861" s="2" t="s">
        <v>428</v>
      </c>
      <c r="G861" s="2" t="s">
        <v>58</v>
      </c>
      <c r="H861" s="2" t="s">
        <v>427</v>
      </c>
      <c r="I861" s="2" t="s">
        <v>33</v>
      </c>
      <c r="J861" s="2" t="s">
        <v>109</v>
      </c>
      <c r="K861" s="2" t="s">
        <v>13</v>
      </c>
      <c r="L861" s="2" t="s">
        <v>61</v>
      </c>
      <c r="M861" s="2" t="s">
        <v>18</v>
      </c>
      <c r="N861" s="2" t="s">
        <v>15</v>
      </c>
      <c r="O861" s="2" t="s">
        <v>430</v>
      </c>
      <c r="P861" s="2" t="s">
        <v>757</v>
      </c>
      <c r="Q861" s="2" t="s">
        <v>4926</v>
      </c>
      <c r="R861" s="2" t="s">
        <v>625</v>
      </c>
      <c r="S861" s="2" t="s">
        <v>736</v>
      </c>
      <c r="T861" s="2" t="s">
        <v>167</v>
      </c>
      <c r="U861" s="2" t="s">
        <v>12</v>
      </c>
      <c r="V861" s="2" t="s">
        <v>4895</v>
      </c>
      <c r="W861" s="2" t="s">
        <v>4999</v>
      </c>
      <c r="X861" s="2" t="s">
        <v>4998</v>
      </c>
      <c r="Y861" s="2" t="s">
        <v>756</v>
      </c>
      <c r="Z861" s="2" t="s">
        <v>6200</v>
      </c>
      <c r="AA8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8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61" s="6" t="str">
        <f>IF(_xlfn.IFNA(INDEX(configuracoes!$A$2:$A$10,MATCH(base_tc_geral[[#This Row],[TIPO]],configuracoes!$A$2:$A$10,0)),"NÃO")="NÃO","NÃO","SIM")</f>
        <v>NÃO</v>
      </c>
    </row>
    <row r="862" spans="1:31" x14ac:dyDescent="0.25">
      <c r="A862" s="2" t="s">
        <v>703</v>
      </c>
      <c r="B862" s="2">
        <v>101001670</v>
      </c>
      <c r="C862" s="2" t="s">
        <v>15</v>
      </c>
      <c r="D862" s="2" t="s">
        <v>4497</v>
      </c>
      <c r="E862" s="2" t="s">
        <v>47</v>
      </c>
      <c r="F862" s="2" t="s">
        <v>225</v>
      </c>
      <c r="G862" s="2" t="s">
        <v>364</v>
      </c>
      <c r="H862" s="2" t="s">
        <v>224</v>
      </c>
      <c r="I862" s="2" t="s">
        <v>16</v>
      </c>
      <c r="J862" s="2" t="s">
        <v>227</v>
      </c>
      <c r="K862" s="2" t="s">
        <v>13</v>
      </c>
      <c r="L862" s="2" t="s">
        <v>37</v>
      </c>
      <c r="M862" s="2" t="s">
        <v>38</v>
      </c>
      <c r="N862" s="2" t="s">
        <v>15</v>
      </c>
      <c r="O862" s="2" t="s">
        <v>229</v>
      </c>
      <c r="P862" s="2" t="s">
        <v>705</v>
      </c>
      <c r="Q862" s="2" t="s">
        <v>4926</v>
      </c>
      <c r="R862" s="2" t="s">
        <v>226</v>
      </c>
      <c r="S862" s="2" t="s">
        <v>4698</v>
      </c>
      <c r="T862" s="2" t="s">
        <v>4697</v>
      </c>
      <c r="U862" s="2" t="s">
        <v>12</v>
      </c>
      <c r="V862" s="2" t="s">
        <v>4844</v>
      </c>
      <c r="W862" s="2" t="s">
        <v>4999</v>
      </c>
      <c r="X862" s="2" t="s">
        <v>38</v>
      </c>
      <c r="Y862" s="2" t="s">
        <v>704</v>
      </c>
      <c r="Z862" s="2" t="s">
        <v>6201</v>
      </c>
      <c r="AA8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8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62" s="6" t="str">
        <f>IF(_xlfn.IFNA(INDEX(configuracoes!$A$2:$A$10,MATCH(base_tc_geral[[#This Row],[TIPO]],configuracoes!$A$2:$A$10,0)),"NÃO")="NÃO","NÃO","SIM")</f>
        <v>NÃO</v>
      </c>
    </row>
    <row r="863" spans="1:31" x14ac:dyDescent="0.25">
      <c r="A863" s="2" t="s">
        <v>3310</v>
      </c>
      <c r="B863" s="2">
        <v>101006811</v>
      </c>
      <c r="C863" s="2" t="s">
        <v>24</v>
      </c>
      <c r="D863" s="2" t="s">
        <v>4482</v>
      </c>
      <c r="E863" s="2" t="s">
        <v>47</v>
      </c>
      <c r="F863" s="2" t="s">
        <v>49</v>
      </c>
      <c r="G863" s="2" t="s">
        <v>630</v>
      </c>
      <c r="H863" s="2" t="s">
        <v>48</v>
      </c>
      <c r="I863" s="2" t="s">
        <v>16</v>
      </c>
      <c r="J863" s="2" t="s">
        <v>48</v>
      </c>
      <c r="K863" s="2" t="s">
        <v>20</v>
      </c>
      <c r="L863" s="2" t="s">
        <v>21</v>
      </c>
      <c r="M863" s="2" t="s">
        <v>22</v>
      </c>
      <c r="N863" s="2" t="s">
        <v>24</v>
      </c>
      <c r="O863" s="2" t="s">
        <v>53</v>
      </c>
      <c r="P863" s="2" t="s">
        <v>3312</v>
      </c>
      <c r="Q863" s="2" t="s">
        <v>4926</v>
      </c>
      <c r="R863" s="2" t="s">
        <v>50</v>
      </c>
      <c r="S863" s="2" t="s">
        <v>51</v>
      </c>
      <c r="T863" s="2" t="s">
        <v>4697</v>
      </c>
      <c r="U863" s="2" t="s">
        <v>39</v>
      </c>
      <c r="V863" s="2" t="s">
        <v>4860</v>
      </c>
      <c r="W863" s="2" t="s">
        <v>4982</v>
      </c>
      <c r="X863" s="2" t="s">
        <v>4925</v>
      </c>
      <c r="Y863" s="2" t="s">
        <v>3311</v>
      </c>
      <c r="Z863" s="2" t="s">
        <v>6202</v>
      </c>
      <c r="AA8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8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63" s="6" t="str">
        <f>IF(_xlfn.IFNA(INDEX(configuracoes!$A$2:$A$10,MATCH(base_tc_geral[[#This Row],[TIPO]],configuracoes!$A$2:$A$10,0)),"NÃO")="NÃO","NÃO","SIM")</f>
        <v>SIM</v>
      </c>
    </row>
    <row r="864" spans="1:31" x14ac:dyDescent="0.25">
      <c r="A864" s="2" t="s">
        <v>2652</v>
      </c>
      <c r="B864" s="2">
        <v>109000340</v>
      </c>
      <c r="C864" s="2" t="s">
        <v>15</v>
      </c>
      <c r="D864" s="2" t="s">
        <v>4515</v>
      </c>
      <c r="E864" s="2" t="s">
        <v>86</v>
      </c>
      <c r="F864" s="2" t="s">
        <v>1320</v>
      </c>
      <c r="G864" s="2" t="s">
        <v>630</v>
      </c>
      <c r="H864" s="2" t="s">
        <v>1321</v>
      </c>
      <c r="I864" s="2" t="s">
        <v>33</v>
      </c>
      <c r="J864" s="2" t="s">
        <v>91</v>
      </c>
      <c r="K864" s="2" t="s">
        <v>20</v>
      </c>
      <c r="L864" s="2" t="s">
        <v>21</v>
      </c>
      <c r="M864" s="2" t="s">
        <v>22</v>
      </c>
      <c r="N864" s="2" t="s">
        <v>15</v>
      </c>
      <c r="O864" s="2" t="s">
        <v>1322</v>
      </c>
      <c r="P864" s="2" t="s">
        <v>2654</v>
      </c>
      <c r="Q864" s="2" t="s">
        <v>4926</v>
      </c>
      <c r="R864" s="2" t="s">
        <v>90</v>
      </c>
      <c r="S864" s="2" t="s">
        <v>93</v>
      </c>
      <c r="T864" s="2" t="s">
        <v>4696</v>
      </c>
      <c r="U864" s="2" t="s">
        <v>12</v>
      </c>
      <c r="V864" s="2" t="s">
        <v>4898</v>
      </c>
      <c r="W864" s="2" t="s">
        <v>4982</v>
      </c>
      <c r="X864" s="2" t="s">
        <v>4925</v>
      </c>
      <c r="Y864" s="2" t="s">
        <v>2653</v>
      </c>
      <c r="Z864" s="2" t="s">
        <v>6203</v>
      </c>
      <c r="AA8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8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64" s="6" t="str">
        <f>IF(_xlfn.IFNA(INDEX(configuracoes!$A$2:$A$10,MATCH(base_tc_geral[[#This Row],[TIPO]],configuracoes!$A$2:$A$10,0)),"NÃO")="NÃO","NÃO","SIM")</f>
        <v>SIM</v>
      </c>
    </row>
    <row r="865" spans="1:31" x14ac:dyDescent="0.25">
      <c r="A865" s="2" t="s">
        <v>2625</v>
      </c>
      <c r="B865" s="2">
        <v>101005989</v>
      </c>
      <c r="C865" s="2" t="s">
        <v>24</v>
      </c>
      <c r="D865" s="2" t="s">
        <v>4768</v>
      </c>
      <c r="E865" s="2" t="s">
        <v>47</v>
      </c>
      <c r="F865" s="2" t="s">
        <v>433</v>
      </c>
      <c r="G865" s="2" t="s">
        <v>4780</v>
      </c>
      <c r="H865" s="2" t="s">
        <v>56</v>
      </c>
      <c r="I865" s="2" t="s">
        <v>16</v>
      </c>
      <c r="J865" s="2" t="s">
        <v>60</v>
      </c>
      <c r="K865" s="2" t="s">
        <v>20</v>
      </c>
      <c r="L865" s="2" t="s">
        <v>21</v>
      </c>
      <c r="M865" s="2" t="s">
        <v>22</v>
      </c>
      <c r="N865" s="2" t="s">
        <v>24</v>
      </c>
      <c r="O865" s="2" t="s">
        <v>63</v>
      </c>
      <c r="P865" s="2" t="s">
        <v>2627</v>
      </c>
      <c r="Q865" s="2" t="s">
        <v>4926</v>
      </c>
      <c r="R865" s="2" t="s">
        <v>59</v>
      </c>
      <c r="S865" s="2" t="s">
        <v>51</v>
      </c>
      <c r="T865" s="2" t="s">
        <v>4697</v>
      </c>
      <c r="U865" s="2" t="s">
        <v>39</v>
      </c>
      <c r="V865" s="2" t="s">
        <v>4779</v>
      </c>
      <c r="W865" s="2" t="s">
        <v>4982</v>
      </c>
      <c r="X865" s="2" t="s">
        <v>4925</v>
      </c>
      <c r="Y865" s="2" t="s">
        <v>2626</v>
      </c>
      <c r="Z865" s="2" t="s">
        <v>6204</v>
      </c>
      <c r="AA8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8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65" s="6" t="str">
        <f>IF(_xlfn.IFNA(INDEX(configuracoes!$A$2:$A$10,MATCH(base_tc_geral[[#This Row],[TIPO]],configuracoes!$A$2:$A$10,0)),"NÃO")="NÃO","NÃO","SIM")</f>
        <v>SIM</v>
      </c>
    </row>
    <row r="866" spans="1:31" x14ac:dyDescent="0.25">
      <c r="A866" s="2" t="s">
        <v>2538</v>
      </c>
      <c r="B866" s="2">
        <v>101008134</v>
      </c>
      <c r="C866" s="2" t="s">
        <v>15</v>
      </c>
      <c r="D866" s="2" t="s">
        <v>4591</v>
      </c>
      <c r="E866" s="2" t="s">
        <v>47</v>
      </c>
      <c r="F866" s="2" t="s">
        <v>368</v>
      </c>
      <c r="G866" s="2" t="s">
        <v>245</v>
      </c>
      <c r="H866" s="2" t="s">
        <v>227</v>
      </c>
      <c r="I866" s="2" t="s">
        <v>16</v>
      </c>
      <c r="J866" s="2" t="s">
        <v>227</v>
      </c>
      <c r="K866" s="2" t="s">
        <v>20</v>
      </c>
      <c r="L866" s="2" t="s">
        <v>21</v>
      </c>
      <c r="M866" s="2" t="s">
        <v>22</v>
      </c>
      <c r="N866" s="2" t="s">
        <v>15</v>
      </c>
      <c r="O866" s="2" t="s">
        <v>271</v>
      </c>
      <c r="P866" s="2" t="s">
        <v>2540</v>
      </c>
      <c r="Q866" s="2" t="s">
        <v>4926</v>
      </c>
      <c r="R866" s="2" t="s">
        <v>351</v>
      </c>
      <c r="S866" s="2" t="s">
        <v>101</v>
      </c>
      <c r="T866" s="2" t="s">
        <v>4697</v>
      </c>
      <c r="U866" s="2" t="s">
        <v>12</v>
      </c>
      <c r="V866" s="2" t="s">
        <v>4844</v>
      </c>
      <c r="W866" s="2" t="s">
        <v>4982</v>
      </c>
      <c r="X866" s="2" t="s">
        <v>4925</v>
      </c>
      <c r="Y866" s="2" t="s">
        <v>2539</v>
      </c>
      <c r="Z866" s="2" t="s">
        <v>6205</v>
      </c>
      <c r="AA8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8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66" s="6" t="str">
        <f>IF(_xlfn.IFNA(INDEX(configuracoes!$A$2:$A$10,MATCH(base_tc_geral[[#This Row],[TIPO]],configuracoes!$A$2:$A$10,0)),"NÃO")="NÃO","NÃO","SIM")</f>
        <v>SIM</v>
      </c>
    </row>
    <row r="867" spans="1:31" x14ac:dyDescent="0.25">
      <c r="A867" s="2" t="s">
        <v>4196</v>
      </c>
      <c r="B867" s="2">
        <v>101004033</v>
      </c>
      <c r="C867" s="2" t="s">
        <v>15</v>
      </c>
      <c r="D867" s="2" t="s">
        <v>4481</v>
      </c>
      <c r="E867" s="2" t="s">
        <v>47</v>
      </c>
      <c r="F867" s="2" t="s">
        <v>398</v>
      </c>
      <c r="G867" s="2" t="s">
        <v>245</v>
      </c>
      <c r="H867" s="2" t="s">
        <v>60</v>
      </c>
      <c r="I867" s="2" t="s">
        <v>16</v>
      </c>
      <c r="J867" s="2" t="s">
        <v>60</v>
      </c>
      <c r="K867" s="2" t="s">
        <v>20</v>
      </c>
      <c r="L867" s="2" t="s">
        <v>21</v>
      </c>
      <c r="M867" s="2" t="s">
        <v>22</v>
      </c>
      <c r="N867" s="2" t="s">
        <v>15</v>
      </c>
      <c r="O867" s="2" t="s">
        <v>161</v>
      </c>
      <c r="P867" s="2" t="s">
        <v>4198</v>
      </c>
      <c r="Q867" s="2" t="s">
        <v>4926</v>
      </c>
      <c r="R867" s="2" t="s">
        <v>304</v>
      </c>
      <c r="S867" s="2" t="s">
        <v>51</v>
      </c>
      <c r="T867" s="2" t="s">
        <v>4697</v>
      </c>
      <c r="U867" s="2" t="s">
        <v>12</v>
      </c>
      <c r="V867" s="2" t="s">
        <v>4813</v>
      </c>
      <c r="W867" s="2" t="s">
        <v>4982</v>
      </c>
      <c r="X867" s="2" t="s">
        <v>4925</v>
      </c>
      <c r="Y867" s="2" t="s">
        <v>4197</v>
      </c>
      <c r="Z867" s="2" t="s">
        <v>6206</v>
      </c>
      <c r="AA8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8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67" s="6" t="str">
        <f>IF(_xlfn.IFNA(INDEX(configuracoes!$A$2:$A$10,MATCH(base_tc_geral[[#This Row],[TIPO]],configuracoes!$A$2:$A$10,0)),"NÃO")="NÃO","NÃO","SIM")</f>
        <v>SIM</v>
      </c>
    </row>
    <row r="868" spans="1:31" x14ac:dyDescent="0.25">
      <c r="A868" s="2" t="s">
        <v>4098</v>
      </c>
      <c r="B868" s="2">
        <v>108401409</v>
      </c>
      <c r="C868" s="2" t="s">
        <v>24</v>
      </c>
      <c r="D868" s="2" t="s">
        <v>4768</v>
      </c>
      <c r="E868" s="2" t="s">
        <v>47</v>
      </c>
      <c r="F868" s="2" t="s">
        <v>278</v>
      </c>
      <c r="G868" s="2" t="s">
        <v>41</v>
      </c>
      <c r="H868" s="2" t="s">
        <v>60</v>
      </c>
      <c r="I868" s="2" t="s">
        <v>16</v>
      </c>
      <c r="J868" s="2" t="s">
        <v>60</v>
      </c>
      <c r="K868" s="2" t="s">
        <v>13</v>
      </c>
      <c r="L868" s="2" t="s">
        <v>42</v>
      </c>
      <c r="M868" s="2" t="s">
        <v>75</v>
      </c>
      <c r="N868" s="2" t="s">
        <v>24</v>
      </c>
      <c r="O868" s="2" t="s">
        <v>161</v>
      </c>
      <c r="P868" s="2" t="s">
        <v>4100</v>
      </c>
      <c r="Q868" s="2" t="s">
        <v>4926</v>
      </c>
      <c r="R868" s="2" t="s">
        <v>2738</v>
      </c>
      <c r="S868" s="2" t="s">
        <v>359</v>
      </c>
      <c r="T868" s="2" t="s">
        <v>4697</v>
      </c>
      <c r="U868" s="2" t="s">
        <v>39</v>
      </c>
      <c r="V868" s="2" t="s">
        <v>4829</v>
      </c>
      <c r="W868" s="2" t="s">
        <v>42</v>
      </c>
      <c r="X868" s="2" t="s">
        <v>75</v>
      </c>
      <c r="Y868" s="2" t="s">
        <v>4099</v>
      </c>
      <c r="Z868" s="2" t="s">
        <v>6207</v>
      </c>
      <c r="AA8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8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8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68" s="6" t="str">
        <f>IF(_xlfn.IFNA(INDEX(configuracoes!$A$2:$A$10,MATCH(base_tc_geral[[#This Row],[TIPO]],configuracoes!$A$2:$A$10,0)),"NÃO")="NÃO","NÃO","SIM")</f>
        <v>SIM</v>
      </c>
    </row>
    <row r="869" spans="1:31" x14ac:dyDescent="0.25">
      <c r="A869" s="2" t="s">
        <v>700</v>
      </c>
      <c r="B869" s="2">
        <v>101001670</v>
      </c>
      <c r="C869" s="2" t="s">
        <v>15</v>
      </c>
      <c r="D869" s="2" t="s">
        <v>4496</v>
      </c>
      <c r="E869" s="2" t="s">
        <v>47</v>
      </c>
      <c r="F869" s="2" t="s">
        <v>225</v>
      </c>
      <c r="G869" s="2" t="s">
        <v>58</v>
      </c>
      <c r="H869" s="2" t="s">
        <v>224</v>
      </c>
      <c r="I869" s="2" t="s">
        <v>16</v>
      </c>
      <c r="J869" s="2" t="s">
        <v>227</v>
      </c>
      <c r="K869" s="2" t="s">
        <v>92</v>
      </c>
      <c r="L869" s="2" t="s">
        <v>61</v>
      </c>
      <c r="M869" s="2" t="s">
        <v>44</v>
      </c>
      <c r="N869" s="2" t="s">
        <v>15</v>
      </c>
      <c r="O869" s="2" t="s">
        <v>229</v>
      </c>
      <c r="P869" s="2" t="s">
        <v>702</v>
      </c>
      <c r="Q869" s="2" t="s">
        <v>4926</v>
      </c>
      <c r="R869" s="2" t="s">
        <v>226</v>
      </c>
      <c r="S869" s="2" t="s">
        <v>4698</v>
      </c>
      <c r="T869" s="2" t="s">
        <v>4697</v>
      </c>
      <c r="U869" s="2" t="s">
        <v>12</v>
      </c>
      <c r="V869" s="2" t="s">
        <v>4844</v>
      </c>
      <c r="W869" s="2" t="s">
        <v>4999</v>
      </c>
      <c r="X869" s="2" t="s">
        <v>44</v>
      </c>
      <c r="Y869" s="2" t="s">
        <v>701</v>
      </c>
      <c r="Z869" s="2" t="s">
        <v>6208</v>
      </c>
      <c r="AA8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8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69" s="6" t="str">
        <f>IF(_xlfn.IFNA(INDEX(configuracoes!$A$2:$A$10,MATCH(base_tc_geral[[#This Row],[TIPO]],configuracoes!$A$2:$A$10,0)),"NÃO")="NÃO","NÃO","SIM")</f>
        <v>NÃO</v>
      </c>
    </row>
    <row r="870" spans="1:31" x14ac:dyDescent="0.25">
      <c r="A870" s="2" t="s">
        <v>3412</v>
      </c>
      <c r="B870" s="2">
        <v>101001488</v>
      </c>
      <c r="C870" s="2" t="s">
        <v>15</v>
      </c>
      <c r="D870" s="2" t="s">
        <v>4486</v>
      </c>
      <c r="E870" s="2" t="s">
        <v>47</v>
      </c>
      <c r="F870" s="2" t="s">
        <v>264</v>
      </c>
      <c r="G870" s="2" t="s">
        <v>648</v>
      </c>
      <c r="H870" s="2" t="s">
        <v>227</v>
      </c>
      <c r="I870" s="2" t="s">
        <v>16</v>
      </c>
      <c r="J870" s="2" t="s">
        <v>227</v>
      </c>
      <c r="K870" s="2" t="s">
        <v>13</v>
      </c>
      <c r="L870" s="2" t="s">
        <v>25</v>
      </c>
      <c r="M870" s="2" t="s">
        <v>22</v>
      </c>
      <c r="N870" s="2" t="s">
        <v>15</v>
      </c>
      <c r="O870" s="2" t="s">
        <v>266</v>
      </c>
      <c r="P870" s="2" t="s">
        <v>3414</v>
      </c>
      <c r="Q870" s="2" t="s">
        <v>4926</v>
      </c>
      <c r="R870" s="2" t="s">
        <v>252</v>
      </c>
      <c r="S870" s="2" t="s">
        <v>101</v>
      </c>
      <c r="T870" s="2" t="s">
        <v>4697</v>
      </c>
      <c r="U870" s="2" t="s">
        <v>12</v>
      </c>
      <c r="V870" s="2" t="s">
        <v>4809</v>
      </c>
      <c r="W870" s="2" t="s">
        <v>4931</v>
      </c>
      <c r="X870" s="2" t="s">
        <v>4925</v>
      </c>
      <c r="Y870" s="2" t="s">
        <v>3413</v>
      </c>
      <c r="Z870" s="2" t="s">
        <v>6209</v>
      </c>
      <c r="AA8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8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70" s="6" t="str">
        <f>IF(_xlfn.IFNA(INDEX(configuracoes!$A$2:$A$10,MATCH(base_tc_geral[[#This Row],[TIPO]],configuracoes!$A$2:$A$10,0)),"NÃO")="NÃO","NÃO","SIM")</f>
        <v>SIM</v>
      </c>
    </row>
    <row r="871" spans="1:31" x14ac:dyDescent="0.25">
      <c r="A871" s="2" t="s">
        <v>2187</v>
      </c>
      <c r="B871" s="2">
        <v>105303134</v>
      </c>
      <c r="C871" s="2" t="s">
        <v>389</v>
      </c>
      <c r="D871" s="2" t="s">
        <v>4768</v>
      </c>
      <c r="E871" s="2" t="s">
        <v>28</v>
      </c>
      <c r="F871" s="2" t="s">
        <v>290</v>
      </c>
      <c r="G871" s="2" t="s">
        <v>883</v>
      </c>
      <c r="H871" s="2" t="s">
        <v>34</v>
      </c>
      <c r="I871" s="2" t="s">
        <v>33</v>
      </c>
      <c r="J871" s="2" t="s">
        <v>34</v>
      </c>
      <c r="K871" s="2" t="s">
        <v>20</v>
      </c>
      <c r="L871" s="2" t="s">
        <v>21</v>
      </c>
      <c r="M871" s="2" t="s">
        <v>22</v>
      </c>
      <c r="N871" s="2" t="s">
        <v>389</v>
      </c>
      <c r="O871" s="2" t="s">
        <v>156</v>
      </c>
      <c r="P871" s="2" t="s">
        <v>2189</v>
      </c>
      <c r="Q871" s="2" t="s">
        <v>4926</v>
      </c>
      <c r="R871" s="2" t="s">
        <v>442</v>
      </c>
      <c r="S871" s="2" t="s">
        <v>167</v>
      </c>
      <c r="T871" s="2" t="s">
        <v>167</v>
      </c>
      <c r="U871" s="2" t="s">
        <v>39</v>
      </c>
      <c r="V871" s="2" t="s">
        <v>4763</v>
      </c>
      <c r="W871" s="2" t="s">
        <v>4982</v>
      </c>
      <c r="X871" s="2" t="s">
        <v>4925</v>
      </c>
      <c r="Y871" s="2" t="s">
        <v>2188</v>
      </c>
      <c r="Z871" s="2" t="s">
        <v>6210</v>
      </c>
      <c r="AA8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8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71" s="6" t="str">
        <f>IF(_xlfn.IFNA(INDEX(configuracoes!$A$2:$A$10,MATCH(base_tc_geral[[#This Row],[TIPO]],configuracoes!$A$2:$A$10,0)),"NÃO")="NÃO","NÃO","SIM")</f>
        <v>SIM</v>
      </c>
    </row>
    <row r="872" spans="1:31" x14ac:dyDescent="0.25">
      <c r="A872" s="2" t="s">
        <v>1225</v>
      </c>
      <c r="B872" s="2">
        <v>101005989</v>
      </c>
      <c r="C872" s="2" t="s">
        <v>15</v>
      </c>
      <c r="D872" s="2" t="s">
        <v>4481</v>
      </c>
      <c r="E872" s="2" t="s">
        <v>47</v>
      </c>
      <c r="F872" s="2" t="s">
        <v>57</v>
      </c>
      <c r="G872" s="2" t="s">
        <v>245</v>
      </c>
      <c r="H872" s="2" t="s">
        <v>56</v>
      </c>
      <c r="I872" s="2" t="s">
        <v>16</v>
      </c>
      <c r="J872" s="2" t="s">
        <v>60</v>
      </c>
      <c r="K872" s="2" t="s">
        <v>20</v>
      </c>
      <c r="L872" s="2" t="s">
        <v>21</v>
      </c>
      <c r="M872" s="2" t="s">
        <v>22</v>
      </c>
      <c r="N872" s="2" t="s">
        <v>15</v>
      </c>
      <c r="O872" s="2" t="s">
        <v>63</v>
      </c>
      <c r="P872" s="2" t="s">
        <v>1227</v>
      </c>
      <c r="Q872" s="2" t="s">
        <v>4926</v>
      </c>
      <c r="R872" s="2" t="s">
        <v>59</v>
      </c>
      <c r="S872" s="2" t="s">
        <v>51</v>
      </c>
      <c r="T872" s="2" t="s">
        <v>4697</v>
      </c>
      <c r="U872" s="2" t="s">
        <v>12</v>
      </c>
      <c r="V872" s="2" t="s">
        <v>4779</v>
      </c>
      <c r="W872" s="2" t="s">
        <v>4982</v>
      </c>
      <c r="X872" s="2" t="s">
        <v>4925</v>
      </c>
      <c r="Y872" s="2" t="s">
        <v>1226</v>
      </c>
      <c r="Z872" s="2" t="s">
        <v>6211</v>
      </c>
      <c r="AA8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8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72" s="6" t="str">
        <f>IF(_xlfn.IFNA(INDEX(configuracoes!$A$2:$A$10,MATCH(base_tc_geral[[#This Row],[TIPO]],configuracoes!$A$2:$A$10,0)),"NÃO")="NÃO","NÃO","SIM")</f>
        <v>SIM</v>
      </c>
    </row>
    <row r="873" spans="1:31" x14ac:dyDescent="0.25">
      <c r="A873" s="2" t="s">
        <v>667</v>
      </c>
      <c r="B873" s="2">
        <v>101010210</v>
      </c>
      <c r="C873" s="2" t="s">
        <v>24</v>
      </c>
      <c r="D873" s="2" t="s">
        <v>4768</v>
      </c>
      <c r="E873" s="2" t="s">
        <v>47</v>
      </c>
      <c r="F873" s="2" t="s">
        <v>264</v>
      </c>
      <c r="G873" s="2" t="s">
        <v>648</v>
      </c>
      <c r="H873" s="2" t="s">
        <v>227</v>
      </c>
      <c r="I873" s="2" t="s">
        <v>16</v>
      </c>
      <c r="J873" s="2" t="s">
        <v>227</v>
      </c>
      <c r="K873" s="2" t="s">
        <v>13</v>
      </c>
      <c r="L873" s="2" t="s">
        <v>25</v>
      </c>
      <c r="M873" s="2" t="s">
        <v>22</v>
      </c>
      <c r="N873" s="2" t="s">
        <v>24</v>
      </c>
      <c r="O873" s="2" t="s">
        <v>266</v>
      </c>
      <c r="P873" s="2" t="s">
        <v>669</v>
      </c>
      <c r="Q873" s="2" t="s">
        <v>4926</v>
      </c>
      <c r="R873" s="2" t="s">
        <v>294</v>
      </c>
      <c r="S873" s="2" t="s">
        <v>101</v>
      </c>
      <c r="T873" s="2" t="s">
        <v>4697</v>
      </c>
      <c r="U873" s="2" t="s">
        <v>39</v>
      </c>
      <c r="V873" s="2" t="s">
        <v>4834</v>
      </c>
      <c r="W873" s="2" t="s">
        <v>4931</v>
      </c>
      <c r="X873" s="2" t="s">
        <v>4925</v>
      </c>
      <c r="Y873" s="2" t="s">
        <v>668</v>
      </c>
      <c r="Z873" s="2" t="s">
        <v>6212</v>
      </c>
      <c r="AA8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8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73" s="6" t="str">
        <f>IF(_xlfn.IFNA(INDEX(configuracoes!$A$2:$A$10,MATCH(base_tc_geral[[#This Row],[TIPO]],configuracoes!$A$2:$A$10,0)),"NÃO")="NÃO","NÃO","SIM")</f>
        <v>SIM</v>
      </c>
    </row>
    <row r="874" spans="1:31" x14ac:dyDescent="0.25">
      <c r="A874" s="2" t="s">
        <v>1024</v>
      </c>
      <c r="B874" s="2">
        <v>109500177</v>
      </c>
      <c r="C874" s="2" t="s">
        <v>15</v>
      </c>
      <c r="D874" s="2" t="s">
        <v>4548</v>
      </c>
      <c r="E874" s="2" t="s">
        <v>86</v>
      </c>
      <c r="F874" s="2" t="s">
        <v>590</v>
      </c>
      <c r="G874" s="2" t="s">
        <v>89</v>
      </c>
      <c r="H874" s="2" t="s">
        <v>122</v>
      </c>
      <c r="I874" s="2" t="s">
        <v>33</v>
      </c>
      <c r="J874" s="2" t="s">
        <v>124</v>
      </c>
      <c r="K874" s="2" t="s">
        <v>13</v>
      </c>
      <c r="L874" s="2" t="s">
        <v>37</v>
      </c>
      <c r="M874" s="2" t="s">
        <v>44</v>
      </c>
      <c r="N874" s="2" t="s">
        <v>15</v>
      </c>
      <c r="O874" s="2" t="s">
        <v>129</v>
      </c>
      <c r="P874" s="2" t="s">
        <v>1026</v>
      </c>
      <c r="Q874" s="2" t="s">
        <v>4926</v>
      </c>
      <c r="R874" s="2" t="s">
        <v>447</v>
      </c>
      <c r="S874" s="2" t="s">
        <v>125</v>
      </c>
      <c r="T874" s="2" t="s">
        <v>4696</v>
      </c>
      <c r="U874" s="2" t="s">
        <v>12</v>
      </c>
      <c r="V874" s="2" t="s">
        <v>4771</v>
      </c>
      <c r="W874" s="2" t="s">
        <v>4982</v>
      </c>
      <c r="X874" s="2" t="s">
        <v>44</v>
      </c>
      <c r="Y874" s="2" t="s">
        <v>1025</v>
      </c>
      <c r="Z874" s="2" t="s">
        <v>6122</v>
      </c>
      <c r="AA8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8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74" s="6" t="str">
        <f>IF(_xlfn.IFNA(INDEX(configuracoes!$A$2:$A$10,MATCH(base_tc_geral[[#This Row],[TIPO]],configuracoes!$A$2:$A$10,0)),"NÃO")="NÃO","NÃO","SIM")</f>
        <v>NÃO</v>
      </c>
    </row>
    <row r="875" spans="1:31" x14ac:dyDescent="0.25">
      <c r="A875" s="2" t="s">
        <v>3162</v>
      </c>
      <c r="B875" s="2">
        <v>109505858</v>
      </c>
      <c r="C875" s="2" t="s">
        <v>15</v>
      </c>
      <c r="D875" s="2" t="s">
        <v>4534</v>
      </c>
      <c r="E875" s="2" t="s">
        <v>86</v>
      </c>
      <c r="F875" s="2" t="s">
        <v>218</v>
      </c>
      <c r="G875" s="2" t="s">
        <v>1350</v>
      </c>
      <c r="H875" s="2" t="s">
        <v>217</v>
      </c>
      <c r="I875" s="2" t="s">
        <v>33</v>
      </c>
      <c r="J875" s="2" t="s">
        <v>91</v>
      </c>
      <c r="K875" s="2" t="s">
        <v>20</v>
      </c>
      <c r="L875" s="2" t="s">
        <v>126</v>
      </c>
      <c r="M875" s="2" t="s">
        <v>22</v>
      </c>
      <c r="N875" s="2" t="s">
        <v>15</v>
      </c>
      <c r="O875" s="2" t="s">
        <v>221</v>
      </c>
      <c r="P875" s="2" t="s">
        <v>3164</v>
      </c>
      <c r="Q875" s="2" t="s">
        <v>4926</v>
      </c>
      <c r="R875" s="2" t="s">
        <v>1466</v>
      </c>
      <c r="S875" s="2" t="s">
        <v>93</v>
      </c>
      <c r="T875" s="2" t="s">
        <v>4696</v>
      </c>
      <c r="U875" s="2" t="s">
        <v>12</v>
      </c>
      <c r="V875" s="2" t="s">
        <v>4802</v>
      </c>
      <c r="W875" s="2" t="s">
        <v>4982</v>
      </c>
      <c r="X875" s="2" t="s">
        <v>4925</v>
      </c>
      <c r="Y875" s="2" t="s">
        <v>3163</v>
      </c>
      <c r="Z875" s="2" t="s">
        <v>6123</v>
      </c>
      <c r="AA8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8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75" s="6" t="str">
        <f>IF(_xlfn.IFNA(INDEX(configuracoes!$A$2:$A$10,MATCH(base_tc_geral[[#This Row],[TIPO]],configuracoes!$A$2:$A$10,0)),"NÃO")="NÃO","NÃO","SIM")</f>
        <v>SIM</v>
      </c>
    </row>
    <row r="876" spans="1:31" x14ac:dyDescent="0.25">
      <c r="A876" s="2" t="s">
        <v>2824</v>
      </c>
      <c r="B876" s="2">
        <v>101004033</v>
      </c>
      <c r="C876" s="2" t="s">
        <v>15</v>
      </c>
      <c r="D876" s="2" t="s">
        <v>4492</v>
      </c>
      <c r="E876" s="2" t="s">
        <v>47</v>
      </c>
      <c r="F876" s="2" t="s">
        <v>303</v>
      </c>
      <c r="G876" s="2" t="s">
        <v>883</v>
      </c>
      <c r="H876" s="2" t="s">
        <v>60</v>
      </c>
      <c r="I876" s="2" t="s">
        <v>16</v>
      </c>
      <c r="J876" s="2" t="s">
        <v>60</v>
      </c>
      <c r="K876" s="2" t="s">
        <v>20</v>
      </c>
      <c r="L876" s="2" t="s">
        <v>21</v>
      </c>
      <c r="M876" s="2" t="s">
        <v>22</v>
      </c>
      <c r="N876" s="2" t="s">
        <v>15</v>
      </c>
      <c r="O876" s="2" t="s">
        <v>161</v>
      </c>
      <c r="P876" s="2" t="s">
        <v>2826</v>
      </c>
      <c r="Q876" s="2" t="s">
        <v>4926</v>
      </c>
      <c r="R876" s="2" t="s">
        <v>304</v>
      </c>
      <c r="S876" s="2" t="s">
        <v>51</v>
      </c>
      <c r="T876" s="2" t="s">
        <v>4697</v>
      </c>
      <c r="U876" s="2" t="s">
        <v>12</v>
      </c>
      <c r="V876" s="2" t="s">
        <v>4813</v>
      </c>
      <c r="W876" s="2" t="s">
        <v>4982</v>
      </c>
      <c r="X876" s="2" t="s">
        <v>4925</v>
      </c>
      <c r="Y876" s="2" t="s">
        <v>2825</v>
      </c>
      <c r="Z876" s="2" t="s">
        <v>6124</v>
      </c>
      <c r="AA8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8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8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76" s="6" t="str">
        <f>IF(_xlfn.IFNA(INDEX(configuracoes!$A$2:$A$10,MATCH(base_tc_geral[[#This Row],[TIPO]],configuracoes!$A$2:$A$10,0)),"NÃO")="NÃO","NÃO","SIM")</f>
        <v>SIM</v>
      </c>
    </row>
    <row r="877" spans="1:31" x14ac:dyDescent="0.25">
      <c r="A877" s="2" t="s">
        <v>1770</v>
      </c>
      <c r="B877" s="2">
        <v>109504012</v>
      </c>
      <c r="C877" s="2" t="s">
        <v>15</v>
      </c>
      <c r="D877" s="2" t="s">
        <v>4515</v>
      </c>
      <c r="E877" s="2" t="s">
        <v>28</v>
      </c>
      <c r="F877" s="2" t="s">
        <v>80</v>
      </c>
      <c r="G877" s="2" t="s">
        <v>172</v>
      </c>
      <c r="H877" s="2" t="s">
        <v>79</v>
      </c>
      <c r="I877" s="2" t="s">
        <v>33</v>
      </c>
      <c r="J877" s="2" t="s">
        <v>34</v>
      </c>
      <c r="K877" s="2" t="s">
        <v>13</v>
      </c>
      <c r="L877" s="2" t="s">
        <v>17</v>
      </c>
      <c r="M877" s="2" t="s">
        <v>23</v>
      </c>
      <c r="N877" s="2" t="s">
        <v>15</v>
      </c>
      <c r="O877" s="2" t="s">
        <v>83</v>
      </c>
      <c r="P877" s="2" t="s">
        <v>1772</v>
      </c>
      <c r="Q877" s="2" t="s">
        <v>4926</v>
      </c>
      <c r="R877" s="2" t="s">
        <v>166</v>
      </c>
      <c r="S877" s="2" t="s">
        <v>167</v>
      </c>
      <c r="T877" s="2" t="s">
        <v>167</v>
      </c>
      <c r="U877" s="2" t="s">
        <v>12</v>
      </c>
      <c r="V877" s="2" t="s">
        <v>4774</v>
      </c>
      <c r="W877" s="2" t="s">
        <v>17</v>
      </c>
      <c r="X877" s="2" t="s">
        <v>4998</v>
      </c>
      <c r="Y877" s="2" t="s">
        <v>1771</v>
      </c>
      <c r="Z877" s="2" t="s">
        <v>6125</v>
      </c>
      <c r="AA8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8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77" s="6" t="str">
        <f>IF(_xlfn.IFNA(INDEX(configuracoes!$A$2:$A$10,MATCH(base_tc_geral[[#This Row],[TIPO]],configuracoes!$A$2:$A$10,0)),"NÃO")="NÃO","NÃO","SIM")</f>
        <v>NÃO</v>
      </c>
    </row>
    <row r="878" spans="1:31" x14ac:dyDescent="0.25">
      <c r="A878" s="2" t="s">
        <v>1358</v>
      </c>
      <c r="B878" s="2">
        <v>109501286</v>
      </c>
      <c r="C878" s="2" t="s">
        <v>15</v>
      </c>
      <c r="D878" s="2" t="s">
        <v>4481</v>
      </c>
      <c r="E878" s="2" t="s">
        <v>86</v>
      </c>
      <c r="F878" s="2" t="s">
        <v>497</v>
      </c>
      <c r="G878" s="2" t="s">
        <v>89</v>
      </c>
      <c r="H878" s="2" t="s">
        <v>164</v>
      </c>
      <c r="I878" s="2" t="s">
        <v>33</v>
      </c>
      <c r="J878" s="2" t="s">
        <v>124</v>
      </c>
      <c r="K878" s="2" t="s">
        <v>13</v>
      </c>
      <c r="L878" s="2" t="s">
        <v>37</v>
      </c>
      <c r="M878" s="2" t="s">
        <v>44</v>
      </c>
      <c r="N878" s="2" t="s">
        <v>15</v>
      </c>
      <c r="O878" s="2" t="s">
        <v>169</v>
      </c>
      <c r="P878" s="2" t="s">
        <v>1360</v>
      </c>
      <c r="Q878" s="2" t="s">
        <v>4926</v>
      </c>
      <c r="R878" s="2" t="s">
        <v>498</v>
      </c>
      <c r="S878" s="2" t="s">
        <v>93</v>
      </c>
      <c r="T878" s="2" t="s">
        <v>4696</v>
      </c>
      <c r="U878" s="2" t="s">
        <v>39</v>
      </c>
      <c r="V878" s="2" t="s">
        <v>4766</v>
      </c>
      <c r="W878" s="2" t="s">
        <v>4999</v>
      </c>
      <c r="X878" s="2" t="s">
        <v>44</v>
      </c>
      <c r="Y878" s="2" t="s">
        <v>1359</v>
      </c>
      <c r="Z878" s="2" t="s">
        <v>6126</v>
      </c>
      <c r="AA8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8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78" s="6" t="str">
        <f>IF(_xlfn.IFNA(INDEX(configuracoes!$A$2:$A$10,MATCH(base_tc_geral[[#This Row],[TIPO]],configuracoes!$A$2:$A$10,0)),"NÃO")="NÃO","NÃO","SIM")</f>
        <v>NÃO</v>
      </c>
    </row>
    <row r="879" spans="1:31" x14ac:dyDescent="0.25">
      <c r="A879" s="2" t="s">
        <v>3763</v>
      </c>
      <c r="B879" s="2">
        <v>101005380</v>
      </c>
      <c r="C879" s="2" t="s">
        <v>15</v>
      </c>
      <c r="D879" s="2" t="s">
        <v>4516</v>
      </c>
      <c r="E879" s="2" t="s">
        <v>47</v>
      </c>
      <c r="F879" s="2" t="s">
        <v>181</v>
      </c>
      <c r="G879" s="2" t="s">
        <v>172</v>
      </c>
      <c r="H879" s="2" t="s">
        <v>66</v>
      </c>
      <c r="I879" s="2" t="s">
        <v>16</v>
      </c>
      <c r="J879" s="2" t="s">
        <v>66</v>
      </c>
      <c r="K879" s="2" t="s">
        <v>13</v>
      </c>
      <c r="L879" s="2" t="s">
        <v>17</v>
      </c>
      <c r="M879" s="2" t="s">
        <v>18</v>
      </c>
      <c r="N879" s="2" t="s">
        <v>15</v>
      </c>
      <c r="O879" s="2" t="s">
        <v>71</v>
      </c>
      <c r="P879" s="2" t="s">
        <v>3765</v>
      </c>
      <c r="Q879" s="2" t="s">
        <v>4926</v>
      </c>
      <c r="R879" s="2" t="s">
        <v>69</v>
      </c>
      <c r="S879" s="2" t="s">
        <v>4698</v>
      </c>
      <c r="T879" s="2" t="s">
        <v>4697</v>
      </c>
      <c r="U879" s="2" t="s">
        <v>12</v>
      </c>
      <c r="V879" s="2" t="s">
        <v>4793</v>
      </c>
      <c r="W879" s="2" t="s">
        <v>17</v>
      </c>
      <c r="X879" s="2" t="s">
        <v>4998</v>
      </c>
      <c r="Y879" s="2" t="s">
        <v>3764</v>
      </c>
      <c r="Z879" s="2" t="s">
        <v>6127</v>
      </c>
      <c r="AA8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8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8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79" s="6" t="str">
        <f>IF(_xlfn.IFNA(INDEX(configuracoes!$A$2:$A$10,MATCH(base_tc_geral[[#This Row],[TIPO]],configuracoes!$A$2:$A$10,0)),"NÃO")="NÃO","NÃO","SIM")</f>
        <v>NÃO</v>
      </c>
    </row>
    <row r="880" spans="1:31" x14ac:dyDescent="0.25">
      <c r="A880" s="2" t="s">
        <v>1379</v>
      </c>
      <c r="B880" s="2">
        <v>105000985</v>
      </c>
      <c r="C880" s="2" t="s">
        <v>15</v>
      </c>
      <c r="D880" s="2" t="s">
        <v>4620</v>
      </c>
      <c r="E880" s="2" t="s">
        <v>28</v>
      </c>
      <c r="F880" s="2" t="s">
        <v>30</v>
      </c>
      <c r="G880" s="2" t="s">
        <v>172</v>
      </c>
      <c r="H880" s="2" t="s">
        <v>29</v>
      </c>
      <c r="I880" s="2" t="s">
        <v>33</v>
      </c>
      <c r="J880" s="2" t="s">
        <v>34</v>
      </c>
      <c r="K880" s="2" t="s">
        <v>20</v>
      </c>
      <c r="L880" s="2" t="s">
        <v>17</v>
      </c>
      <c r="M880" s="2" t="s">
        <v>22</v>
      </c>
      <c r="N880" s="2" t="s">
        <v>15</v>
      </c>
      <c r="O880" s="2" t="s">
        <v>36</v>
      </c>
      <c r="P880" s="2" t="s">
        <v>1381</v>
      </c>
      <c r="Q880" s="2" t="s">
        <v>4926</v>
      </c>
      <c r="R880" s="2" t="s">
        <v>32</v>
      </c>
      <c r="S880" s="2" t="s">
        <v>167</v>
      </c>
      <c r="T880" s="2" t="s">
        <v>167</v>
      </c>
      <c r="U880" s="2" t="s">
        <v>12</v>
      </c>
      <c r="V880" s="2" t="s">
        <v>4851</v>
      </c>
      <c r="W880" s="2" t="s">
        <v>4982</v>
      </c>
      <c r="X880" s="2" t="s">
        <v>4925</v>
      </c>
      <c r="Y880" s="2" t="s">
        <v>1380</v>
      </c>
      <c r="Z880" s="2" t="s">
        <v>6128</v>
      </c>
      <c r="AA8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8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0" s="6" t="str">
        <f>IF(_xlfn.IFNA(INDEX(configuracoes!$A$2:$A$10,MATCH(base_tc_geral[[#This Row],[TIPO]],configuracoes!$A$2:$A$10,0)),"NÃO")="NÃO","NÃO","SIM")</f>
        <v>NÃO</v>
      </c>
    </row>
    <row r="881" spans="1:31" x14ac:dyDescent="0.25">
      <c r="A881" s="2" t="s">
        <v>3045</v>
      </c>
      <c r="B881" s="2">
        <v>109505049</v>
      </c>
      <c r="C881" s="2" t="s">
        <v>15</v>
      </c>
      <c r="D881" s="2" t="s">
        <v>4616</v>
      </c>
      <c r="E881" s="2" t="s">
        <v>86</v>
      </c>
      <c r="F881" s="2" t="s">
        <v>540</v>
      </c>
      <c r="G881" s="2" t="s">
        <v>99</v>
      </c>
      <c r="H881" s="2" t="s">
        <v>283</v>
      </c>
      <c r="I881" s="2" t="s">
        <v>33</v>
      </c>
      <c r="J881" s="2" t="s">
        <v>124</v>
      </c>
      <c r="K881" s="2" t="s">
        <v>13</v>
      </c>
      <c r="L881" s="2" t="s">
        <v>25</v>
      </c>
      <c r="M881" s="2" t="s">
        <v>22</v>
      </c>
      <c r="N881" s="2" t="s">
        <v>15</v>
      </c>
      <c r="O881" s="2" t="s">
        <v>287</v>
      </c>
      <c r="P881" s="2" t="s">
        <v>3047</v>
      </c>
      <c r="Q881" s="2" t="s">
        <v>4926</v>
      </c>
      <c r="R881" s="2" t="s">
        <v>541</v>
      </c>
      <c r="S881" s="2" t="s">
        <v>125</v>
      </c>
      <c r="T881" s="2" t="s">
        <v>4696</v>
      </c>
      <c r="U881" s="2" t="s">
        <v>12</v>
      </c>
      <c r="V881" s="2" t="s">
        <v>4765</v>
      </c>
      <c r="W881" s="2" t="s">
        <v>4931</v>
      </c>
      <c r="X881" s="2" t="s">
        <v>4925</v>
      </c>
      <c r="Y881" s="2" t="s">
        <v>3046</v>
      </c>
      <c r="Z881" s="2" t="s">
        <v>6129</v>
      </c>
      <c r="AA8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8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1" s="6" t="str">
        <f>IF(_xlfn.IFNA(INDEX(configuracoes!$A$2:$A$10,MATCH(base_tc_geral[[#This Row],[TIPO]],configuracoes!$A$2:$A$10,0)),"NÃO")="NÃO","NÃO","SIM")</f>
        <v>SIM</v>
      </c>
    </row>
    <row r="882" spans="1:31" x14ac:dyDescent="0.25">
      <c r="A882" s="2" t="s">
        <v>848</v>
      </c>
      <c r="B882" s="2">
        <v>105303208</v>
      </c>
      <c r="C882" s="2" t="s">
        <v>15</v>
      </c>
      <c r="D882" s="2" t="s">
        <v>4515</v>
      </c>
      <c r="E882" s="2" t="s">
        <v>28</v>
      </c>
      <c r="F882" s="2" t="s">
        <v>440</v>
      </c>
      <c r="G882" s="2" t="s">
        <v>89</v>
      </c>
      <c r="H882" s="2" t="s">
        <v>34</v>
      </c>
      <c r="I882" s="2" t="s">
        <v>33</v>
      </c>
      <c r="J882" s="2" t="s">
        <v>34</v>
      </c>
      <c r="K882" s="2" t="s">
        <v>92</v>
      </c>
      <c r="L882" s="2" t="s">
        <v>37</v>
      </c>
      <c r="M882" s="2" t="s">
        <v>44</v>
      </c>
      <c r="N882" s="2" t="s">
        <v>15</v>
      </c>
      <c r="O882" s="2" t="s">
        <v>156</v>
      </c>
      <c r="P882" s="2" t="s">
        <v>851</v>
      </c>
      <c r="Q882" s="2" t="s">
        <v>4926</v>
      </c>
      <c r="R882" s="2" t="s">
        <v>849</v>
      </c>
      <c r="S882" s="2" t="s">
        <v>167</v>
      </c>
      <c r="T882" s="2" t="s">
        <v>167</v>
      </c>
      <c r="U882" s="2" t="s">
        <v>12</v>
      </c>
      <c r="V882" s="2" t="s">
        <v>4850</v>
      </c>
      <c r="W882" s="2" t="s">
        <v>4999</v>
      </c>
      <c r="X882" s="2" t="s">
        <v>44</v>
      </c>
      <c r="Y882" s="2" t="s">
        <v>850</v>
      </c>
      <c r="Z882" s="2" t="s">
        <v>6130</v>
      </c>
      <c r="AA8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8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2" s="6" t="str">
        <f>IF(_xlfn.IFNA(INDEX(configuracoes!$A$2:$A$10,MATCH(base_tc_geral[[#This Row],[TIPO]],configuracoes!$A$2:$A$10,0)),"NÃO")="NÃO","NÃO","SIM")</f>
        <v>NÃO</v>
      </c>
    </row>
    <row r="883" spans="1:31" x14ac:dyDescent="0.25">
      <c r="A883" s="2" t="s">
        <v>3093</v>
      </c>
      <c r="B883" s="2">
        <v>109505049</v>
      </c>
      <c r="C883" s="2" t="s">
        <v>15</v>
      </c>
      <c r="D883" s="2" t="s">
        <v>4493</v>
      </c>
      <c r="E883" s="2" t="s">
        <v>86</v>
      </c>
      <c r="F883" s="2" t="s">
        <v>594</v>
      </c>
      <c r="G883" s="2" t="s">
        <v>99</v>
      </c>
      <c r="H883" s="2" t="s">
        <v>122</v>
      </c>
      <c r="I883" s="2" t="s">
        <v>33</v>
      </c>
      <c r="J883" s="2" t="s">
        <v>124</v>
      </c>
      <c r="K883" s="2" t="s">
        <v>13</v>
      </c>
      <c r="L883" s="2" t="s">
        <v>25</v>
      </c>
      <c r="M883" s="2" t="s">
        <v>22</v>
      </c>
      <c r="N883" s="2" t="s">
        <v>15</v>
      </c>
      <c r="O883" s="2" t="s">
        <v>129</v>
      </c>
      <c r="P883" s="2" t="s">
        <v>3095</v>
      </c>
      <c r="Q883" s="2" t="s">
        <v>4926</v>
      </c>
      <c r="R883" s="2" t="s">
        <v>541</v>
      </c>
      <c r="S883" s="2" t="s">
        <v>125</v>
      </c>
      <c r="T883" s="2" t="s">
        <v>4696</v>
      </c>
      <c r="U883" s="2" t="s">
        <v>12</v>
      </c>
      <c r="V883" s="2" t="s">
        <v>4765</v>
      </c>
      <c r="W883" s="2" t="s">
        <v>4931</v>
      </c>
      <c r="X883" s="2" t="s">
        <v>4925</v>
      </c>
      <c r="Y883" s="2" t="s">
        <v>3094</v>
      </c>
      <c r="Z883" s="2" t="s">
        <v>6131</v>
      </c>
      <c r="AA8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8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3" s="6" t="str">
        <f>IF(_xlfn.IFNA(INDEX(configuracoes!$A$2:$A$10,MATCH(base_tc_geral[[#This Row],[TIPO]],configuracoes!$A$2:$A$10,0)),"NÃO")="NÃO","NÃO","SIM")</f>
        <v>SIM</v>
      </c>
    </row>
    <row r="884" spans="1:31" x14ac:dyDescent="0.25">
      <c r="A884" s="2" t="s">
        <v>4351</v>
      </c>
      <c r="B884" s="2">
        <v>109000119</v>
      </c>
      <c r="C884" s="2" t="s">
        <v>15</v>
      </c>
      <c r="D884" s="2" t="s">
        <v>4484</v>
      </c>
      <c r="E884" s="2" t="s">
        <v>86</v>
      </c>
      <c r="F884" s="2" t="s">
        <v>123</v>
      </c>
      <c r="G884" s="2" t="s">
        <v>58</v>
      </c>
      <c r="H884" s="2" t="s">
        <v>122</v>
      </c>
      <c r="I884" s="2" t="s">
        <v>33</v>
      </c>
      <c r="J884" s="2" t="s">
        <v>124</v>
      </c>
      <c r="K884" s="2" t="s">
        <v>13</v>
      </c>
      <c r="L884" s="2" t="s">
        <v>61</v>
      </c>
      <c r="M884" s="2" t="s">
        <v>44</v>
      </c>
      <c r="N884" s="2" t="s">
        <v>15</v>
      </c>
      <c r="O884" s="2" t="s">
        <v>129</v>
      </c>
      <c r="P884" s="2" t="s">
        <v>4353</v>
      </c>
      <c r="Q884" s="2" t="s">
        <v>4926</v>
      </c>
      <c r="R884" s="2" t="s">
        <v>191</v>
      </c>
      <c r="S884" s="2" t="s">
        <v>4699</v>
      </c>
      <c r="T884" s="2" t="s">
        <v>4696</v>
      </c>
      <c r="U884" s="2" t="s">
        <v>12</v>
      </c>
      <c r="V884" s="2" t="s">
        <v>4849</v>
      </c>
      <c r="W884" s="2" t="s">
        <v>4984</v>
      </c>
      <c r="X884" s="2" t="s">
        <v>44</v>
      </c>
      <c r="Y884" s="2" t="s">
        <v>4352</v>
      </c>
      <c r="Z884" s="2" t="s">
        <v>6132</v>
      </c>
      <c r="AA8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8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8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4" s="6" t="str">
        <f>IF(_xlfn.IFNA(INDEX(configuracoes!$A$2:$A$10,MATCH(base_tc_geral[[#This Row],[TIPO]],configuracoes!$A$2:$A$10,0)),"NÃO")="NÃO","NÃO","SIM")</f>
        <v>NÃO</v>
      </c>
    </row>
    <row r="885" spans="1:31" x14ac:dyDescent="0.25">
      <c r="A885" s="2" t="s">
        <v>1668</v>
      </c>
      <c r="B885" s="2">
        <v>105000985</v>
      </c>
      <c r="C885" s="2" t="s">
        <v>389</v>
      </c>
      <c r="D885" s="2" t="s">
        <v>4482</v>
      </c>
      <c r="E885" s="2" t="s">
        <v>28</v>
      </c>
      <c r="F885" s="2" t="s">
        <v>30</v>
      </c>
      <c r="G885" s="2" t="s">
        <v>883</v>
      </c>
      <c r="H885" s="2" t="s">
        <v>29</v>
      </c>
      <c r="I885" s="2" t="s">
        <v>33</v>
      </c>
      <c r="J885" s="2" t="s">
        <v>34</v>
      </c>
      <c r="K885" s="2" t="s">
        <v>20</v>
      </c>
      <c r="L885" s="2" t="s">
        <v>21</v>
      </c>
      <c r="M885" s="2" t="s">
        <v>22</v>
      </c>
      <c r="N885" s="2" t="s">
        <v>389</v>
      </c>
      <c r="O885" s="2" t="s">
        <v>36</v>
      </c>
      <c r="P885" s="2" t="s">
        <v>1670</v>
      </c>
      <c r="Q885" s="2" t="s">
        <v>4926</v>
      </c>
      <c r="R885" s="2" t="s">
        <v>32</v>
      </c>
      <c r="S885" s="2" t="s">
        <v>167</v>
      </c>
      <c r="T885" s="2" t="s">
        <v>167</v>
      </c>
      <c r="U885" s="2" t="s">
        <v>39</v>
      </c>
      <c r="V885" s="2" t="s">
        <v>4851</v>
      </c>
      <c r="W885" s="2" t="s">
        <v>4982</v>
      </c>
      <c r="X885" s="2" t="s">
        <v>4925</v>
      </c>
      <c r="Y885" s="2" t="s">
        <v>1669</v>
      </c>
      <c r="Z885" s="2" t="s">
        <v>6133</v>
      </c>
      <c r="AA8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8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885" s="6" t="str">
        <f>IF(_xlfn.IFNA(INDEX(configuracoes!$A$2:$A$10,MATCH(base_tc_geral[[#This Row],[TIPO]],configuracoes!$A$2:$A$10,0)),"NÃO")="NÃO","NÃO","SIM")</f>
        <v>SIM</v>
      </c>
    </row>
    <row r="886" spans="1:31" x14ac:dyDescent="0.25">
      <c r="A886" s="2" t="s">
        <v>946</v>
      </c>
      <c r="B886" s="2">
        <v>109000017</v>
      </c>
      <c r="C886" s="2" t="s">
        <v>15</v>
      </c>
      <c r="D886" s="2" t="s">
        <v>4527</v>
      </c>
      <c r="E886" s="2" t="s">
        <v>86</v>
      </c>
      <c r="F886" s="2" t="s">
        <v>211</v>
      </c>
      <c r="G886" s="2" t="s">
        <v>41</v>
      </c>
      <c r="H886" s="2" t="s">
        <v>210</v>
      </c>
      <c r="I886" s="2" t="s">
        <v>33</v>
      </c>
      <c r="J886" s="2" t="s">
        <v>124</v>
      </c>
      <c r="K886" s="2" t="s">
        <v>13</v>
      </c>
      <c r="L886" s="2" t="s">
        <v>42</v>
      </c>
      <c r="M886" s="2" t="s">
        <v>22</v>
      </c>
      <c r="N886" s="2" t="s">
        <v>15</v>
      </c>
      <c r="O886" s="2" t="s">
        <v>214</v>
      </c>
      <c r="P886" s="2" t="s">
        <v>948</v>
      </c>
      <c r="Q886" s="2" t="s">
        <v>4926</v>
      </c>
      <c r="R886" s="2" t="s">
        <v>212</v>
      </c>
      <c r="S886" s="2" t="s">
        <v>93</v>
      </c>
      <c r="T886" s="2" t="s">
        <v>4696</v>
      </c>
      <c r="U886" s="2" t="s">
        <v>12</v>
      </c>
      <c r="V886" s="2" t="s">
        <v>4784</v>
      </c>
      <c r="W886" s="2" t="s">
        <v>42</v>
      </c>
      <c r="X886" s="2" t="s">
        <v>4925</v>
      </c>
      <c r="Y886" s="2" t="s">
        <v>947</v>
      </c>
      <c r="Z886" s="2" t="s">
        <v>5552</v>
      </c>
      <c r="AA8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8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6" s="6" t="str">
        <f>IF(_xlfn.IFNA(INDEX(configuracoes!$A$2:$A$10,MATCH(base_tc_geral[[#This Row],[TIPO]],configuracoes!$A$2:$A$10,0)),"NÃO")="NÃO","NÃO","SIM")</f>
        <v>SIM</v>
      </c>
    </row>
    <row r="887" spans="1:31" x14ac:dyDescent="0.25">
      <c r="A887" s="2" t="s">
        <v>2090</v>
      </c>
      <c r="B887" s="2">
        <v>102101642</v>
      </c>
      <c r="C887" s="2" t="s">
        <v>15</v>
      </c>
      <c r="D887" s="2" t="s">
        <v>4574</v>
      </c>
      <c r="E887" s="2" t="s">
        <v>106</v>
      </c>
      <c r="F887" s="2" t="s">
        <v>509</v>
      </c>
      <c r="G887" s="2" t="s">
        <v>637</v>
      </c>
      <c r="H887" s="2" t="s">
        <v>130</v>
      </c>
      <c r="I887" s="2" t="s">
        <v>33</v>
      </c>
      <c r="J887" s="2" t="s">
        <v>109</v>
      </c>
      <c r="K887" s="2" t="s">
        <v>20</v>
      </c>
      <c r="L887" s="2" t="s">
        <v>19</v>
      </c>
      <c r="M887" s="2" t="s">
        <v>22</v>
      </c>
      <c r="N887" s="2" t="s">
        <v>15</v>
      </c>
      <c r="O887" s="2" t="s">
        <v>132</v>
      </c>
      <c r="P887" s="2" t="s">
        <v>2092</v>
      </c>
      <c r="Q887" s="2" t="s">
        <v>4926</v>
      </c>
      <c r="R887" s="2" t="s">
        <v>187</v>
      </c>
      <c r="S887" s="2" t="s">
        <v>736</v>
      </c>
      <c r="T887" s="2" t="s">
        <v>167</v>
      </c>
      <c r="U887" s="2" t="s">
        <v>12</v>
      </c>
      <c r="V887" s="2" t="s">
        <v>4772</v>
      </c>
      <c r="W887" s="2" t="s">
        <v>42</v>
      </c>
      <c r="X887" s="2" t="s">
        <v>4925</v>
      </c>
      <c r="Y887" s="2" t="s">
        <v>2091</v>
      </c>
      <c r="Z887" s="2" t="s">
        <v>5553</v>
      </c>
      <c r="AA8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8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7" s="6" t="str">
        <f>IF(_xlfn.IFNA(INDEX(configuracoes!$A$2:$A$10,MATCH(base_tc_geral[[#This Row],[TIPO]],configuracoes!$A$2:$A$10,0)),"NÃO")="NÃO","NÃO","SIM")</f>
        <v>SIM</v>
      </c>
    </row>
    <row r="888" spans="1:31" x14ac:dyDescent="0.25">
      <c r="A888" s="2" t="s">
        <v>1021</v>
      </c>
      <c r="B888" s="2">
        <v>109500177</v>
      </c>
      <c r="C888" s="2" t="s">
        <v>15</v>
      </c>
      <c r="D888" s="2" t="s">
        <v>4501</v>
      </c>
      <c r="E888" s="2" t="s">
        <v>86</v>
      </c>
      <c r="F888" s="2" t="s">
        <v>590</v>
      </c>
      <c r="G888" s="2" t="s">
        <v>245</v>
      </c>
      <c r="H888" s="2" t="s">
        <v>122</v>
      </c>
      <c r="I888" s="2" t="s">
        <v>33</v>
      </c>
      <c r="J888" s="2" t="s">
        <v>124</v>
      </c>
      <c r="K888" s="2" t="s">
        <v>20</v>
      </c>
      <c r="L888" s="2" t="s">
        <v>21</v>
      </c>
      <c r="M888" s="2" t="s">
        <v>22</v>
      </c>
      <c r="N888" s="2" t="s">
        <v>15</v>
      </c>
      <c r="O888" s="2" t="s">
        <v>129</v>
      </c>
      <c r="P888" s="2" t="s">
        <v>1023</v>
      </c>
      <c r="Q888" s="2" t="s">
        <v>4926</v>
      </c>
      <c r="R888" s="2" t="s">
        <v>447</v>
      </c>
      <c r="S888" s="2" t="s">
        <v>125</v>
      </c>
      <c r="T888" s="2" t="s">
        <v>4696</v>
      </c>
      <c r="U888" s="2" t="s">
        <v>12</v>
      </c>
      <c r="V888" s="2" t="s">
        <v>4771</v>
      </c>
      <c r="W888" s="2" t="s">
        <v>4982</v>
      </c>
      <c r="X888" s="2" t="s">
        <v>4925</v>
      </c>
      <c r="Y888" s="2" t="s">
        <v>1022</v>
      </c>
      <c r="Z888" s="2" t="s">
        <v>5554</v>
      </c>
      <c r="AA8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8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8" s="6" t="str">
        <f>IF(_xlfn.IFNA(INDEX(configuracoes!$A$2:$A$10,MATCH(base_tc_geral[[#This Row],[TIPO]],configuracoes!$A$2:$A$10,0)),"NÃO")="NÃO","NÃO","SIM")</f>
        <v>SIM</v>
      </c>
    </row>
    <row r="889" spans="1:31" x14ac:dyDescent="0.25">
      <c r="A889" s="2" t="s">
        <v>562</v>
      </c>
      <c r="B889" s="2">
        <v>109500177</v>
      </c>
      <c r="C889" s="2" t="s">
        <v>15</v>
      </c>
      <c r="D889" s="2" t="s">
        <v>4502</v>
      </c>
      <c r="E889" s="2" t="s">
        <v>86</v>
      </c>
      <c r="F889" s="2" t="s">
        <v>445</v>
      </c>
      <c r="G889" s="2" t="s">
        <v>245</v>
      </c>
      <c r="H889" s="2" t="s">
        <v>122</v>
      </c>
      <c r="I889" s="2" t="s">
        <v>33</v>
      </c>
      <c r="J889" s="2" t="s">
        <v>124</v>
      </c>
      <c r="K889" s="2" t="s">
        <v>20</v>
      </c>
      <c r="L889" s="2" t="s">
        <v>21</v>
      </c>
      <c r="M889" s="2" t="s">
        <v>22</v>
      </c>
      <c r="N889" s="2" t="s">
        <v>15</v>
      </c>
      <c r="O889" s="2" t="s">
        <v>129</v>
      </c>
      <c r="P889" s="2" t="s">
        <v>564</v>
      </c>
      <c r="Q889" s="2" t="s">
        <v>4926</v>
      </c>
      <c r="R889" s="2" t="s">
        <v>447</v>
      </c>
      <c r="S889" s="2" t="s">
        <v>125</v>
      </c>
      <c r="T889" s="2" t="s">
        <v>4696</v>
      </c>
      <c r="U889" s="2" t="s">
        <v>12</v>
      </c>
      <c r="V889" s="2" t="s">
        <v>4770</v>
      </c>
      <c r="W889" s="2" t="s">
        <v>4982</v>
      </c>
      <c r="X889" s="2" t="s">
        <v>4925</v>
      </c>
      <c r="Y889" s="2" t="s">
        <v>563</v>
      </c>
      <c r="Z889" s="2" t="s">
        <v>5555</v>
      </c>
      <c r="AA8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8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89" s="6" t="str">
        <f>IF(_xlfn.IFNA(INDEX(configuracoes!$A$2:$A$10,MATCH(base_tc_geral[[#This Row],[TIPO]],configuracoes!$A$2:$A$10,0)),"NÃO")="NÃO","NÃO","SIM")</f>
        <v>SIM</v>
      </c>
    </row>
    <row r="890" spans="1:31" x14ac:dyDescent="0.25">
      <c r="A890" s="2" t="s">
        <v>292</v>
      </c>
      <c r="B890" s="2">
        <v>101010210</v>
      </c>
      <c r="C890" s="2" t="s">
        <v>15</v>
      </c>
      <c r="D890" s="2" t="s">
        <v>4487</v>
      </c>
      <c r="E890" s="2" t="s">
        <v>47</v>
      </c>
      <c r="F890" s="2" t="s">
        <v>264</v>
      </c>
      <c r="G890" s="2" t="s">
        <v>648</v>
      </c>
      <c r="H890" s="2" t="s">
        <v>227</v>
      </c>
      <c r="I890" s="2" t="s">
        <v>16</v>
      </c>
      <c r="J890" s="2" t="s">
        <v>227</v>
      </c>
      <c r="K890" s="2" t="s">
        <v>13</v>
      </c>
      <c r="L890" s="2" t="s">
        <v>25</v>
      </c>
      <c r="M890" s="2" t="s">
        <v>22</v>
      </c>
      <c r="N890" s="2" t="s">
        <v>15</v>
      </c>
      <c r="O890" s="2" t="s">
        <v>266</v>
      </c>
      <c r="P890" s="2" t="s">
        <v>295</v>
      </c>
      <c r="Q890" s="2" t="s">
        <v>4926</v>
      </c>
      <c r="R890" s="2" t="s">
        <v>294</v>
      </c>
      <c r="S890" s="2" t="s">
        <v>101</v>
      </c>
      <c r="T890" s="2" t="s">
        <v>4697</v>
      </c>
      <c r="U890" s="2" t="s">
        <v>12</v>
      </c>
      <c r="V890" s="2" t="s">
        <v>4809</v>
      </c>
      <c r="W890" s="2" t="s">
        <v>4931</v>
      </c>
      <c r="X890" s="2" t="s">
        <v>4925</v>
      </c>
      <c r="Y890" s="2" t="s">
        <v>293</v>
      </c>
      <c r="Z890" s="2" t="s">
        <v>5556</v>
      </c>
      <c r="AA8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8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8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8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0" s="6" t="str">
        <f>IF(_xlfn.IFNA(INDEX(configuracoes!$A$2:$A$10,MATCH(base_tc_geral[[#This Row],[TIPO]],configuracoes!$A$2:$A$10,0)),"NÃO")="NÃO","NÃO","SIM")</f>
        <v>SIM</v>
      </c>
    </row>
    <row r="891" spans="1:31" x14ac:dyDescent="0.25">
      <c r="A891" s="2" t="s">
        <v>1529</v>
      </c>
      <c r="B891" s="2">
        <v>109000017</v>
      </c>
      <c r="C891" s="2" t="s">
        <v>15</v>
      </c>
      <c r="D891" s="2" t="s">
        <v>4527</v>
      </c>
      <c r="E891" s="2" t="s">
        <v>86</v>
      </c>
      <c r="F891" s="2" t="s">
        <v>211</v>
      </c>
      <c r="G891" s="2" t="s">
        <v>58</v>
      </c>
      <c r="H891" s="2" t="s">
        <v>210</v>
      </c>
      <c r="I891" s="2" t="s">
        <v>33</v>
      </c>
      <c r="J891" s="2" t="s">
        <v>124</v>
      </c>
      <c r="K891" s="2" t="s">
        <v>13</v>
      </c>
      <c r="L891" s="2" t="s">
        <v>61</v>
      </c>
      <c r="M891" s="2" t="s">
        <v>44</v>
      </c>
      <c r="N891" s="2" t="s">
        <v>15</v>
      </c>
      <c r="O891" s="2" t="s">
        <v>214</v>
      </c>
      <c r="P891" s="2" t="s">
        <v>1531</v>
      </c>
      <c r="Q891" s="2" t="s">
        <v>4926</v>
      </c>
      <c r="R891" s="2" t="s">
        <v>212</v>
      </c>
      <c r="S891" s="2" t="s">
        <v>93</v>
      </c>
      <c r="T891" s="2" t="s">
        <v>4696</v>
      </c>
      <c r="U891" s="2" t="s">
        <v>12</v>
      </c>
      <c r="V891" s="2" t="s">
        <v>4820</v>
      </c>
      <c r="W891" s="2" t="s">
        <v>5013</v>
      </c>
      <c r="X891" s="2" t="s">
        <v>44</v>
      </c>
      <c r="Y891" s="2" t="s">
        <v>1530</v>
      </c>
      <c r="Z891" s="2" t="s">
        <v>5557</v>
      </c>
      <c r="AA8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8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1" s="6" t="str">
        <f>IF(_xlfn.IFNA(INDEX(configuracoes!$A$2:$A$10,MATCH(base_tc_geral[[#This Row],[TIPO]],configuracoes!$A$2:$A$10,0)),"NÃO")="NÃO","NÃO","SIM")</f>
        <v>NÃO</v>
      </c>
    </row>
    <row r="892" spans="1:31" x14ac:dyDescent="0.25">
      <c r="A892" s="2" t="s">
        <v>2502</v>
      </c>
      <c r="B892" s="2">
        <v>105000985</v>
      </c>
      <c r="C892" s="2" t="s">
        <v>15</v>
      </c>
      <c r="D892" s="2" t="s">
        <v>4516</v>
      </c>
      <c r="E892" s="2" t="s">
        <v>28</v>
      </c>
      <c r="F892" s="2" t="s">
        <v>30</v>
      </c>
      <c r="G892" s="2" t="s">
        <v>136</v>
      </c>
      <c r="H892" s="2" t="s">
        <v>29</v>
      </c>
      <c r="I892" s="2" t="s">
        <v>33</v>
      </c>
      <c r="J892" s="2" t="s">
        <v>34</v>
      </c>
      <c r="K892" s="2" t="s">
        <v>13</v>
      </c>
      <c r="L892" s="2" t="s">
        <v>72</v>
      </c>
      <c r="M892" s="2" t="s">
        <v>73</v>
      </c>
      <c r="N892" s="2" t="s">
        <v>15</v>
      </c>
      <c r="O892" s="2" t="s">
        <v>36</v>
      </c>
      <c r="P892" s="2" t="s">
        <v>2504</v>
      </c>
      <c r="Q892" s="2" t="s">
        <v>4926</v>
      </c>
      <c r="R892" s="2" t="s">
        <v>32</v>
      </c>
      <c r="S892" s="2" t="s">
        <v>167</v>
      </c>
      <c r="T892" s="2" t="s">
        <v>167</v>
      </c>
      <c r="U892" s="2" t="s">
        <v>39</v>
      </c>
      <c r="V892" s="2" t="s">
        <v>4851</v>
      </c>
      <c r="W892" s="2" t="s">
        <v>72</v>
      </c>
      <c r="X892" s="2" t="s">
        <v>5011</v>
      </c>
      <c r="Y892" s="2" t="s">
        <v>2503</v>
      </c>
      <c r="Z892" s="2" t="s">
        <v>6134</v>
      </c>
      <c r="AA8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8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8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2" s="6" t="str">
        <f>IF(_xlfn.IFNA(INDEX(configuracoes!$A$2:$A$10,MATCH(base_tc_geral[[#This Row],[TIPO]],configuracoes!$A$2:$A$10,0)),"NÃO")="NÃO","NÃO","SIM")</f>
        <v>NÃO</v>
      </c>
    </row>
    <row r="893" spans="1:31" x14ac:dyDescent="0.25">
      <c r="A893" s="2" t="s">
        <v>2282</v>
      </c>
      <c r="B893" s="2">
        <v>109000340</v>
      </c>
      <c r="C893" s="2" t="s">
        <v>15</v>
      </c>
      <c r="D893" s="2" t="s">
        <v>4502</v>
      </c>
      <c r="E893" s="2" t="s">
        <v>86</v>
      </c>
      <c r="F893" s="2" t="s">
        <v>1320</v>
      </c>
      <c r="G893" s="2" t="s">
        <v>883</v>
      </c>
      <c r="H893" s="2" t="s">
        <v>1321</v>
      </c>
      <c r="I893" s="2" t="s">
        <v>33</v>
      </c>
      <c r="J893" s="2" t="s">
        <v>91</v>
      </c>
      <c r="K893" s="2" t="s">
        <v>20</v>
      </c>
      <c r="L893" s="2" t="s">
        <v>21</v>
      </c>
      <c r="M893" s="2" t="s">
        <v>22</v>
      </c>
      <c r="N893" s="2" t="s">
        <v>15</v>
      </c>
      <c r="O893" s="2" t="s">
        <v>1322</v>
      </c>
      <c r="P893" s="2" t="s">
        <v>2284</v>
      </c>
      <c r="Q893" s="2" t="s">
        <v>4926</v>
      </c>
      <c r="R893" s="2" t="s">
        <v>90</v>
      </c>
      <c r="S893" s="2" t="s">
        <v>93</v>
      </c>
      <c r="T893" s="2" t="s">
        <v>4696</v>
      </c>
      <c r="U893" s="2" t="s">
        <v>12</v>
      </c>
      <c r="V893" s="2" t="s">
        <v>4898</v>
      </c>
      <c r="W893" s="2" t="s">
        <v>4982</v>
      </c>
      <c r="X893" s="2" t="s">
        <v>4925</v>
      </c>
      <c r="Y893" s="2" t="s">
        <v>2283</v>
      </c>
      <c r="Z893" s="2" t="s">
        <v>6135</v>
      </c>
      <c r="AA8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8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3" s="6" t="str">
        <f>IF(_xlfn.IFNA(INDEX(configuracoes!$A$2:$A$10,MATCH(base_tc_geral[[#This Row],[TIPO]],configuracoes!$A$2:$A$10,0)),"NÃO")="NÃO","NÃO","SIM")</f>
        <v>SIM</v>
      </c>
    </row>
    <row r="894" spans="1:31" x14ac:dyDescent="0.25">
      <c r="A894" s="2" t="s">
        <v>581</v>
      </c>
      <c r="B894" s="2">
        <v>109500177</v>
      </c>
      <c r="C894" s="2" t="s">
        <v>15</v>
      </c>
      <c r="D894" s="2" t="s">
        <v>4484</v>
      </c>
      <c r="E894" s="2" t="s">
        <v>86</v>
      </c>
      <c r="F894" s="2" t="s">
        <v>445</v>
      </c>
      <c r="G894" s="2" t="s">
        <v>245</v>
      </c>
      <c r="H894" s="2" t="s">
        <v>122</v>
      </c>
      <c r="I894" s="2" t="s">
        <v>33</v>
      </c>
      <c r="J894" s="2" t="s">
        <v>124</v>
      </c>
      <c r="K894" s="2" t="s">
        <v>20</v>
      </c>
      <c r="L894" s="2" t="s">
        <v>21</v>
      </c>
      <c r="M894" s="2" t="s">
        <v>22</v>
      </c>
      <c r="N894" s="2" t="s">
        <v>15</v>
      </c>
      <c r="O894" s="2" t="s">
        <v>129</v>
      </c>
      <c r="P894" s="2" t="s">
        <v>583</v>
      </c>
      <c r="Q894" s="2" t="s">
        <v>4926</v>
      </c>
      <c r="R894" s="2" t="s">
        <v>447</v>
      </c>
      <c r="S894" s="2" t="s">
        <v>125</v>
      </c>
      <c r="T894" s="2" t="s">
        <v>4696</v>
      </c>
      <c r="U894" s="2" t="s">
        <v>12</v>
      </c>
      <c r="V894" s="2" t="s">
        <v>4771</v>
      </c>
      <c r="W894" s="2" t="s">
        <v>4982</v>
      </c>
      <c r="X894" s="2" t="s">
        <v>4925</v>
      </c>
      <c r="Y894" s="2" t="s">
        <v>582</v>
      </c>
      <c r="Z894" s="2" t="s">
        <v>6136</v>
      </c>
      <c r="AA8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8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4" s="6" t="str">
        <f>IF(_xlfn.IFNA(INDEX(configuracoes!$A$2:$A$10,MATCH(base_tc_geral[[#This Row],[TIPO]],configuracoes!$A$2:$A$10,0)),"NÃO")="NÃO","NÃO","SIM")</f>
        <v>SIM</v>
      </c>
    </row>
    <row r="895" spans="1:31" x14ac:dyDescent="0.25">
      <c r="A895" s="2" t="s">
        <v>3682</v>
      </c>
      <c r="B895" s="2">
        <v>109505819</v>
      </c>
      <c r="C895" s="2" t="s">
        <v>15</v>
      </c>
      <c r="D895" s="2" t="s">
        <v>4516</v>
      </c>
      <c r="E895" s="2" t="s">
        <v>86</v>
      </c>
      <c r="F895" s="2" t="s">
        <v>165</v>
      </c>
      <c r="G895" s="2" t="s">
        <v>245</v>
      </c>
      <c r="H895" s="2" t="s">
        <v>164</v>
      </c>
      <c r="I895" s="2" t="s">
        <v>33</v>
      </c>
      <c r="J895" s="2" t="s">
        <v>124</v>
      </c>
      <c r="K895" s="2" t="s">
        <v>20</v>
      </c>
      <c r="L895" s="2" t="s">
        <v>21</v>
      </c>
      <c r="M895" s="2" t="s">
        <v>22</v>
      </c>
      <c r="N895" s="2" t="s">
        <v>15</v>
      </c>
      <c r="O895" s="2" t="s">
        <v>169</v>
      </c>
      <c r="P895" s="2" t="s">
        <v>3684</v>
      </c>
      <c r="Q895" s="2" t="s">
        <v>4926</v>
      </c>
      <c r="R895" s="2" t="s">
        <v>3459</v>
      </c>
      <c r="S895" s="2" t="s">
        <v>93</v>
      </c>
      <c r="T895" s="2" t="s">
        <v>4696</v>
      </c>
      <c r="U895" s="2" t="s">
        <v>12</v>
      </c>
      <c r="V895" s="2" t="s">
        <v>4785</v>
      </c>
      <c r="W895" s="2" t="s">
        <v>4982</v>
      </c>
      <c r="X895" s="2" t="s">
        <v>4925</v>
      </c>
      <c r="Y895" s="2" t="s">
        <v>3683</v>
      </c>
      <c r="Z895" s="2" t="s">
        <v>6137</v>
      </c>
      <c r="AA8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8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5" s="6" t="str">
        <f>IF(_xlfn.IFNA(INDEX(configuracoes!$A$2:$A$10,MATCH(base_tc_geral[[#This Row],[TIPO]],configuracoes!$A$2:$A$10,0)),"NÃO")="NÃO","NÃO","SIM")</f>
        <v>SIM</v>
      </c>
    </row>
    <row r="896" spans="1:31" x14ac:dyDescent="0.25">
      <c r="A896" s="2" t="s">
        <v>477</v>
      </c>
      <c r="B896" s="2">
        <v>109000340</v>
      </c>
      <c r="C896" s="2" t="s">
        <v>15</v>
      </c>
      <c r="D896" s="2" t="s">
        <v>4509</v>
      </c>
      <c r="E896" s="2" t="s">
        <v>86</v>
      </c>
      <c r="F896" s="2" t="s">
        <v>88</v>
      </c>
      <c r="G896" s="2" t="s">
        <v>172</v>
      </c>
      <c r="H896" s="2" t="s">
        <v>87</v>
      </c>
      <c r="I896" s="2" t="s">
        <v>33</v>
      </c>
      <c r="J896" s="2" t="s">
        <v>91</v>
      </c>
      <c r="K896" s="2" t="s">
        <v>13</v>
      </c>
      <c r="L896" s="2" t="s">
        <v>17</v>
      </c>
      <c r="M896" s="2" t="s">
        <v>18</v>
      </c>
      <c r="N896" s="2" t="s">
        <v>15</v>
      </c>
      <c r="O896" s="2" t="s">
        <v>95</v>
      </c>
      <c r="P896" s="2" t="s">
        <v>479</v>
      </c>
      <c r="Q896" s="2" t="s">
        <v>4926</v>
      </c>
      <c r="R896" s="2" t="s">
        <v>90</v>
      </c>
      <c r="S896" s="2" t="s">
        <v>93</v>
      </c>
      <c r="T896" s="2" t="s">
        <v>4696</v>
      </c>
      <c r="U896" s="2" t="s">
        <v>12</v>
      </c>
      <c r="V896" s="2" t="s">
        <v>4796</v>
      </c>
      <c r="W896" s="2" t="s">
        <v>4982</v>
      </c>
      <c r="X896" s="2" t="s">
        <v>4998</v>
      </c>
      <c r="Y896" s="2" t="s">
        <v>478</v>
      </c>
      <c r="Z896" s="2" t="s">
        <v>6138</v>
      </c>
      <c r="AA8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8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8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6" s="6" t="str">
        <f>IF(_xlfn.IFNA(INDEX(configuracoes!$A$2:$A$10,MATCH(base_tc_geral[[#This Row],[TIPO]],configuracoes!$A$2:$A$10,0)),"NÃO")="NÃO","NÃO","SIM")</f>
        <v>NÃO</v>
      </c>
    </row>
    <row r="897" spans="1:31" x14ac:dyDescent="0.25">
      <c r="A897" s="2" t="s">
        <v>1073</v>
      </c>
      <c r="B897" s="2">
        <v>102101220</v>
      </c>
      <c r="C897" s="2" t="s">
        <v>15</v>
      </c>
      <c r="D897" s="2" t="s">
        <v>4509</v>
      </c>
      <c r="E897" s="2" t="s">
        <v>106</v>
      </c>
      <c r="F897" s="2" t="s">
        <v>428</v>
      </c>
      <c r="G897" s="2" t="s">
        <v>317</v>
      </c>
      <c r="H897" s="2" t="s">
        <v>427</v>
      </c>
      <c r="I897" s="2" t="s">
        <v>33</v>
      </c>
      <c r="J897" s="2" t="s">
        <v>109</v>
      </c>
      <c r="K897" s="2" t="s">
        <v>13</v>
      </c>
      <c r="L897" s="2" t="s">
        <v>42</v>
      </c>
      <c r="M897" s="2" t="s">
        <v>75</v>
      </c>
      <c r="N897" s="2" t="s">
        <v>15</v>
      </c>
      <c r="O897" s="2" t="s">
        <v>430</v>
      </c>
      <c r="P897" s="2" t="s">
        <v>1075</v>
      </c>
      <c r="Q897" s="2" t="s">
        <v>4926</v>
      </c>
      <c r="R897" s="2" t="s">
        <v>625</v>
      </c>
      <c r="S897" s="2" t="s">
        <v>736</v>
      </c>
      <c r="T897" s="2" t="s">
        <v>167</v>
      </c>
      <c r="U897" s="2" t="s">
        <v>12</v>
      </c>
      <c r="V897" s="2" t="s">
        <v>4895</v>
      </c>
      <c r="W897" s="2" t="s">
        <v>42</v>
      </c>
      <c r="X897" s="2" t="s">
        <v>75</v>
      </c>
      <c r="Y897" s="2" t="s">
        <v>1074</v>
      </c>
      <c r="Z897" s="2" t="s">
        <v>6139</v>
      </c>
      <c r="AA8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8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7" s="6" t="str">
        <f>IF(_xlfn.IFNA(INDEX(configuracoes!$A$2:$A$10,MATCH(base_tc_geral[[#This Row],[TIPO]],configuracoes!$A$2:$A$10,0)),"NÃO")="NÃO","NÃO","SIM")</f>
        <v>SIM</v>
      </c>
    </row>
    <row r="898" spans="1:31" x14ac:dyDescent="0.25">
      <c r="A898" s="2" t="s">
        <v>1779</v>
      </c>
      <c r="B898" s="2">
        <v>102101220</v>
      </c>
      <c r="C898" s="2" t="s">
        <v>15</v>
      </c>
      <c r="D898" s="2" t="s">
        <v>4526</v>
      </c>
      <c r="E898" s="2" t="s">
        <v>106</v>
      </c>
      <c r="F898" s="2" t="s">
        <v>428</v>
      </c>
      <c r="G898" s="2" t="s">
        <v>870</v>
      </c>
      <c r="H898" s="2" t="s">
        <v>427</v>
      </c>
      <c r="I898" s="2" t="s">
        <v>33</v>
      </c>
      <c r="J898" s="2" t="s">
        <v>109</v>
      </c>
      <c r="K898" s="2" t="s">
        <v>13</v>
      </c>
      <c r="L898" s="2" t="s">
        <v>76</v>
      </c>
      <c r="M898" s="2" t="s">
        <v>22</v>
      </c>
      <c r="N898" s="2" t="s">
        <v>15</v>
      </c>
      <c r="O898" s="2" t="s">
        <v>430</v>
      </c>
      <c r="P898" s="2" t="s">
        <v>1781</v>
      </c>
      <c r="Q898" s="2" t="s">
        <v>4926</v>
      </c>
      <c r="R898" s="2" t="s">
        <v>625</v>
      </c>
      <c r="S898" s="2" t="s">
        <v>736</v>
      </c>
      <c r="T898" s="2" t="s">
        <v>167</v>
      </c>
      <c r="U898" s="2" t="s">
        <v>12</v>
      </c>
      <c r="V898" s="2" t="s">
        <v>4895</v>
      </c>
      <c r="W898" s="2" t="s">
        <v>4982</v>
      </c>
      <c r="X898" s="2" t="s">
        <v>4925</v>
      </c>
      <c r="Y898" s="2" t="s">
        <v>1780</v>
      </c>
      <c r="Z898" s="2" t="s">
        <v>5558</v>
      </c>
      <c r="AA8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8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8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8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8" s="6" t="str">
        <f>IF(_xlfn.IFNA(INDEX(configuracoes!$A$2:$A$10,MATCH(base_tc_geral[[#This Row],[TIPO]],configuracoes!$A$2:$A$10,0)),"NÃO")="NÃO","NÃO","SIM")</f>
        <v>SIM</v>
      </c>
    </row>
    <row r="899" spans="1:31" x14ac:dyDescent="0.25">
      <c r="A899" s="2" t="s">
        <v>618</v>
      </c>
      <c r="B899" s="2">
        <v>109505149</v>
      </c>
      <c r="C899" s="2" t="s">
        <v>15</v>
      </c>
      <c r="D899" s="2" t="s">
        <v>4544</v>
      </c>
      <c r="E899" s="2" t="s">
        <v>86</v>
      </c>
      <c r="F899" s="2" t="s">
        <v>540</v>
      </c>
      <c r="G899" s="2" t="s">
        <v>99</v>
      </c>
      <c r="H899" s="2" t="s">
        <v>283</v>
      </c>
      <c r="I899" s="2" t="s">
        <v>33</v>
      </c>
      <c r="J899" s="2" t="s">
        <v>124</v>
      </c>
      <c r="K899" s="2" t="s">
        <v>13</v>
      </c>
      <c r="L899" s="2" t="s">
        <v>25</v>
      </c>
      <c r="M899" s="2" t="s">
        <v>22</v>
      </c>
      <c r="N899" s="2" t="s">
        <v>15</v>
      </c>
      <c r="O899" s="2" t="s">
        <v>287</v>
      </c>
      <c r="P899" s="2" t="s">
        <v>620</v>
      </c>
      <c r="Q899" s="2" t="s">
        <v>4926</v>
      </c>
      <c r="R899" s="2" t="s">
        <v>125</v>
      </c>
      <c r="S899" s="2" t="s">
        <v>125</v>
      </c>
      <c r="T899" s="2" t="s">
        <v>4696</v>
      </c>
      <c r="U899" s="2" t="s">
        <v>12</v>
      </c>
      <c r="V899" s="2" t="s">
        <v>4765</v>
      </c>
      <c r="W899" s="2" t="s">
        <v>4931</v>
      </c>
      <c r="X899" s="2" t="s">
        <v>4925</v>
      </c>
      <c r="Y899" s="2" t="s">
        <v>619</v>
      </c>
      <c r="Z899" s="2" t="s">
        <v>5559</v>
      </c>
      <c r="AA8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VINICIUS </v>
      </c>
      <c r="AB8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8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8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899" s="6" t="str">
        <f>IF(_xlfn.IFNA(INDEX(configuracoes!$A$2:$A$10,MATCH(base_tc_geral[[#This Row],[TIPO]],configuracoes!$A$2:$A$10,0)),"NÃO")="NÃO","NÃO","SIM")</f>
        <v>SIM</v>
      </c>
    </row>
    <row r="900" spans="1:31" x14ac:dyDescent="0.25">
      <c r="A900" s="2" t="s">
        <v>2421</v>
      </c>
      <c r="B900" s="2">
        <v>105000986</v>
      </c>
      <c r="C900" s="2" t="s">
        <v>15</v>
      </c>
      <c r="D900" s="2" t="s">
        <v>4524</v>
      </c>
      <c r="E900" s="2" t="s">
        <v>28</v>
      </c>
      <c r="F900" s="2" t="s">
        <v>80</v>
      </c>
      <c r="G900" s="2" t="s">
        <v>58</v>
      </c>
      <c r="H900" s="2" t="s">
        <v>79</v>
      </c>
      <c r="I900" s="2" t="s">
        <v>33</v>
      </c>
      <c r="J900" s="2" t="s">
        <v>34</v>
      </c>
      <c r="K900" s="2" t="s">
        <v>13</v>
      </c>
      <c r="L900" s="2" t="s">
        <v>61</v>
      </c>
      <c r="M900" s="2" t="s">
        <v>44</v>
      </c>
      <c r="N900" s="2" t="s">
        <v>15</v>
      </c>
      <c r="O900" s="2" t="s">
        <v>83</v>
      </c>
      <c r="P900" s="2" t="s">
        <v>2423</v>
      </c>
      <c r="Q900" s="2" t="s">
        <v>4926</v>
      </c>
      <c r="R900" s="2" t="s">
        <v>81</v>
      </c>
      <c r="S900" s="2" t="s">
        <v>167</v>
      </c>
      <c r="T900" s="2" t="s">
        <v>167</v>
      </c>
      <c r="U900" s="2" t="s">
        <v>12</v>
      </c>
      <c r="V900" s="2" t="s">
        <v>4767</v>
      </c>
      <c r="W900" s="2" t="s">
        <v>4999</v>
      </c>
      <c r="X900" s="2" t="s">
        <v>44</v>
      </c>
      <c r="Y900" s="2" t="s">
        <v>2422</v>
      </c>
      <c r="Z900" s="2" t="s">
        <v>5560</v>
      </c>
      <c r="AA9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9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0" s="6" t="str">
        <f>IF(_xlfn.IFNA(INDEX(configuracoes!$A$2:$A$10,MATCH(base_tc_geral[[#This Row],[TIPO]],configuracoes!$A$2:$A$10,0)),"NÃO")="NÃO","NÃO","SIM")</f>
        <v>NÃO</v>
      </c>
    </row>
    <row r="901" spans="1:31" x14ac:dyDescent="0.25">
      <c r="A901" s="2" t="s">
        <v>1976</v>
      </c>
      <c r="B901" s="2">
        <v>109000926</v>
      </c>
      <c r="C901" s="2" t="s">
        <v>15</v>
      </c>
      <c r="D901" s="2" t="s">
        <v>4484</v>
      </c>
      <c r="E901" s="2" t="s">
        <v>86</v>
      </c>
      <c r="F901" s="2" t="s">
        <v>325</v>
      </c>
      <c r="G901" s="2" t="s">
        <v>41</v>
      </c>
      <c r="H901" s="2" t="s">
        <v>283</v>
      </c>
      <c r="I901" s="2" t="s">
        <v>33</v>
      </c>
      <c r="J901" s="2" t="s">
        <v>124</v>
      </c>
      <c r="K901" s="2" t="s">
        <v>13</v>
      </c>
      <c r="L901" s="2" t="s">
        <v>42</v>
      </c>
      <c r="M901" s="2" t="s">
        <v>75</v>
      </c>
      <c r="N901" s="2" t="s">
        <v>15</v>
      </c>
      <c r="O901" s="2" t="s">
        <v>287</v>
      </c>
      <c r="P901" s="2" t="s">
        <v>1978</v>
      </c>
      <c r="Q901" s="2" t="s">
        <v>4926</v>
      </c>
      <c r="R901" s="2" t="s">
        <v>285</v>
      </c>
      <c r="S901" s="2" t="s">
        <v>125</v>
      </c>
      <c r="T901" s="2" t="s">
        <v>4696</v>
      </c>
      <c r="U901" s="2" t="s">
        <v>12</v>
      </c>
      <c r="V901" s="2" t="s">
        <v>4777</v>
      </c>
      <c r="W901" s="2" t="s">
        <v>4999</v>
      </c>
      <c r="X901" s="2" t="s">
        <v>75</v>
      </c>
      <c r="Y901" s="2" t="s">
        <v>1977</v>
      </c>
      <c r="Z901" s="2" t="s">
        <v>5561</v>
      </c>
      <c r="AA9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9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1" s="6" t="str">
        <f>IF(_xlfn.IFNA(INDEX(configuracoes!$A$2:$A$10,MATCH(base_tc_geral[[#This Row],[TIPO]],configuracoes!$A$2:$A$10,0)),"NÃO")="NÃO","NÃO","SIM")</f>
        <v>SIM</v>
      </c>
    </row>
    <row r="902" spans="1:31" x14ac:dyDescent="0.25">
      <c r="A902" s="2" t="s">
        <v>1846</v>
      </c>
      <c r="B902" s="2">
        <v>109505049</v>
      </c>
      <c r="C902" s="2" t="s">
        <v>15</v>
      </c>
      <c r="D902" s="2" t="s">
        <v>4616</v>
      </c>
      <c r="E902" s="2" t="s">
        <v>86</v>
      </c>
      <c r="F902" s="2" t="s">
        <v>540</v>
      </c>
      <c r="G902" s="2" t="s">
        <v>99</v>
      </c>
      <c r="H902" s="2" t="s">
        <v>283</v>
      </c>
      <c r="I902" s="2" t="s">
        <v>33</v>
      </c>
      <c r="J902" s="2" t="s">
        <v>124</v>
      </c>
      <c r="K902" s="2" t="s">
        <v>13</v>
      </c>
      <c r="L902" s="2" t="s">
        <v>25</v>
      </c>
      <c r="M902" s="2" t="s">
        <v>22</v>
      </c>
      <c r="N902" s="2" t="s">
        <v>15</v>
      </c>
      <c r="O902" s="2" t="s">
        <v>287</v>
      </c>
      <c r="P902" s="2" t="s">
        <v>1848</v>
      </c>
      <c r="Q902" s="2" t="s">
        <v>4926</v>
      </c>
      <c r="R902" s="2" t="s">
        <v>541</v>
      </c>
      <c r="S902" s="2" t="s">
        <v>125</v>
      </c>
      <c r="T902" s="2" t="s">
        <v>4696</v>
      </c>
      <c r="U902" s="2" t="s">
        <v>12</v>
      </c>
      <c r="V902" s="2" t="s">
        <v>4765</v>
      </c>
      <c r="W902" s="2" t="s">
        <v>4931</v>
      </c>
      <c r="X902" s="2" t="s">
        <v>4925</v>
      </c>
      <c r="Y902" s="2" t="s">
        <v>1847</v>
      </c>
      <c r="Z902" s="2" t="s">
        <v>5562</v>
      </c>
      <c r="AA9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9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2" s="6" t="str">
        <f>IF(_xlfn.IFNA(INDEX(configuracoes!$A$2:$A$10,MATCH(base_tc_geral[[#This Row],[TIPO]],configuracoes!$A$2:$A$10,0)),"NÃO")="NÃO","NÃO","SIM")</f>
        <v>SIM</v>
      </c>
    </row>
    <row r="903" spans="1:31" x14ac:dyDescent="0.25">
      <c r="A903" s="2" t="s">
        <v>1559</v>
      </c>
      <c r="B903" s="2">
        <v>109505858</v>
      </c>
      <c r="C903" s="2" t="s">
        <v>15</v>
      </c>
      <c r="D903" s="2" t="s">
        <v>4636</v>
      </c>
      <c r="E903" s="2" t="s">
        <v>86</v>
      </c>
      <c r="F903" s="2" t="s">
        <v>218</v>
      </c>
      <c r="G903" s="2" t="s">
        <v>630</v>
      </c>
      <c r="H903" s="2" t="s">
        <v>217</v>
      </c>
      <c r="I903" s="2" t="s">
        <v>33</v>
      </c>
      <c r="J903" s="2" t="s">
        <v>91</v>
      </c>
      <c r="K903" s="2" t="s">
        <v>20</v>
      </c>
      <c r="L903" s="2" t="s">
        <v>21</v>
      </c>
      <c r="M903" s="2" t="s">
        <v>22</v>
      </c>
      <c r="N903" s="2" t="s">
        <v>15</v>
      </c>
      <c r="O903" s="2" t="s">
        <v>221</v>
      </c>
      <c r="P903" s="2" t="s">
        <v>1561</v>
      </c>
      <c r="Q903" s="2" t="s">
        <v>4926</v>
      </c>
      <c r="R903" s="2" t="s">
        <v>1466</v>
      </c>
      <c r="S903" s="2" t="s">
        <v>93</v>
      </c>
      <c r="T903" s="2" t="s">
        <v>4696</v>
      </c>
      <c r="U903" s="2" t="s">
        <v>12</v>
      </c>
      <c r="V903" s="2" t="s">
        <v>4802</v>
      </c>
      <c r="W903" s="2" t="s">
        <v>4982</v>
      </c>
      <c r="X903" s="2" t="s">
        <v>4925</v>
      </c>
      <c r="Y903" s="2" t="s">
        <v>1560</v>
      </c>
      <c r="Z903" s="2" t="s">
        <v>5563</v>
      </c>
      <c r="AA9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9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3" s="6" t="str">
        <f>IF(_xlfn.IFNA(INDEX(configuracoes!$A$2:$A$10,MATCH(base_tc_geral[[#This Row],[TIPO]],configuracoes!$A$2:$A$10,0)),"NÃO")="NÃO","NÃO","SIM")</f>
        <v>SIM</v>
      </c>
    </row>
    <row r="904" spans="1:31" x14ac:dyDescent="0.25">
      <c r="A904" s="2" t="s">
        <v>803</v>
      </c>
      <c r="B904" s="2">
        <v>101001670</v>
      </c>
      <c r="C904" s="2" t="s">
        <v>15</v>
      </c>
      <c r="D904" s="2" t="s">
        <v>4487</v>
      </c>
      <c r="E904" s="2" t="s">
        <v>47</v>
      </c>
      <c r="F904" s="2" t="s">
        <v>225</v>
      </c>
      <c r="G904" s="2" t="s">
        <v>245</v>
      </c>
      <c r="H904" s="2" t="s">
        <v>224</v>
      </c>
      <c r="I904" s="2" t="s">
        <v>16</v>
      </c>
      <c r="J904" s="2" t="s">
        <v>227</v>
      </c>
      <c r="K904" s="2" t="s">
        <v>20</v>
      </c>
      <c r="L904" s="2" t="s">
        <v>21</v>
      </c>
      <c r="M904" s="2" t="s">
        <v>22</v>
      </c>
      <c r="N904" s="2" t="s">
        <v>15</v>
      </c>
      <c r="O904" s="2" t="s">
        <v>229</v>
      </c>
      <c r="P904" s="2" t="s">
        <v>805</v>
      </c>
      <c r="Q904" s="2" t="s">
        <v>4926</v>
      </c>
      <c r="R904" s="2" t="s">
        <v>226</v>
      </c>
      <c r="S904" s="2" t="s">
        <v>4698</v>
      </c>
      <c r="T904" s="2" t="s">
        <v>4697</v>
      </c>
      <c r="U904" s="2" t="s">
        <v>12</v>
      </c>
      <c r="V904" s="2" t="s">
        <v>4844</v>
      </c>
      <c r="W904" s="2" t="s">
        <v>4982</v>
      </c>
      <c r="X904" s="2" t="s">
        <v>4925</v>
      </c>
      <c r="Y904" s="2" t="s">
        <v>804</v>
      </c>
      <c r="Z904" s="2" t="s">
        <v>6140</v>
      </c>
      <c r="AA9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9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4" s="6" t="str">
        <f>IF(_xlfn.IFNA(INDEX(configuracoes!$A$2:$A$10,MATCH(base_tc_geral[[#This Row],[TIPO]],configuracoes!$A$2:$A$10,0)),"NÃO")="NÃO","NÃO","SIM")</f>
        <v>SIM</v>
      </c>
    </row>
    <row r="905" spans="1:31" x14ac:dyDescent="0.25">
      <c r="A905" s="2" t="s">
        <v>4302</v>
      </c>
      <c r="B905" s="2">
        <v>101001782</v>
      </c>
      <c r="C905" s="2" t="s">
        <v>15</v>
      </c>
      <c r="D905" s="2" t="s">
        <v>4781</v>
      </c>
      <c r="E905" s="2" t="s">
        <v>47</v>
      </c>
      <c r="F905" s="2" t="s">
        <v>464</v>
      </c>
      <c r="G905" s="2" t="s">
        <v>637</v>
      </c>
      <c r="H905" s="2" t="s">
        <v>48</v>
      </c>
      <c r="I905" s="2" t="s">
        <v>16</v>
      </c>
      <c r="J905" s="2" t="s">
        <v>48</v>
      </c>
      <c r="K905" s="2" t="s">
        <v>20</v>
      </c>
      <c r="L905" s="2" t="s">
        <v>19</v>
      </c>
      <c r="M905" s="2" t="s">
        <v>22</v>
      </c>
      <c r="N905" s="2" t="s">
        <v>15</v>
      </c>
      <c r="O905" s="2" t="s">
        <v>53</v>
      </c>
      <c r="P905" s="2" t="s">
        <v>4304</v>
      </c>
      <c r="Q905" s="2" t="s">
        <v>4926</v>
      </c>
      <c r="R905" s="2" t="s">
        <v>512</v>
      </c>
      <c r="S905" s="2" t="s">
        <v>51</v>
      </c>
      <c r="T905" s="2" t="s">
        <v>4697</v>
      </c>
      <c r="U905" s="2" t="s">
        <v>12</v>
      </c>
      <c r="V905" s="2" t="s">
        <v>4861</v>
      </c>
      <c r="W905" s="2" t="s">
        <v>4982</v>
      </c>
      <c r="X905" s="2" t="s">
        <v>4925</v>
      </c>
      <c r="Y905" s="2" t="s">
        <v>4303</v>
      </c>
      <c r="Z905" s="2" t="s">
        <v>6141</v>
      </c>
      <c r="AA9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9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5" s="6" t="str">
        <f>IF(_xlfn.IFNA(INDEX(configuracoes!$A$2:$A$10,MATCH(base_tc_geral[[#This Row],[TIPO]],configuracoes!$A$2:$A$10,0)),"NÃO")="NÃO","NÃO","SIM")</f>
        <v>SIM</v>
      </c>
    </row>
    <row r="906" spans="1:31" x14ac:dyDescent="0.25">
      <c r="A906" s="2" t="s">
        <v>1012</v>
      </c>
      <c r="B906" s="2">
        <v>109500177</v>
      </c>
      <c r="C906" s="2" t="s">
        <v>15</v>
      </c>
      <c r="D906" s="2" t="s">
        <v>4502</v>
      </c>
      <c r="E906" s="2" t="s">
        <v>86</v>
      </c>
      <c r="F906" s="2" t="s">
        <v>445</v>
      </c>
      <c r="G906" s="2" t="s">
        <v>245</v>
      </c>
      <c r="H906" s="2" t="s">
        <v>122</v>
      </c>
      <c r="I906" s="2" t="s">
        <v>33</v>
      </c>
      <c r="J906" s="2" t="s">
        <v>124</v>
      </c>
      <c r="K906" s="2" t="s">
        <v>20</v>
      </c>
      <c r="L906" s="2" t="s">
        <v>21</v>
      </c>
      <c r="M906" s="2" t="s">
        <v>22</v>
      </c>
      <c r="N906" s="2" t="s">
        <v>15</v>
      </c>
      <c r="O906" s="2" t="s">
        <v>129</v>
      </c>
      <c r="P906" s="2" t="s">
        <v>1014</v>
      </c>
      <c r="Q906" s="2" t="s">
        <v>4926</v>
      </c>
      <c r="R906" s="2" t="s">
        <v>447</v>
      </c>
      <c r="S906" s="2" t="s">
        <v>125</v>
      </c>
      <c r="T906" s="2" t="s">
        <v>4696</v>
      </c>
      <c r="U906" s="2" t="s">
        <v>12</v>
      </c>
      <c r="V906" s="2" t="s">
        <v>4771</v>
      </c>
      <c r="W906" s="2" t="s">
        <v>4982</v>
      </c>
      <c r="X906" s="2" t="s">
        <v>4925</v>
      </c>
      <c r="Y906" s="2" t="s">
        <v>1013</v>
      </c>
      <c r="Z906" s="2" t="s">
        <v>6142</v>
      </c>
      <c r="AA9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9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6" s="6" t="str">
        <f>IF(_xlfn.IFNA(INDEX(configuracoes!$A$2:$A$10,MATCH(base_tc_geral[[#This Row],[TIPO]],configuracoes!$A$2:$A$10,0)),"NÃO")="NÃO","NÃO","SIM")</f>
        <v>SIM</v>
      </c>
    </row>
    <row r="907" spans="1:31" x14ac:dyDescent="0.25">
      <c r="A907" s="2" t="s">
        <v>345</v>
      </c>
      <c r="B907" s="2">
        <v>101001488</v>
      </c>
      <c r="C907" s="2" t="s">
        <v>15</v>
      </c>
      <c r="D907" s="2" t="s">
        <v>4493</v>
      </c>
      <c r="E907" s="2" t="s">
        <v>47</v>
      </c>
      <c r="F907" s="2" t="s">
        <v>264</v>
      </c>
      <c r="G907" s="2" t="s">
        <v>648</v>
      </c>
      <c r="H907" s="2" t="s">
        <v>227</v>
      </c>
      <c r="I907" s="2" t="s">
        <v>16</v>
      </c>
      <c r="J907" s="2" t="s">
        <v>227</v>
      </c>
      <c r="K907" s="2" t="s">
        <v>13</v>
      </c>
      <c r="L907" s="2" t="s">
        <v>25</v>
      </c>
      <c r="M907" s="2" t="s">
        <v>22</v>
      </c>
      <c r="N907" s="2" t="s">
        <v>15</v>
      </c>
      <c r="O907" s="2" t="s">
        <v>266</v>
      </c>
      <c r="P907" s="2" t="s">
        <v>347</v>
      </c>
      <c r="Q907" s="2" t="s">
        <v>4926</v>
      </c>
      <c r="R907" s="2" t="s">
        <v>252</v>
      </c>
      <c r="S907" s="2" t="s">
        <v>101</v>
      </c>
      <c r="T907" s="2" t="s">
        <v>4697</v>
      </c>
      <c r="U907" s="2" t="s">
        <v>12</v>
      </c>
      <c r="V907" s="2" t="s">
        <v>4838</v>
      </c>
      <c r="W907" s="2" t="s">
        <v>4931</v>
      </c>
      <c r="X907" s="2" t="s">
        <v>4925</v>
      </c>
      <c r="Y907" s="2" t="s">
        <v>346</v>
      </c>
      <c r="Z907" s="2" t="s">
        <v>6143</v>
      </c>
      <c r="AA9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9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7" s="6" t="str">
        <f>IF(_xlfn.IFNA(INDEX(configuracoes!$A$2:$A$10,MATCH(base_tc_geral[[#This Row],[TIPO]],configuracoes!$A$2:$A$10,0)),"NÃO")="NÃO","NÃO","SIM")</f>
        <v>SIM</v>
      </c>
    </row>
    <row r="908" spans="1:31" x14ac:dyDescent="0.25">
      <c r="A908" s="2" t="s">
        <v>2956</v>
      </c>
      <c r="B908" s="2">
        <v>101001782</v>
      </c>
      <c r="C908" s="2" t="s">
        <v>15</v>
      </c>
      <c r="D908" s="2" t="s">
        <v>4656</v>
      </c>
      <c r="E908" s="2" t="s">
        <v>47</v>
      </c>
      <c r="F908" s="2" t="s">
        <v>511</v>
      </c>
      <c r="G908" s="2" t="s">
        <v>637</v>
      </c>
      <c r="H908" s="2" t="s">
        <v>48</v>
      </c>
      <c r="I908" s="2" t="s">
        <v>16</v>
      </c>
      <c r="J908" s="2" t="s">
        <v>48</v>
      </c>
      <c r="K908" s="2" t="s">
        <v>20</v>
      </c>
      <c r="L908" s="2" t="s">
        <v>19</v>
      </c>
      <c r="M908" s="2" t="s">
        <v>22</v>
      </c>
      <c r="N908" s="2" t="s">
        <v>15</v>
      </c>
      <c r="O908" s="2" t="s">
        <v>53</v>
      </c>
      <c r="P908" s="2" t="s">
        <v>2958</v>
      </c>
      <c r="Q908" s="2" t="s">
        <v>4926</v>
      </c>
      <c r="R908" s="2" t="s">
        <v>512</v>
      </c>
      <c r="S908" s="2" t="s">
        <v>51</v>
      </c>
      <c r="T908" s="2" t="s">
        <v>4697</v>
      </c>
      <c r="U908" s="2" t="s">
        <v>12</v>
      </c>
      <c r="V908" s="2" t="s">
        <v>4861</v>
      </c>
      <c r="W908" s="2" t="s">
        <v>4982</v>
      </c>
      <c r="X908" s="2" t="s">
        <v>4925</v>
      </c>
      <c r="Y908" s="2" t="s">
        <v>2957</v>
      </c>
      <c r="Z908" s="2" t="s">
        <v>6144</v>
      </c>
      <c r="AA9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9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8" s="6" t="str">
        <f>IF(_xlfn.IFNA(INDEX(configuracoes!$A$2:$A$10,MATCH(base_tc_geral[[#This Row],[TIPO]],configuracoes!$A$2:$A$10,0)),"NÃO")="NÃO","NÃO","SIM")</f>
        <v>SIM</v>
      </c>
    </row>
    <row r="909" spans="1:31" x14ac:dyDescent="0.25">
      <c r="A909" s="2" t="s">
        <v>4074</v>
      </c>
      <c r="B909" s="2">
        <v>109506091</v>
      </c>
      <c r="C909" s="2" t="s">
        <v>15</v>
      </c>
      <c r="D909" s="2" t="s">
        <v>4488</v>
      </c>
      <c r="E909" s="2" t="s">
        <v>86</v>
      </c>
      <c r="F909" s="2" t="s">
        <v>123</v>
      </c>
      <c r="G909" s="2" t="s">
        <v>245</v>
      </c>
      <c r="H909" s="2" t="s">
        <v>122</v>
      </c>
      <c r="I909" s="2" t="s">
        <v>33</v>
      </c>
      <c r="J909" s="2" t="s">
        <v>124</v>
      </c>
      <c r="K909" s="2" t="s">
        <v>20</v>
      </c>
      <c r="L909" s="2" t="s">
        <v>21</v>
      </c>
      <c r="M909" s="2" t="s">
        <v>22</v>
      </c>
      <c r="N909" s="2" t="s">
        <v>15</v>
      </c>
      <c r="O909" s="2" t="s">
        <v>129</v>
      </c>
      <c r="P909" s="2" t="s">
        <v>4076</v>
      </c>
      <c r="Q909" s="2" t="s">
        <v>4926</v>
      </c>
      <c r="R909" s="2" t="s">
        <v>2683</v>
      </c>
      <c r="S909" s="2" t="s">
        <v>125</v>
      </c>
      <c r="T909" s="2" t="s">
        <v>4696</v>
      </c>
      <c r="U909" s="2" t="s">
        <v>12</v>
      </c>
      <c r="V909" s="2" t="s">
        <v>4784</v>
      </c>
      <c r="W909" s="2" t="s">
        <v>4982</v>
      </c>
      <c r="X909" s="2" t="s">
        <v>4925</v>
      </c>
      <c r="Y909" s="2" t="s">
        <v>4075</v>
      </c>
      <c r="Z909" s="2" t="s">
        <v>6145</v>
      </c>
      <c r="AA9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9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09" s="6" t="str">
        <f>IF(_xlfn.IFNA(INDEX(configuracoes!$A$2:$A$10,MATCH(base_tc_geral[[#This Row],[TIPO]],configuracoes!$A$2:$A$10,0)),"NÃO")="NÃO","NÃO","SIM")</f>
        <v>SIM</v>
      </c>
    </row>
    <row r="910" spans="1:31" x14ac:dyDescent="0.25">
      <c r="A910" s="2" t="s">
        <v>584</v>
      </c>
      <c r="B910" s="2">
        <v>105000986</v>
      </c>
      <c r="C910" s="2" t="s">
        <v>15</v>
      </c>
      <c r="D910" s="2" t="s">
        <v>4516</v>
      </c>
      <c r="E910" s="2" t="s">
        <v>28</v>
      </c>
      <c r="F910" s="2" t="s">
        <v>586</v>
      </c>
      <c r="G910" s="2" t="s">
        <v>58</v>
      </c>
      <c r="H910" s="2" t="s">
        <v>79</v>
      </c>
      <c r="I910" s="2" t="s">
        <v>33</v>
      </c>
      <c r="J910" s="2" t="s">
        <v>34</v>
      </c>
      <c r="K910" s="2" t="s">
        <v>13</v>
      </c>
      <c r="L910" s="2" t="s">
        <v>61</v>
      </c>
      <c r="M910" s="2" t="s">
        <v>44</v>
      </c>
      <c r="N910" s="2" t="s">
        <v>15</v>
      </c>
      <c r="O910" s="2" t="s">
        <v>83</v>
      </c>
      <c r="P910" s="2" t="s">
        <v>587</v>
      </c>
      <c r="Q910" s="2" t="s">
        <v>4926</v>
      </c>
      <c r="R910" s="2" t="s">
        <v>81</v>
      </c>
      <c r="S910" s="2" t="s">
        <v>167</v>
      </c>
      <c r="T910" s="2" t="s">
        <v>167</v>
      </c>
      <c r="U910" s="2" t="s">
        <v>12</v>
      </c>
      <c r="V910" s="2" t="s">
        <v>4767</v>
      </c>
      <c r="W910" s="2" t="s">
        <v>4999</v>
      </c>
      <c r="X910" s="2" t="s">
        <v>44</v>
      </c>
      <c r="Y910" s="2" t="s">
        <v>585</v>
      </c>
      <c r="Z910" s="2" t="s">
        <v>6146</v>
      </c>
      <c r="AA9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9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0" s="6" t="str">
        <f>IF(_xlfn.IFNA(INDEX(configuracoes!$A$2:$A$10,MATCH(base_tc_geral[[#This Row],[TIPO]],configuracoes!$A$2:$A$10,0)),"NÃO")="NÃO","NÃO","SIM")</f>
        <v>NÃO</v>
      </c>
    </row>
    <row r="911" spans="1:31" x14ac:dyDescent="0.25">
      <c r="A911" s="2" t="s">
        <v>3009</v>
      </c>
      <c r="B911" s="2">
        <v>109000499</v>
      </c>
      <c r="C911" s="2" t="s">
        <v>15</v>
      </c>
      <c r="D911" s="2" t="s">
        <v>4481</v>
      </c>
      <c r="E911" s="2" t="s">
        <v>86</v>
      </c>
      <c r="F911" s="2" t="s">
        <v>497</v>
      </c>
      <c r="G911" s="2" t="s">
        <v>136</v>
      </c>
      <c r="H911" s="2" t="s">
        <v>164</v>
      </c>
      <c r="I911" s="2" t="s">
        <v>33</v>
      </c>
      <c r="J911" s="2" t="s">
        <v>124</v>
      </c>
      <c r="K911" s="2" t="s">
        <v>13</v>
      </c>
      <c r="L911" s="2" t="s">
        <v>72</v>
      </c>
      <c r="M911" s="2" t="s">
        <v>73</v>
      </c>
      <c r="N911" s="2" t="s">
        <v>15</v>
      </c>
      <c r="O911" s="2" t="s">
        <v>169</v>
      </c>
      <c r="P911" s="2" t="s">
        <v>3011</v>
      </c>
      <c r="Q911" s="2" t="s">
        <v>4926</v>
      </c>
      <c r="R911" s="2" t="s">
        <v>321</v>
      </c>
      <c r="S911" s="2" t="s">
        <v>93</v>
      </c>
      <c r="T911" s="2" t="s">
        <v>4696</v>
      </c>
      <c r="U911" s="2" t="s">
        <v>12</v>
      </c>
      <c r="V911" s="2" t="s">
        <v>4783</v>
      </c>
      <c r="W911" s="2" t="s">
        <v>72</v>
      </c>
      <c r="X911" s="2" t="s">
        <v>5011</v>
      </c>
      <c r="Y911" s="2" t="s">
        <v>3010</v>
      </c>
      <c r="Z911" s="2" t="s">
        <v>6147</v>
      </c>
      <c r="AA9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9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1" s="6" t="str">
        <f>IF(_xlfn.IFNA(INDEX(configuracoes!$A$2:$A$10,MATCH(base_tc_geral[[#This Row],[TIPO]],configuracoes!$A$2:$A$10,0)),"NÃO")="NÃO","NÃO","SIM")</f>
        <v>NÃO</v>
      </c>
    </row>
    <row r="912" spans="1:31" x14ac:dyDescent="0.25">
      <c r="A912" s="2" t="s">
        <v>3373</v>
      </c>
      <c r="B912" s="2">
        <v>101006811</v>
      </c>
      <c r="C912" s="2" t="s">
        <v>15</v>
      </c>
      <c r="D912" s="2" t="s">
        <v>4781</v>
      </c>
      <c r="E912" s="2" t="s">
        <v>47</v>
      </c>
      <c r="F912" s="2" t="s">
        <v>49</v>
      </c>
      <c r="G912" s="2" t="s">
        <v>58</v>
      </c>
      <c r="H912" s="2" t="s">
        <v>48</v>
      </c>
      <c r="I912" s="2" t="s">
        <v>16</v>
      </c>
      <c r="J912" s="2" t="s">
        <v>48</v>
      </c>
      <c r="K912" s="2" t="s">
        <v>92</v>
      </c>
      <c r="L912" s="2" t="s">
        <v>61</v>
      </c>
      <c r="M912" s="2" t="s">
        <v>44</v>
      </c>
      <c r="N912" s="2" t="s">
        <v>15</v>
      </c>
      <c r="O912" s="2" t="s">
        <v>53</v>
      </c>
      <c r="P912" s="2" t="s">
        <v>3375</v>
      </c>
      <c r="Q912" s="2" t="s">
        <v>4926</v>
      </c>
      <c r="R912" s="2" t="s">
        <v>50</v>
      </c>
      <c r="S912" s="2" t="s">
        <v>51</v>
      </c>
      <c r="T912" s="2" t="s">
        <v>4697</v>
      </c>
      <c r="U912" s="2" t="s">
        <v>12</v>
      </c>
      <c r="V912" s="2" t="s">
        <v>4860</v>
      </c>
      <c r="W912" s="2" t="s">
        <v>5013</v>
      </c>
      <c r="X912" s="2" t="s">
        <v>44</v>
      </c>
      <c r="Y912" s="2" t="s">
        <v>3374</v>
      </c>
      <c r="Z912" s="2" t="s">
        <v>6148</v>
      </c>
      <c r="AA9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9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2" s="6" t="str">
        <f>IF(_xlfn.IFNA(INDEX(configuracoes!$A$2:$A$10,MATCH(base_tc_geral[[#This Row],[TIPO]],configuracoes!$A$2:$A$10,0)),"NÃO")="NÃO","NÃO","SIM")</f>
        <v>NÃO</v>
      </c>
    </row>
    <row r="913" spans="1:31" x14ac:dyDescent="0.25">
      <c r="A913" s="2" t="s">
        <v>2360</v>
      </c>
      <c r="B913" s="2">
        <v>105302862</v>
      </c>
      <c r="C913" s="2" t="s">
        <v>15</v>
      </c>
      <c r="D913" s="2" t="s">
        <v>4565</v>
      </c>
      <c r="E913" s="2" t="s">
        <v>28</v>
      </c>
      <c r="F913" s="2" t="s">
        <v>423</v>
      </c>
      <c r="G913" s="2" t="s">
        <v>58</v>
      </c>
      <c r="H913" s="2" t="s">
        <v>34</v>
      </c>
      <c r="I913" s="2" t="s">
        <v>33</v>
      </c>
      <c r="J913" s="2" t="s">
        <v>34</v>
      </c>
      <c r="K913" s="2" t="s">
        <v>13</v>
      </c>
      <c r="L913" s="2" t="s">
        <v>61</v>
      </c>
      <c r="M913" s="2" t="s">
        <v>38</v>
      </c>
      <c r="N913" s="2" t="s">
        <v>15</v>
      </c>
      <c r="O913" s="2" t="s">
        <v>156</v>
      </c>
      <c r="P913" s="2" t="s">
        <v>2362</v>
      </c>
      <c r="Q913" s="2" t="s">
        <v>4926</v>
      </c>
      <c r="R913" s="2" t="s">
        <v>963</v>
      </c>
      <c r="S913" s="2" t="s">
        <v>260</v>
      </c>
      <c r="T913" s="2" t="s">
        <v>167</v>
      </c>
      <c r="U913" s="2" t="s">
        <v>12</v>
      </c>
      <c r="V913" s="2" t="s">
        <v>4804</v>
      </c>
      <c r="W913" s="2" t="s">
        <v>4984</v>
      </c>
      <c r="X913" s="2" t="s">
        <v>38</v>
      </c>
      <c r="Y913" s="2" t="s">
        <v>2361</v>
      </c>
      <c r="Z913" s="2" t="s">
        <v>6149</v>
      </c>
      <c r="AA9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PAULO PEREIRA </v>
      </c>
      <c r="AB9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9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3" s="6" t="str">
        <f>IF(_xlfn.IFNA(INDEX(configuracoes!$A$2:$A$10,MATCH(base_tc_geral[[#This Row],[TIPO]],configuracoes!$A$2:$A$10,0)),"NÃO")="NÃO","NÃO","SIM")</f>
        <v>NÃO</v>
      </c>
    </row>
    <row r="914" spans="1:31" x14ac:dyDescent="0.25">
      <c r="A914" s="2" t="s">
        <v>2000</v>
      </c>
      <c r="B914" s="2">
        <v>109000943</v>
      </c>
      <c r="C914" s="2" t="s">
        <v>15</v>
      </c>
      <c r="D914" s="2" t="s">
        <v>4489</v>
      </c>
      <c r="E914" s="2" t="s">
        <v>86</v>
      </c>
      <c r="F914" s="2" t="s">
        <v>205</v>
      </c>
      <c r="G914" s="2" t="s">
        <v>245</v>
      </c>
      <c r="H914" s="2" t="s">
        <v>122</v>
      </c>
      <c r="I914" s="2" t="s">
        <v>33</v>
      </c>
      <c r="J914" s="2" t="s">
        <v>124</v>
      </c>
      <c r="K914" s="2" t="s">
        <v>20</v>
      </c>
      <c r="L914" s="2" t="s">
        <v>21</v>
      </c>
      <c r="M914" s="2" t="s">
        <v>22</v>
      </c>
      <c r="N914" s="2" t="s">
        <v>15</v>
      </c>
      <c r="O914" s="2" t="s">
        <v>129</v>
      </c>
      <c r="P914" s="2" t="s">
        <v>2002</v>
      </c>
      <c r="Q914" s="2" t="s">
        <v>4926</v>
      </c>
      <c r="R914" s="2" t="s">
        <v>206</v>
      </c>
      <c r="S914" s="2" t="s">
        <v>125</v>
      </c>
      <c r="T914" s="2" t="s">
        <v>4696</v>
      </c>
      <c r="U914" s="2" t="s">
        <v>12</v>
      </c>
      <c r="V914" s="2" t="s">
        <v>4771</v>
      </c>
      <c r="W914" s="2" t="s">
        <v>4982</v>
      </c>
      <c r="X914" s="2" t="s">
        <v>4925</v>
      </c>
      <c r="Y914" s="2" t="s">
        <v>2001</v>
      </c>
      <c r="Z914" s="2" t="s">
        <v>6150</v>
      </c>
      <c r="AA9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9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4" s="6" t="str">
        <f>IF(_xlfn.IFNA(INDEX(configuracoes!$A$2:$A$10,MATCH(base_tc_geral[[#This Row],[TIPO]],configuracoes!$A$2:$A$10,0)),"NÃO")="NÃO","NÃO","SIM")</f>
        <v>SIM</v>
      </c>
    </row>
    <row r="915" spans="1:31" x14ac:dyDescent="0.25">
      <c r="A915" s="2" t="s">
        <v>4141</v>
      </c>
      <c r="B915" s="2">
        <v>109505719</v>
      </c>
      <c r="C915" s="2" t="s">
        <v>15</v>
      </c>
      <c r="D915" s="2" t="s">
        <v>4624</v>
      </c>
      <c r="E915" s="2" t="s">
        <v>86</v>
      </c>
      <c r="F915" s="2" t="s">
        <v>1974</v>
      </c>
      <c r="G915" s="2" t="s">
        <v>245</v>
      </c>
      <c r="H915" s="2" t="s">
        <v>283</v>
      </c>
      <c r="I915" s="2" t="s">
        <v>33</v>
      </c>
      <c r="J915" s="2" t="s">
        <v>124</v>
      </c>
      <c r="K915" s="2" t="s">
        <v>20</v>
      </c>
      <c r="L915" s="2" t="s">
        <v>21</v>
      </c>
      <c r="M915" s="2" t="s">
        <v>4143</v>
      </c>
      <c r="N915" s="2" t="s">
        <v>15</v>
      </c>
      <c r="O915" s="2" t="s">
        <v>287</v>
      </c>
      <c r="P915" s="2" t="s">
        <v>4144</v>
      </c>
      <c r="Q915" s="2" t="s">
        <v>4926</v>
      </c>
      <c r="R915" s="2" t="s">
        <v>4138</v>
      </c>
      <c r="S915" s="2" t="s">
        <v>4703</v>
      </c>
      <c r="T915" s="2" t="s">
        <v>4701</v>
      </c>
      <c r="U915" s="2" t="s">
        <v>39</v>
      </c>
      <c r="V915" s="2" t="s">
        <v>4777</v>
      </c>
      <c r="W915" s="2" t="s">
        <v>5534</v>
      </c>
      <c r="X915" s="2" t="s">
        <v>5527</v>
      </c>
      <c r="Y915" s="2" t="s">
        <v>4142</v>
      </c>
      <c r="Z915" s="2" t="s">
        <v>6151</v>
      </c>
      <c r="AA9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DIEGO MARTINS </v>
      </c>
      <c r="AB9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FERREIRA </v>
      </c>
      <c r="AC9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9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5" s="6" t="str">
        <f>IF(_xlfn.IFNA(INDEX(configuracoes!$A$2:$A$10,MATCH(base_tc_geral[[#This Row],[TIPO]],configuracoes!$A$2:$A$10,0)),"NÃO")="NÃO","NÃO","SIM")</f>
        <v>SIM</v>
      </c>
    </row>
    <row r="916" spans="1:31" x14ac:dyDescent="0.25">
      <c r="A916" s="2" t="s">
        <v>2427</v>
      </c>
      <c r="B916" s="2">
        <v>105000986</v>
      </c>
      <c r="C916" s="2" t="s">
        <v>15</v>
      </c>
      <c r="D916" s="2" t="s">
        <v>4499</v>
      </c>
      <c r="E916" s="2" t="s">
        <v>28</v>
      </c>
      <c r="F916" s="2" t="s">
        <v>80</v>
      </c>
      <c r="G916" s="2" t="s">
        <v>637</v>
      </c>
      <c r="H916" s="2" t="s">
        <v>79</v>
      </c>
      <c r="I916" s="2" t="s">
        <v>33</v>
      </c>
      <c r="J916" s="2" t="s">
        <v>34</v>
      </c>
      <c r="K916" s="2" t="s">
        <v>20</v>
      </c>
      <c r="L916" s="2" t="s">
        <v>19</v>
      </c>
      <c r="M916" s="2" t="s">
        <v>22</v>
      </c>
      <c r="N916" s="2" t="s">
        <v>15</v>
      </c>
      <c r="O916" s="2" t="s">
        <v>83</v>
      </c>
      <c r="P916" s="2" t="s">
        <v>2429</v>
      </c>
      <c r="Q916" s="2" t="s">
        <v>4926</v>
      </c>
      <c r="R916" s="2" t="s">
        <v>81</v>
      </c>
      <c r="S916" s="2" t="s">
        <v>167</v>
      </c>
      <c r="T916" s="2" t="s">
        <v>167</v>
      </c>
      <c r="U916" s="2" t="s">
        <v>12</v>
      </c>
      <c r="V916" s="2" t="s">
        <v>4767</v>
      </c>
      <c r="W916" s="2" t="s">
        <v>4982</v>
      </c>
      <c r="X916" s="2" t="s">
        <v>4925</v>
      </c>
      <c r="Y916" s="2" t="s">
        <v>2428</v>
      </c>
      <c r="Z916" s="2" t="s">
        <v>6152</v>
      </c>
      <c r="AA9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9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6" s="6" t="str">
        <f>IF(_xlfn.IFNA(INDEX(configuracoes!$A$2:$A$10,MATCH(base_tc_geral[[#This Row],[TIPO]],configuracoes!$A$2:$A$10,0)),"NÃO")="NÃO","NÃO","SIM")</f>
        <v>SIM</v>
      </c>
    </row>
    <row r="917" spans="1:31" x14ac:dyDescent="0.25">
      <c r="A917" s="2" t="s">
        <v>658</v>
      </c>
      <c r="B917" s="2">
        <v>101010210</v>
      </c>
      <c r="C917" s="2" t="s">
        <v>15</v>
      </c>
      <c r="D917" s="2" t="s">
        <v>4490</v>
      </c>
      <c r="E917" s="2" t="s">
        <v>47</v>
      </c>
      <c r="F917" s="2" t="s">
        <v>159</v>
      </c>
      <c r="G917" s="2" t="s">
        <v>99</v>
      </c>
      <c r="H917" s="2" t="s">
        <v>60</v>
      </c>
      <c r="I917" s="2" t="s">
        <v>16</v>
      </c>
      <c r="J917" s="2" t="s">
        <v>60</v>
      </c>
      <c r="K917" s="2" t="s">
        <v>20</v>
      </c>
      <c r="L917" s="2" t="s">
        <v>25</v>
      </c>
      <c r="M917" s="2" t="s">
        <v>22</v>
      </c>
      <c r="N917" s="2" t="s">
        <v>15</v>
      </c>
      <c r="O917" s="2" t="s">
        <v>161</v>
      </c>
      <c r="P917" s="2" t="s">
        <v>660</v>
      </c>
      <c r="Q917" s="2" t="s">
        <v>4926</v>
      </c>
      <c r="R917" s="2" t="s">
        <v>294</v>
      </c>
      <c r="S917" s="2" t="s">
        <v>101</v>
      </c>
      <c r="T917" s="2" t="s">
        <v>4697</v>
      </c>
      <c r="U917" s="2" t="s">
        <v>12</v>
      </c>
      <c r="V917" s="2" t="s">
        <v>4809</v>
      </c>
      <c r="W917" s="2" t="s">
        <v>4931</v>
      </c>
      <c r="X917" s="2" t="s">
        <v>4925</v>
      </c>
      <c r="Y917" s="2" t="s">
        <v>659</v>
      </c>
      <c r="Z917" s="2" t="s">
        <v>5564</v>
      </c>
      <c r="AA9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9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7" s="6" t="str">
        <f>IF(_xlfn.IFNA(INDEX(configuracoes!$A$2:$A$10,MATCH(base_tc_geral[[#This Row],[TIPO]],configuracoes!$A$2:$A$10,0)),"NÃO")="NÃO","NÃO","SIM")</f>
        <v>SIM</v>
      </c>
    </row>
    <row r="918" spans="1:31" x14ac:dyDescent="0.25">
      <c r="A918" s="2" t="s">
        <v>4151</v>
      </c>
      <c r="B918" s="2">
        <v>109506174</v>
      </c>
      <c r="C918" s="2" t="s">
        <v>15</v>
      </c>
      <c r="D918" s="2" t="s">
        <v>4483</v>
      </c>
      <c r="E918" s="2" t="s">
        <v>86</v>
      </c>
      <c r="F918" s="2" t="s">
        <v>840</v>
      </c>
      <c r="G918" s="2" t="s">
        <v>637</v>
      </c>
      <c r="H918" s="2" t="s">
        <v>198</v>
      </c>
      <c r="I918" s="2" t="s">
        <v>33</v>
      </c>
      <c r="J918" s="2" t="s">
        <v>91</v>
      </c>
      <c r="K918" s="2" t="s">
        <v>20</v>
      </c>
      <c r="L918" s="2" t="s">
        <v>19</v>
      </c>
      <c r="M918" s="2" t="s">
        <v>22</v>
      </c>
      <c r="N918" s="2" t="s">
        <v>15</v>
      </c>
      <c r="O918" s="2" t="s">
        <v>201</v>
      </c>
      <c r="P918" s="2" t="s">
        <v>4153</v>
      </c>
      <c r="Q918" s="2" t="s">
        <v>4926</v>
      </c>
      <c r="R918" s="2" t="s">
        <v>2782</v>
      </c>
      <c r="S918" s="2" t="s">
        <v>93</v>
      </c>
      <c r="T918" s="2" t="s">
        <v>4696</v>
      </c>
      <c r="U918" s="2" t="s">
        <v>12</v>
      </c>
      <c r="V918" s="2" t="s">
        <v>4796</v>
      </c>
      <c r="W918" s="2" t="s">
        <v>4982</v>
      </c>
      <c r="X918" s="2" t="s">
        <v>4925</v>
      </c>
      <c r="Y918" s="2" t="s">
        <v>4152</v>
      </c>
      <c r="Z918" s="2" t="s">
        <v>5565</v>
      </c>
      <c r="AA9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9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8" s="6" t="str">
        <f>IF(_xlfn.IFNA(INDEX(configuracoes!$A$2:$A$10,MATCH(base_tc_geral[[#This Row],[TIPO]],configuracoes!$A$2:$A$10,0)),"NÃO")="NÃO","NÃO","SIM")</f>
        <v>SIM</v>
      </c>
    </row>
    <row r="919" spans="1:31" x14ac:dyDescent="0.25">
      <c r="A919" s="2" t="s">
        <v>4034</v>
      </c>
      <c r="B919" s="2">
        <v>109000340</v>
      </c>
      <c r="C919" s="2" t="s">
        <v>15</v>
      </c>
      <c r="D919" s="2" t="s">
        <v>4507</v>
      </c>
      <c r="E919" s="2" t="s">
        <v>86</v>
      </c>
      <c r="F919" s="2" t="s">
        <v>88</v>
      </c>
      <c r="G919" s="2" t="s">
        <v>172</v>
      </c>
      <c r="H919" s="2" t="s">
        <v>87</v>
      </c>
      <c r="I919" s="2" t="s">
        <v>33</v>
      </c>
      <c r="J919" s="2" t="s">
        <v>91</v>
      </c>
      <c r="K919" s="2" t="s">
        <v>13</v>
      </c>
      <c r="L919" s="2" t="s">
        <v>17</v>
      </c>
      <c r="M919" s="2" t="s">
        <v>18</v>
      </c>
      <c r="N919" s="2" t="s">
        <v>15</v>
      </c>
      <c r="O919" s="2" t="s">
        <v>95</v>
      </c>
      <c r="P919" s="2" t="s">
        <v>4036</v>
      </c>
      <c r="Q919" s="2" t="s">
        <v>4926</v>
      </c>
      <c r="R919" s="2" t="s">
        <v>90</v>
      </c>
      <c r="S919" s="2" t="s">
        <v>93</v>
      </c>
      <c r="T919" s="2" t="s">
        <v>4696</v>
      </c>
      <c r="U919" s="2" t="s">
        <v>12</v>
      </c>
      <c r="V919" s="2" t="s">
        <v>4796</v>
      </c>
      <c r="W919" s="2" t="s">
        <v>17</v>
      </c>
      <c r="X919" s="2" t="s">
        <v>4998</v>
      </c>
      <c r="Y919" s="2" t="s">
        <v>4035</v>
      </c>
      <c r="Z919" s="2" t="s">
        <v>5566</v>
      </c>
      <c r="AA9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9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19" s="6" t="str">
        <f>IF(_xlfn.IFNA(INDEX(configuracoes!$A$2:$A$10,MATCH(base_tc_geral[[#This Row],[TIPO]],configuracoes!$A$2:$A$10,0)),"NÃO")="NÃO","NÃO","SIM")</f>
        <v>NÃO</v>
      </c>
    </row>
    <row r="920" spans="1:31" x14ac:dyDescent="0.25">
      <c r="A920" s="2" t="s">
        <v>3557</v>
      </c>
      <c r="B920" s="2">
        <v>101005380</v>
      </c>
      <c r="C920" s="2" t="s">
        <v>15</v>
      </c>
      <c r="D920" s="2" t="s">
        <v>4502</v>
      </c>
      <c r="E920" s="2" t="s">
        <v>47</v>
      </c>
      <c r="F920" s="2" t="s">
        <v>67</v>
      </c>
      <c r="G920" s="2" t="s">
        <v>58</v>
      </c>
      <c r="H920" s="2" t="s">
        <v>66</v>
      </c>
      <c r="I920" s="2" t="s">
        <v>16</v>
      </c>
      <c r="J920" s="2" t="s">
        <v>66</v>
      </c>
      <c r="K920" s="2" t="s">
        <v>13</v>
      </c>
      <c r="L920" s="2" t="s">
        <v>61</v>
      </c>
      <c r="M920" s="2" t="s">
        <v>44</v>
      </c>
      <c r="N920" s="2" t="s">
        <v>15</v>
      </c>
      <c r="O920" s="2" t="s">
        <v>71</v>
      </c>
      <c r="P920" s="2" t="s">
        <v>3559</v>
      </c>
      <c r="Q920" s="2" t="s">
        <v>4926</v>
      </c>
      <c r="R920" s="2" t="s">
        <v>69</v>
      </c>
      <c r="S920" s="2" t="s">
        <v>4698</v>
      </c>
      <c r="T920" s="2" t="s">
        <v>4697</v>
      </c>
      <c r="U920" s="2" t="s">
        <v>12</v>
      </c>
      <c r="V920" s="2" t="s">
        <v>4787</v>
      </c>
      <c r="W920" s="2" t="s">
        <v>5013</v>
      </c>
      <c r="X920" s="2" t="s">
        <v>44</v>
      </c>
      <c r="Y920" s="2" t="s">
        <v>3558</v>
      </c>
      <c r="Z920" s="2" t="s">
        <v>5567</v>
      </c>
      <c r="AA9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9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0" s="6" t="str">
        <f>IF(_xlfn.IFNA(INDEX(configuracoes!$A$2:$A$10,MATCH(base_tc_geral[[#This Row],[TIPO]],configuracoes!$A$2:$A$10,0)),"NÃO")="NÃO","NÃO","SIM")</f>
        <v>NÃO</v>
      </c>
    </row>
    <row r="921" spans="1:31" x14ac:dyDescent="0.25">
      <c r="A921" s="2" t="s">
        <v>3466</v>
      </c>
      <c r="B921" s="2">
        <v>109505819</v>
      </c>
      <c r="C921" s="2" t="s">
        <v>15</v>
      </c>
      <c r="D921" s="2" t="s">
        <v>4509</v>
      </c>
      <c r="E921" s="2" t="s">
        <v>86</v>
      </c>
      <c r="F921" s="2" t="s">
        <v>165</v>
      </c>
      <c r="G921" s="2" t="s">
        <v>364</v>
      </c>
      <c r="H921" s="2" t="s">
        <v>164</v>
      </c>
      <c r="I921" s="2" t="s">
        <v>33</v>
      </c>
      <c r="J921" s="2" t="s">
        <v>124</v>
      </c>
      <c r="K921" s="2" t="s">
        <v>92</v>
      </c>
      <c r="L921" s="2" t="s">
        <v>37</v>
      </c>
      <c r="M921" s="2" t="s">
        <v>44</v>
      </c>
      <c r="N921" s="2" t="s">
        <v>15</v>
      </c>
      <c r="O921" s="2" t="s">
        <v>169</v>
      </c>
      <c r="P921" s="2" t="s">
        <v>3468</v>
      </c>
      <c r="Q921" s="2" t="s">
        <v>4926</v>
      </c>
      <c r="R921" s="2" t="s">
        <v>3459</v>
      </c>
      <c r="S921" s="2" t="s">
        <v>93</v>
      </c>
      <c r="T921" s="2" t="s">
        <v>4696</v>
      </c>
      <c r="U921" s="2" t="s">
        <v>12</v>
      </c>
      <c r="V921" s="2" t="s">
        <v>4785</v>
      </c>
      <c r="W921" s="2" t="s">
        <v>4999</v>
      </c>
      <c r="X921" s="2" t="s">
        <v>44</v>
      </c>
      <c r="Y921" s="2" t="s">
        <v>3467</v>
      </c>
      <c r="Z921" s="2" t="s">
        <v>5568</v>
      </c>
      <c r="AA9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9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1" s="6" t="str">
        <f>IF(_xlfn.IFNA(INDEX(configuracoes!$A$2:$A$10,MATCH(base_tc_geral[[#This Row],[TIPO]],configuracoes!$A$2:$A$10,0)),"NÃO")="NÃO","NÃO","SIM")</f>
        <v>NÃO</v>
      </c>
    </row>
    <row r="922" spans="1:31" x14ac:dyDescent="0.25">
      <c r="A922" s="2" t="s">
        <v>2532</v>
      </c>
      <c r="B922" s="2">
        <v>101008134</v>
      </c>
      <c r="C922" s="2" t="s">
        <v>15</v>
      </c>
      <c r="D922" s="2" t="s">
        <v>4516</v>
      </c>
      <c r="E922" s="2" t="s">
        <v>47</v>
      </c>
      <c r="F922" s="2" t="s">
        <v>1405</v>
      </c>
      <c r="G922" s="2" t="s">
        <v>245</v>
      </c>
      <c r="H922" s="2" t="s">
        <v>227</v>
      </c>
      <c r="I922" s="2" t="s">
        <v>16</v>
      </c>
      <c r="J922" s="2" t="s">
        <v>227</v>
      </c>
      <c r="K922" s="2" t="s">
        <v>20</v>
      </c>
      <c r="L922" s="2" t="s">
        <v>21</v>
      </c>
      <c r="M922" s="2" t="s">
        <v>22</v>
      </c>
      <c r="N922" s="2" t="s">
        <v>15</v>
      </c>
      <c r="O922" s="2" t="s">
        <v>271</v>
      </c>
      <c r="P922" s="2" t="s">
        <v>2534</v>
      </c>
      <c r="Q922" s="2" t="s">
        <v>4926</v>
      </c>
      <c r="R922" s="2" t="s">
        <v>351</v>
      </c>
      <c r="S922" s="2" t="s">
        <v>101</v>
      </c>
      <c r="T922" s="2" t="s">
        <v>4697</v>
      </c>
      <c r="U922" s="2" t="s">
        <v>12</v>
      </c>
      <c r="V922" s="2" t="s">
        <v>4834</v>
      </c>
      <c r="W922" s="2" t="s">
        <v>4982</v>
      </c>
      <c r="X922" s="2" t="s">
        <v>4925</v>
      </c>
      <c r="Y922" s="2" t="s">
        <v>2533</v>
      </c>
      <c r="Z922" s="2" t="s">
        <v>5569</v>
      </c>
      <c r="AA9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9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2" s="6" t="str">
        <f>IF(_xlfn.IFNA(INDEX(configuracoes!$A$2:$A$10,MATCH(base_tc_geral[[#This Row],[TIPO]],configuracoes!$A$2:$A$10,0)),"NÃO")="NÃO","NÃO","SIM")</f>
        <v>SIM</v>
      </c>
    </row>
    <row r="923" spans="1:31" x14ac:dyDescent="0.25">
      <c r="A923" s="2" t="s">
        <v>4449</v>
      </c>
      <c r="B923" s="2">
        <v>101008003</v>
      </c>
      <c r="C923" s="2" t="s">
        <v>15</v>
      </c>
      <c r="D923" s="2" t="s">
        <v>4589</v>
      </c>
      <c r="E923" s="2" t="s">
        <v>47</v>
      </c>
      <c r="F923" s="2" t="s">
        <v>159</v>
      </c>
      <c r="G923" s="2" t="s">
        <v>99</v>
      </c>
      <c r="H923" s="2" t="s">
        <v>60</v>
      </c>
      <c r="I923" s="2" t="s">
        <v>16</v>
      </c>
      <c r="J923" s="2" t="s">
        <v>60</v>
      </c>
      <c r="K923" s="2" t="s">
        <v>13</v>
      </c>
      <c r="L923" s="2" t="s">
        <v>25</v>
      </c>
      <c r="M923" s="2" t="s">
        <v>22</v>
      </c>
      <c r="N923" s="2" t="s">
        <v>15</v>
      </c>
      <c r="O923" s="2" t="s">
        <v>161</v>
      </c>
      <c r="P923" s="2" t="s">
        <v>4451</v>
      </c>
      <c r="Q923" s="2" t="s">
        <v>4926</v>
      </c>
      <c r="R923" s="2" t="s">
        <v>100</v>
      </c>
      <c r="S923" s="2" t="s">
        <v>101</v>
      </c>
      <c r="T923" s="2" t="s">
        <v>4697</v>
      </c>
      <c r="U923" s="2" t="s">
        <v>12</v>
      </c>
      <c r="V923" s="2" t="s">
        <v>4806</v>
      </c>
      <c r="W923" s="2" t="s">
        <v>4931</v>
      </c>
      <c r="X923" s="2" t="s">
        <v>4925</v>
      </c>
      <c r="Y923" s="2" t="s">
        <v>4450</v>
      </c>
      <c r="Z923" s="2" t="s">
        <v>6153</v>
      </c>
      <c r="AA9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9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3" s="6" t="str">
        <f>IF(_xlfn.IFNA(INDEX(configuracoes!$A$2:$A$10,MATCH(base_tc_geral[[#This Row],[TIPO]],configuracoes!$A$2:$A$10,0)),"NÃO")="NÃO","NÃO","SIM")</f>
        <v>SIM</v>
      </c>
    </row>
    <row r="924" spans="1:31" x14ac:dyDescent="0.25">
      <c r="A924" s="2" t="s">
        <v>2707</v>
      </c>
      <c r="B924" s="2">
        <v>105000985</v>
      </c>
      <c r="C924" s="2" t="s">
        <v>15</v>
      </c>
      <c r="D924" s="2" t="s">
        <v>4553</v>
      </c>
      <c r="E924" s="2" t="s">
        <v>28</v>
      </c>
      <c r="F924" s="2" t="s">
        <v>30</v>
      </c>
      <c r="G924" s="2" t="s">
        <v>89</v>
      </c>
      <c r="H924" s="2" t="s">
        <v>29</v>
      </c>
      <c r="I924" s="2" t="s">
        <v>33</v>
      </c>
      <c r="J924" s="2" t="s">
        <v>34</v>
      </c>
      <c r="K924" s="2" t="s">
        <v>13</v>
      </c>
      <c r="L924" s="2" t="s">
        <v>37</v>
      </c>
      <c r="M924" s="2" t="s">
        <v>74</v>
      </c>
      <c r="N924" s="2" t="s">
        <v>15</v>
      </c>
      <c r="O924" s="2" t="s">
        <v>36</v>
      </c>
      <c r="P924" s="2" t="s">
        <v>2709</v>
      </c>
      <c r="Q924" s="2" t="s">
        <v>4926</v>
      </c>
      <c r="R924" s="2" t="s">
        <v>32</v>
      </c>
      <c r="S924" s="2" t="s">
        <v>167</v>
      </c>
      <c r="T924" s="2" t="s">
        <v>167</v>
      </c>
      <c r="U924" s="2" t="s">
        <v>12</v>
      </c>
      <c r="V924" s="2" t="s">
        <v>4851</v>
      </c>
      <c r="W924" s="2" t="s">
        <v>4982</v>
      </c>
      <c r="X924" s="2" t="s">
        <v>74</v>
      </c>
      <c r="Y924" s="2" t="s">
        <v>2708</v>
      </c>
      <c r="Z924" s="2" t="s">
        <v>6154</v>
      </c>
      <c r="AA9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9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4" s="6" t="str">
        <f>IF(_xlfn.IFNA(INDEX(configuracoes!$A$2:$A$10,MATCH(base_tc_geral[[#This Row],[TIPO]],configuracoes!$A$2:$A$10,0)),"NÃO")="NÃO","NÃO","SIM")</f>
        <v>NÃO</v>
      </c>
    </row>
    <row r="925" spans="1:31" x14ac:dyDescent="0.25">
      <c r="A925" s="2" t="s">
        <v>3349</v>
      </c>
      <c r="B925" s="2">
        <v>101001488</v>
      </c>
      <c r="C925" s="2" t="s">
        <v>15</v>
      </c>
      <c r="D925" s="2" t="s">
        <v>4493</v>
      </c>
      <c r="E925" s="2" t="s">
        <v>47</v>
      </c>
      <c r="F925" s="2" t="s">
        <v>98</v>
      </c>
      <c r="G925" s="2" t="s">
        <v>648</v>
      </c>
      <c r="H925" s="2" t="s">
        <v>56</v>
      </c>
      <c r="I925" s="2" t="s">
        <v>16</v>
      </c>
      <c r="J925" s="2" t="s">
        <v>60</v>
      </c>
      <c r="K925" s="2" t="s">
        <v>13</v>
      </c>
      <c r="L925" s="2" t="s">
        <v>25</v>
      </c>
      <c r="M925" s="2" t="s">
        <v>22</v>
      </c>
      <c r="N925" s="2" t="s">
        <v>15</v>
      </c>
      <c r="O925" s="2" t="s">
        <v>63</v>
      </c>
      <c r="P925" s="2" t="s">
        <v>3351</v>
      </c>
      <c r="Q925" s="2" t="s">
        <v>4926</v>
      </c>
      <c r="R925" s="2" t="s">
        <v>252</v>
      </c>
      <c r="S925" s="2" t="s">
        <v>101</v>
      </c>
      <c r="T925" s="2" t="s">
        <v>4697</v>
      </c>
      <c r="U925" s="2" t="s">
        <v>12</v>
      </c>
      <c r="V925" s="2" t="s">
        <v>4838</v>
      </c>
      <c r="W925" s="2" t="s">
        <v>4931</v>
      </c>
      <c r="X925" s="2" t="s">
        <v>4925</v>
      </c>
      <c r="Y925" s="2" t="s">
        <v>3350</v>
      </c>
      <c r="Z925" s="2" t="s">
        <v>6155</v>
      </c>
      <c r="AA9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9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5" s="6" t="str">
        <f>IF(_xlfn.IFNA(INDEX(configuracoes!$A$2:$A$10,MATCH(base_tc_geral[[#This Row],[TIPO]],configuracoes!$A$2:$A$10,0)),"NÃO")="NÃO","NÃO","SIM")</f>
        <v>SIM</v>
      </c>
    </row>
    <row r="926" spans="1:31" x14ac:dyDescent="0.25">
      <c r="A926" s="2" t="s">
        <v>2774</v>
      </c>
      <c r="B926" s="2">
        <v>321454</v>
      </c>
      <c r="C926" s="2" t="s">
        <v>15</v>
      </c>
      <c r="D926" s="2" t="s">
        <v>4648</v>
      </c>
      <c r="E926" s="2" t="s">
        <v>106</v>
      </c>
      <c r="F926" s="2" t="s">
        <v>186</v>
      </c>
      <c r="G926" s="2" t="s">
        <v>149</v>
      </c>
      <c r="H926" s="2" t="s">
        <v>107</v>
      </c>
      <c r="I926" s="2" t="s">
        <v>33</v>
      </c>
      <c r="J926" s="2" t="s">
        <v>109</v>
      </c>
      <c r="K926" s="2" t="s">
        <v>20</v>
      </c>
      <c r="L926" s="2" t="s">
        <v>61</v>
      </c>
      <c r="M926" s="2" t="s">
        <v>133</v>
      </c>
      <c r="N926" s="2" t="s">
        <v>15</v>
      </c>
      <c r="O926" s="2" t="s">
        <v>112</v>
      </c>
      <c r="P926" s="2" t="s">
        <v>2776</v>
      </c>
      <c r="Q926" s="2" t="s">
        <v>4926</v>
      </c>
      <c r="R926" s="2" t="s">
        <v>2771</v>
      </c>
      <c r="S926" s="2" t="s">
        <v>2771</v>
      </c>
      <c r="T926" s="2" t="s">
        <v>2771</v>
      </c>
      <c r="U926" s="2" t="s">
        <v>39</v>
      </c>
      <c r="V926" s="2" t="s">
        <v>4772</v>
      </c>
      <c r="W926" s="2" t="s">
        <v>5597</v>
      </c>
      <c r="X926" s="2" t="s">
        <v>5599</v>
      </c>
      <c r="Y926" s="2" t="s">
        <v>2775</v>
      </c>
      <c r="Z926" s="2" t="s">
        <v>6156</v>
      </c>
      <c r="AA9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ALBUQUERQUE </v>
      </c>
      <c r="AB9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RODRIGO ALBUQUERQUE </v>
      </c>
      <c r="AC9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RODRIGO ALBUQUERQUE </v>
      </c>
      <c r="AD9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6" s="6" t="str">
        <f>IF(_xlfn.IFNA(INDEX(configuracoes!$A$2:$A$10,MATCH(base_tc_geral[[#This Row],[TIPO]],configuracoes!$A$2:$A$10,0)),"NÃO")="NÃO","NÃO","SIM")</f>
        <v>NÃO</v>
      </c>
    </row>
    <row r="927" spans="1:31" x14ac:dyDescent="0.25">
      <c r="A927" s="2" t="s">
        <v>2402</v>
      </c>
      <c r="B927" s="2">
        <v>105000986</v>
      </c>
      <c r="C927" s="2" t="s">
        <v>24</v>
      </c>
      <c r="D927" s="2" t="s">
        <v>4482</v>
      </c>
      <c r="E927" s="2" t="s">
        <v>28</v>
      </c>
      <c r="F927" s="2" t="s">
        <v>80</v>
      </c>
      <c r="G927" s="2" t="s">
        <v>630</v>
      </c>
      <c r="H927" s="2" t="s">
        <v>79</v>
      </c>
      <c r="I927" s="2" t="s">
        <v>33</v>
      </c>
      <c r="J927" s="2" t="s">
        <v>34</v>
      </c>
      <c r="K927" s="2" t="s">
        <v>20</v>
      </c>
      <c r="L927" s="2" t="s">
        <v>21</v>
      </c>
      <c r="M927" s="2" t="s">
        <v>22</v>
      </c>
      <c r="N927" s="2" t="s">
        <v>24</v>
      </c>
      <c r="O927" s="2" t="s">
        <v>83</v>
      </c>
      <c r="P927" s="2" t="s">
        <v>2404</v>
      </c>
      <c r="Q927" s="2" t="s">
        <v>4926</v>
      </c>
      <c r="R927" s="2" t="s">
        <v>81</v>
      </c>
      <c r="S927" s="2" t="s">
        <v>167</v>
      </c>
      <c r="T927" s="2" t="s">
        <v>167</v>
      </c>
      <c r="U927" s="2" t="s">
        <v>39</v>
      </c>
      <c r="V927" s="2" t="s">
        <v>4767</v>
      </c>
      <c r="W927" s="2" t="s">
        <v>4982</v>
      </c>
      <c r="X927" s="2" t="s">
        <v>4925</v>
      </c>
      <c r="Y927" s="2" t="s">
        <v>2403</v>
      </c>
      <c r="Z927" s="2" t="s">
        <v>6157</v>
      </c>
      <c r="AA9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9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27" s="6" t="str">
        <f>IF(_xlfn.IFNA(INDEX(configuracoes!$A$2:$A$10,MATCH(base_tc_geral[[#This Row],[TIPO]],configuracoes!$A$2:$A$10,0)),"NÃO")="NÃO","NÃO","SIM")</f>
        <v>SIM</v>
      </c>
    </row>
    <row r="928" spans="1:31" x14ac:dyDescent="0.25">
      <c r="A928" s="2" t="s">
        <v>4825</v>
      </c>
      <c r="B928" s="2">
        <v>101006255</v>
      </c>
      <c r="C928" s="2" t="s">
        <v>24</v>
      </c>
      <c r="D928" s="2" t="s">
        <v>4768</v>
      </c>
      <c r="E928" s="2" t="s">
        <v>47</v>
      </c>
      <c r="F928" s="2" t="s">
        <v>1112</v>
      </c>
      <c r="G928" s="2" t="s">
        <v>136</v>
      </c>
      <c r="H928" s="2" t="s">
        <v>224</v>
      </c>
      <c r="I928" s="2" t="s">
        <v>16</v>
      </c>
      <c r="J928" s="2" t="s">
        <v>227</v>
      </c>
      <c r="K928" s="2" t="s">
        <v>13</v>
      </c>
      <c r="L928" s="2" t="s">
        <v>72</v>
      </c>
      <c r="M928" s="2" t="s">
        <v>73</v>
      </c>
      <c r="N928" s="2" t="s">
        <v>24</v>
      </c>
      <c r="O928" s="2" t="s">
        <v>229</v>
      </c>
      <c r="P928" s="2" t="s">
        <v>4827</v>
      </c>
      <c r="Q928" s="2" t="s">
        <v>4926</v>
      </c>
      <c r="R928" s="2" t="s">
        <v>369</v>
      </c>
      <c r="S928" s="2" t="s">
        <v>4698</v>
      </c>
      <c r="T928" s="2" t="s">
        <v>4697</v>
      </c>
      <c r="U928" s="2" t="s">
        <v>39</v>
      </c>
      <c r="V928" s="2" t="s">
        <v>4817</v>
      </c>
      <c r="W928" s="2" t="s">
        <v>72</v>
      </c>
      <c r="X928" s="2" t="s">
        <v>5011</v>
      </c>
      <c r="Y928" s="2" t="s">
        <v>4826</v>
      </c>
      <c r="Z928" s="2" t="s">
        <v>6158</v>
      </c>
      <c r="AA9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9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28" s="6" t="str">
        <f>IF(_xlfn.IFNA(INDEX(configuracoes!$A$2:$A$10,MATCH(base_tc_geral[[#This Row],[TIPO]],configuracoes!$A$2:$A$10,0)),"NÃO")="NÃO","NÃO","SIM")</f>
        <v>NÃO</v>
      </c>
    </row>
    <row r="929" spans="1:31" x14ac:dyDescent="0.25">
      <c r="A929" s="2" t="s">
        <v>3271</v>
      </c>
      <c r="B929" s="2">
        <v>101008003</v>
      </c>
      <c r="C929" s="2" t="s">
        <v>15</v>
      </c>
      <c r="D929" s="2" t="s">
        <v>4490</v>
      </c>
      <c r="E929" s="2" t="s">
        <v>47</v>
      </c>
      <c r="F929" s="2" t="s">
        <v>159</v>
      </c>
      <c r="G929" s="2" t="s">
        <v>99</v>
      </c>
      <c r="H929" s="2" t="s">
        <v>60</v>
      </c>
      <c r="I929" s="2" t="s">
        <v>16</v>
      </c>
      <c r="J929" s="2" t="s">
        <v>60</v>
      </c>
      <c r="K929" s="2" t="s">
        <v>20</v>
      </c>
      <c r="L929" s="2" t="s">
        <v>25</v>
      </c>
      <c r="M929" s="2" t="s">
        <v>22</v>
      </c>
      <c r="N929" s="2" t="s">
        <v>15</v>
      </c>
      <c r="O929" s="2" t="s">
        <v>161</v>
      </c>
      <c r="P929" s="2" t="s">
        <v>3273</v>
      </c>
      <c r="Q929" s="2" t="s">
        <v>4926</v>
      </c>
      <c r="R929" s="2" t="s">
        <v>100</v>
      </c>
      <c r="S929" s="2" t="s">
        <v>101</v>
      </c>
      <c r="T929" s="2" t="s">
        <v>4697</v>
      </c>
      <c r="U929" s="2" t="s">
        <v>12</v>
      </c>
      <c r="V929" s="2" t="s">
        <v>4806</v>
      </c>
      <c r="W929" s="2" t="s">
        <v>4931</v>
      </c>
      <c r="X929" s="2" t="s">
        <v>4925</v>
      </c>
      <c r="Y929" s="2" t="s">
        <v>3272</v>
      </c>
      <c r="Z929" s="2" t="s">
        <v>6159</v>
      </c>
      <c r="AA9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9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29" s="6" t="str">
        <f>IF(_xlfn.IFNA(INDEX(configuracoes!$A$2:$A$10,MATCH(base_tc_geral[[#This Row],[TIPO]],configuracoes!$A$2:$A$10,0)),"NÃO")="NÃO","NÃO","SIM")</f>
        <v>SIM</v>
      </c>
    </row>
    <row r="930" spans="1:31" x14ac:dyDescent="0.25">
      <c r="A930" s="2" t="s">
        <v>1626</v>
      </c>
      <c r="B930" s="2">
        <v>109500177</v>
      </c>
      <c r="C930" s="2" t="s">
        <v>15</v>
      </c>
      <c r="D930" s="2" t="s">
        <v>4545</v>
      </c>
      <c r="E930" s="2" t="s">
        <v>86</v>
      </c>
      <c r="F930" s="2" t="s">
        <v>590</v>
      </c>
      <c r="G930" s="2" t="s">
        <v>245</v>
      </c>
      <c r="H930" s="2" t="s">
        <v>122</v>
      </c>
      <c r="I930" s="2" t="s">
        <v>33</v>
      </c>
      <c r="J930" s="2" t="s">
        <v>124</v>
      </c>
      <c r="K930" s="2" t="s">
        <v>20</v>
      </c>
      <c r="L930" s="2" t="s">
        <v>21</v>
      </c>
      <c r="M930" s="2" t="s">
        <v>22</v>
      </c>
      <c r="N930" s="2" t="s">
        <v>15</v>
      </c>
      <c r="O930" s="2" t="s">
        <v>129</v>
      </c>
      <c r="P930" s="2" t="s">
        <v>1628</v>
      </c>
      <c r="Q930" s="2" t="s">
        <v>4926</v>
      </c>
      <c r="R930" s="2" t="s">
        <v>447</v>
      </c>
      <c r="S930" s="2" t="s">
        <v>125</v>
      </c>
      <c r="T930" s="2" t="s">
        <v>4696</v>
      </c>
      <c r="U930" s="2" t="s">
        <v>12</v>
      </c>
      <c r="V930" s="2" t="s">
        <v>4771</v>
      </c>
      <c r="W930" s="2" t="s">
        <v>4982</v>
      </c>
      <c r="X930" s="2" t="s">
        <v>4925</v>
      </c>
      <c r="Y930" s="2" t="s">
        <v>1627</v>
      </c>
      <c r="Z930" s="2" t="s">
        <v>6160</v>
      </c>
      <c r="AA9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9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0" s="6" t="str">
        <f>IF(_xlfn.IFNA(INDEX(configuracoes!$A$2:$A$10,MATCH(base_tc_geral[[#This Row],[TIPO]],configuracoes!$A$2:$A$10,0)),"NÃO")="NÃO","NÃO","SIM")</f>
        <v>SIM</v>
      </c>
    </row>
    <row r="931" spans="1:31" x14ac:dyDescent="0.25">
      <c r="A931" s="2" t="s">
        <v>1493</v>
      </c>
      <c r="B931" s="2">
        <v>109505858</v>
      </c>
      <c r="C931" s="2" t="s">
        <v>15</v>
      </c>
      <c r="D931" s="2" t="s">
        <v>4624</v>
      </c>
      <c r="E931" s="2" t="s">
        <v>86</v>
      </c>
      <c r="F931" s="2" t="s">
        <v>218</v>
      </c>
      <c r="G931" s="2" t="s">
        <v>89</v>
      </c>
      <c r="H931" s="2" t="s">
        <v>217</v>
      </c>
      <c r="I931" s="2" t="s">
        <v>33</v>
      </c>
      <c r="J931" s="2" t="s">
        <v>91</v>
      </c>
      <c r="K931" s="2" t="s">
        <v>92</v>
      </c>
      <c r="L931" s="2" t="s">
        <v>37</v>
      </c>
      <c r="M931" s="2" t="s">
        <v>44</v>
      </c>
      <c r="N931" s="2" t="s">
        <v>15</v>
      </c>
      <c r="O931" s="2" t="s">
        <v>221</v>
      </c>
      <c r="P931" s="2" t="s">
        <v>1495</v>
      </c>
      <c r="Q931" s="2" t="s">
        <v>4926</v>
      </c>
      <c r="R931" s="2" t="s">
        <v>1466</v>
      </c>
      <c r="S931" s="2" t="s">
        <v>93</v>
      </c>
      <c r="T931" s="2" t="s">
        <v>4696</v>
      </c>
      <c r="U931" s="2" t="s">
        <v>12</v>
      </c>
      <c r="V931" s="2" t="s">
        <v>4802</v>
      </c>
      <c r="W931" s="2" t="s">
        <v>4999</v>
      </c>
      <c r="X931" s="2" t="s">
        <v>44</v>
      </c>
      <c r="Y931" s="2" t="s">
        <v>1494</v>
      </c>
      <c r="Z931" s="2" t="s">
        <v>6161</v>
      </c>
      <c r="AA9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9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1" s="6" t="str">
        <f>IF(_xlfn.IFNA(INDEX(configuracoes!$A$2:$A$10,MATCH(base_tc_geral[[#This Row],[TIPO]],configuracoes!$A$2:$A$10,0)),"NÃO")="NÃO","NÃO","SIM")</f>
        <v>NÃO</v>
      </c>
    </row>
    <row r="932" spans="1:31" x14ac:dyDescent="0.25">
      <c r="A932" s="2" t="s">
        <v>1523</v>
      </c>
      <c r="B932" s="2">
        <v>102002917</v>
      </c>
      <c r="C932" s="2" t="s">
        <v>15</v>
      </c>
      <c r="D932" s="2" t="s">
        <v>4494</v>
      </c>
      <c r="E932" s="2" t="s">
        <v>106</v>
      </c>
      <c r="F932" s="2" t="s">
        <v>863</v>
      </c>
      <c r="G932" s="2" t="s">
        <v>870</v>
      </c>
      <c r="H932" s="2" t="s">
        <v>427</v>
      </c>
      <c r="I932" s="2" t="s">
        <v>33</v>
      </c>
      <c r="J932" s="2" t="s">
        <v>109</v>
      </c>
      <c r="K932" s="2" t="s">
        <v>13</v>
      </c>
      <c r="L932" s="2" t="s">
        <v>76</v>
      </c>
      <c r="M932" s="2" t="s">
        <v>22</v>
      </c>
      <c r="N932" s="2" t="s">
        <v>15</v>
      </c>
      <c r="O932" s="2" t="s">
        <v>430</v>
      </c>
      <c r="P932" s="2" t="s">
        <v>1525</v>
      </c>
      <c r="Q932" s="2" t="s">
        <v>4926</v>
      </c>
      <c r="R932" s="2" t="s">
        <v>5069</v>
      </c>
      <c r="S932" s="2" t="s">
        <v>736</v>
      </c>
      <c r="T932" s="2" t="s">
        <v>167</v>
      </c>
      <c r="U932" s="2" t="s">
        <v>12</v>
      </c>
      <c r="V932" s="2" t="s">
        <v>4900</v>
      </c>
      <c r="W932" s="2" t="s">
        <v>4982</v>
      </c>
      <c r="X932" s="2" t="s">
        <v>4925</v>
      </c>
      <c r="Y932" s="2" t="s">
        <v>1524</v>
      </c>
      <c r="Z932" s="2" t="s">
        <v>6162</v>
      </c>
      <c r="AA9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9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2" s="6" t="str">
        <f>IF(_xlfn.IFNA(INDEX(configuracoes!$A$2:$A$10,MATCH(base_tc_geral[[#This Row],[TIPO]],configuracoes!$A$2:$A$10,0)),"NÃO")="NÃO","NÃO","SIM")</f>
        <v>SIM</v>
      </c>
    </row>
    <row r="933" spans="1:31" x14ac:dyDescent="0.25">
      <c r="A933" s="2" t="s">
        <v>1348</v>
      </c>
      <c r="B933" s="2">
        <v>102100390</v>
      </c>
      <c r="C933" s="2" t="s">
        <v>15</v>
      </c>
      <c r="D933" s="2" t="s">
        <v>4618</v>
      </c>
      <c r="E933" s="2" t="s">
        <v>106</v>
      </c>
      <c r="F933" s="2" t="s">
        <v>405</v>
      </c>
      <c r="G933" s="2" t="s">
        <v>1350</v>
      </c>
      <c r="H933" s="2" t="s">
        <v>130</v>
      </c>
      <c r="I933" s="2" t="s">
        <v>33</v>
      </c>
      <c r="J933" s="2" t="s">
        <v>109</v>
      </c>
      <c r="K933" s="2" t="s">
        <v>13</v>
      </c>
      <c r="L933" s="2" t="s">
        <v>126</v>
      </c>
      <c r="M933" s="2" t="s">
        <v>128</v>
      </c>
      <c r="N933" s="2" t="s">
        <v>15</v>
      </c>
      <c r="O933" s="2" t="s">
        <v>132</v>
      </c>
      <c r="P933" s="2" t="s">
        <v>1351</v>
      </c>
      <c r="Q933" s="2" t="s">
        <v>4926</v>
      </c>
      <c r="R933" s="2" t="s">
        <v>1092</v>
      </c>
      <c r="S933" s="2" t="s">
        <v>736</v>
      </c>
      <c r="T933" s="2" t="s">
        <v>167</v>
      </c>
      <c r="U933" s="2" t="s">
        <v>12</v>
      </c>
      <c r="V933" s="2" t="s">
        <v>4901</v>
      </c>
      <c r="W933" s="2" t="s">
        <v>4987</v>
      </c>
      <c r="X933" s="2" t="s">
        <v>4989</v>
      </c>
      <c r="Y933" s="2" t="s">
        <v>1349</v>
      </c>
      <c r="Z933" s="2" t="s">
        <v>6163</v>
      </c>
      <c r="AA9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9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3" s="6" t="str">
        <f>IF(_xlfn.IFNA(INDEX(configuracoes!$A$2:$A$10,MATCH(base_tc_geral[[#This Row],[TIPO]],configuracoes!$A$2:$A$10,0)),"NÃO")="NÃO","NÃO","SIM")</f>
        <v>SIM</v>
      </c>
    </row>
    <row r="934" spans="1:31" x14ac:dyDescent="0.25">
      <c r="A934" s="2" t="s">
        <v>2490</v>
      </c>
      <c r="B934" s="2">
        <v>109501286</v>
      </c>
      <c r="C934" s="2" t="s">
        <v>15</v>
      </c>
      <c r="D934" s="2" t="s">
        <v>4554</v>
      </c>
      <c r="E934" s="2" t="s">
        <v>86</v>
      </c>
      <c r="F934" s="2" t="s">
        <v>497</v>
      </c>
      <c r="G934" s="2" t="s">
        <v>89</v>
      </c>
      <c r="H934" s="2" t="s">
        <v>164</v>
      </c>
      <c r="I934" s="2" t="s">
        <v>33</v>
      </c>
      <c r="J934" s="2" t="s">
        <v>124</v>
      </c>
      <c r="K934" s="2" t="s">
        <v>92</v>
      </c>
      <c r="L934" s="2" t="s">
        <v>37</v>
      </c>
      <c r="M934" s="2" t="s">
        <v>22</v>
      </c>
      <c r="N934" s="2" t="s">
        <v>15</v>
      </c>
      <c r="O934" s="2" t="s">
        <v>169</v>
      </c>
      <c r="P934" s="2" t="s">
        <v>2492</v>
      </c>
      <c r="Q934" s="2" t="s">
        <v>4926</v>
      </c>
      <c r="R934" s="2" t="s">
        <v>498</v>
      </c>
      <c r="S934" s="2" t="s">
        <v>93</v>
      </c>
      <c r="T934" s="2" t="s">
        <v>4696</v>
      </c>
      <c r="U934" s="2" t="s">
        <v>12</v>
      </c>
      <c r="V934" s="2" t="s">
        <v>4766</v>
      </c>
      <c r="W934" s="2" t="s">
        <v>4999</v>
      </c>
      <c r="X934" s="2" t="s">
        <v>4925</v>
      </c>
      <c r="Y934" s="2" t="s">
        <v>2491</v>
      </c>
      <c r="Z934" s="2" t="s">
        <v>6164</v>
      </c>
      <c r="AA9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9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4" s="6" t="str">
        <f>IF(_xlfn.IFNA(INDEX(configuracoes!$A$2:$A$10,MATCH(base_tc_geral[[#This Row],[TIPO]],configuracoes!$A$2:$A$10,0)),"NÃO")="NÃO","NÃO","SIM")</f>
        <v>NÃO</v>
      </c>
    </row>
    <row r="935" spans="1:31" x14ac:dyDescent="0.25">
      <c r="A935" s="2" t="s">
        <v>2484</v>
      </c>
      <c r="B935" s="2">
        <v>109501286</v>
      </c>
      <c r="C935" s="2" t="s">
        <v>15</v>
      </c>
      <c r="D935" s="2" t="s">
        <v>4523</v>
      </c>
      <c r="E935" s="2" t="s">
        <v>86</v>
      </c>
      <c r="F935" s="2" t="s">
        <v>497</v>
      </c>
      <c r="G935" s="2" t="s">
        <v>89</v>
      </c>
      <c r="H935" s="2" t="s">
        <v>164</v>
      </c>
      <c r="I935" s="2" t="s">
        <v>33</v>
      </c>
      <c r="J935" s="2" t="s">
        <v>124</v>
      </c>
      <c r="K935" s="2" t="s">
        <v>92</v>
      </c>
      <c r="L935" s="2" t="s">
        <v>37</v>
      </c>
      <c r="M935" s="2" t="s">
        <v>44</v>
      </c>
      <c r="N935" s="2" t="s">
        <v>15</v>
      </c>
      <c r="O935" s="2" t="s">
        <v>169</v>
      </c>
      <c r="P935" s="2" t="s">
        <v>2486</v>
      </c>
      <c r="Q935" s="2" t="s">
        <v>4926</v>
      </c>
      <c r="R935" s="2" t="s">
        <v>498</v>
      </c>
      <c r="S935" s="2" t="s">
        <v>93</v>
      </c>
      <c r="T935" s="2" t="s">
        <v>4696</v>
      </c>
      <c r="U935" s="2" t="s">
        <v>12</v>
      </c>
      <c r="V935" s="2" t="s">
        <v>4766</v>
      </c>
      <c r="W935" s="2" t="s">
        <v>5013</v>
      </c>
      <c r="X935" s="2" t="s">
        <v>44</v>
      </c>
      <c r="Y935" s="2" t="s">
        <v>2485</v>
      </c>
      <c r="Z935" s="2" t="s">
        <v>5570</v>
      </c>
      <c r="AA9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9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5" s="6" t="str">
        <f>IF(_xlfn.IFNA(INDEX(configuracoes!$A$2:$A$10,MATCH(base_tc_geral[[#This Row],[TIPO]],configuracoes!$A$2:$A$10,0)),"NÃO")="NÃO","NÃO","SIM")</f>
        <v>NÃO</v>
      </c>
    </row>
    <row r="936" spans="1:31" x14ac:dyDescent="0.25">
      <c r="A936" s="2" t="s">
        <v>2565</v>
      </c>
      <c r="B936" s="2">
        <v>428271</v>
      </c>
      <c r="C936" s="2" t="s">
        <v>15</v>
      </c>
      <c r="D936" s="2" t="s">
        <v>4481</v>
      </c>
      <c r="E936" s="2" t="s">
        <v>47</v>
      </c>
      <c r="F936" s="2" t="s">
        <v>269</v>
      </c>
      <c r="G936" s="2" t="s">
        <v>245</v>
      </c>
      <c r="H936" s="2" t="s">
        <v>227</v>
      </c>
      <c r="I936" s="2" t="s">
        <v>16</v>
      </c>
      <c r="J936" s="2" t="s">
        <v>227</v>
      </c>
      <c r="K936" s="2" t="s">
        <v>20</v>
      </c>
      <c r="L936" s="2" t="s">
        <v>21</v>
      </c>
      <c r="M936" s="2" t="s">
        <v>22</v>
      </c>
      <c r="N936" s="2" t="s">
        <v>15</v>
      </c>
      <c r="O936" s="2" t="s">
        <v>271</v>
      </c>
      <c r="P936" s="2" t="s">
        <v>2567</v>
      </c>
      <c r="Q936" s="2" t="s">
        <v>4926</v>
      </c>
      <c r="R936" s="2" t="s">
        <v>4828</v>
      </c>
      <c r="S936" s="2" t="s">
        <v>4698</v>
      </c>
      <c r="T936" s="2" t="s">
        <v>4697</v>
      </c>
      <c r="U936" s="2" t="s">
        <v>12</v>
      </c>
      <c r="V936" s="2" t="s">
        <v>4829</v>
      </c>
      <c r="W936" s="2" t="s">
        <v>4982</v>
      </c>
      <c r="X936" s="2" t="s">
        <v>4925</v>
      </c>
      <c r="Y936" s="2" t="s">
        <v>2566</v>
      </c>
      <c r="Z936" s="2" t="s">
        <v>5571</v>
      </c>
      <c r="AA9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9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6" s="6" t="str">
        <f>IF(_xlfn.IFNA(INDEX(configuracoes!$A$2:$A$10,MATCH(base_tc_geral[[#This Row],[TIPO]],configuracoes!$A$2:$A$10,0)),"NÃO")="NÃO","NÃO","SIM")</f>
        <v>SIM</v>
      </c>
    </row>
    <row r="937" spans="1:31" x14ac:dyDescent="0.25">
      <c r="A937" s="2" t="s">
        <v>3724</v>
      </c>
      <c r="B937" s="2">
        <v>102100917</v>
      </c>
      <c r="C937" s="2" t="s">
        <v>15</v>
      </c>
      <c r="D937" s="2" t="s">
        <v>4489</v>
      </c>
      <c r="E937" s="2" t="s">
        <v>106</v>
      </c>
      <c r="F937" s="2" t="s">
        <v>116</v>
      </c>
      <c r="G937" s="2" t="s">
        <v>58</v>
      </c>
      <c r="H937" s="2" t="s">
        <v>115</v>
      </c>
      <c r="I937" s="2" t="s">
        <v>33</v>
      </c>
      <c r="J937" s="2" t="s">
        <v>109</v>
      </c>
      <c r="K937" s="2" t="s">
        <v>13</v>
      </c>
      <c r="L937" s="2" t="s">
        <v>61</v>
      </c>
      <c r="M937" s="2" t="s">
        <v>44</v>
      </c>
      <c r="N937" s="2" t="s">
        <v>15</v>
      </c>
      <c r="O937" s="2" t="s">
        <v>119</v>
      </c>
      <c r="P937" s="2" t="s">
        <v>3726</v>
      </c>
      <c r="Q937" s="2" t="s">
        <v>4926</v>
      </c>
      <c r="R937" s="2" t="s">
        <v>117</v>
      </c>
      <c r="S937" s="2" t="s">
        <v>736</v>
      </c>
      <c r="T937" s="2" t="s">
        <v>167</v>
      </c>
      <c r="U937" s="2" t="s">
        <v>12</v>
      </c>
      <c r="V937" s="2" t="s">
        <v>4902</v>
      </c>
      <c r="W937" s="2" t="s">
        <v>4999</v>
      </c>
      <c r="X937" s="2" t="s">
        <v>44</v>
      </c>
      <c r="Y937" s="2" t="s">
        <v>3725</v>
      </c>
      <c r="Z937" s="2" t="s">
        <v>5572</v>
      </c>
      <c r="AA9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9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7" s="6" t="str">
        <f>IF(_xlfn.IFNA(INDEX(configuracoes!$A$2:$A$10,MATCH(base_tc_geral[[#This Row],[TIPO]],configuracoes!$A$2:$A$10,0)),"NÃO")="NÃO","NÃO","SIM")</f>
        <v>NÃO</v>
      </c>
    </row>
    <row r="938" spans="1:31" x14ac:dyDescent="0.25">
      <c r="A938" s="2" t="s">
        <v>2631</v>
      </c>
      <c r="B938" s="2">
        <v>101005989</v>
      </c>
      <c r="C938" s="2" t="s">
        <v>24</v>
      </c>
      <c r="D938" s="2" t="s">
        <v>4768</v>
      </c>
      <c r="E938" s="2" t="s">
        <v>47</v>
      </c>
      <c r="F938" s="2" t="s">
        <v>57</v>
      </c>
      <c r="G938" s="2" t="s">
        <v>245</v>
      </c>
      <c r="H938" s="2" t="s">
        <v>56</v>
      </c>
      <c r="I938" s="2" t="s">
        <v>16</v>
      </c>
      <c r="J938" s="2" t="s">
        <v>60</v>
      </c>
      <c r="K938" s="2" t="s">
        <v>20</v>
      </c>
      <c r="L938" s="2" t="s">
        <v>21</v>
      </c>
      <c r="M938" s="2" t="s">
        <v>22</v>
      </c>
      <c r="N938" s="2" t="s">
        <v>24</v>
      </c>
      <c r="O938" s="2" t="s">
        <v>63</v>
      </c>
      <c r="P938" s="2" t="s">
        <v>2633</v>
      </c>
      <c r="Q938" s="2" t="s">
        <v>4926</v>
      </c>
      <c r="R938" s="2" t="s">
        <v>59</v>
      </c>
      <c r="S938" s="2" t="s">
        <v>51</v>
      </c>
      <c r="T938" s="2" t="s">
        <v>4697</v>
      </c>
      <c r="U938" s="2" t="s">
        <v>39</v>
      </c>
      <c r="V938" s="2" t="s">
        <v>4779</v>
      </c>
      <c r="W938" s="2" t="s">
        <v>4982</v>
      </c>
      <c r="X938" s="2" t="s">
        <v>4925</v>
      </c>
      <c r="Y938" s="2" t="s">
        <v>2632</v>
      </c>
      <c r="Z938" s="2" t="s">
        <v>5573</v>
      </c>
      <c r="AA9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9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38" s="6" t="str">
        <f>IF(_xlfn.IFNA(INDEX(configuracoes!$A$2:$A$10,MATCH(base_tc_geral[[#This Row],[TIPO]],configuracoes!$A$2:$A$10,0)),"NÃO")="NÃO","NÃO","SIM")</f>
        <v>SIM</v>
      </c>
    </row>
    <row r="939" spans="1:31" x14ac:dyDescent="0.25">
      <c r="A939" s="2" t="s">
        <v>4007</v>
      </c>
      <c r="B939" s="2">
        <v>109000340</v>
      </c>
      <c r="C939" s="2" t="s">
        <v>15</v>
      </c>
      <c r="D939" s="2" t="s">
        <v>4643</v>
      </c>
      <c r="E939" s="2" t="s">
        <v>86</v>
      </c>
      <c r="F939" s="2" t="s">
        <v>88</v>
      </c>
      <c r="G939" s="2" t="s">
        <v>630</v>
      </c>
      <c r="H939" s="2" t="s">
        <v>87</v>
      </c>
      <c r="I939" s="2" t="s">
        <v>33</v>
      </c>
      <c r="J939" s="2" t="s">
        <v>91</v>
      </c>
      <c r="K939" s="2" t="s">
        <v>20</v>
      </c>
      <c r="L939" s="2" t="s">
        <v>21</v>
      </c>
      <c r="M939" s="2" t="s">
        <v>22</v>
      </c>
      <c r="N939" s="2" t="s">
        <v>15</v>
      </c>
      <c r="O939" s="2" t="s">
        <v>95</v>
      </c>
      <c r="P939" s="2" t="s">
        <v>4009</v>
      </c>
      <c r="Q939" s="2" t="s">
        <v>4926</v>
      </c>
      <c r="R939" s="2" t="s">
        <v>90</v>
      </c>
      <c r="S939" s="2" t="s">
        <v>93</v>
      </c>
      <c r="T939" s="2" t="s">
        <v>4696</v>
      </c>
      <c r="U939" s="2" t="s">
        <v>12</v>
      </c>
      <c r="V939" s="2" t="s">
        <v>4796</v>
      </c>
      <c r="W939" s="2" t="s">
        <v>4982</v>
      </c>
      <c r="X939" s="2" t="s">
        <v>4925</v>
      </c>
      <c r="Y939" s="2" t="s">
        <v>4008</v>
      </c>
      <c r="Z939" s="2" t="s">
        <v>5574</v>
      </c>
      <c r="AA9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9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39" s="6" t="str">
        <f>IF(_xlfn.IFNA(INDEX(configuracoes!$A$2:$A$10,MATCH(base_tc_geral[[#This Row],[TIPO]],configuracoes!$A$2:$A$10,0)),"NÃO")="NÃO","NÃO","SIM")</f>
        <v>SIM</v>
      </c>
    </row>
    <row r="940" spans="1:31" x14ac:dyDescent="0.25">
      <c r="A940" s="2" t="s">
        <v>1921</v>
      </c>
      <c r="B940" s="2">
        <v>109505858</v>
      </c>
      <c r="C940" s="2" t="s">
        <v>15</v>
      </c>
      <c r="D940" s="2" t="s">
        <v>4548</v>
      </c>
      <c r="E940" s="2" t="s">
        <v>86</v>
      </c>
      <c r="F940" s="2" t="s">
        <v>817</v>
      </c>
      <c r="G940" s="2" t="s">
        <v>637</v>
      </c>
      <c r="H940" s="2" t="s">
        <v>217</v>
      </c>
      <c r="I940" s="2" t="s">
        <v>33</v>
      </c>
      <c r="J940" s="2" t="s">
        <v>91</v>
      </c>
      <c r="K940" s="2" t="s">
        <v>13</v>
      </c>
      <c r="L940" s="2" t="s">
        <v>19</v>
      </c>
      <c r="M940" s="2" t="s">
        <v>22</v>
      </c>
      <c r="N940" s="2" t="s">
        <v>15</v>
      </c>
      <c r="O940" s="2" t="s">
        <v>221</v>
      </c>
      <c r="P940" s="2" t="s">
        <v>1923</v>
      </c>
      <c r="Q940" s="2" t="s">
        <v>4926</v>
      </c>
      <c r="R940" s="2" t="s">
        <v>1466</v>
      </c>
      <c r="S940" s="2" t="s">
        <v>93</v>
      </c>
      <c r="T940" s="2" t="s">
        <v>4696</v>
      </c>
      <c r="U940" s="2" t="s">
        <v>12</v>
      </c>
      <c r="V940" s="2" t="s">
        <v>4802</v>
      </c>
      <c r="W940" s="2" t="s">
        <v>4982</v>
      </c>
      <c r="X940" s="2" t="s">
        <v>4925</v>
      </c>
      <c r="Y940" s="2" t="s">
        <v>1922</v>
      </c>
      <c r="Z940" s="2" t="s">
        <v>5997</v>
      </c>
      <c r="AA9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9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0" s="6" t="str">
        <f>IF(_xlfn.IFNA(INDEX(configuracoes!$A$2:$A$10,MATCH(base_tc_geral[[#This Row],[TIPO]],configuracoes!$A$2:$A$10,0)),"NÃO")="NÃO","NÃO","SIM")</f>
        <v>SIM</v>
      </c>
    </row>
    <row r="941" spans="1:31" x14ac:dyDescent="0.25">
      <c r="A941" s="2" t="s">
        <v>2209</v>
      </c>
      <c r="B941" s="2">
        <v>105000986</v>
      </c>
      <c r="C941" s="2" t="s">
        <v>15</v>
      </c>
      <c r="D941" s="2" t="s">
        <v>4509</v>
      </c>
      <c r="E941" s="2" t="s">
        <v>28</v>
      </c>
      <c r="F941" s="2" t="s">
        <v>586</v>
      </c>
      <c r="G941" s="2" t="s">
        <v>89</v>
      </c>
      <c r="H941" s="2" t="s">
        <v>79</v>
      </c>
      <c r="I941" s="2" t="s">
        <v>33</v>
      </c>
      <c r="J941" s="2" t="s">
        <v>34</v>
      </c>
      <c r="K941" s="2" t="s">
        <v>13</v>
      </c>
      <c r="L941" s="2" t="s">
        <v>37</v>
      </c>
      <c r="M941" s="2" t="s">
        <v>44</v>
      </c>
      <c r="N941" s="2" t="s">
        <v>15</v>
      </c>
      <c r="O941" s="2" t="s">
        <v>83</v>
      </c>
      <c r="P941" s="2" t="s">
        <v>2211</v>
      </c>
      <c r="Q941" s="2" t="s">
        <v>4926</v>
      </c>
      <c r="R941" s="2" t="s">
        <v>81</v>
      </c>
      <c r="S941" s="2" t="s">
        <v>167</v>
      </c>
      <c r="T941" s="2" t="s">
        <v>167</v>
      </c>
      <c r="U941" s="2" t="s">
        <v>12</v>
      </c>
      <c r="V941" s="2" t="s">
        <v>4767</v>
      </c>
      <c r="W941" s="2" t="s">
        <v>4999</v>
      </c>
      <c r="X941" s="2" t="s">
        <v>44</v>
      </c>
      <c r="Y941" s="2" t="s">
        <v>2210</v>
      </c>
      <c r="Z941" s="2" t="s">
        <v>6165</v>
      </c>
      <c r="AA9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9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1" s="6" t="str">
        <f>IF(_xlfn.IFNA(INDEX(configuracoes!$A$2:$A$10,MATCH(base_tc_geral[[#This Row],[TIPO]],configuracoes!$A$2:$A$10,0)),"NÃO")="NÃO","NÃO","SIM")</f>
        <v>NÃO</v>
      </c>
    </row>
    <row r="942" spans="1:31" x14ac:dyDescent="0.25">
      <c r="A942" s="2" t="s">
        <v>3421</v>
      </c>
      <c r="B942" s="2">
        <v>105302695</v>
      </c>
      <c r="C942" s="2" t="s">
        <v>15</v>
      </c>
      <c r="D942" s="2" t="s">
        <v>4655</v>
      </c>
      <c r="E942" s="2" t="s">
        <v>28</v>
      </c>
      <c r="F942" s="2" t="s">
        <v>290</v>
      </c>
      <c r="G942" s="2" t="s">
        <v>58</v>
      </c>
      <c r="H942" s="2" t="s">
        <v>34</v>
      </c>
      <c r="I942" s="2" t="s">
        <v>33</v>
      </c>
      <c r="J942" s="2" t="s">
        <v>34</v>
      </c>
      <c r="K942" s="2" t="s">
        <v>13</v>
      </c>
      <c r="L942" s="2" t="s">
        <v>61</v>
      </c>
      <c r="M942" s="2" t="s">
        <v>44</v>
      </c>
      <c r="N942" s="2" t="s">
        <v>15</v>
      </c>
      <c r="O942" s="2" t="s">
        <v>156</v>
      </c>
      <c r="P942" s="2" t="s">
        <v>3424</v>
      </c>
      <c r="Q942" s="2" t="s">
        <v>4926</v>
      </c>
      <c r="R942" s="2" t="s">
        <v>3422</v>
      </c>
      <c r="S942" s="2" t="s">
        <v>260</v>
      </c>
      <c r="T942" s="2" t="s">
        <v>167</v>
      </c>
      <c r="U942" s="2" t="s">
        <v>12</v>
      </c>
      <c r="V942" s="2" t="s">
        <v>4763</v>
      </c>
      <c r="W942" s="2" t="s">
        <v>5037</v>
      </c>
      <c r="X942" s="2" t="s">
        <v>44</v>
      </c>
      <c r="Y942" s="2" t="s">
        <v>3423</v>
      </c>
      <c r="Z942" s="2" t="s">
        <v>6166</v>
      </c>
      <c r="AA9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KALYNE GOUVEIA </v>
      </c>
      <c r="AB9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9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2" s="6" t="str">
        <f>IF(_xlfn.IFNA(INDEX(configuracoes!$A$2:$A$10,MATCH(base_tc_geral[[#This Row],[TIPO]],configuracoes!$A$2:$A$10,0)),"NÃO")="NÃO","NÃO","SIM")</f>
        <v>NÃO</v>
      </c>
    </row>
    <row r="943" spans="1:31" x14ac:dyDescent="0.25">
      <c r="A943" s="2" t="s">
        <v>3066</v>
      </c>
      <c r="B943" s="2">
        <v>109505049</v>
      </c>
      <c r="C943" s="2" t="s">
        <v>15</v>
      </c>
      <c r="D943" s="2" t="s">
        <v>4493</v>
      </c>
      <c r="E943" s="2" t="s">
        <v>86</v>
      </c>
      <c r="F943" s="2" t="s">
        <v>594</v>
      </c>
      <c r="G943" s="2" t="s">
        <v>99</v>
      </c>
      <c r="H943" s="2" t="s">
        <v>122</v>
      </c>
      <c r="I943" s="2" t="s">
        <v>33</v>
      </c>
      <c r="J943" s="2" t="s">
        <v>124</v>
      </c>
      <c r="K943" s="2" t="s">
        <v>13</v>
      </c>
      <c r="L943" s="2" t="s">
        <v>25</v>
      </c>
      <c r="M943" s="2" t="s">
        <v>22</v>
      </c>
      <c r="N943" s="2" t="s">
        <v>15</v>
      </c>
      <c r="O943" s="2" t="s">
        <v>129</v>
      </c>
      <c r="P943" s="2" t="s">
        <v>3068</v>
      </c>
      <c r="Q943" s="2" t="s">
        <v>4926</v>
      </c>
      <c r="R943" s="2" t="s">
        <v>541</v>
      </c>
      <c r="S943" s="2" t="s">
        <v>125</v>
      </c>
      <c r="T943" s="2" t="s">
        <v>4696</v>
      </c>
      <c r="U943" s="2" t="s">
        <v>12</v>
      </c>
      <c r="V943" s="2" t="s">
        <v>4765</v>
      </c>
      <c r="W943" s="2" t="s">
        <v>4931</v>
      </c>
      <c r="X943" s="2" t="s">
        <v>4925</v>
      </c>
      <c r="Y943" s="2" t="s">
        <v>3067</v>
      </c>
      <c r="Z943" s="2" t="s">
        <v>6167</v>
      </c>
      <c r="AA9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9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3" s="6" t="str">
        <f>IF(_xlfn.IFNA(INDEX(configuracoes!$A$2:$A$10,MATCH(base_tc_geral[[#This Row],[TIPO]],configuracoes!$A$2:$A$10,0)),"NÃO")="NÃO","NÃO","SIM")</f>
        <v>SIM</v>
      </c>
    </row>
    <row r="944" spans="1:31" x14ac:dyDescent="0.25">
      <c r="A944" s="2" t="s">
        <v>1740</v>
      </c>
      <c r="B944" s="2">
        <v>109505049</v>
      </c>
      <c r="C944" s="2" t="s">
        <v>24</v>
      </c>
      <c r="D944" s="2" t="s">
        <v>4768</v>
      </c>
      <c r="E944" s="2" t="s">
        <v>86</v>
      </c>
      <c r="F944" s="2" t="s">
        <v>540</v>
      </c>
      <c r="G944" s="2" t="s">
        <v>99</v>
      </c>
      <c r="H944" s="2" t="s">
        <v>283</v>
      </c>
      <c r="I944" s="2" t="s">
        <v>33</v>
      </c>
      <c r="J944" s="2" t="s">
        <v>124</v>
      </c>
      <c r="K944" s="2" t="s">
        <v>20</v>
      </c>
      <c r="L944" s="2" t="s">
        <v>25</v>
      </c>
      <c r="M944" s="2" t="s">
        <v>22</v>
      </c>
      <c r="N944" s="2" t="s">
        <v>24</v>
      </c>
      <c r="O944" s="2" t="s">
        <v>287</v>
      </c>
      <c r="P944" s="2" t="s">
        <v>1742</v>
      </c>
      <c r="Q944" s="2" t="s">
        <v>4926</v>
      </c>
      <c r="R944" s="2" t="s">
        <v>541</v>
      </c>
      <c r="S944" s="2" t="s">
        <v>125</v>
      </c>
      <c r="T944" s="2" t="s">
        <v>4696</v>
      </c>
      <c r="U944" s="2" t="s">
        <v>39</v>
      </c>
      <c r="V944" s="2" t="s">
        <v>4765</v>
      </c>
      <c r="W944" s="2" t="s">
        <v>4931</v>
      </c>
      <c r="X944" s="2" t="s">
        <v>4925</v>
      </c>
      <c r="Y944" s="2" t="s">
        <v>1741</v>
      </c>
      <c r="Z944" s="2" t="s">
        <v>6168</v>
      </c>
      <c r="AA9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9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44" s="6" t="str">
        <f>IF(_xlfn.IFNA(INDEX(configuracoes!$A$2:$A$10,MATCH(base_tc_geral[[#This Row],[TIPO]],configuracoes!$A$2:$A$10,0)),"NÃO")="NÃO","NÃO","SIM")</f>
        <v>SIM</v>
      </c>
    </row>
    <row r="945" spans="1:31" x14ac:dyDescent="0.25">
      <c r="A945" s="2" t="s">
        <v>4314</v>
      </c>
      <c r="B945" s="2">
        <v>101001782</v>
      </c>
      <c r="C945" s="2" t="s">
        <v>15</v>
      </c>
      <c r="D945" s="2" t="s">
        <v>4502</v>
      </c>
      <c r="E945" s="2" t="s">
        <v>47</v>
      </c>
      <c r="F945" s="2" t="s">
        <v>464</v>
      </c>
      <c r="G945" s="2" t="s">
        <v>883</v>
      </c>
      <c r="H945" s="2" t="s">
        <v>48</v>
      </c>
      <c r="I945" s="2" t="s">
        <v>16</v>
      </c>
      <c r="J945" s="2" t="s">
        <v>48</v>
      </c>
      <c r="K945" s="2" t="s">
        <v>20</v>
      </c>
      <c r="L945" s="2" t="s">
        <v>21</v>
      </c>
      <c r="M945" s="2" t="s">
        <v>22</v>
      </c>
      <c r="N945" s="2" t="s">
        <v>15</v>
      </c>
      <c r="O945" s="2" t="s">
        <v>53</v>
      </c>
      <c r="P945" s="2" t="s">
        <v>4316</v>
      </c>
      <c r="Q945" s="2" t="s">
        <v>4926</v>
      </c>
      <c r="R945" s="2" t="s">
        <v>512</v>
      </c>
      <c r="S945" s="2" t="s">
        <v>51</v>
      </c>
      <c r="T945" s="2" t="s">
        <v>4697</v>
      </c>
      <c r="U945" s="2" t="s">
        <v>12</v>
      </c>
      <c r="V945" s="2" t="s">
        <v>4861</v>
      </c>
      <c r="W945" s="2" t="s">
        <v>4982</v>
      </c>
      <c r="X945" s="2" t="s">
        <v>4925</v>
      </c>
      <c r="Y945" s="2" t="s">
        <v>4315</v>
      </c>
      <c r="Z945" s="2" t="s">
        <v>6169</v>
      </c>
      <c r="AA9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9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5" s="6" t="str">
        <f>IF(_xlfn.IFNA(INDEX(configuracoes!$A$2:$A$10,MATCH(base_tc_geral[[#This Row],[TIPO]],configuracoes!$A$2:$A$10,0)),"NÃO")="NÃO","NÃO","SIM")</f>
        <v>SIM</v>
      </c>
    </row>
    <row r="946" spans="1:31" x14ac:dyDescent="0.25">
      <c r="A946" s="2" t="s">
        <v>1575</v>
      </c>
      <c r="B946" s="2">
        <v>109000017</v>
      </c>
      <c r="C946" s="2" t="s">
        <v>15</v>
      </c>
      <c r="D946" s="2" t="s">
        <v>4481</v>
      </c>
      <c r="E946" s="2" t="s">
        <v>86</v>
      </c>
      <c r="F946" s="2" t="s">
        <v>274</v>
      </c>
      <c r="G946" s="2" t="s">
        <v>245</v>
      </c>
      <c r="H946" s="2" t="s">
        <v>210</v>
      </c>
      <c r="I946" s="2" t="s">
        <v>33</v>
      </c>
      <c r="J946" s="2" t="s">
        <v>124</v>
      </c>
      <c r="K946" s="2" t="s">
        <v>20</v>
      </c>
      <c r="L946" s="2" t="s">
        <v>21</v>
      </c>
      <c r="M946" s="2" t="s">
        <v>22</v>
      </c>
      <c r="N946" s="2" t="s">
        <v>15</v>
      </c>
      <c r="O946" s="2" t="s">
        <v>214</v>
      </c>
      <c r="P946" s="2" t="s">
        <v>1577</v>
      </c>
      <c r="Q946" s="2" t="s">
        <v>4926</v>
      </c>
      <c r="R946" s="2" t="s">
        <v>212</v>
      </c>
      <c r="S946" s="2" t="s">
        <v>93</v>
      </c>
      <c r="T946" s="2" t="s">
        <v>4696</v>
      </c>
      <c r="U946" s="2" t="s">
        <v>12</v>
      </c>
      <c r="V946" s="2" t="s">
        <v>4846</v>
      </c>
      <c r="W946" s="2" t="s">
        <v>4982</v>
      </c>
      <c r="X946" s="2" t="s">
        <v>4925</v>
      </c>
      <c r="Y946" s="2" t="s">
        <v>1576</v>
      </c>
      <c r="Z946" s="2" t="s">
        <v>6170</v>
      </c>
      <c r="AA9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9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6" s="6" t="str">
        <f>IF(_xlfn.IFNA(INDEX(configuracoes!$A$2:$A$10,MATCH(base_tc_geral[[#This Row],[TIPO]],configuracoes!$A$2:$A$10,0)),"NÃO")="NÃO","NÃO","SIM")</f>
        <v>SIM</v>
      </c>
    </row>
    <row r="947" spans="1:31" x14ac:dyDescent="0.25">
      <c r="A947" s="2" t="s">
        <v>1858</v>
      </c>
      <c r="B947" s="2">
        <v>109000017</v>
      </c>
      <c r="C947" s="2" t="s">
        <v>15</v>
      </c>
      <c r="D947" s="2" t="s">
        <v>4548</v>
      </c>
      <c r="E947" s="2" t="s">
        <v>86</v>
      </c>
      <c r="F947" s="2" t="s">
        <v>363</v>
      </c>
      <c r="G947" s="2" t="s">
        <v>245</v>
      </c>
      <c r="H947" s="2" t="s">
        <v>210</v>
      </c>
      <c r="I947" s="2" t="s">
        <v>33</v>
      </c>
      <c r="J947" s="2" t="s">
        <v>124</v>
      </c>
      <c r="K947" s="2" t="s">
        <v>20</v>
      </c>
      <c r="L947" s="2" t="s">
        <v>21</v>
      </c>
      <c r="M947" s="2" t="s">
        <v>22</v>
      </c>
      <c r="N947" s="2" t="s">
        <v>15</v>
      </c>
      <c r="O947" s="2" t="s">
        <v>214</v>
      </c>
      <c r="P947" s="2" t="s">
        <v>1860</v>
      </c>
      <c r="Q947" s="2" t="s">
        <v>4926</v>
      </c>
      <c r="R947" s="2" t="s">
        <v>212</v>
      </c>
      <c r="S947" s="2" t="s">
        <v>93</v>
      </c>
      <c r="T947" s="2" t="s">
        <v>4696</v>
      </c>
      <c r="U947" s="2" t="s">
        <v>12</v>
      </c>
      <c r="V947" s="2" t="s">
        <v>4794</v>
      </c>
      <c r="W947" s="2" t="s">
        <v>4982</v>
      </c>
      <c r="X947" s="2" t="s">
        <v>4925</v>
      </c>
      <c r="Y947" s="2" t="s">
        <v>1859</v>
      </c>
      <c r="Z947" s="2" t="s">
        <v>6171</v>
      </c>
      <c r="AA9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9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7" s="6" t="str">
        <f>IF(_xlfn.IFNA(INDEX(configuracoes!$A$2:$A$10,MATCH(base_tc_geral[[#This Row],[TIPO]],configuracoes!$A$2:$A$10,0)),"NÃO")="NÃO","NÃO","SIM")</f>
        <v>SIM</v>
      </c>
    </row>
    <row r="948" spans="1:31" x14ac:dyDescent="0.25">
      <c r="A948" s="2" t="s">
        <v>4229</v>
      </c>
      <c r="B948" s="2">
        <v>101005241</v>
      </c>
      <c r="C948" s="2" t="s">
        <v>15</v>
      </c>
      <c r="D948" s="2" t="s">
        <v>4481</v>
      </c>
      <c r="E948" s="2" t="s">
        <v>47</v>
      </c>
      <c r="F948" s="2" t="s">
        <v>312</v>
      </c>
      <c r="G948" s="2" t="s">
        <v>172</v>
      </c>
      <c r="H948" s="2" t="s">
        <v>311</v>
      </c>
      <c r="I948" s="2" t="s">
        <v>16</v>
      </c>
      <c r="J948" s="2" t="s">
        <v>141</v>
      </c>
      <c r="K948" s="2" t="s">
        <v>13</v>
      </c>
      <c r="L948" s="2" t="s">
        <v>17</v>
      </c>
      <c r="M948" s="2" t="s">
        <v>23</v>
      </c>
      <c r="N948" s="2" t="s">
        <v>15</v>
      </c>
      <c r="O948" s="2" t="s">
        <v>314</v>
      </c>
      <c r="P948" s="2" t="s">
        <v>4231</v>
      </c>
      <c r="Q948" s="2" t="s">
        <v>4926</v>
      </c>
      <c r="R948" s="2" t="s">
        <v>143</v>
      </c>
      <c r="S948" s="2" t="s">
        <v>4698</v>
      </c>
      <c r="T948" s="2" t="s">
        <v>4697</v>
      </c>
      <c r="U948" s="2" t="s">
        <v>39</v>
      </c>
      <c r="V948" s="2" t="s">
        <v>4845</v>
      </c>
      <c r="W948" s="2" t="s">
        <v>17</v>
      </c>
      <c r="X948" s="2" t="s">
        <v>4998</v>
      </c>
      <c r="Y948" s="2" t="s">
        <v>4230</v>
      </c>
      <c r="Z948" s="2" t="s">
        <v>6172</v>
      </c>
      <c r="AA9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9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8" s="6" t="str">
        <f>IF(_xlfn.IFNA(INDEX(configuracoes!$A$2:$A$10,MATCH(base_tc_geral[[#This Row],[TIPO]],configuracoes!$A$2:$A$10,0)),"NÃO")="NÃO","NÃO","SIM")</f>
        <v>NÃO</v>
      </c>
    </row>
    <row r="949" spans="1:31" x14ac:dyDescent="0.25">
      <c r="A949" s="2" t="s">
        <v>1806</v>
      </c>
      <c r="B949" s="2">
        <v>109000926</v>
      </c>
      <c r="C949" s="2" t="s">
        <v>15</v>
      </c>
      <c r="D949" s="2" t="s">
        <v>4553</v>
      </c>
      <c r="E949" s="2" t="s">
        <v>86</v>
      </c>
      <c r="F949" s="2" t="s">
        <v>284</v>
      </c>
      <c r="G949" s="2" t="s">
        <v>58</v>
      </c>
      <c r="H949" s="2" t="s">
        <v>283</v>
      </c>
      <c r="I949" s="2" t="s">
        <v>33</v>
      </c>
      <c r="J949" s="2" t="s">
        <v>124</v>
      </c>
      <c r="K949" s="2" t="s">
        <v>92</v>
      </c>
      <c r="L949" s="2" t="s">
        <v>61</v>
      </c>
      <c r="M949" s="2" t="s">
        <v>44</v>
      </c>
      <c r="N949" s="2" t="s">
        <v>15</v>
      </c>
      <c r="O949" s="2" t="s">
        <v>287</v>
      </c>
      <c r="P949" s="2" t="s">
        <v>1808</v>
      </c>
      <c r="Q949" s="2" t="s">
        <v>4926</v>
      </c>
      <c r="R949" s="2" t="s">
        <v>285</v>
      </c>
      <c r="S949" s="2" t="s">
        <v>125</v>
      </c>
      <c r="T949" s="2" t="s">
        <v>4696</v>
      </c>
      <c r="U949" s="2" t="s">
        <v>12</v>
      </c>
      <c r="V949" s="2" t="s">
        <v>4777</v>
      </c>
      <c r="W949" s="2" t="s">
        <v>4999</v>
      </c>
      <c r="X949" s="2" t="s">
        <v>44</v>
      </c>
      <c r="Y949" s="2" t="s">
        <v>1807</v>
      </c>
      <c r="Z949" s="2" t="s">
        <v>6277</v>
      </c>
      <c r="AA9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9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49" s="6" t="str">
        <f>IF(_xlfn.IFNA(INDEX(configuracoes!$A$2:$A$10,MATCH(base_tc_geral[[#This Row],[TIPO]],configuracoes!$A$2:$A$10,0)),"NÃO")="NÃO","NÃO","SIM")</f>
        <v>NÃO</v>
      </c>
    </row>
    <row r="950" spans="1:31" x14ac:dyDescent="0.25">
      <c r="A950" s="2" t="s">
        <v>1746</v>
      </c>
      <c r="B950" s="2">
        <v>109500177</v>
      </c>
      <c r="C950" s="2" t="s">
        <v>15</v>
      </c>
      <c r="D950" s="2" t="s">
        <v>4484</v>
      </c>
      <c r="E950" s="2" t="s">
        <v>86</v>
      </c>
      <c r="F950" s="2" t="s">
        <v>1029</v>
      </c>
      <c r="G950" s="2" t="s">
        <v>245</v>
      </c>
      <c r="H950" s="2" t="s">
        <v>122</v>
      </c>
      <c r="I950" s="2" t="s">
        <v>33</v>
      </c>
      <c r="J950" s="2" t="s">
        <v>124</v>
      </c>
      <c r="K950" s="2" t="s">
        <v>20</v>
      </c>
      <c r="L950" s="2" t="s">
        <v>21</v>
      </c>
      <c r="M950" s="2" t="s">
        <v>22</v>
      </c>
      <c r="N950" s="2" t="s">
        <v>15</v>
      </c>
      <c r="O950" s="2" t="s">
        <v>129</v>
      </c>
      <c r="P950" s="2" t="s">
        <v>1748</v>
      </c>
      <c r="Q950" s="2" t="s">
        <v>4926</v>
      </c>
      <c r="R950" s="2" t="s">
        <v>447</v>
      </c>
      <c r="S950" s="2" t="s">
        <v>125</v>
      </c>
      <c r="T950" s="2" t="s">
        <v>4696</v>
      </c>
      <c r="U950" s="2" t="s">
        <v>12</v>
      </c>
      <c r="V950" s="2" t="s">
        <v>4771</v>
      </c>
      <c r="W950" s="2" t="s">
        <v>4982</v>
      </c>
      <c r="X950" s="2" t="s">
        <v>4925</v>
      </c>
      <c r="Y950" s="2" t="s">
        <v>1747</v>
      </c>
      <c r="Z950" s="2" t="s">
        <v>6278</v>
      </c>
      <c r="AA9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9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0" s="6" t="str">
        <f>IF(_xlfn.IFNA(INDEX(configuracoes!$A$2:$A$10,MATCH(base_tc_geral[[#This Row],[TIPO]],configuracoes!$A$2:$A$10,0)),"NÃO")="NÃO","NÃO","SIM")</f>
        <v>SIM</v>
      </c>
    </row>
    <row r="951" spans="1:31" x14ac:dyDescent="0.25">
      <c r="A951" s="2" t="s">
        <v>1689</v>
      </c>
      <c r="B951" s="2">
        <v>109501286</v>
      </c>
      <c r="C951" s="2" t="s">
        <v>15</v>
      </c>
      <c r="D951" s="2" t="s">
        <v>4618</v>
      </c>
      <c r="E951" s="2" t="s">
        <v>86</v>
      </c>
      <c r="F951" s="2" t="s">
        <v>497</v>
      </c>
      <c r="G951" s="2" t="s">
        <v>245</v>
      </c>
      <c r="H951" s="2" t="s">
        <v>164</v>
      </c>
      <c r="I951" s="2" t="s">
        <v>33</v>
      </c>
      <c r="J951" s="2" t="s">
        <v>124</v>
      </c>
      <c r="K951" s="2" t="s">
        <v>20</v>
      </c>
      <c r="L951" s="2" t="s">
        <v>21</v>
      </c>
      <c r="M951" s="2" t="s">
        <v>22</v>
      </c>
      <c r="N951" s="2" t="s">
        <v>15</v>
      </c>
      <c r="O951" s="2" t="s">
        <v>169</v>
      </c>
      <c r="P951" s="2" t="s">
        <v>1691</v>
      </c>
      <c r="Q951" s="2" t="s">
        <v>4926</v>
      </c>
      <c r="R951" s="2" t="s">
        <v>498</v>
      </c>
      <c r="S951" s="2" t="s">
        <v>93</v>
      </c>
      <c r="T951" s="2" t="s">
        <v>4696</v>
      </c>
      <c r="U951" s="2" t="s">
        <v>12</v>
      </c>
      <c r="V951" s="2" t="s">
        <v>4766</v>
      </c>
      <c r="W951" s="2" t="s">
        <v>4982</v>
      </c>
      <c r="X951" s="2" t="s">
        <v>4925</v>
      </c>
      <c r="Y951" s="2" t="s">
        <v>1690</v>
      </c>
      <c r="Z951" s="2" t="s">
        <v>6279</v>
      </c>
      <c r="AA9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9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1" s="6" t="str">
        <f>IF(_xlfn.IFNA(INDEX(configuracoes!$A$2:$A$10,MATCH(base_tc_geral[[#This Row],[TIPO]],configuracoes!$A$2:$A$10,0)),"NÃO")="NÃO","NÃO","SIM")</f>
        <v>SIM</v>
      </c>
    </row>
    <row r="952" spans="1:31" x14ac:dyDescent="0.25">
      <c r="A952" s="2" t="s">
        <v>4134</v>
      </c>
      <c r="B952" s="2">
        <v>101010175</v>
      </c>
      <c r="C952" s="2" t="s">
        <v>15</v>
      </c>
      <c r="D952" s="2" t="s">
        <v>4548</v>
      </c>
      <c r="E952" s="2" t="s">
        <v>47</v>
      </c>
      <c r="F952" s="2" t="s">
        <v>464</v>
      </c>
      <c r="G952" s="2" t="s">
        <v>135</v>
      </c>
      <c r="H952" s="2" t="s">
        <v>48</v>
      </c>
      <c r="I952" s="2" t="s">
        <v>16</v>
      </c>
      <c r="J952" s="2" t="s">
        <v>48</v>
      </c>
      <c r="K952" s="2" t="s">
        <v>13</v>
      </c>
      <c r="L952" s="2" t="s">
        <v>61</v>
      </c>
      <c r="M952" s="2" t="s">
        <v>338</v>
      </c>
      <c r="N952" s="2" t="s">
        <v>15</v>
      </c>
      <c r="O952" s="2" t="s">
        <v>53</v>
      </c>
      <c r="P952" s="2" t="s">
        <v>4136</v>
      </c>
      <c r="Q952" s="2" t="s">
        <v>4926</v>
      </c>
      <c r="R952" s="2" t="s">
        <v>4917</v>
      </c>
      <c r="S952" s="2" t="s">
        <v>1925</v>
      </c>
      <c r="T952" s="2" t="s">
        <v>110</v>
      </c>
      <c r="U952" s="2" t="s">
        <v>39</v>
      </c>
      <c r="V952" s="2" t="s">
        <v>4907</v>
      </c>
      <c r="W952" s="2" t="s">
        <v>4993</v>
      </c>
      <c r="X952" s="2" t="s">
        <v>338</v>
      </c>
      <c r="Y952" s="2" t="s">
        <v>4135</v>
      </c>
      <c r="Z952" s="2" t="s">
        <v>6280</v>
      </c>
      <c r="AA9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GILSON </v>
      </c>
      <c r="AB9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ADOLFO </v>
      </c>
      <c r="AC9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9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2" s="6" t="str">
        <f>IF(_xlfn.IFNA(INDEX(configuracoes!$A$2:$A$10,MATCH(base_tc_geral[[#This Row],[TIPO]],configuracoes!$A$2:$A$10,0)),"NÃO")="NÃO","NÃO","SIM")</f>
        <v>NÃO</v>
      </c>
    </row>
    <row r="953" spans="1:31" x14ac:dyDescent="0.25">
      <c r="A953" s="2" t="s">
        <v>1852</v>
      </c>
      <c r="B953" s="2">
        <v>109000017</v>
      </c>
      <c r="C953" s="2" t="s">
        <v>15</v>
      </c>
      <c r="D953" s="2" t="s">
        <v>4505</v>
      </c>
      <c r="E953" s="2" t="s">
        <v>86</v>
      </c>
      <c r="F953" s="2" t="s">
        <v>298</v>
      </c>
      <c r="G953" s="2" t="s">
        <v>245</v>
      </c>
      <c r="H953" s="2" t="s">
        <v>210</v>
      </c>
      <c r="I953" s="2" t="s">
        <v>33</v>
      </c>
      <c r="J953" s="2" t="s">
        <v>124</v>
      </c>
      <c r="K953" s="2" t="s">
        <v>20</v>
      </c>
      <c r="L953" s="2" t="s">
        <v>21</v>
      </c>
      <c r="M953" s="2" t="s">
        <v>22</v>
      </c>
      <c r="N953" s="2" t="s">
        <v>15</v>
      </c>
      <c r="O953" s="2" t="s">
        <v>214</v>
      </c>
      <c r="P953" s="2" t="s">
        <v>1854</v>
      </c>
      <c r="Q953" s="2" t="s">
        <v>4926</v>
      </c>
      <c r="R953" s="2" t="s">
        <v>212</v>
      </c>
      <c r="S953" s="2" t="s">
        <v>93</v>
      </c>
      <c r="T953" s="2" t="s">
        <v>4696</v>
      </c>
      <c r="U953" s="2" t="s">
        <v>12</v>
      </c>
      <c r="V953" s="2" t="s">
        <v>4794</v>
      </c>
      <c r="W953" s="2" t="s">
        <v>4982</v>
      </c>
      <c r="X953" s="2" t="s">
        <v>4925</v>
      </c>
      <c r="Y953" s="2" t="s">
        <v>1853</v>
      </c>
      <c r="Z953" s="2" t="s">
        <v>5998</v>
      </c>
      <c r="AA9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9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3" s="6" t="str">
        <f>IF(_xlfn.IFNA(INDEX(configuracoes!$A$2:$A$10,MATCH(base_tc_geral[[#This Row],[TIPO]],configuracoes!$A$2:$A$10,0)),"NÃO")="NÃO","NÃO","SIM")</f>
        <v>SIM</v>
      </c>
    </row>
    <row r="954" spans="1:31" x14ac:dyDescent="0.25">
      <c r="A954" s="2" t="s">
        <v>332</v>
      </c>
      <c r="B954" s="2">
        <v>109000926</v>
      </c>
      <c r="C954" s="2" t="s">
        <v>40</v>
      </c>
      <c r="D954" s="2" t="s">
        <v>4599</v>
      </c>
      <c r="E954" s="2" t="s">
        <v>86</v>
      </c>
      <c r="F954" s="2" t="s">
        <v>325</v>
      </c>
      <c r="G954" s="2" t="s">
        <v>245</v>
      </c>
      <c r="H954" s="2" t="s">
        <v>283</v>
      </c>
      <c r="I954" s="2" t="s">
        <v>33</v>
      </c>
      <c r="J954" s="2" t="s">
        <v>124</v>
      </c>
      <c r="K954" s="2" t="s">
        <v>20</v>
      </c>
      <c r="L954" s="2" t="s">
        <v>21</v>
      </c>
      <c r="M954" s="2" t="s">
        <v>22</v>
      </c>
      <c r="N954" s="2" t="s">
        <v>40</v>
      </c>
      <c r="O954" s="2" t="s">
        <v>287</v>
      </c>
      <c r="P954" s="2" t="s">
        <v>334</v>
      </c>
      <c r="Q954" s="2" t="s">
        <v>4926</v>
      </c>
      <c r="R954" s="2" t="s">
        <v>285</v>
      </c>
      <c r="S954" s="2" t="s">
        <v>125</v>
      </c>
      <c r="T954" s="2" t="s">
        <v>4696</v>
      </c>
      <c r="U954" s="2" t="s">
        <v>39</v>
      </c>
      <c r="V954" s="2" t="s">
        <v>4777</v>
      </c>
      <c r="W954" s="2" t="s">
        <v>4982</v>
      </c>
      <c r="X954" s="2" t="s">
        <v>4925</v>
      </c>
      <c r="Y954" s="2" t="s">
        <v>333</v>
      </c>
      <c r="Z954" s="2" t="s">
        <v>5999</v>
      </c>
      <c r="AA9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9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954" s="6" t="str">
        <f>IF(_xlfn.IFNA(INDEX(configuracoes!$A$2:$A$10,MATCH(base_tc_geral[[#This Row],[TIPO]],configuracoes!$A$2:$A$10,0)),"NÃO")="NÃO","NÃO","SIM")</f>
        <v>SIM</v>
      </c>
    </row>
    <row r="955" spans="1:31" x14ac:dyDescent="0.25">
      <c r="A955" s="2" t="s">
        <v>4311</v>
      </c>
      <c r="B955" s="2">
        <v>109506032</v>
      </c>
      <c r="C955" s="2" t="s">
        <v>24</v>
      </c>
      <c r="D955" s="2" t="s">
        <v>4768</v>
      </c>
      <c r="E955" s="2" t="s">
        <v>86</v>
      </c>
      <c r="F955" s="2" t="s">
        <v>505</v>
      </c>
      <c r="G955" s="2" t="s">
        <v>245</v>
      </c>
      <c r="H955" s="2" t="s">
        <v>164</v>
      </c>
      <c r="I955" s="2" t="s">
        <v>33</v>
      </c>
      <c r="J955" s="2" t="s">
        <v>124</v>
      </c>
      <c r="K955" s="2" t="s">
        <v>20</v>
      </c>
      <c r="L955" s="2" t="s">
        <v>21</v>
      </c>
      <c r="M955" s="2" t="s">
        <v>22</v>
      </c>
      <c r="N955" s="2" t="s">
        <v>24</v>
      </c>
      <c r="O955" s="2" t="s">
        <v>169</v>
      </c>
      <c r="P955" s="2" t="s">
        <v>4313</v>
      </c>
      <c r="Q955" s="2" t="s">
        <v>4926</v>
      </c>
      <c r="R955" s="2" t="s">
        <v>2892</v>
      </c>
      <c r="S955" s="2" t="s">
        <v>93</v>
      </c>
      <c r="T955" s="2" t="s">
        <v>4696</v>
      </c>
      <c r="U955" s="2" t="s">
        <v>39</v>
      </c>
      <c r="V955" s="2" t="s">
        <v>4785</v>
      </c>
      <c r="W955" s="2" t="s">
        <v>4982</v>
      </c>
      <c r="X955" s="2" t="s">
        <v>4925</v>
      </c>
      <c r="Y955" s="2" t="s">
        <v>4312</v>
      </c>
      <c r="Z955" s="2" t="s">
        <v>6000</v>
      </c>
      <c r="AA9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9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55" s="6" t="str">
        <f>IF(_xlfn.IFNA(INDEX(configuracoes!$A$2:$A$10,MATCH(base_tc_geral[[#This Row],[TIPO]],configuracoes!$A$2:$A$10,0)),"NÃO")="NÃO","NÃO","SIM")</f>
        <v>SIM</v>
      </c>
    </row>
    <row r="956" spans="1:31" x14ac:dyDescent="0.25">
      <c r="A956" s="2" t="s">
        <v>4425</v>
      </c>
      <c r="B956" s="2">
        <v>101003771</v>
      </c>
      <c r="C956" s="2" t="s">
        <v>15</v>
      </c>
      <c r="D956" s="2" t="s">
        <v>4560</v>
      </c>
      <c r="E956" s="2" t="s">
        <v>47</v>
      </c>
      <c r="F956" s="2" t="s">
        <v>464</v>
      </c>
      <c r="G956" s="2" t="s">
        <v>172</v>
      </c>
      <c r="H956" s="2" t="s">
        <v>48</v>
      </c>
      <c r="I956" s="2" t="s">
        <v>16</v>
      </c>
      <c r="J956" s="2" t="s">
        <v>48</v>
      </c>
      <c r="K956" s="2" t="s">
        <v>92</v>
      </c>
      <c r="L956" s="2" t="s">
        <v>17</v>
      </c>
      <c r="M956" s="2" t="s">
        <v>23</v>
      </c>
      <c r="N956" s="2" t="s">
        <v>15</v>
      </c>
      <c r="O956" s="2" t="s">
        <v>53</v>
      </c>
      <c r="P956" s="2" t="s">
        <v>4427</v>
      </c>
      <c r="Q956" s="2" t="s">
        <v>4926</v>
      </c>
      <c r="R956" s="2" t="s">
        <v>465</v>
      </c>
      <c r="S956" s="2" t="s">
        <v>51</v>
      </c>
      <c r="T956" s="2" t="s">
        <v>4697</v>
      </c>
      <c r="U956" s="2" t="s">
        <v>39</v>
      </c>
      <c r="V956" s="2" t="s">
        <v>4810</v>
      </c>
      <c r="W956" s="2" t="s">
        <v>17</v>
      </c>
      <c r="X956" s="2" t="s">
        <v>4998</v>
      </c>
      <c r="Y956" s="2" t="s">
        <v>4426</v>
      </c>
      <c r="Z956" s="2" t="s">
        <v>6001</v>
      </c>
      <c r="AA9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9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6" s="6" t="str">
        <f>IF(_xlfn.IFNA(INDEX(configuracoes!$A$2:$A$10,MATCH(base_tc_geral[[#This Row],[TIPO]],configuracoes!$A$2:$A$10,0)),"NÃO")="NÃO","NÃO","SIM")</f>
        <v>NÃO</v>
      </c>
    </row>
    <row r="957" spans="1:31" x14ac:dyDescent="0.25">
      <c r="A957" s="2" t="s">
        <v>2096</v>
      </c>
      <c r="B957" s="2">
        <v>102101642</v>
      </c>
      <c r="C957" s="2" t="s">
        <v>15</v>
      </c>
      <c r="D957" s="2" t="s">
        <v>4541</v>
      </c>
      <c r="E957" s="2" t="s">
        <v>106</v>
      </c>
      <c r="F957" s="2" t="s">
        <v>329</v>
      </c>
      <c r="G957" s="2" t="s">
        <v>245</v>
      </c>
      <c r="H957" s="2" t="s">
        <v>107</v>
      </c>
      <c r="I957" s="2" t="s">
        <v>33</v>
      </c>
      <c r="J957" s="2" t="s">
        <v>109</v>
      </c>
      <c r="K957" s="2" t="s">
        <v>20</v>
      </c>
      <c r="L957" s="2" t="s">
        <v>21</v>
      </c>
      <c r="M957" s="2" t="s">
        <v>22</v>
      </c>
      <c r="N957" s="2" t="s">
        <v>15</v>
      </c>
      <c r="O957" s="2" t="s">
        <v>112</v>
      </c>
      <c r="P957" s="2" t="s">
        <v>2098</v>
      </c>
      <c r="Q957" s="2" t="s">
        <v>4926</v>
      </c>
      <c r="R957" s="2" t="s">
        <v>187</v>
      </c>
      <c r="S957" s="2" t="s">
        <v>736</v>
      </c>
      <c r="T957" s="2" t="s">
        <v>167</v>
      </c>
      <c r="U957" s="2" t="s">
        <v>12</v>
      </c>
      <c r="V957" s="2" t="s">
        <v>4772</v>
      </c>
      <c r="W957" s="2" t="s">
        <v>4982</v>
      </c>
      <c r="X957" s="2" t="s">
        <v>4925</v>
      </c>
      <c r="Y957" s="2" t="s">
        <v>2097</v>
      </c>
      <c r="Z957" s="2" t="s">
        <v>6002</v>
      </c>
      <c r="AA9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9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7" s="6" t="str">
        <f>IF(_xlfn.IFNA(INDEX(configuracoes!$A$2:$A$10,MATCH(base_tc_geral[[#This Row],[TIPO]],configuracoes!$A$2:$A$10,0)),"NÃO")="NÃO","NÃO","SIM")</f>
        <v>SIM</v>
      </c>
    </row>
    <row r="958" spans="1:31" x14ac:dyDescent="0.25">
      <c r="A958" s="2" t="s">
        <v>3625</v>
      </c>
      <c r="B958" s="2">
        <v>101003771</v>
      </c>
      <c r="C958" s="2" t="s">
        <v>15</v>
      </c>
      <c r="D958" s="2" t="s">
        <v>4488</v>
      </c>
      <c r="E958" s="2" t="s">
        <v>47</v>
      </c>
      <c r="F958" s="2" t="s">
        <v>57</v>
      </c>
      <c r="G958" s="2" t="s">
        <v>172</v>
      </c>
      <c r="H958" s="2" t="s">
        <v>56</v>
      </c>
      <c r="I958" s="2" t="s">
        <v>16</v>
      </c>
      <c r="J958" s="2" t="s">
        <v>60</v>
      </c>
      <c r="K958" s="2" t="s">
        <v>13</v>
      </c>
      <c r="L958" s="2" t="s">
        <v>17</v>
      </c>
      <c r="M958" s="2" t="s">
        <v>23</v>
      </c>
      <c r="N958" s="2" t="s">
        <v>15</v>
      </c>
      <c r="O958" s="2" t="s">
        <v>63</v>
      </c>
      <c r="P958" s="2" t="s">
        <v>3627</v>
      </c>
      <c r="Q958" s="2" t="s">
        <v>4926</v>
      </c>
      <c r="R958" s="2" t="s">
        <v>465</v>
      </c>
      <c r="S958" s="2" t="s">
        <v>51</v>
      </c>
      <c r="T958" s="2" t="s">
        <v>4697</v>
      </c>
      <c r="U958" s="2" t="s">
        <v>12</v>
      </c>
      <c r="V958" s="2" t="s">
        <v>4786</v>
      </c>
      <c r="W958" s="2" t="s">
        <v>17</v>
      </c>
      <c r="X958" s="2" t="s">
        <v>4998</v>
      </c>
      <c r="Y958" s="2" t="s">
        <v>3626</v>
      </c>
      <c r="Z958" s="2" t="s">
        <v>6003</v>
      </c>
      <c r="AA9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9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8" s="6" t="str">
        <f>IF(_xlfn.IFNA(INDEX(configuracoes!$A$2:$A$10,MATCH(base_tc_geral[[#This Row],[TIPO]],configuracoes!$A$2:$A$10,0)),"NÃO")="NÃO","NÃO","SIM")</f>
        <v>NÃO</v>
      </c>
    </row>
    <row r="959" spans="1:31" x14ac:dyDescent="0.25">
      <c r="A959" s="2" t="s">
        <v>2387</v>
      </c>
      <c r="B959" s="2">
        <v>102101393</v>
      </c>
      <c r="C959" s="2" t="s">
        <v>15</v>
      </c>
      <c r="D959" s="2" t="s">
        <v>4515</v>
      </c>
      <c r="E959" s="2" t="s">
        <v>106</v>
      </c>
      <c r="F959" s="2" t="s">
        <v>405</v>
      </c>
      <c r="G959" s="2" t="s">
        <v>58</v>
      </c>
      <c r="H959" s="2" t="s">
        <v>130</v>
      </c>
      <c r="I959" s="2" t="s">
        <v>33</v>
      </c>
      <c r="J959" s="2" t="s">
        <v>109</v>
      </c>
      <c r="K959" s="2" t="s">
        <v>13</v>
      </c>
      <c r="L959" s="2" t="s">
        <v>61</v>
      </c>
      <c r="M959" s="2" t="s">
        <v>44</v>
      </c>
      <c r="N959" s="2" t="s">
        <v>15</v>
      </c>
      <c r="O959" s="2" t="s">
        <v>132</v>
      </c>
      <c r="P959" s="2" t="s">
        <v>2389</v>
      </c>
      <c r="Q959" s="2" t="s">
        <v>4926</v>
      </c>
      <c r="R959" s="2" t="s">
        <v>735</v>
      </c>
      <c r="S959" s="2" t="s">
        <v>736</v>
      </c>
      <c r="T959" s="2" t="s">
        <v>167</v>
      </c>
      <c r="U959" s="2" t="s">
        <v>12</v>
      </c>
      <c r="V959" s="2" t="s">
        <v>4886</v>
      </c>
      <c r="W959" s="2" t="s">
        <v>5013</v>
      </c>
      <c r="X959" s="2" t="s">
        <v>44</v>
      </c>
      <c r="Y959" s="2" t="s">
        <v>2388</v>
      </c>
      <c r="Z959" s="2" t="s">
        <v>6281</v>
      </c>
      <c r="AA9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9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59" s="6" t="str">
        <f>IF(_xlfn.IFNA(INDEX(configuracoes!$A$2:$A$10,MATCH(base_tc_geral[[#This Row],[TIPO]],configuracoes!$A$2:$A$10,0)),"NÃO")="NÃO","NÃO","SIM")</f>
        <v>NÃO</v>
      </c>
    </row>
    <row r="960" spans="1:31" x14ac:dyDescent="0.25">
      <c r="A960" s="2" t="s">
        <v>1273</v>
      </c>
      <c r="B960" s="2">
        <v>102100390</v>
      </c>
      <c r="C960" s="2" t="s">
        <v>15</v>
      </c>
      <c r="D960" s="2" t="s">
        <v>4576</v>
      </c>
      <c r="E960" s="2" t="s">
        <v>106</v>
      </c>
      <c r="F960" s="2" t="s">
        <v>131</v>
      </c>
      <c r="G960" s="2" t="s">
        <v>149</v>
      </c>
      <c r="H960" s="2" t="s">
        <v>130</v>
      </c>
      <c r="I960" s="2" t="s">
        <v>33</v>
      </c>
      <c r="J960" s="2" t="s">
        <v>109</v>
      </c>
      <c r="K960" s="2" t="s">
        <v>20</v>
      </c>
      <c r="L960" s="2" t="s">
        <v>61</v>
      </c>
      <c r="M960" s="2" t="s">
        <v>22</v>
      </c>
      <c r="N960" s="2" t="s">
        <v>15</v>
      </c>
      <c r="O960" s="2" t="s">
        <v>132</v>
      </c>
      <c r="P960" s="2" t="s">
        <v>1275</v>
      </c>
      <c r="Q960" s="2" t="s">
        <v>4926</v>
      </c>
      <c r="R960" s="2" t="s">
        <v>1092</v>
      </c>
      <c r="S960" s="2" t="s">
        <v>736</v>
      </c>
      <c r="T960" s="2" t="s">
        <v>167</v>
      </c>
      <c r="U960" s="2" t="s">
        <v>39</v>
      </c>
      <c r="V960" s="2" t="s">
        <v>4853</v>
      </c>
      <c r="W960" s="2" t="s">
        <v>4982</v>
      </c>
      <c r="X960" s="2" t="s">
        <v>4925</v>
      </c>
      <c r="Y960" s="2" t="s">
        <v>1274</v>
      </c>
      <c r="Z960" s="2" t="s">
        <v>6282</v>
      </c>
      <c r="AA9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9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60" s="6" t="str">
        <f>IF(_xlfn.IFNA(INDEX(configuracoes!$A$2:$A$10,MATCH(base_tc_geral[[#This Row],[TIPO]],configuracoes!$A$2:$A$10,0)),"NÃO")="NÃO","NÃO","SIM")</f>
        <v>NÃO</v>
      </c>
    </row>
    <row r="961" spans="1:31" x14ac:dyDescent="0.25">
      <c r="A961" s="2" t="s">
        <v>1391</v>
      </c>
      <c r="B961" s="2">
        <v>101010209</v>
      </c>
      <c r="C961" s="2" t="s">
        <v>15</v>
      </c>
      <c r="D961" s="2" t="s">
        <v>4481</v>
      </c>
      <c r="E961" s="2" t="s">
        <v>47</v>
      </c>
      <c r="F961" s="2" t="s">
        <v>278</v>
      </c>
      <c r="G961" s="2" t="s">
        <v>58</v>
      </c>
      <c r="H961" s="2" t="s">
        <v>60</v>
      </c>
      <c r="I961" s="2" t="s">
        <v>16</v>
      </c>
      <c r="J961" s="2" t="s">
        <v>60</v>
      </c>
      <c r="K961" s="2" t="s">
        <v>13</v>
      </c>
      <c r="L961" s="2" t="s">
        <v>61</v>
      </c>
      <c r="M961" s="2" t="s">
        <v>44</v>
      </c>
      <c r="N961" s="2" t="s">
        <v>15</v>
      </c>
      <c r="O961" s="2" t="s">
        <v>161</v>
      </c>
      <c r="P961" s="2" t="s">
        <v>1393</v>
      </c>
      <c r="Q961" s="2" t="s">
        <v>4926</v>
      </c>
      <c r="R961" s="2" t="s">
        <v>279</v>
      </c>
      <c r="S961" s="2" t="s">
        <v>51</v>
      </c>
      <c r="T961" s="2" t="s">
        <v>4697</v>
      </c>
      <c r="U961" s="2" t="s">
        <v>12</v>
      </c>
      <c r="V961" s="2" t="s">
        <v>4821</v>
      </c>
      <c r="W961" s="2" t="s">
        <v>4999</v>
      </c>
      <c r="X961" s="2" t="s">
        <v>44</v>
      </c>
      <c r="Y961" s="2" t="s">
        <v>1392</v>
      </c>
      <c r="Z961" s="2" t="s">
        <v>6283</v>
      </c>
      <c r="AA9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9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61" s="6" t="str">
        <f>IF(_xlfn.IFNA(INDEX(configuracoes!$A$2:$A$10,MATCH(base_tc_geral[[#This Row],[TIPO]],configuracoes!$A$2:$A$10,0)),"NÃO")="NÃO","NÃO","SIM")</f>
        <v>NÃO</v>
      </c>
    </row>
    <row r="962" spans="1:31" x14ac:dyDescent="0.25">
      <c r="A962" s="2" t="s">
        <v>2989</v>
      </c>
      <c r="B962" s="2">
        <v>101010062</v>
      </c>
      <c r="C962" s="2" t="s">
        <v>15</v>
      </c>
      <c r="D962" s="2" t="s">
        <v>4516</v>
      </c>
      <c r="E962" s="2" t="s">
        <v>47</v>
      </c>
      <c r="F962" s="2" t="s">
        <v>181</v>
      </c>
      <c r="G962" s="2" t="s">
        <v>637</v>
      </c>
      <c r="H962" s="2" t="s">
        <v>66</v>
      </c>
      <c r="I962" s="2" t="s">
        <v>16</v>
      </c>
      <c r="J962" s="2" t="s">
        <v>66</v>
      </c>
      <c r="K962" s="2" t="s">
        <v>20</v>
      </c>
      <c r="L962" s="2" t="s">
        <v>19</v>
      </c>
      <c r="M962" s="2" t="s">
        <v>22</v>
      </c>
      <c r="N962" s="2" t="s">
        <v>15</v>
      </c>
      <c r="O962" s="2" t="s">
        <v>71</v>
      </c>
      <c r="P962" s="2" t="s">
        <v>2991</v>
      </c>
      <c r="Q962" s="2" t="s">
        <v>4926</v>
      </c>
      <c r="R962" s="2" t="s">
        <v>1699</v>
      </c>
      <c r="S962" s="2" t="s">
        <v>4698</v>
      </c>
      <c r="T962" s="2" t="s">
        <v>4697</v>
      </c>
      <c r="U962" s="2" t="s">
        <v>12</v>
      </c>
      <c r="V962" s="2" t="s">
        <v>4792</v>
      </c>
      <c r="W962" s="2" t="s">
        <v>4982</v>
      </c>
      <c r="X962" s="2" t="s">
        <v>4925</v>
      </c>
      <c r="Y962" s="2" t="s">
        <v>2990</v>
      </c>
      <c r="Z962" s="2" t="s">
        <v>6284</v>
      </c>
      <c r="AA9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9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62" s="6" t="str">
        <f>IF(_xlfn.IFNA(INDEX(configuracoes!$A$2:$A$10,MATCH(base_tc_geral[[#This Row],[TIPO]],configuracoes!$A$2:$A$10,0)),"NÃO")="NÃO","NÃO","SIM")</f>
        <v>SIM</v>
      </c>
    </row>
    <row r="963" spans="1:31" x14ac:dyDescent="0.25">
      <c r="A963" s="2" t="s">
        <v>2242</v>
      </c>
      <c r="B963" s="2">
        <v>105303207</v>
      </c>
      <c r="C963" s="2" t="s">
        <v>15</v>
      </c>
      <c r="D963" s="2" t="s">
        <v>4665</v>
      </c>
      <c r="E963" s="2" t="s">
        <v>28</v>
      </c>
      <c r="F963" s="2" t="s">
        <v>423</v>
      </c>
      <c r="G963" s="2" t="s">
        <v>58</v>
      </c>
      <c r="H963" s="2" t="s">
        <v>34</v>
      </c>
      <c r="I963" s="2" t="s">
        <v>33</v>
      </c>
      <c r="J963" s="2" t="s">
        <v>34</v>
      </c>
      <c r="K963" s="2" t="s">
        <v>92</v>
      </c>
      <c r="L963" s="2" t="s">
        <v>61</v>
      </c>
      <c r="M963" s="2" t="s">
        <v>44</v>
      </c>
      <c r="N963" s="2" t="s">
        <v>15</v>
      </c>
      <c r="O963" s="2" t="s">
        <v>156</v>
      </c>
      <c r="P963" s="2" t="s">
        <v>2245</v>
      </c>
      <c r="Q963" s="2" t="s">
        <v>4926</v>
      </c>
      <c r="R963" s="2" t="s">
        <v>2243</v>
      </c>
      <c r="S963" s="2" t="s">
        <v>167</v>
      </c>
      <c r="T963" s="2" t="s">
        <v>167</v>
      </c>
      <c r="U963" s="2" t="s">
        <v>12</v>
      </c>
      <c r="V963" s="2" t="s">
        <v>4852</v>
      </c>
      <c r="W963" s="2" t="s">
        <v>4999</v>
      </c>
      <c r="X963" s="2" t="s">
        <v>44</v>
      </c>
      <c r="Y963" s="2" t="s">
        <v>2244</v>
      </c>
      <c r="Z963" s="2" t="s">
        <v>6285</v>
      </c>
      <c r="AA9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9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63" s="6" t="str">
        <f>IF(_xlfn.IFNA(INDEX(configuracoes!$A$2:$A$10,MATCH(base_tc_geral[[#This Row],[TIPO]],configuracoes!$A$2:$A$10,0)),"NÃO")="NÃO","NÃO","SIM")</f>
        <v>NÃO</v>
      </c>
    </row>
    <row r="964" spans="1:31" x14ac:dyDescent="0.25">
      <c r="A964" s="2" t="s">
        <v>4257</v>
      </c>
      <c r="B964" s="2">
        <v>101005241</v>
      </c>
      <c r="C964" s="2" t="s">
        <v>15</v>
      </c>
      <c r="D964" s="2" t="s">
        <v>4544</v>
      </c>
      <c r="E964" s="2" t="s">
        <v>47</v>
      </c>
      <c r="F964" s="2" t="s">
        <v>312</v>
      </c>
      <c r="G964" s="2" t="s">
        <v>58</v>
      </c>
      <c r="H964" s="2" t="s">
        <v>311</v>
      </c>
      <c r="I964" s="2" t="s">
        <v>16</v>
      </c>
      <c r="J964" s="2" t="s">
        <v>141</v>
      </c>
      <c r="K964" s="2" t="s">
        <v>20</v>
      </c>
      <c r="L964" s="2" t="s">
        <v>61</v>
      </c>
      <c r="M964" s="2" t="s">
        <v>22</v>
      </c>
      <c r="N964" s="2" t="s">
        <v>15</v>
      </c>
      <c r="O964" s="2" t="s">
        <v>314</v>
      </c>
      <c r="P964" s="2" t="s">
        <v>4259</v>
      </c>
      <c r="Q964" s="2" t="s">
        <v>4926</v>
      </c>
      <c r="R964" s="2" t="s">
        <v>143</v>
      </c>
      <c r="S964" s="2" t="s">
        <v>4698</v>
      </c>
      <c r="T964" s="2" t="s">
        <v>4697</v>
      </c>
      <c r="U964" s="2" t="s">
        <v>12</v>
      </c>
      <c r="V964" s="2" t="s">
        <v>4844</v>
      </c>
      <c r="W964" s="2" t="s">
        <v>4982</v>
      </c>
      <c r="X964" s="2" t="s">
        <v>4925</v>
      </c>
      <c r="Y964" s="2" t="s">
        <v>4258</v>
      </c>
      <c r="Z964" s="2" t="s">
        <v>6286</v>
      </c>
      <c r="AA9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9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64" s="6" t="str">
        <f>IF(_xlfn.IFNA(INDEX(configuracoes!$A$2:$A$10,MATCH(base_tc_geral[[#This Row],[TIPO]],configuracoes!$A$2:$A$10,0)),"NÃO")="NÃO","NÃO","SIM")</f>
        <v>NÃO</v>
      </c>
    </row>
    <row r="965" spans="1:31" x14ac:dyDescent="0.25">
      <c r="A965" s="2" t="s">
        <v>2586</v>
      </c>
      <c r="B965" s="2">
        <v>109505858</v>
      </c>
      <c r="C965" s="2" t="s">
        <v>24</v>
      </c>
      <c r="D965" s="2" t="s">
        <v>4768</v>
      </c>
      <c r="E965" s="2" t="s">
        <v>86</v>
      </c>
      <c r="F965" s="2" t="s">
        <v>559</v>
      </c>
      <c r="G965" s="2" t="s">
        <v>172</v>
      </c>
      <c r="H965" s="2" t="s">
        <v>558</v>
      </c>
      <c r="I965" s="2" t="s">
        <v>33</v>
      </c>
      <c r="J965" s="2" t="s">
        <v>91</v>
      </c>
      <c r="K965" s="2" t="s">
        <v>13</v>
      </c>
      <c r="L965" s="2" t="s">
        <v>17</v>
      </c>
      <c r="M965" s="2" t="s">
        <v>128</v>
      </c>
      <c r="N965" s="2" t="s">
        <v>24</v>
      </c>
      <c r="O965" s="2" t="s">
        <v>561</v>
      </c>
      <c r="P965" s="2" t="s">
        <v>2588</v>
      </c>
      <c r="Q965" s="2" t="s">
        <v>4926</v>
      </c>
      <c r="R965" s="2" t="s">
        <v>1466</v>
      </c>
      <c r="S965" s="2" t="s">
        <v>93</v>
      </c>
      <c r="T965" s="2" t="s">
        <v>4696</v>
      </c>
      <c r="U965" s="2" t="s">
        <v>39</v>
      </c>
      <c r="V965" s="2" t="s">
        <v>4802</v>
      </c>
      <c r="W965" s="2" t="s">
        <v>4987</v>
      </c>
      <c r="X965" s="2" t="s">
        <v>4989</v>
      </c>
      <c r="Y965" s="2" t="s">
        <v>2587</v>
      </c>
      <c r="Z965" s="2" t="s">
        <v>6287</v>
      </c>
      <c r="AA9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9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65" s="6" t="str">
        <f>IF(_xlfn.IFNA(INDEX(configuracoes!$A$2:$A$10,MATCH(base_tc_geral[[#This Row],[TIPO]],configuracoes!$A$2:$A$10,0)),"NÃO")="NÃO","NÃO","SIM")</f>
        <v>NÃO</v>
      </c>
    </row>
    <row r="966" spans="1:31" x14ac:dyDescent="0.25">
      <c r="A966" s="2" t="s">
        <v>1046</v>
      </c>
      <c r="B966" s="2">
        <v>109504012</v>
      </c>
      <c r="C966" s="2" t="s">
        <v>24</v>
      </c>
      <c r="D966" s="2" t="s">
        <v>4768</v>
      </c>
      <c r="E966" s="2" t="s">
        <v>28</v>
      </c>
      <c r="F966" s="2" t="s">
        <v>570</v>
      </c>
      <c r="G966" s="2" t="s">
        <v>883</v>
      </c>
      <c r="H966" s="2" t="s">
        <v>34</v>
      </c>
      <c r="I966" s="2" t="s">
        <v>33</v>
      </c>
      <c r="J966" s="2" t="s">
        <v>34</v>
      </c>
      <c r="K966" s="2" t="s">
        <v>20</v>
      </c>
      <c r="L966" s="2" t="s">
        <v>21</v>
      </c>
      <c r="M966" s="2" t="s">
        <v>22</v>
      </c>
      <c r="N966" s="2" t="s">
        <v>24</v>
      </c>
      <c r="O966" s="2" t="s">
        <v>156</v>
      </c>
      <c r="P966" s="2" t="s">
        <v>1048</v>
      </c>
      <c r="Q966" s="2" t="s">
        <v>4926</v>
      </c>
      <c r="R966" s="2" t="s">
        <v>166</v>
      </c>
      <c r="S966" s="2" t="s">
        <v>167</v>
      </c>
      <c r="T966" s="2" t="s">
        <v>167</v>
      </c>
      <c r="U966" s="2" t="s">
        <v>39</v>
      </c>
      <c r="V966" s="2" t="s">
        <v>4775</v>
      </c>
      <c r="W966" s="2" t="s">
        <v>4982</v>
      </c>
      <c r="X966" s="2" t="s">
        <v>4925</v>
      </c>
      <c r="Y966" s="2" t="s">
        <v>1047</v>
      </c>
      <c r="Z966" s="2" t="s">
        <v>6004</v>
      </c>
      <c r="AA9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9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66" s="6" t="str">
        <f>IF(_xlfn.IFNA(INDEX(configuracoes!$A$2:$A$10,MATCH(base_tc_geral[[#This Row],[TIPO]],configuracoes!$A$2:$A$10,0)),"NÃO")="NÃO","NÃO","SIM")</f>
        <v>SIM</v>
      </c>
    </row>
    <row r="967" spans="1:31" x14ac:dyDescent="0.25">
      <c r="A967" s="2" t="s">
        <v>3233</v>
      </c>
      <c r="B967" s="2">
        <v>109505858</v>
      </c>
      <c r="C967" s="2" t="s">
        <v>15</v>
      </c>
      <c r="D967" s="2" t="s">
        <v>4535</v>
      </c>
      <c r="E967" s="2" t="s">
        <v>86</v>
      </c>
      <c r="F967" s="2" t="s">
        <v>559</v>
      </c>
      <c r="G967" s="2" t="s">
        <v>58</v>
      </c>
      <c r="H967" s="2" t="s">
        <v>558</v>
      </c>
      <c r="I967" s="2" t="s">
        <v>33</v>
      </c>
      <c r="J967" s="2" t="s">
        <v>91</v>
      </c>
      <c r="K967" s="2" t="s">
        <v>20</v>
      </c>
      <c r="L967" s="2" t="s">
        <v>61</v>
      </c>
      <c r="M967" s="2" t="s">
        <v>22</v>
      </c>
      <c r="N967" s="2" t="s">
        <v>15</v>
      </c>
      <c r="O967" s="2" t="s">
        <v>561</v>
      </c>
      <c r="P967" s="2" t="s">
        <v>3235</v>
      </c>
      <c r="Q967" s="2" t="s">
        <v>4926</v>
      </c>
      <c r="R967" s="2" t="s">
        <v>1466</v>
      </c>
      <c r="S967" s="2" t="s">
        <v>93</v>
      </c>
      <c r="T967" s="2" t="s">
        <v>4696</v>
      </c>
      <c r="U967" s="2" t="s">
        <v>12</v>
      </c>
      <c r="V967" s="2" t="s">
        <v>4802</v>
      </c>
      <c r="W967" s="2" t="s">
        <v>4982</v>
      </c>
      <c r="X967" s="2" t="s">
        <v>4925</v>
      </c>
      <c r="Y967" s="2" t="s">
        <v>3234</v>
      </c>
      <c r="Z967" s="2" t="s">
        <v>6005</v>
      </c>
      <c r="AA9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9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67" s="6" t="str">
        <f>IF(_xlfn.IFNA(INDEX(configuracoes!$A$2:$A$10,MATCH(base_tc_geral[[#This Row],[TIPO]],configuracoes!$A$2:$A$10,0)),"NÃO")="NÃO","NÃO","SIM")</f>
        <v>NÃO</v>
      </c>
    </row>
    <row r="968" spans="1:31" x14ac:dyDescent="0.25">
      <c r="A968" s="2" t="s">
        <v>2342</v>
      </c>
      <c r="B968" s="2">
        <v>101005989</v>
      </c>
      <c r="C968" s="2" t="s">
        <v>24</v>
      </c>
      <c r="D968" s="2" t="s">
        <v>4482</v>
      </c>
      <c r="E968" s="2" t="s">
        <v>47</v>
      </c>
      <c r="F968" s="2" t="s">
        <v>433</v>
      </c>
      <c r="G968" s="2" t="s">
        <v>4780</v>
      </c>
      <c r="H968" s="2" t="s">
        <v>56</v>
      </c>
      <c r="I968" s="2" t="s">
        <v>16</v>
      </c>
      <c r="J968" s="2" t="s">
        <v>60</v>
      </c>
      <c r="K968" s="2" t="s">
        <v>20</v>
      </c>
      <c r="L968" s="2" t="s">
        <v>21</v>
      </c>
      <c r="M968" s="2" t="s">
        <v>22</v>
      </c>
      <c r="N968" s="2" t="s">
        <v>24</v>
      </c>
      <c r="O968" s="2" t="s">
        <v>63</v>
      </c>
      <c r="P968" s="2" t="s">
        <v>2344</v>
      </c>
      <c r="Q968" s="2" t="s">
        <v>4926</v>
      </c>
      <c r="R968" s="2" t="s">
        <v>59</v>
      </c>
      <c r="S968" s="2" t="s">
        <v>51</v>
      </c>
      <c r="T968" s="2" t="s">
        <v>4697</v>
      </c>
      <c r="U968" s="2" t="s">
        <v>39</v>
      </c>
      <c r="V968" s="2" t="s">
        <v>4779</v>
      </c>
      <c r="W968" s="2" t="s">
        <v>4982</v>
      </c>
      <c r="X968" s="2" t="s">
        <v>4925</v>
      </c>
      <c r="Y968" s="2" t="s">
        <v>2343</v>
      </c>
      <c r="Z968" s="2" t="s">
        <v>6006</v>
      </c>
      <c r="AA9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9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68" s="6" t="str">
        <f>IF(_xlfn.IFNA(INDEX(configuracoes!$A$2:$A$10,MATCH(base_tc_geral[[#This Row],[TIPO]],configuracoes!$A$2:$A$10,0)),"NÃO")="NÃO","NÃO","SIM")</f>
        <v>SIM</v>
      </c>
    </row>
    <row r="969" spans="1:31" x14ac:dyDescent="0.25">
      <c r="A969" s="2" t="s">
        <v>3545</v>
      </c>
      <c r="B969" s="2">
        <v>102101634</v>
      </c>
      <c r="C969" s="2" t="s">
        <v>24</v>
      </c>
      <c r="D969" s="2" t="s">
        <v>4482</v>
      </c>
      <c r="E969" s="2" t="s">
        <v>106</v>
      </c>
      <c r="F969" s="2" t="s">
        <v>108</v>
      </c>
      <c r="G969" s="2" t="s">
        <v>1350</v>
      </c>
      <c r="H969" s="2" t="s">
        <v>107</v>
      </c>
      <c r="I969" s="2" t="s">
        <v>33</v>
      </c>
      <c r="J969" s="2" t="s">
        <v>109</v>
      </c>
      <c r="K969" s="2" t="s">
        <v>13</v>
      </c>
      <c r="L969" s="2" t="s">
        <v>126</v>
      </c>
      <c r="M969" s="2" t="s">
        <v>22</v>
      </c>
      <c r="N969" s="2" t="s">
        <v>24</v>
      </c>
      <c r="O969" s="2" t="s">
        <v>112</v>
      </c>
      <c r="P969" s="2" t="s">
        <v>3547</v>
      </c>
      <c r="Q969" s="2" t="s">
        <v>4926</v>
      </c>
      <c r="R969" s="2" t="s">
        <v>406</v>
      </c>
      <c r="S969" s="2" t="s">
        <v>736</v>
      </c>
      <c r="T969" s="2" t="s">
        <v>167</v>
      </c>
      <c r="U969" s="2" t="s">
        <v>39</v>
      </c>
      <c r="V969" s="2" t="s">
        <v>4853</v>
      </c>
      <c r="W969" s="2" t="s">
        <v>4982</v>
      </c>
      <c r="X969" s="2" t="s">
        <v>4925</v>
      </c>
      <c r="Y969" s="2" t="s">
        <v>3546</v>
      </c>
      <c r="Z969" s="2" t="s">
        <v>6007</v>
      </c>
      <c r="AA9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9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69" s="6" t="str">
        <f>IF(_xlfn.IFNA(INDEX(configuracoes!$A$2:$A$10,MATCH(base_tc_geral[[#This Row],[TIPO]],configuracoes!$A$2:$A$10,0)),"NÃO")="NÃO","NÃO","SIM")</f>
        <v>SIM</v>
      </c>
    </row>
    <row r="970" spans="1:31" x14ac:dyDescent="0.25">
      <c r="A970" s="2" t="s">
        <v>3334</v>
      </c>
      <c r="B970" s="2">
        <v>101001488</v>
      </c>
      <c r="C970" s="2" t="s">
        <v>15</v>
      </c>
      <c r="D970" s="2" t="s">
        <v>4487</v>
      </c>
      <c r="E970" s="2" t="s">
        <v>47</v>
      </c>
      <c r="F970" s="2" t="s">
        <v>251</v>
      </c>
      <c r="G970" s="2" t="s">
        <v>648</v>
      </c>
      <c r="H970" s="2" t="s">
        <v>224</v>
      </c>
      <c r="I970" s="2" t="s">
        <v>16</v>
      </c>
      <c r="J970" s="2" t="s">
        <v>227</v>
      </c>
      <c r="K970" s="2" t="s">
        <v>13</v>
      </c>
      <c r="L970" s="2" t="s">
        <v>25</v>
      </c>
      <c r="M970" s="2" t="s">
        <v>22</v>
      </c>
      <c r="N970" s="2" t="s">
        <v>15</v>
      </c>
      <c r="O970" s="2" t="s">
        <v>229</v>
      </c>
      <c r="P970" s="2" t="s">
        <v>3336</v>
      </c>
      <c r="Q970" s="2" t="s">
        <v>4926</v>
      </c>
      <c r="R970" s="2" t="s">
        <v>252</v>
      </c>
      <c r="S970" s="2" t="s">
        <v>101</v>
      </c>
      <c r="T970" s="2" t="s">
        <v>4697</v>
      </c>
      <c r="U970" s="2" t="s">
        <v>12</v>
      </c>
      <c r="V970" s="2" t="s">
        <v>4811</v>
      </c>
      <c r="W970" s="2" t="s">
        <v>4931</v>
      </c>
      <c r="X970" s="2" t="s">
        <v>4925</v>
      </c>
      <c r="Y970" s="2" t="s">
        <v>3335</v>
      </c>
      <c r="Z970" s="2" t="s">
        <v>6008</v>
      </c>
      <c r="AA9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9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0" s="6" t="str">
        <f>IF(_xlfn.IFNA(INDEX(configuracoes!$A$2:$A$10,MATCH(base_tc_geral[[#This Row],[TIPO]],configuracoes!$A$2:$A$10,0)),"NÃO")="NÃO","NÃO","SIM")</f>
        <v>SIM</v>
      </c>
    </row>
    <row r="971" spans="1:31" x14ac:dyDescent="0.25">
      <c r="A971" s="2" t="s">
        <v>1447</v>
      </c>
      <c r="B971" s="2">
        <v>105303208</v>
      </c>
      <c r="C971" s="2" t="s">
        <v>15</v>
      </c>
      <c r="D971" s="2" t="s">
        <v>4535</v>
      </c>
      <c r="E971" s="2" t="s">
        <v>28</v>
      </c>
      <c r="F971" s="2" t="s">
        <v>440</v>
      </c>
      <c r="G971" s="2" t="s">
        <v>245</v>
      </c>
      <c r="H971" s="2" t="s">
        <v>34</v>
      </c>
      <c r="I971" s="2" t="s">
        <v>33</v>
      </c>
      <c r="J971" s="2" t="s">
        <v>34</v>
      </c>
      <c r="K971" s="2" t="s">
        <v>20</v>
      </c>
      <c r="L971" s="2" t="s">
        <v>21</v>
      </c>
      <c r="M971" s="2" t="s">
        <v>22</v>
      </c>
      <c r="N971" s="2" t="s">
        <v>15</v>
      </c>
      <c r="O971" s="2" t="s">
        <v>156</v>
      </c>
      <c r="P971" s="2" t="s">
        <v>1449</v>
      </c>
      <c r="Q971" s="2" t="s">
        <v>4926</v>
      </c>
      <c r="R971" s="2" t="s">
        <v>849</v>
      </c>
      <c r="S971" s="2" t="s">
        <v>167</v>
      </c>
      <c r="T971" s="2" t="s">
        <v>167</v>
      </c>
      <c r="U971" s="2" t="s">
        <v>12</v>
      </c>
      <c r="V971" s="2" t="s">
        <v>4850</v>
      </c>
      <c r="W971" s="2" t="s">
        <v>4982</v>
      </c>
      <c r="X971" s="2" t="s">
        <v>4925</v>
      </c>
      <c r="Y971" s="2" t="s">
        <v>1448</v>
      </c>
      <c r="Z971" s="2" t="s">
        <v>6009</v>
      </c>
      <c r="AA9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9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1" s="6" t="str">
        <f>IF(_xlfn.IFNA(INDEX(configuracoes!$A$2:$A$10,MATCH(base_tc_geral[[#This Row],[TIPO]],configuracoes!$A$2:$A$10,0)),"NÃO")="NÃO","NÃO","SIM")</f>
        <v>SIM</v>
      </c>
    </row>
    <row r="972" spans="1:31" x14ac:dyDescent="0.25">
      <c r="A972" s="2" t="s">
        <v>4370</v>
      </c>
      <c r="B972" s="2">
        <v>101005380</v>
      </c>
      <c r="C972" s="2" t="s">
        <v>15</v>
      </c>
      <c r="D972" s="2" t="s">
        <v>4495</v>
      </c>
      <c r="E972" s="2" t="s">
        <v>47</v>
      </c>
      <c r="F972" s="2" t="s">
        <v>181</v>
      </c>
      <c r="G972" s="2" t="s">
        <v>883</v>
      </c>
      <c r="H972" s="2" t="s">
        <v>66</v>
      </c>
      <c r="I972" s="2" t="s">
        <v>16</v>
      </c>
      <c r="J972" s="2" t="s">
        <v>66</v>
      </c>
      <c r="K972" s="2" t="s">
        <v>20</v>
      </c>
      <c r="L972" s="2" t="s">
        <v>21</v>
      </c>
      <c r="M972" s="2" t="s">
        <v>22</v>
      </c>
      <c r="N972" s="2" t="s">
        <v>15</v>
      </c>
      <c r="O972" s="2" t="s">
        <v>71</v>
      </c>
      <c r="P972" s="2" t="s">
        <v>4372</v>
      </c>
      <c r="Q972" s="2" t="s">
        <v>4926</v>
      </c>
      <c r="R972" s="2" t="s">
        <v>69</v>
      </c>
      <c r="S972" s="2" t="s">
        <v>4698</v>
      </c>
      <c r="T972" s="2" t="s">
        <v>4697</v>
      </c>
      <c r="U972" s="2" t="s">
        <v>12</v>
      </c>
      <c r="V972" s="2" t="s">
        <v>4787</v>
      </c>
      <c r="W972" s="2" t="s">
        <v>4982</v>
      </c>
      <c r="X972" s="2" t="s">
        <v>4925</v>
      </c>
      <c r="Y972" s="2" t="s">
        <v>4371</v>
      </c>
      <c r="Z972" s="2" t="s">
        <v>6010</v>
      </c>
      <c r="AA9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9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2" s="6" t="str">
        <f>IF(_xlfn.IFNA(INDEX(configuracoes!$A$2:$A$10,MATCH(base_tc_geral[[#This Row],[TIPO]],configuracoes!$A$2:$A$10,0)),"NÃO")="NÃO","NÃO","SIM")</f>
        <v>SIM</v>
      </c>
    </row>
    <row r="973" spans="1:31" x14ac:dyDescent="0.25">
      <c r="A973" s="2" t="s">
        <v>3024</v>
      </c>
      <c r="B973" s="2">
        <v>109000499</v>
      </c>
      <c r="C973" s="2" t="s">
        <v>15</v>
      </c>
      <c r="D973" s="2" t="s">
        <v>4576</v>
      </c>
      <c r="E973" s="2" t="s">
        <v>86</v>
      </c>
      <c r="F973" s="2" t="s">
        <v>211</v>
      </c>
      <c r="G973" s="2" t="s">
        <v>136</v>
      </c>
      <c r="H973" s="2" t="s">
        <v>210</v>
      </c>
      <c r="I973" s="2" t="s">
        <v>33</v>
      </c>
      <c r="J973" s="2" t="s">
        <v>124</v>
      </c>
      <c r="K973" s="2" t="s">
        <v>13</v>
      </c>
      <c r="L973" s="2" t="s">
        <v>72</v>
      </c>
      <c r="M973" s="2" t="s">
        <v>73</v>
      </c>
      <c r="N973" s="2" t="s">
        <v>15</v>
      </c>
      <c r="O973" s="2" t="s">
        <v>214</v>
      </c>
      <c r="P973" s="2" t="s">
        <v>3026</v>
      </c>
      <c r="Q973" s="2" t="s">
        <v>4926</v>
      </c>
      <c r="R973" s="2" t="s">
        <v>321</v>
      </c>
      <c r="S973" s="2" t="s">
        <v>93</v>
      </c>
      <c r="T973" s="2" t="s">
        <v>4696</v>
      </c>
      <c r="U973" s="2" t="s">
        <v>12</v>
      </c>
      <c r="V973" s="2" t="s">
        <v>4783</v>
      </c>
      <c r="W973" s="2" t="s">
        <v>72</v>
      </c>
      <c r="X973" s="2" t="s">
        <v>5011</v>
      </c>
      <c r="Y973" s="2" t="s">
        <v>3025</v>
      </c>
      <c r="Z973" s="2" t="s">
        <v>6011</v>
      </c>
      <c r="AA9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9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3" s="6" t="str">
        <f>IF(_xlfn.IFNA(INDEX(configuracoes!$A$2:$A$10,MATCH(base_tc_geral[[#This Row],[TIPO]],configuracoes!$A$2:$A$10,0)),"NÃO")="NÃO","NÃO","SIM")</f>
        <v>NÃO</v>
      </c>
    </row>
    <row r="974" spans="1:31" x14ac:dyDescent="0.25">
      <c r="A974" s="2" t="s">
        <v>1714</v>
      </c>
      <c r="B974" s="2">
        <v>101010062</v>
      </c>
      <c r="C974" s="2" t="s">
        <v>24</v>
      </c>
      <c r="D974" s="2" t="s">
        <v>4768</v>
      </c>
      <c r="E974" s="2" t="s">
        <v>47</v>
      </c>
      <c r="F974" s="2" t="s">
        <v>181</v>
      </c>
      <c r="G974" s="2" t="s">
        <v>883</v>
      </c>
      <c r="H974" s="2" t="s">
        <v>66</v>
      </c>
      <c r="I974" s="2" t="s">
        <v>16</v>
      </c>
      <c r="J974" s="2" t="s">
        <v>66</v>
      </c>
      <c r="K974" s="2" t="s">
        <v>20</v>
      </c>
      <c r="L974" s="2" t="s">
        <v>21</v>
      </c>
      <c r="M974" s="2" t="s">
        <v>22</v>
      </c>
      <c r="N974" s="2" t="s">
        <v>24</v>
      </c>
      <c r="O974" s="2" t="s">
        <v>71</v>
      </c>
      <c r="P974" s="2" t="s">
        <v>1716</v>
      </c>
      <c r="Q974" s="2" t="s">
        <v>4926</v>
      </c>
      <c r="R974" s="2" t="s">
        <v>1699</v>
      </c>
      <c r="S974" s="2" t="s">
        <v>4698</v>
      </c>
      <c r="T974" s="2" t="s">
        <v>4697</v>
      </c>
      <c r="U974" s="2" t="s">
        <v>39</v>
      </c>
      <c r="V974" s="2" t="s">
        <v>4792</v>
      </c>
      <c r="W974" s="2" t="s">
        <v>4982</v>
      </c>
      <c r="X974" s="2" t="s">
        <v>4925</v>
      </c>
      <c r="Y974" s="2" t="s">
        <v>1715</v>
      </c>
      <c r="Z974" s="2" t="s">
        <v>6012</v>
      </c>
      <c r="AA9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9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74" s="6" t="str">
        <f>IF(_xlfn.IFNA(INDEX(configuracoes!$A$2:$A$10,MATCH(base_tc_geral[[#This Row],[TIPO]],configuracoes!$A$2:$A$10,0)),"NÃO")="NÃO","NÃO","SIM")</f>
        <v>SIM</v>
      </c>
    </row>
    <row r="975" spans="1:31" x14ac:dyDescent="0.25">
      <c r="A975" s="2" t="s">
        <v>3120</v>
      </c>
      <c r="B975" s="2">
        <v>109000017</v>
      </c>
      <c r="C975" s="2" t="s">
        <v>15</v>
      </c>
      <c r="D975" s="2" t="s">
        <v>4543</v>
      </c>
      <c r="E975" s="2" t="s">
        <v>86</v>
      </c>
      <c r="F975" s="2" t="s">
        <v>363</v>
      </c>
      <c r="G975" s="2" t="s">
        <v>870</v>
      </c>
      <c r="H975" s="2" t="s">
        <v>210</v>
      </c>
      <c r="I975" s="2" t="s">
        <v>33</v>
      </c>
      <c r="J975" s="2" t="s">
        <v>124</v>
      </c>
      <c r="K975" s="2" t="s">
        <v>20</v>
      </c>
      <c r="L975" s="2" t="s">
        <v>76</v>
      </c>
      <c r="M975" s="2" t="s">
        <v>22</v>
      </c>
      <c r="N975" s="2" t="s">
        <v>15</v>
      </c>
      <c r="O975" s="2" t="s">
        <v>214</v>
      </c>
      <c r="P975" s="2" t="s">
        <v>3122</v>
      </c>
      <c r="Q975" s="2" t="s">
        <v>4926</v>
      </c>
      <c r="R975" s="2" t="s">
        <v>212</v>
      </c>
      <c r="S975" s="2" t="s">
        <v>93</v>
      </c>
      <c r="T975" s="2" t="s">
        <v>4696</v>
      </c>
      <c r="U975" s="2" t="s">
        <v>12</v>
      </c>
      <c r="V975" s="2" t="s">
        <v>4794</v>
      </c>
      <c r="W975" s="2" t="s">
        <v>4982</v>
      </c>
      <c r="X975" s="2" t="s">
        <v>4925</v>
      </c>
      <c r="Y975" s="2" t="s">
        <v>3121</v>
      </c>
      <c r="Z975" s="2" t="s">
        <v>6013</v>
      </c>
      <c r="AA9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9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5" s="6" t="str">
        <f>IF(_xlfn.IFNA(INDEX(configuracoes!$A$2:$A$10,MATCH(base_tc_geral[[#This Row],[TIPO]],configuracoes!$A$2:$A$10,0)),"NÃO")="NÃO","NÃO","SIM")</f>
        <v>SIM</v>
      </c>
    </row>
    <row r="976" spans="1:31" x14ac:dyDescent="0.25">
      <c r="A976" s="2" t="s">
        <v>1101</v>
      </c>
      <c r="B976" s="2">
        <v>109000926</v>
      </c>
      <c r="C976" s="2" t="s">
        <v>15</v>
      </c>
      <c r="D976" s="2" t="s">
        <v>4527</v>
      </c>
      <c r="E976" s="2" t="s">
        <v>86</v>
      </c>
      <c r="F976" s="2" t="s">
        <v>284</v>
      </c>
      <c r="G976" s="2" t="s">
        <v>245</v>
      </c>
      <c r="H976" s="2" t="s">
        <v>283</v>
      </c>
      <c r="I976" s="2" t="s">
        <v>33</v>
      </c>
      <c r="J976" s="2" t="s">
        <v>124</v>
      </c>
      <c r="K976" s="2" t="s">
        <v>20</v>
      </c>
      <c r="L976" s="2" t="s">
        <v>21</v>
      </c>
      <c r="M976" s="2" t="s">
        <v>22</v>
      </c>
      <c r="N976" s="2" t="s">
        <v>15</v>
      </c>
      <c r="O976" s="2" t="s">
        <v>287</v>
      </c>
      <c r="P976" s="2" t="s">
        <v>1103</v>
      </c>
      <c r="Q976" s="2" t="s">
        <v>4926</v>
      </c>
      <c r="R976" s="2" t="s">
        <v>285</v>
      </c>
      <c r="S976" s="2" t="s">
        <v>125</v>
      </c>
      <c r="T976" s="2" t="s">
        <v>4696</v>
      </c>
      <c r="U976" s="2" t="s">
        <v>12</v>
      </c>
      <c r="V976" s="2" t="s">
        <v>4777</v>
      </c>
      <c r="W976" s="2" t="s">
        <v>4982</v>
      </c>
      <c r="X976" s="2" t="s">
        <v>4925</v>
      </c>
      <c r="Y976" s="2" t="s">
        <v>1102</v>
      </c>
      <c r="Z976" s="2" t="s">
        <v>6014</v>
      </c>
      <c r="AA9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9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6" s="6" t="str">
        <f>IF(_xlfn.IFNA(INDEX(configuracoes!$A$2:$A$10,MATCH(base_tc_geral[[#This Row],[TIPO]],configuracoes!$A$2:$A$10,0)),"NÃO")="NÃO","NÃO","SIM")</f>
        <v>SIM</v>
      </c>
    </row>
    <row r="977" spans="1:31" x14ac:dyDescent="0.25">
      <c r="A977" s="2" t="s">
        <v>2514</v>
      </c>
      <c r="B977" s="2">
        <v>101003771</v>
      </c>
      <c r="C977" s="2" t="s">
        <v>15</v>
      </c>
      <c r="D977" s="2" t="s">
        <v>4564</v>
      </c>
      <c r="E977" s="2" t="s">
        <v>47</v>
      </c>
      <c r="F977" s="2" t="s">
        <v>398</v>
      </c>
      <c r="G977" s="2" t="s">
        <v>149</v>
      </c>
      <c r="H977" s="2" t="s">
        <v>60</v>
      </c>
      <c r="I977" s="2" t="s">
        <v>16</v>
      </c>
      <c r="J977" s="2" t="s">
        <v>60</v>
      </c>
      <c r="K977" s="2" t="s">
        <v>20</v>
      </c>
      <c r="L977" s="2" t="s">
        <v>61</v>
      </c>
      <c r="M977" s="2" t="s">
        <v>22</v>
      </c>
      <c r="N977" s="2" t="s">
        <v>15</v>
      </c>
      <c r="O977" s="2" t="s">
        <v>161</v>
      </c>
      <c r="P977" s="2" t="s">
        <v>2516</v>
      </c>
      <c r="Q977" s="2" t="s">
        <v>4926</v>
      </c>
      <c r="R977" s="2" t="s">
        <v>465</v>
      </c>
      <c r="S977" s="2" t="s">
        <v>51</v>
      </c>
      <c r="T977" s="2" t="s">
        <v>4697</v>
      </c>
      <c r="U977" s="2" t="s">
        <v>39</v>
      </c>
      <c r="V977" s="2" t="s">
        <v>4821</v>
      </c>
      <c r="W977" s="2" t="s">
        <v>4982</v>
      </c>
      <c r="X977" s="2" t="s">
        <v>4925</v>
      </c>
      <c r="Y977" s="2" t="s">
        <v>2515</v>
      </c>
      <c r="Z977" s="2" t="s">
        <v>6015</v>
      </c>
      <c r="AA9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9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7" s="6" t="str">
        <f>IF(_xlfn.IFNA(INDEX(configuracoes!$A$2:$A$10,MATCH(base_tc_geral[[#This Row],[TIPO]],configuracoes!$A$2:$A$10,0)),"NÃO")="NÃO","NÃO","SIM")</f>
        <v>NÃO</v>
      </c>
    </row>
    <row r="978" spans="1:31" x14ac:dyDescent="0.25">
      <c r="A978" s="2" t="s">
        <v>2246</v>
      </c>
      <c r="B978" s="2">
        <v>105303207</v>
      </c>
      <c r="C978" s="2" t="s">
        <v>15</v>
      </c>
      <c r="D978" s="2" t="s">
        <v>4553</v>
      </c>
      <c r="E978" s="2" t="s">
        <v>28</v>
      </c>
      <c r="F978" s="2" t="s">
        <v>154</v>
      </c>
      <c r="G978" s="2" t="s">
        <v>58</v>
      </c>
      <c r="H978" s="2" t="s">
        <v>34</v>
      </c>
      <c r="I978" s="2" t="s">
        <v>33</v>
      </c>
      <c r="J978" s="2" t="s">
        <v>34</v>
      </c>
      <c r="K978" s="2" t="s">
        <v>92</v>
      </c>
      <c r="L978" s="2" t="s">
        <v>61</v>
      </c>
      <c r="M978" s="2" t="s">
        <v>338</v>
      </c>
      <c r="N978" s="2" t="s">
        <v>15</v>
      </c>
      <c r="O978" s="2" t="s">
        <v>156</v>
      </c>
      <c r="P978" s="2" t="s">
        <v>2248</v>
      </c>
      <c r="Q978" s="2" t="s">
        <v>4926</v>
      </c>
      <c r="R978" s="2" t="s">
        <v>2243</v>
      </c>
      <c r="S978" s="2" t="s">
        <v>167</v>
      </c>
      <c r="T978" s="2" t="s">
        <v>167</v>
      </c>
      <c r="U978" s="2" t="s">
        <v>12</v>
      </c>
      <c r="V978" s="2" t="s">
        <v>4852</v>
      </c>
      <c r="W978" s="2" t="s">
        <v>5013</v>
      </c>
      <c r="X978" s="2" t="s">
        <v>338</v>
      </c>
      <c r="Y978" s="2" t="s">
        <v>2247</v>
      </c>
      <c r="Z978" s="2" t="s">
        <v>6016</v>
      </c>
      <c r="AA9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9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8" s="6" t="str">
        <f>IF(_xlfn.IFNA(INDEX(configuracoes!$A$2:$A$10,MATCH(base_tc_geral[[#This Row],[TIPO]],configuracoes!$A$2:$A$10,0)),"NÃO")="NÃO","NÃO","SIM")</f>
        <v>NÃO</v>
      </c>
    </row>
    <row r="979" spans="1:31" x14ac:dyDescent="0.25">
      <c r="A979" s="2" t="s">
        <v>2190</v>
      </c>
      <c r="B979" s="2">
        <v>105303134</v>
      </c>
      <c r="C979" s="2" t="s">
        <v>15</v>
      </c>
      <c r="D979" s="2" t="s">
        <v>4515</v>
      </c>
      <c r="E979" s="2" t="s">
        <v>28</v>
      </c>
      <c r="F979" s="2" t="s">
        <v>290</v>
      </c>
      <c r="G979" s="2" t="s">
        <v>89</v>
      </c>
      <c r="H979" s="2" t="s">
        <v>34</v>
      </c>
      <c r="I979" s="2" t="s">
        <v>33</v>
      </c>
      <c r="J979" s="2" t="s">
        <v>34</v>
      </c>
      <c r="K979" s="2" t="s">
        <v>92</v>
      </c>
      <c r="L979" s="2" t="s">
        <v>37</v>
      </c>
      <c r="M979" s="2" t="s">
        <v>338</v>
      </c>
      <c r="N979" s="2" t="s">
        <v>15</v>
      </c>
      <c r="O979" s="2" t="s">
        <v>156</v>
      </c>
      <c r="P979" s="2" t="s">
        <v>2192</v>
      </c>
      <c r="Q979" s="2" t="s">
        <v>4926</v>
      </c>
      <c r="R979" s="2" t="s">
        <v>442</v>
      </c>
      <c r="S979" s="2" t="s">
        <v>167</v>
      </c>
      <c r="T979" s="2" t="s">
        <v>167</v>
      </c>
      <c r="U979" s="2" t="s">
        <v>12</v>
      </c>
      <c r="V979" s="2" t="s">
        <v>4763</v>
      </c>
      <c r="W979" s="2" t="s">
        <v>5013</v>
      </c>
      <c r="X979" s="2" t="s">
        <v>338</v>
      </c>
      <c r="Y979" s="2" t="s">
        <v>2191</v>
      </c>
      <c r="Z979" s="2" t="s">
        <v>6017</v>
      </c>
      <c r="AA9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9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79" s="6" t="str">
        <f>IF(_xlfn.IFNA(INDEX(configuracoes!$A$2:$A$10,MATCH(base_tc_geral[[#This Row],[TIPO]],configuracoes!$A$2:$A$10,0)),"NÃO")="NÃO","NÃO","SIM")</f>
        <v>NÃO</v>
      </c>
    </row>
    <row r="980" spans="1:31" x14ac:dyDescent="0.25">
      <c r="A980" s="2" t="s">
        <v>3530</v>
      </c>
      <c r="B980" s="2">
        <v>102101634</v>
      </c>
      <c r="C980" s="2" t="s">
        <v>15</v>
      </c>
      <c r="D980" s="2" t="s">
        <v>4486</v>
      </c>
      <c r="E980" s="2" t="s">
        <v>106</v>
      </c>
      <c r="F980" s="2" t="s">
        <v>186</v>
      </c>
      <c r="G980" s="2" t="s">
        <v>245</v>
      </c>
      <c r="H980" s="2" t="s">
        <v>107</v>
      </c>
      <c r="I980" s="2" t="s">
        <v>33</v>
      </c>
      <c r="J980" s="2" t="s">
        <v>109</v>
      </c>
      <c r="K980" s="2" t="s">
        <v>20</v>
      </c>
      <c r="L980" s="2" t="s">
        <v>21</v>
      </c>
      <c r="M980" s="2" t="s">
        <v>22</v>
      </c>
      <c r="N980" s="2" t="s">
        <v>15</v>
      </c>
      <c r="O980" s="2" t="s">
        <v>112</v>
      </c>
      <c r="P980" s="2" t="s">
        <v>3532</v>
      </c>
      <c r="Q980" s="2" t="s">
        <v>4926</v>
      </c>
      <c r="R980" s="2" t="s">
        <v>406</v>
      </c>
      <c r="S980" s="2" t="s">
        <v>736</v>
      </c>
      <c r="T980" s="2" t="s">
        <v>167</v>
      </c>
      <c r="U980" s="2" t="s">
        <v>12</v>
      </c>
      <c r="V980" s="2" t="s">
        <v>4853</v>
      </c>
      <c r="W980" s="2" t="s">
        <v>4982</v>
      </c>
      <c r="X980" s="2" t="s">
        <v>4925</v>
      </c>
      <c r="Y980" s="2" t="s">
        <v>3531</v>
      </c>
      <c r="Z980" s="2" t="s">
        <v>6018</v>
      </c>
      <c r="AA9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9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0" s="6" t="str">
        <f>IF(_xlfn.IFNA(INDEX(configuracoes!$A$2:$A$10,MATCH(base_tc_geral[[#This Row],[TIPO]],configuracoes!$A$2:$A$10,0)),"NÃO")="NÃO","NÃO","SIM")</f>
        <v>SIM</v>
      </c>
    </row>
    <row r="981" spans="1:31" x14ac:dyDescent="0.25">
      <c r="A981" s="2" t="s">
        <v>1285</v>
      </c>
      <c r="B981" s="2">
        <v>105303124</v>
      </c>
      <c r="C981" s="2" t="s">
        <v>15</v>
      </c>
      <c r="D981" s="2" t="s">
        <v>4579</v>
      </c>
      <c r="E981" s="2" t="s">
        <v>86</v>
      </c>
      <c r="F981" s="2" t="s">
        <v>497</v>
      </c>
      <c r="G981" s="2" t="s">
        <v>58</v>
      </c>
      <c r="H981" s="2" t="s">
        <v>164</v>
      </c>
      <c r="I981" s="2" t="s">
        <v>33</v>
      </c>
      <c r="J981" s="2" t="s">
        <v>124</v>
      </c>
      <c r="K981" s="2" t="s">
        <v>13</v>
      </c>
      <c r="L981" s="2" t="s">
        <v>61</v>
      </c>
      <c r="M981" s="2" t="s">
        <v>22</v>
      </c>
      <c r="N981" s="2" t="s">
        <v>15</v>
      </c>
      <c r="O981" s="2" t="s">
        <v>169</v>
      </c>
      <c r="P981" s="2" t="s">
        <v>1287</v>
      </c>
      <c r="Q981" s="2" t="s">
        <v>4926</v>
      </c>
      <c r="R981" s="2" t="s">
        <v>551</v>
      </c>
      <c r="S981" s="2" t="s">
        <v>4700</v>
      </c>
      <c r="T981" s="2" t="s">
        <v>4701</v>
      </c>
      <c r="U981" s="2" t="s">
        <v>12</v>
      </c>
      <c r="V981" s="2" t="s">
        <v>4799</v>
      </c>
      <c r="W981" s="2" t="s">
        <v>5024</v>
      </c>
      <c r="X981" s="2" t="s">
        <v>4925</v>
      </c>
      <c r="Y981" s="2" t="s">
        <v>1286</v>
      </c>
      <c r="Z981" s="2" t="s">
        <v>6019</v>
      </c>
      <c r="AA9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GENELSON AUGUSTO </v>
      </c>
      <c r="AB9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9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9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1" s="6" t="str">
        <f>IF(_xlfn.IFNA(INDEX(configuracoes!$A$2:$A$10,MATCH(base_tc_geral[[#This Row],[TIPO]],configuracoes!$A$2:$A$10,0)),"NÃO")="NÃO","NÃO","SIM")</f>
        <v>NÃO</v>
      </c>
    </row>
    <row r="982" spans="1:31" x14ac:dyDescent="0.25">
      <c r="A982" s="2" t="s">
        <v>3566</v>
      </c>
      <c r="B982" s="2">
        <v>101005380</v>
      </c>
      <c r="C982" s="2" t="s">
        <v>15</v>
      </c>
      <c r="D982" s="2" t="s">
        <v>4516</v>
      </c>
      <c r="E982" s="2" t="s">
        <v>47</v>
      </c>
      <c r="F982" s="2" t="s">
        <v>67</v>
      </c>
      <c r="G982" s="2" t="s">
        <v>5594</v>
      </c>
      <c r="H982" s="2" t="s">
        <v>66</v>
      </c>
      <c r="I982" s="2" t="s">
        <v>16</v>
      </c>
      <c r="J982" s="2" t="s">
        <v>66</v>
      </c>
      <c r="K982" s="2" t="s">
        <v>20</v>
      </c>
      <c r="L982" s="2" t="s">
        <v>19</v>
      </c>
      <c r="M982" s="2" t="s">
        <v>22</v>
      </c>
      <c r="N982" s="2" t="s">
        <v>15</v>
      </c>
      <c r="O982" s="2" t="s">
        <v>71</v>
      </c>
      <c r="P982" s="2" t="s">
        <v>3568</v>
      </c>
      <c r="Q982" s="2" t="s">
        <v>4926</v>
      </c>
      <c r="R982" s="2" t="s">
        <v>69</v>
      </c>
      <c r="S982" s="2" t="s">
        <v>4698</v>
      </c>
      <c r="T982" s="2" t="s">
        <v>4697</v>
      </c>
      <c r="U982" s="2" t="s">
        <v>12</v>
      </c>
      <c r="V982" s="2" t="s">
        <v>4787</v>
      </c>
      <c r="W982" s="2" t="s">
        <v>4982</v>
      </c>
      <c r="X982" s="2" t="s">
        <v>4925</v>
      </c>
      <c r="Y982" s="2" t="s">
        <v>3567</v>
      </c>
      <c r="Z982" s="2" t="s">
        <v>6020</v>
      </c>
      <c r="AA9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9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2" s="6" t="str">
        <f>IF(_xlfn.IFNA(INDEX(configuracoes!$A$2:$A$10,MATCH(base_tc_geral[[#This Row],[TIPO]],configuracoes!$A$2:$A$10,0)),"NÃO")="NÃO","NÃO","SIM")</f>
        <v>SIM</v>
      </c>
    </row>
    <row r="983" spans="1:31" x14ac:dyDescent="0.25">
      <c r="A983" s="2" t="s">
        <v>2713</v>
      </c>
      <c r="B983" s="2">
        <v>109501286</v>
      </c>
      <c r="C983" s="2" t="s">
        <v>15</v>
      </c>
      <c r="D983" s="2" t="s">
        <v>4484</v>
      </c>
      <c r="E983" s="2" t="s">
        <v>86</v>
      </c>
      <c r="F983" s="2" t="s">
        <v>497</v>
      </c>
      <c r="G983" s="2" t="s">
        <v>245</v>
      </c>
      <c r="H983" s="2" t="s">
        <v>164</v>
      </c>
      <c r="I983" s="2" t="s">
        <v>33</v>
      </c>
      <c r="J983" s="2" t="s">
        <v>124</v>
      </c>
      <c r="K983" s="2" t="s">
        <v>20</v>
      </c>
      <c r="L983" s="2" t="s">
        <v>21</v>
      </c>
      <c r="M983" s="2" t="s">
        <v>22</v>
      </c>
      <c r="N983" s="2" t="s">
        <v>15</v>
      </c>
      <c r="O983" s="2" t="s">
        <v>169</v>
      </c>
      <c r="P983" s="2" t="s">
        <v>2715</v>
      </c>
      <c r="Q983" s="2" t="s">
        <v>4926</v>
      </c>
      <c r="R983" s="2" t="s">
        <v>498</v>
      </c>
      <c r="S983" s="2" t="s">
        <v>93</v>
      </c>
      <c r="T983" s="2" t="s">
        <v>4696</v>
      </c>
      <c r="U983" s="2" t="s">
        <v>12</v>
      </c>
      <c r="V983" s="2" t="s">
        <v>4766</v>
      </c>
      <c r="W983" s="2" t="s">
        <v>4982</v>
      </c>
      <c r="X983" s="2" t="s">
        <v>4925</v>
      </c>
      <c r="Y983" s="2" t="s">
        <v>2714</v>
      </c>
      <c r="Z983" s="2" t="s">
        <v>6021</v>
      </c>
      <c r="AA9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9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3" s="6" t="str">
        <f>IF(_xlfn.IFNA(INDEX(configuracoes!$A$2:$A$10,MATCH(base_tc_geral[[#This Row],[TIPO]],configuracoes!$A$2:$A$10,0)),"NÃO")="NÃO","NÃO","SIM")</f>
        <v>SIM</v>
      </c>
    </row>
    <row r="984" spans="1:31" x14ac:dyDescent="0.25">
      <c r="A984" s="2" t="s">
        <v>3006</v>
      </c>
      <c r="B984" s="2">
        <v>109000499</v>
      </c>
      <c r="C984" s="2" t="s">
        <v>15</v>
      </c>
      <c r="D984" s="2" t="s">
        <v>4686</v>
      </c>
      <c r="E984" s="2" t="s">
        <v>86</v>
      </c>
      <c r="F984" s="2" t="s">
        <v>205</v>
      </c>
      <c r="G984" s="2" t="s">
        <v>136</v>
      </c>
      <c r="H984" s="2" t="s">
        <v>122</v>
      </c>
      <c r="I984" s="2" t="s">
        <v>33</v>
      </c>
      <c r="J984" s="2" t="s">
        <v>124</v>
      </c>
      <c r="K984" s="2" t="s">
        <v>13</v>
      </c>
      <c r="L984" s="2" t="s">
        <v>72</v>
      </c>
      <c r="M984" s="2" t="s">
        <v>23</v>
      </c>
      <c r="N984" s="2" t="s">
        <v>15</v>
      </c>
      <c r="O984" s="2" t="s">
        <v>129</v>
      </c>
      <c r="P984" s="2" t="s">
        <v>3008</v>
      </c>
      <c r="Q984" s="2" t="s">
        <v>4926</v>
      </c>
      <c r="R984" s="2" t="s">
        <v>321</v>
      </c>
      <c r="S984" s="2" t="s">
        <v>93</v>
      </c>
      <c r="T984" s="2" t="s">
        <v>4696</v>
      </c>
      <c r="U984" s="2" t="s">
        <v>12</v>
      </c>
      <c r="V984" s="2" t="s">
        <v>4783</v>
      </c>
      <c r="W984" s="2" t="s">
        <v>17</v>
      </c>
      <c r="X984" s="2" t="s">
        <v>4998</v>
      </c>
      <c r="Y984" s="2" t="s">
        <v>3007</v>
      </c>
      <c r="Z984" s="2" t="s">
        <v>6288</v>
      </c>
      <c r="AA9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9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4" s="6" t="str">
        <f>IF(_xlfn.IFNA(INDEX(configuracoes!$A$2:$A$10,MATCH(base_tc_geral[[#This Row],[TIPO]],configuracoes!$A$2:$A$10,0)),"NÃO")="NÃO","NÃO","SIM")</f>
        <v>NÃO</v>
      </c>
    </row>
    <row r="985" spans="1:31" x14ac:dyDescent="0.25">
      <c r="A985" s="2" t="s">
        <v>249</v>
      </c>
      <c r="B985" s="2">
        <v>101001488</v>
      </c>
      <c r="C985" s="2" t="s">
        <v>15</v>
      </c>
      <c r="D985" s="2" t="s">
        <v>4493</v>
      </c>
      <c r="E985" s="2" t="s">
        <v>47</v>
      </c>
      <c r="F985" s="2" t="s">
        <v>159</v>
      </c>
      <c r="G985" s="2" t="s">
        <v>648</v>
      </c>
      <c r="H985" s="2" t="s">
        <v>60</v>
      </c>
      <c r="I985" s="2" t="s">
        <v>16</v>
      </c>
      <c r="J985" s="2" t="s">
        <v>60</v>
      </c>
      <c r="K985" s="2" t="s">
        <v>13</v>
      </c>
      <c r="L985" s="2" t="s">
        <v>25</v>
      </c>
      <c r="M985" s="2" t="s">
        <v>22</v>
      </c>
      <c r="N985" s="2" t="s">
        <v>15</v>
      </c>
      <c r="O985" s="2" t="s">
        <v>161</v>
      </c>
      <c r="P985" s="2" t="s">
        <v>253</v>
      </c>
      <c r="Q985" s="2" t="s">
        <v>4926</v>
      </c>
      <c r="R985" s="2" t="s">
        <v>252</v>
      </c>
      <c r="S985" s="2" t="s">
        <v>101</v>
      </c>
      <c r="T985" s="2" t="s">
        <v>4697</v>
      </c>
      <c r="U985" s="2" t="s">
        <v>12</v>
      </c>
      <c r="V985" s="2" t="s">
        <v>4838</v>
      </c>
      <c r="W985" s="2" t="s">
        <v>4931</v>
      </c>
      <c r="X985" s="2" t="s">
        <v>4925</v>
      </c>
      <c r="Y985" s="2" t="s">
        <v>250</v>
      </c>
      <c r="Z985" s="2" t="s">
        <v>6289</v>
      </c>
      <c r="AA9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9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5" s="6" t="str">
        <f>IF(_xlfn.IFNA(INDEX(configuracoes!$A$2:$A$10,MATCH(base_tc_geral[[#This Row],[TIPO]],configuracoes!$A$2:$A$10,0)),"NÃO")="NÃO","NÃO","SIM")</f>
        <v>SIM</v>
      </c>
    </row>
    <row r="986" spans="1:31" x14ac:dyDescent="0.25">
      <c r="A986" s="2" t="s">
        <v>767</v>
      </c>
      <c r="B986" s="2">
        <v>101010210</v>
      </c>
      <c r="C986" s="2" t="s">
        <v>15</v>
      </c>
      <c r="D986" s="2" t="s">
        <v>4516</v>
      </c>
      <c r="E986" s="2" t="s">
        <v>47</v>
      </c>
      <c r="F986" s="2" t="s">
        <v>159</v>
      </c>
      <c r="G986" s="2" t="s">
        <v>99</v>
      </c>
      <c r="H986" s="2" t="s">
        <v>60</v>
      </c>
      <c r="I986" s="2" t="s">
        <v>16</v>
      </c>
      <c r="J986" s="2" t="s">
        <v>60</v>
      </c>
      <c r="K986" s="2" t="s">
        <v>13</v>
      </c>
      <c r="L986" s="2" t="s">
        <v>25</v>
      </c>
      <c r="M986" s="2" t="s">
        <v>22</v>
      </c>
      <c r="N986" s="2" t="s">
        <v>15</v>
      </c>
      <c r="O986" s="2" t="s">
        <v>161</v>
      </c>
      <c r="P986" s="2" t="s">
        <v>769</v>
      </c>
      <c r="Q986" s="2" t="s">
        <v>4926</v>
      </c>
      <c r="R986" s="2" t="s">
        <v>294</v>
      </c>
      <c r="S986" s="2" t="s">
        <v>101</v>
      </c>
      <c r="T986" s="2" t="s">
        <v>4697</v>
      </c>
      <c r="U986" s="2" t="s">
        <v>12</v>
      </c>
      <c r="V986" s="2" t="s">
        <v>4809</v>
      </c>
      <c r="W986" s="2" t="s">
        <v>4931</v>
      </c>
      <c r="X986" s="2" t="s">
        <v>4925</v>
      </c>
      <c r="Y986" s="2" t="s">
        <v>768</v>
      </c>
      <c r="Z986" s="2" t="s">
        <v>6290</v>
      </c>
      <c r="AA9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9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9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6" s="6" t="str">
        <f>IF(_xlfn.IFNA(INDEX(configuracoes!$A$2:$A$10,MATCH(base_tc_geral[[#This Row],[TIPO]],configuracoes!$A$2:$A$10,0)),"NÃO")="NÃO","NÃO","SIM")</f>
        <v>SIM</v>
      </c>
    </row>
    <row r="987" spans="1:31" x14ac:dyDescent="0.25">
      <c r="A987" s="2" t="s">
        <v>632</v>
      </c>
      <c r="B987" s="2">
        <v>102101220</v>
      </c>
      <c r="C987" s="2" t="s">
        <v>24</v>
      </c>
      <c r="D987" s="2" t="s">
        <v>4482</v>
      </c>
      <c r="E987" s="2" t="s">
        <v>106</v>
      </c>
      <c r="F987" s="2" t="s">
        <v>428</v>
      </c>
      <c r="G987" s="2" t="s">
        <v>630</v>
      </c>
      <c r="H987" s="2" t="s">
        <v>427</v>
      </c>
      <c r="I987" s="2" t="s">
        <v>33</v>
      </c>
      <c r="J987" s="2" t="s">
        <v>109</v>
      </c>
      <c r="K987" s="2" t="s">
        <v>20</v>
      </c>
      <c r="L987" s="2" t="s">
        <v>21</v>
      </c>
      <c r="M987" s="2" t="s">
        <v>22</v>
      </c>
      <c r="N987" s="2" t="s">
        <v>24</v>
      </c>
      <c r="O987" s="2" t="s">
        <v>430</v>
      </c>
      <c r="P987" s="2" t="s">
        <v>634</v>
      </c>
      <c r="Q987" s="2" t="s">
        <v>4926</v>
      </c>
      <c r="R987" s="2" t="s">
        <v>625</v>
      </c>
      <c r="S987" s="2" t="s">
        <v>736</v>
      </c>
      <c r="T987" s="2" t="s">
        <v>167</v>
      </c>
      <c r="U987" s="2" t="s">
        <v>39</v>
      </c>
      <c r="V987" s="2" t="s">
        <v>4895</v>
      </c>
      <c r="W987" s="2" t="s">
        <v>4982</v>
      </c>
      <c r="X987" s="2" t="s">
        <v>4925</v>
      </c>
      <c r="Y987" s="2" t="s">
        <v>633</v>
      </c>
      <c r="Z987" s="2" t="s">
        <v>6291</v>
      </c>
      <c r="AA9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9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87" s="6" t="str">
        <f>IF(_xlfn.IFNA(INDEX(configuracoes!$A$2:$A$10,MATCH(base_tc_geral[[#This Row],[TIPO]],configuracoes!$A$2:$A$10,0)),"NÃO")="NÃO","NÃO","SIM")</f>
        <v>SIM</v>
      </c>
    </row>
    <row r="988" spans="1:31" x14ac:dyDescent="0.25">
      <c r="A988" s="2" t="s">
        <v>438</v>
      </c>
      <c r="B988" s="2">
        <v>105303208</v>
      </c>
      <c r="C988" s="2" t="s">
        <v>15</v>
      </c>
      <c r="D988" s="2" t="s">
        <v>4534</v>
      </c>
      <c r="E988" s="2" t="s">
        <v>28</v>
      </c>
      <c r="F988" s="2" t="s">
        <v>440</v>
      </c>
      <c r="G988" s="2" t="s">
        <v>89</v>
      </c>
      <c r="H988" s="2" t="s">
        <v>34</v>
      </c>
      <c r="I988" s="2" t="s">
        <v>33</v>
      </c>
      <c r="J988" s="2" t="s">
        <v>34</v>
      </c>
      <c r="K988" s="2" t="s">
        <v>92</v>
      </c>
      <c r="L988" s="2" t="s">
        <v>37</v>
      </c>
      <c r="M988" s="2" t="s">
        <v>38</v>
      </c>
      <c r="N988" s="2" t="s">
        <v>15</v>
      </c>
      <c r="O988" s="2" t="s">
        <v>156</v>
      </c>
      <c r="P988" s="2" t="s">
        <v>441</v>
      </c>
      <c r="Q988" s="2" t="s">
        <v>4926</v>
      </c>
      <c r="R988" s="2" t="s">
        <v>849</v>
      </c>
      <c r="S988" s="2" t="s">
        <v>167</v>
      </c>
      <c r="T988" s="2" t="s">
        <v>167</v>
      </c>
      <c r="U988" s="2" t="s">
        <v>12</v>
      </c>
      <c r="V988" s="2" t="s">
        <v>4850</v>
      </c>
      <c r="W988" s="2" t="s">
        <v>4999</v>
      </c>
      <c r="X988" s="2" t="s">
        <v>38</v>
      </c>
      <c r="Y988" s="2" t="s">
        <v>439</v>
      </c>
      <c r="Z988" s="2" t="s">
        <v>6292</v>
      </c>
      <c r="AA9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9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8" s="6" t="str">
        <f>IF(_xlfn.IFNA(INDEX(configuracoes!$A$2:$A$10,MATCH(base_tc_geral[[#This Row],[TIPO]],configuracoes!$A$2:$A$10,0)),"NÃO")="NÃO","NÃO","SIM")</f>
        <v>NÃO</v>
      </c>
    </row>
    <row r="989" spans="1:31" x14ac:dyDescent="0.25">
      <c r="A989" s="2" t="s">
        <v>4202</v>
      </c>
      <c r="B989" s="2">
        <v>101010209</v>
      </c>
      <c r="C989" s="2" t="s">
        <v>15</v>
      </c>
      <c r="D989" s="2" t="s">
        <v>4666</v>
      </c>
      <c r="E989" s="2" t="s">
        <v>47</v>
      </c>
      <c r="F989" s="2" t="s">
        <v>278</v>
      </c>
      <c r="G989" s="2" t="s">
        <v>245</v>
      </c>
      <c r="H989" s="2" t="s">
        <v>60</v>
      </c>
      <c r="I989" s="2" t="s">
        <v>16</v>
      </c>
      <c r="J989" s="2" t="s">
        <v>60</v>
      </c>
      <c r="K989" s="2" t="s">
        <v>20</v>
      </c>
      <c r="L989" s="2" t="s">
        <v>21</v>
      </c>
      <c r="M989" s="2" t="s">
        <v>22</v>
      </c>
      <c r="N989" s="2" t="s">
        <v>15</v>
      </c>
      <c r="O989" s="2" t="s">
        <v>161</v>
      </c>
      <c r="P989" s="2" t="s">
        <v>4204</v>
      </c>
      <c r="Q989" s="2" t="s">
        <v>4926</v>
      </c>
      <c r="R989" s="2" t="s">
        <v>279</v>
      </c>
      <c r="S989" s="2" t="s">
        <v>51</v>
      </c>
      <c r="T989" s="2" t="s">
        <v>4697</v>
      </c>
      <c r="U989" s="2" t="s">
        <v>12</v>
      </c>
      <c r="V989" s="2" t="s">
        <v>4813</v>
      </c>
      <c r="W989" s="2" t="s">
        <v>4982</v>
      </c>
      <c r="X989" s="2" t="s">
        <v>4925</v>
      </c>
      <c r="Y989" s="2" t="s">
        <v>4203</v>
      </c>
      <c r="Z989" s="2" t="s">
        <v>6293</v>
      </c>
      <c r="AA9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9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89" s="6" t="str">
        <f>IF(_xlfn.IFNA(INDEX(configuracoes!$A$2:$A$10,MATCH(base_tc_geral[[#This Row],[TIPO]],configuracoes!$A$2:$A$10,0)),"NÃO")="NÃO","NÃO","SIM")</f>
        <v>SIM</v>
      </c>
    </row>
    <row r="990" spans="1:31" x14ac:dyDescent="0.25">
      <c r="A990" s="2" t="s">
        <v>3581</v>
      </c>
      <c r="B990" s="2">
        <v>101005380</v>
      </c>
      <c r="C990" s="2" t="s">
        <v>24</v>
      </c>
      <c r="D990" s="2" t="s">
        <v>4768</v>
      </c>
      <c r="E990" s="2" t="s">
        <v>47</v>
      </c>
      <c r="F990" s="2" t="s">
        <v>67</v>
      </c>
      <c r="G990" s="2" t="s">
        <v>58</v>
      </c>
      <c r="H990" s="2" t="s">
        <v>66</v>
      </c>
      <c r="I990" s="2" t="s">
        <v>16</v>
      </c>
      <c r="J990" s="2" t="s">
        <v>66</v>
      </c>
      <c r="K990" s="2" t="s">
        <v>13</v>
      </c>
      <c r="L990" s="2" t="s">
        <v>61</v>
      </c>
      <c r="M990" s="2" t="s">
        <v>44</v>
      </c>
      <c r="N990" s="2" t="s">
        <v>24</v>
      </c>
      <c r="O990" s="2" t="s">
        <v>71</v>
      </c>
      <c r="P990" s="2" t="s">
        <v>3583</v>
      </c>
      <c r="Q990" s="2" t="s">
        <v>4926</v>
      </c>
      <c r="R990" s="2" t="s">
        <v>69</v>
      </c>
      <c r="S990" s="2" t="s">
        <v>4698</v>
      </c>
      <c r="T990" s="2" t="s">
        <v>4697</v>
      </c>
      <c r="U990" s="2" t="s">
        <v>39</v>
      </c>
      <c r="V990" s="2" t="s">
        <v>4787</v>
      </c>
      <c r="W990" s="2" t="s">
        <v>4999</v>
      </c>
      <c r="X990" s="2" t="s">
        <v>44</v>
      </c>
      <c r="Y990" s="2" t="s">
        <v>3582</v>
      </c>
      <c r="Z990" s="2" t="s">
        <v>6022</v>
      </c>
      <c r="AA9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9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9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90" s="6" t="str">
        <f>IF(_xlfn.IFNA(INDEX(configuracoes!$A$2:$A$10,MATCH(base_tc_geral[[#This Row],[TIPO]],configuracoes!$A$2:$A$10,0)),"NÃO")="NÃO","NÃO","SIM")</f>
        <v>NÃO</v>
      </c>
    </row>
    <row r="991" spans="1:31" x14ac:dyDescent="0.25">
      <c r="A991" s="2" t="s">
        <v>2750</v>
      </c>
      <c r="B991" s="2">
        <v>108401409</v>
      </c>
      <c r="C991" s="2" t="s">
        <v>15</v>
      </c>
      <c r="D991" s="2" t="s">
        <v>4489</v>
      </c>
      <c r="E991" s="2" t="s">
        <v>47</v>
      </c>
      <c r="F991" s="2" t="s">
        <v>368</v>
      </c>
      <c r="G991" s="2" t="s">
        <v>317</v>
      </c>
      <c r="H991" s="2" t="s">
        <v>227</v>
      </c>
      <c r="I991" s="2" t="s">
        <v>16</v>
      </c>
      <c r="J991" s="2" t="s">
        <v>227</v>
      </c>
      <c r="K991" s="2" t="s">
        <v>13</v>
      </c>
      <c r="L991" s="2" t="s">
        <v>42</v>
      </c>
      <c r="M991" s="2" t="s">
        <v>75</v>
      </c>
      <c r="N991" s="2" t="s">
        <v>15</v>
      </c>
      <c r="O991" s="2" t="s">
        <v>271</v>
      </c>
      <c r="P991" s="2" t="s">
        <v>2752</v>
      </c>
      <c r="Q991" s="2" t="s">
        <v>4926</v>
      </c>
      <c r="R991" s="2" t="s">
        <v>2738</v>
      </c>
      <c r="S991" s="2" t="s">
        <v>359</v>
      </c>
      <c r="T991" s="2" t="s">
        <v>4697</v>
      </c>
      <c r="U991" s="2" t="s">
        <v>12</v>
      </c>
      <c r="V991" s="2" t="s">
        <v>4861</v>
      </c>
      <c r="W991" s="2" t="s">
        <v>42</v>
      </c>
      <c r="X991" s="2" t="s">
        <v>75</v>
      </c>
      <c r="Y991" s="2" t="s">
        <v>2751</v>
      </c>
      <c r="Z991" s="2" t="s">
        <v>6023</v>
      </c>
      <c r="AA9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9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9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91" s="6" t="str">
        <f>IF(_xlfn.IFNA(INDEX(configuracoes!$A$2:$A$10,MATCH(base_tc_geral[[#This Row],[TIPO]],configuracoes!$A$2:$A$10,0)),"NÃO")="NÃO","NÃO","SIM")</f>
        <v>SIM</v>
      </c>
    </row>
    <row r="992" spans="1:31" x14ac:dyDescent="0.25">
      <c r="A992" s="2" t="s">
        <v>1219</v>
      </c>
      <c r="B992" s="2">
        <v>105000986</v>
      </c>
      <c r="C992" s="2" t="s">
        <v>15</v>
      </c>
      <c r="D992" s="2" t="s">
        <v>4484</v>
      </c>
      <c r="E992" s="2" t="s">
        <v>28</v>
      </c>
      <c r="F992" s="2" t="s">
        <v>586</v>
      </c>
      <c r="G992" s="2" t="s">
        <v>89</v>
      </c>
      <c r="H992" s="2" t="s">
        <v>79</v>
      </c>
      <c r="I992" s="2" t="s">
        <v>33</v>
      </c>
      <c r="J992" s="2" t="s">
        <v>34</v>
      </c>
      <c r="K992" s="2" t="s">
        <v>92</v>
      </c>
      <c r="L992" s="2" t="s">
        <v>37</v>
      </c>
      <c r="M992" s="2" t="s">
        <v>38</v>
      </c>
      <c r="N992" s="2" t="s">
        <v>15</v>
      </c>
      <c r="O992" s="2" t="s">
        <v>83</v>
      </c>
      <c r="P992" s="2" t="s">
        <v>1221</v>
      </c>
      <c r="Q992" s="2" t="s">
        <v>4926</v>
      </c>
      <c r="R992" s="2" t="s">
        <v>81</v>
      </c>
      <c r="S992" s="2" t="s">
        <v>167</v>
      </c>
      <c r="T992" s="2" t="s">
        <v>167</v>
      </c>
      <c r="U992" s="2" t="s">
        <v>12</v>
      </c>
      <c r="V992" s="2" t="s">
        <v>4767</v>
      </c>
      <c r="W992" s="2" t="s">
        <v>5013</v>
      </c>
      <c r="X992" s="2" t="s">
        <v>38</v>
      </c>
      <c r="Y992" s="2" t="s">
        <v>1220</v>
      </c>
      <c r="Z992" s="2" t="s">
        <v>6024</v>
      </c>
      <c r="AA9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9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92" s="6" t="str">
        <f>IF(_xlfn.IFNA(INDEX(configuracoes!$A$2:$A$10,MATCH(base_tc_geral[[#This Row],[TIPO]],configuracoes!$A$2:$A$10,0)),"NÃO")="NÃO","NÃO","SIM")</f>
        <v>NÃO</v>
      </c>
    </row>
    <row r="993" spans="1:31" x14ac:dyDescent="0.25">
      <c r="A993" s="2" t="s">
        <v>2324</v>
      </c>
      <c r="B993" s="2">
        <v>109000340</v>
      </c>
      <c r="C993" s="2" t="s">
        <v>15</v>
      </c>
      <c r="D993" s="2" t="s">
        <v>4553</v>
      </c>
      <c r="E993" s="2" t="s">
        <v>86</v>
      </c>
      <c r="F993" s="2" t="s">
        <v>1320</v>
      </c>
      <c r="G993" s="2" t="s">
        <v>89</v>
      </c>
      <c r="H993" s="2" t="s">
        <v>1321</v>
      </c>
      <c r="I993" s="2" t="s">
        <v>33</v>
      </c>
      <c r="J993" s="2" t="s">
        <v>91</v>
      </c>
      <c r="K993" s="2" t="s">
        <v>13</v>
      </c>
      <c r="L993" s="2" t="s">
        <v>37</v>
      </c>
      <c r="M993" s="2" t="s">
        <v>44</v>
      </c>
      <c r="N993" s="2" t="s">
        <v>15</v>
      </c>
      <c r="O993" s="2" t="s">
        <v>1322</v>
      </c>
      <c r="P993" s="2" t="s">
        <v>2326</v>
      </c>
      <c r="Q993" s="2" t="s">
        <v>4926</v>
      </c>
      <c r="R993" s="2" t="s">
        <v>90</v>
      </c>
      <c r="S993" s="2" t="s">
        <v>93</v>
      </c>
      <c r="T993" s="2" t="s">
        <v>4696</v>
      </c>
      <c r="U993" s="2" t="s">
        <v>12</v>
      </c>
      <c r="V993" s="2" t="s">
        <v>4898</v>
      </c>
      <c r="W993" s="2" t="s">
        <v>4999</v>
      </c>
      <c r="X993" s="2" t="s">
        <v>44</v>
      </c>
      <c r="Y993" s="2" t="s">
        <v>2325</v>
      </c>
      <c r="Z993" s="2" t="s">
        <v>6025</v>
      </c>
      <c r="AA9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9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9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93" s="6" t="str">
        <f>IF(_xlfn.IFNA(INDEX(configuracoes!$A$2:$A$10,MATCH(base_tc_geral[[#This Row],[TIPO]],configuracoes!$A$2:$A$10,0)),"NÃO")="NÃO","NÃO","SIM")</f>
        <v>NÃO</v>
      </c>
    </row>
    <row r="994" spans="1:31" x14ac:dyDescent="0.25">
      <c r="A994" s="2" t="s">
        <v>1291</v>
      </c>
      <c r="B994" s="2">
        <v>109500177</v>
      </c>
      <c r="C994" s="2" t="s">
        <v>15</v>
      </c>
      <c r="D994" s="2" t="s">
        <v>4499</v>
      </c>
      <c r="E994" s="2" t="s">
        <v>86</v>
      </c>
      <c r="F994" s="2" t="s">
        <v>445</v>
      </c>
      <c r="G994" s="2" t="s">
        <v>58</v>
      </c>
      <c r="H994" s="2" t="s">
        <v>122</v>
      </c>
      <c r="I994" s="2" t="s">
        <v>33</v>
      </c>
      <c r="J994" s="2" t="s">
        <v>124</v>
      </c>
      <c r="K994" s="2" t="s">
        <v>13</v>
      </c>
      <c r="L994" s="2" t="s">
        <v>61</v>
      </c>
      <c r="M994" s="2" t="s">
        <v>22</v>
      </c>
      <c r="N994" s="2" t="s">
        <v>15</v>
      </c>
      <c r="O994" s="2" t="s">
        <v>129</v>
      </c>
      <c r="P994" s="2" t="s">
        <v>1293</v>
      </c>
      <c r="Q994" s="2" t="s">
        <v>4926</v>
      </c>
      <c r="R994" s="2" t="s">
        <v>447</v>
      </c>
      <c r="S994" s="2" t="s">
        <v>125</v>
      </c>
      <c r="T994" s="2" t="s">
        <v>4696</v>
      </c>
      <c r="U994" s="2" t="s">
        <v>12</v>
      </c>
      <c r="V994" s="2" t="s">
        <v>4799</v>
      </c>
      <c r="W994" s="2" t="s">
        <v>5024</v>
      </c>
      <c r="X994" s="2" t="s">
        <v>4925</v>
      </c>
      <c r="Y994" s="2" t="s">
        <v>1292</v>
      </c>
      <c r="Z994" s="2" t="s">
        <v>6026</v>
      </c>
      <c r="AA9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9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9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94" s="6" t="str">
        <f>IF(_xlfn.IFNA(INDEX(configuracoes!$A$2:$A$10,MATCH(base_tc_geral[[#This Row],[TIPO]],configuracoes!$A$2:$A$10,0)),"NÃO")="NÃO","NÃO","SIM")</f>
        <v>NÃO</v>
      </c>
    </row>
    <row r="995" spans="1:31" x14ac:dyDescent="0.25">
      <c r="A995" s="2" t="s">
        <v>3215</v>
      </c>
      <c r="B995" s="2">
        <v>109500038</v>
      </c>
      <c r="C995" s="2" t="s">
        <v>15</v>
      </c>
      <c r="D995" s="2" t="s">
        <v>4527</v>
      </c>
      <c r="E995" s="2" t="s">
        <v>86</v>
      </c>
      <c r="F995" s="2" t="s">
        <v>123</v>
      </c>
      <c r="G995" s="2" t="s">
        <v>58</v>
      </c>
      <c r="H995" s="2" t="s">
        <v>122</v>
      </c>
      <c r="I995" s="2" t="s">
        <v>33</v>
      </c>
      <c r="J995" s="2" t="s">
        <v>124</v>
      </c>
      <c r="K995" s="2" t="s">
        <v>13</v>
      </c>
      <c r="L995" s="2" t="s">
        <v>61</v>
      </c>
      <c r="M995" s="2" t="s">
        <v>38</v>
      </c>
      <c r="N995" s="2" t="s">
        <v>15</v>
      </c>
      <c r="O995" s="2" t="s">
        <v>129</v>
      </c>
      <c r="P995" s="2" t="s">
        <v>3217</v>
      </c>
      <c r="Q995" s="2" t="s">
        <v>4926</v>
      </c>
      <c r="R995" s="2" t="s">
        <v>3212</v>
      </c>
      <c r="S995" s="2" t="s">
        <v>4699</v>
      </c>
      <c r="T995" s="2" t="s">
        <v>4696</v>
      </c>
      <c r="U995" s="2" t="s">
        <v>12</v>
      </c>
      <c r="V995" s="2" t="s">
        <v>4782</v>
      </c>
      <c r="W995" s="2" t="s">
        <v>4984</v>
      </c>
      <c r="X995" s="2" t="s">
        <v>38</v>
      </c>
      <c r="Y995" s="2" t="s">
        <v>3216</v>
      </c>
      <c r="Z995" s="2" t="s">
        <v>6027</v>
      </c>
      <c r="AA9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PATRICIO MARTINS </v>
      </c>
      <c r="AB9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9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9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95" s="6" t="str">
        <f>IF(_xlfn.IFNA(INDEX(configuracoes!$A$2:$A$10,MATCH(base_tc_geral[[#This Row],[TIPO]],configuracoes!$A$2:$A$10,0)),"NÃO")="NÃO","NÃO","SIM")</f>
        <v>NÃO</v>
      </c>
    </row>
    <row r="996" spans="1:31" x14ac:dyDescent="0.25">
      <c r="A996" s="2" t="s">
        <v>3610</v>
      </c>
      <c r="B996" s="2">
        <v>101003771</v>
      </c>
      <c r="C996" s="2" t="s">
        <v>24</v>
      </c>
      <c r="D996" s="2" t="s">
        <v>4482</v>
      </c>
      <c r="E996" s="2" t="s">
        <v>47</v>
      </c>
      <c r="F996" s="2" t="s">
        <v>2104</v>
      </c>
      <c r="G996" s="2" t="s">
        <v>172</v>
      </c>
      <c r="H996" s="2" t="s">
        <v>56</v>
      </c>
      <c r="I996" s="2" t="s">
        <v>16</v>
      </c>
      <c r="J996" s="2" t="s">
        <v>60</v>
      </c>
      <c r="K996" s="2" t="s">
        <v>92</v>
      </c>
      <c r="L996" s="2" t="s">
        <v>17</v>
      </c>
      <c r="M996" s="2" t="s">
        <v>23</v>
      </c>
      <c r="N996" s="2" t="s">
        <v>24</v>
      </c>
      <c r="O996" s="2" t="s">
        <v>63</v>
      </c>
      <c r="P996" s="2" t="s">
        <v>3612</v>
      </c>
      <c r="Q996" s="2" t="s">
        <v>4926</v>
      </c>
      <c r="R996" s="2" t="s">
        <v>465</v>
      </c>
      <c r="S996" s="2" t="s">
        <v>51</v>
      </c>
      <c r="T996" s="2" t="s">
        <v>4697</v>
      </c>
      <c r="U996" s="2" t="s">
        <v>39</v>
      </c>
      <c r="V996" s="2" t="s">
        <v>4810</v>
      </c>
      <c r="W996" s="2" t="s">
        <v>17</v>
      </c>
      <c r="X996" s="2" t="s">
        <v>4998</v>
      </c>
      <c r="Y996" s="2" t="s">
        <v>3611</v>
      </c>
      <c r="Z996" s="2" t="s">
        <v>6028</v>
      </c>
      <c r="AA9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9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9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9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996" s="6" t="str">
        <f>IF(_xlfn.IFNA(INDEX(configuracoes!$A$2:$A$10,MATCH(base_tc_geral[[#This Row],[TIPO]],configuracoes!$A$2:$A$10,0)),"NÃO")="NÃO","NÃO","SIM")</f>
        <v>NÃO</v>
      </c>
    </row>
    <row r="997" spans="1:31" x14ac:dyDescent="0.25">
      <c r="A997" s="2" t="s">
        <v>909</v>
      </c>
      <c r="B997" s="2">
        <v>102002917</v>
      </c>
      <c r="C997" s="2" t="s">
        <v>15</v>
      </c>
      <c r="D997" s="2" t="s">
        <v>4484</v>
      </c>
      <c r="E997" s="2" t="s">
        <v>106</v>
      </c>
      <c r="F997" s="2" t="s">
        <v>863</v>
      </c>
      <c r="G997" s="2" t="s">
        <v>630</v>
      </c>
      <c r="H997" s="2" t="s">
        <v>427</v>
      </c>
      <c r="I997" s="2" t="s">
        <v>33</v>
      </c>
      <c r="J997" s="2" t="s">
        <v>109</v>
      </c>
      <c r="K997" s="2" t="s">
        <v>20</v>
      </c>
      <c r="L997" s="2" t="s">
        <v>21</v>
      </c>
      <c r="M997" s="2" t="s">
        <v>22</v>
      </c>
      <c r="N997" s="2" t="s">
        <v>15</v>
      </c>
      <c r="O997" s="2" t="s">
        <v>430</v>
      </c>
      <c r="P997" s="2" t="s">
        <v>911</v>
      </c>
      <c r="Q997" s="2" t="s">
        <v>4926</v>
      </c>
      <c r="R997" s="2" t="s">
        <v>5069</v>
      </c>
      <c r="S997" s="2" t="s">
        <v>736</v>
      </c>
      <c r="T997" s="2" t="s">
        <v>167</v>
      </c>
      <c r="U997" s="2" t="s">
        <v>12</v>
      </c>
      <c r="V997" s="2" t="s">
        <v>4773</v>
      </c>
      <c r="W997" s="2" t="s">
        <v>4982</v>
      </c>
      <c r="X997" s="2" t="s">
        <v>4925</v>
      </c>
      <c r="Y997" s="2" t="s">
        <v>910</v>
      </c>
      <c r="Z997" s="2" t="s">
        <v>6029</v>
      </c>
      <c r="AA9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9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97" s="6" t="str">
        <f>IF(_xlfn.IFNA(INDEX(configuracoes!$A$2:$A$10,MATCH(base_tc_geral[[#This Row],[TIPO]],configuracoes!$A$2:$A$10,0)),"NÃO")="NÃO","NÃO","SIM")</f>
        <v>SIM</v>
      </c>
    </row>
    <row r="998" spans="1:31" x14ac:dyDescent="0.25">
      <c r="A998" s="2" t="s">
        <v>1246</v>
      </c>
      <c r="B998" s="2">
        <v>102101393</v>
      </c>
      <c r="C998" s="2" t="s">
        <v>15</v>
      </c>
      <c r="D998" s="2" t="s">
        <v>4499</v>
      </c>
      <c r="E998" s="2" t="s">
        <v>106</v>
      </c>
      <c r="F998" s="2" t="s">
        <v>405</v>
      </c>
      <c r="G998" s="2" t="s">
        <v>172</v>
      </c>
      <c r="H998" s="2" t="s">
        <v>130</v>
      </c>
      <c r="I998" s="2" t="s">
        <v>33</v>
      </c>
      <c r="J998" s="2" t="s">
        <v>109</v>
      </c>
      <c r="K998" s="2" t="s">
        <v>13</v>
      </c>
      <c r="L998" s="2" t="s">
        <v>17</v>
      </c>
      <c r="M998" s="2" t="s">
        <v>23</v>
      </c>
      <c r="N998" s="2" t="s">
        <v>15</v>
      </c>
      <c r="O998" s="2" t="s">
        <v>132</v>
      </c>
      <c r="P998" s="2" t="s">
        <v>1248</v>
      </c>
      <c r="Q998" s="2" t="s">
        <v>4926</v>
      </c>
      <c r="R998" s="2" t="s">
        <v>735</v>
      </c>
      <c r="S998" s="2" t="s">
        <v>736</v>
      </c>
      <c r="T998" s="2" t="s">
        <v>167</v>
      </c>
      <c r="U998" s="2" t="s">
        <v>12</v>
      </c>
      <c r="V998" s="2" t="s">
        <v>4886</v>
      </c>
      <c r="W998" s="2" t="s">
        <v>17</v>
      </c>
      <c r="X998" s="2" t="s">
        <v>4998</v>
      </c>
      <c r="Y998" s="2" t="s">
        <v>1247</v>
      </c>
      <c r="Z998" s="2" t="s">
        <v>6030</v>
      </c>
      <c r="AA9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9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9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98" s="6" t="str">
        <f>IF(_xlfn.IFNA(INDEX(configuracoes!$A$2:$A$10,MATCH(base_tc_geral[[#This Row],[TIPO]],configuracoes!$A$2:$A$10,0)),"NÃO")="NÃO","NÃO","SIM")</f>
        <v>NÃO</v>
      </c>
    </row>
    <row r="999" spans="1:31" x14ac:dyDescent="0.25">
      <c r="A999" s="2" t="s">
        <v>1361</v>
      </c>
      <c r="B999" s="2">
        <v>105000986</v>
      </c>
      <c r="C999" s="2" t="s">
        <v>15</v>
      </c>
      <c r="D999" s="2" t="s">
        <v>4487</v>
      </c>
      <c r="E999" s="2" t="s">
        <v>28</v>
      </c>
      <c r="F999" s="2" t="s">
        <v>80</v>
      </c>
      <c r="G999" s="2" t="s">
        <v>41</v>
      </c>
      <c r="H999" s="2" t="s">
        <v>79</v>
      </c>
      <c r="I999" s="2" t="s">
        <v>33</v>
      </c>
      <c r="J999" s="2" t="s">
        <v>34</v>
      </c>
      <c r="K999" s="2" t="s">
        <v>13</v>
      </c>
      <c r="L999" s="2" t="s">
        <v>42</v>
      </c>
      <c r="M999" s="2" t="s">
        <v>75</v>
      </c>
      <c r="N999" s="2" t="s">
        <v>15</v>
      </c>
      <c r="O999" s="2" t="s">
        <v>83</v>
      </c>
      <c r="P999" s="2" t="s">
        <v>1363</v>
      </c>
      <c r="Q999" s="2" t="s">
        <v>4926</v>
      </c>
      <c r="R999" s="2" t="s">
        <v>81</v>
      </c>
      <c r="S999" s="2" t="s">
        <v>167</v>
      </c>
      <c r="T999" s="2" t="s">
        <v>167</v>
      </c>
      <c r="U999" s="2" t="s">
        <v>12</v>
      </c>
      <c r="V999" s="2" t="s">
        <v>4767</v>
      </c>
      <c r="W999" s="2" t="s">
        <v>42</v>
      </c>
      <c r="X999" s="2" t="s">
        <v>75</v>
      </c>
      <c r="Y999" s="2" t="s">
        <v>1362</v>
      </c>
      <c r="Z999" s="2" t="s">
        <v>6031</v>
      </c>
      <c r="AA9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9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9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9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999" s="6" t="str">
        <f>IF(_xlfn.IFNA(INDEX(configuracoes!$A$2:$A$10,MATCH(base_tc_geral[[#This Row],[TIPO]],configuracoes!$A$2:$A$10,0)),"NÃO")="NÃO","NÃO","SIM")</f>
        <v>SIM</v>
      </c>
    </row>
    <row r="1000" spans="1:31" x14ac:dyDescent="0.25">
      <c r="A1000" s="2" t="s">
        <v>3196</v>
      </c>
      <c r="B1000" s="2">
        <v>109000119</v>
      </c>
      <c r="C1000" s="2" t="s">
        <v>15</v>
      </c>
      <c r="D1000" s="2" t="s">
        <v>4527</v>
      </c>
      <c r="E1000" s="2" t="s">
        <v>86</v>
      </c>
      <c r="F1000" s="2" t="s">
        <v>123</v>
      </c>
      <c r="G1000" s="2" t="s">
        <v>58</v>
      </c>
      <c r="H1000" s="2" t="s">
        <v>122</v>
      </c>
      <c r="I1000" s="2" t="s">
        <v>33</v>
      </c>
      <c r="J1000" s="2" t="s">
        <v>124</v>
      </c>
      <c r="K1000" s="2" t="s">
        <v>13</v>
      </c>
      <c r="L1000" s="2" t="s">
        <v>61</v>
      </c>
      <c r="M1000" s="2" t="s">
        <v>38</v>
      </c>
      <c r="N1000" s="2" t="s">
        <v>15</v>
      </c>
      <c r="O1000" s="2" t="s">
        <v>129</v>
      </c>
      <c r="P1000" s="2" t="s">
        <v>3198</v>
      </c>
      <c r="Q1000" s="2" t="s">
        <v>4926</v>
      </c>
      <c r="R1000" s="2" t="s">
        <v>191</v>
      </c>
      <c r="S1000" s="2" t="s">
        <v>4699</v>
      </c>
      <c r="T1000" s="2" t="s">
        <v>4696</v>
      </c>
      <c r="U1000" s="2" t="s">
        <v>12</v>
      </c>
      <c r="V1000" s="2" t="s">
        <v>4849</v>
      </c>
      <c r="W1000" s="2" t="s">
        <v>4984</v>
      </c>
      <c r="X1000" s="2" t="s">
        <v>38</v>
      </c>
      <c r="Y1000" s="2" t="s">
        <v>3197</v>
      </c>
      <c r="Z1000" s="2" t="s">
        <v>6032</v>
      </c>
      <c r="AA10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10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0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0" s="6" t="str">
        <f>IF(_xlfn.IFNA(INDEX(configuracoes!$A$2:$A$10,MATCH(base_tc_geral[[#This Row],[TIPO]],configuracoes!$A$2:$A$10,0)),"NÃO")="NÃO","NÃO","SIM")</f>
        <v>NÃO</v>
      </c>
    </row>
    <row r="1001" spans="1:31" x14ac:dyDescent="0.25">
      <c r="A1001" s="2" t="s">
        <v>3587</v>
      </c>
      <c r="B1001" s="2">
        <v>109506172</v>
      </c>
      <c r="C1001" s="2" t="s">
        <v>15</v>
      </c>
      <c r="D1001" s="2" t="s">
        <v>4916</v>
      </c>
      <c r="E1001" s="2" t="s">
        <v>86</v>
      </c>
      <c r="F1001" s="2" t="s">
        <v>177</v>
      </c>
      <c r="G1001" s="2" t="s">
        <v>245</v>
      </c>
      <c r="H1001" s="2" t="s">
        <v>164</v>
      </c>
      <c r="I1001" s="2" t="s">
        <v>33</v>
      </c>
      <c r="J1001" s="2" t="s">
        <v>124</v>
      </c>
      <c r="K1001" s="2" t="s">
        <v>20</v>
      </c>
      <c r="L1001" s="2" t="s">
        <v>21</v>
      </c>
      <c r="M1001" s="2" t="s">
        <v>22</v>
      </c>
      <c r="N1001" s="2" t="s">
        <v>15</v>
      </c>
      <c r="O1001" s="2" t="s">
        <v>169</v>
      </c>
      <c r="P1001" s="2" t="s">
        <v>3590</v>
      </c>
      <c r="Q1001" s="2" t="s">
        <v>4926</v>
      </c>
      <c r="R1001" s="2" t="s">
        <v>3588</v>
      </c>
      <c r="S1001" s="2" t="s">
        <v>93</v>
      </c>
      <c r="T1001" s="2" t="s">
        <v>4696</v>
      </c>
      <c r="U1001" s="2" t="s">
        <v>12</v>
      </c>
      <c r="V1001" s="2" t="s">
        <v>4798</v>
      </c>
      <c r="W1001" s="2" t="s">
        <v>4982</v>
      </c>
      <c r="X1001" s="2" t="s">
        <v>4925</v>
      </c>
      <c r="Y1001" s="2" t="s">
        <v>3589</v>
      </c>
      <c r="Z1001" s="2" t="s">
        <v>6033</v>
      </c>
      <c r="AA10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0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1" s="6" t="str">
        <f>IF(_xlfn.IFNA(INDEX(configuracoes!$A$2:$A$10,MATCH(base_tc_geral[[#This Row],[TIPO]],configuracoes!$A$2:$A$10,0)),"NÃO")="NÃO","NÃO","SIM")</f>
        <v>SIM</v>
      </c>
    </row>
    <row r="1002" spans="1:31" x14ac:dyDescent="0.25">
      <c r="A1002" s="2" t="s">
        <v>1671</v>
      </c>
      <c r="B1002" s="2">
        <v>105000985</v>
      </c>
      <c r="C1002" s="2" t="s">
        <v>15</v>
      </c>
      <c r="D1002" s="2" t="s">
        <v>4529</v>
      </c>
      <c r="E1002" s="2" t="s">
        <v>28</v>
      </c>
      <c r="F1002" s="2" t="s">
        <v>30</v>
      </c>
      <c r="G1002" s="2" t="s">
        <v>883</v>
      </c>
      <c r="H1002" s="2" t="s">
        <v>29</v>
      </c>
      <c r="I1002" s="2" t="s">
        <v>33</v>
      </c>
      <c r="J1002" s="2" t="s">
        <v>34</v>
      </c>
      <c r="K1002" s="2" t="s">
        <v>20</v>
      </c>
      <c r="L1002" s="2" t="s">
        <v>21</v>
      </c>
      <c r="M1002" s="2" t="s">
        <v>22</v>
      </c>
      <c r="N1002" s="2" t="s">
        <v>15</v>
      </c>
      <c r="O1002" s="2" t="s">
        <v>36</v>
      </c>
      <c r="P1002" s="2" t="s">
        <v>1673</v>
      </c>
      <c r="Q1002" s="2" t="s">
        <v>4926</v>
      </c>
      <c r="R1002" s="2" t="s">
        <v>32</v>
      </c>
      <c r="S1002" s="2" t="s">
        <v>167</v>
      </c>
      <c r="T1002" s="2" t="s">
        <v>167</v>
      </c>
      <c r="U1002" s="2" t="s">
        <v>12</v>
      </c>
      <c r="V1002" s="2" t="s">
        <v>4851</v>
      </c>
      <c r="W1002" s="2" t="s">
        <v>4982</v>
      </c>
      <c r="X1002" s="2" t="s">
        <v>4925</v>
      </c>
      <c r="Y1002" s="2" t="s">
        <v>1672</v>
      </c>
      <c r="Z1002" s="2" t="s">
        <v>6034</v>
      </c>
      <c r="AA10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10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0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2" s="6" t="str">
        <f>IF(_xlfn.IFNA(INDEX(configuracoes!$A$2:$A$10,MATCH(base_tc_geral[[#This Row],[TIPO]],configuracoes!$A$2:$A$10,0)),"NÃO")="NÃO","NÃO","SIM")</f>
        <v>SIM</v>
      </c>
    </row>
    <row r="1003" spans="1:31" x14ac:dyDescent="0.25">
      <c r="A1003" s="2" t="s">
        <v>546</v>
      </c>
      <c r="B1003" s="2">
        <v>101005380</v>
      </c>
      <c r="C1003" s="2" t="s">
        <v>15</v>
      </c>
      <c r="D1003" s="2" t="s">
        <v>4529</v>
      </c>
      <c r="E1003" s="2" t="s">
        <v>47</v>
      </c>
      <c r="F1003" s="2" t="s">
        <v>67</v>
      </c>
      <c r="G1003" s="2" t="s">
        <v>172</v>
      </c>
      <c r="H1003" s="2" t="s">
        <v>66</v>
      </c>
      <c r="I1003" s="2" t="s">
        <v>16</v>
      </c>
      <c r="J1003" s="2" t="s">
        <v>66</v>
      </c>
      <c r="K1003" s="2" t="s">
        <v>13</v>
      </c>
      <c r="L1003" s="2" t="s">
        <v>17</v>
      </c>
      <c r="M1003" s="2" t="s">
        <v>18</v>
      </c>
      <c r="N1003" s="2" t="s">
        <v>15</v>
      </c>
      <c r="O1003" s="2" t="s">
        <v>71</v>
      </c>
      <c r="P1003" s="2" t="s">
        <v>548</v>
      </c>
      <c r="Q1003" s="2" t="s">
        <v>4926</v>
      </c>
      <c r="R1003" s="2" t="s">
        <v>69</v>
      </c>
      <c r="S1003" s="2" t="s">
        <v>4698</v>
      </c>
      <c r="T1003" s="2" t="s">
        <v>4697</v>
      </c>
      <c r="U1003" s="2" t="s">
        <v>39</v>
      </c>
      <c r="V1003" s="2" t="s">
        <v>4787</v>
      </c>
      <c r="W1003" s="2" t="s">
        <v>17</v>
      </c>
      <c r="X1003" s="2" t="s">
        <v>4998</v>
      </c>
      <c r="Y1003" s="2" t="s">
        <v>547</v>
      </c>
      <c r="Z1003" s="2" t="s">
        <v>6077</v>
      </c>
      <c r="AA10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10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3" s="6" t="str">
        <f>IF(_xlfn.IFNA(INDEX(configuracoes!$A$2:$A$10,MATCH(base_tc_geral[[#This Row],[TIPO]],configuracoes!$A$2:$A$10,0)),"NÃO")="NÃO","NÃO","SIM")</f>
        <v>NÃO</v>
      </c>
    </row>
    <row r="1004" spans="1:31" x14ac:dyDescent="0.25">
      <c r="A1004" s="2" t="s">
        <v>4308</v>
      </c>
      <c r="B1004" s="2">
        <v>109506032</v>
      </c>
      <c r="C1004" s="2" t="s">
        <v>15</v>
      </c>
      <c r="D1004" s="2" t="s">
        <v>4515</v>
      </c>
      <c r="E1004" s="2" t="s">
        <v>86</v>
      </c>
      <c r="F1004" s="2" t="s">
        <v>2894</v>
      </c>
      <c r="G1004" s="2" t="s">
        <v>245</v>
      </c>
      <c r="H1004" s="2" t="s">
        <v>164</v>
      </c>
      <c r="I1004" s="2" t="s">
        <v>33</v>
      </c>
      <c r="J1004" s="2" t="s">
        <v>124</v>
      </c>
      <c r="K1004" s="2" t="s">
        <v>20</v>
      </c>
      <c r="L1004" s="2" t="s">
        <v>21</v>
      </c>
      <c r="M1004" s="2" t="s">
        <v>22</v>
      </c>
      <c r="N1004" s="2" t="s">
        <v>15</v>
      </c>
      <c r="O1004" s="2" t="s">
        <v>169</v>
      </c>
      <c r="P1004" s="2" t="s">
        <v>4310</v>
      </c>
      <c r="Q1004" s="2" t="s">
        <v>4926</v>
      </c>
      <c r="R1004" s="2" t="s">
        <v>2892</v>
      </c>
      <c r="S1004" s="2" t="s">
        <v>93</v>
      </c>
      <c r="T1004" s="2" t="s">
        <v>4696</v>
      </c>
      <c r="U1004" s="2" t="s">
        <v>12</v>
      </c>
      <c r="V1004" s="2" t="s">
        <v>4785</v>
      </c>
      <c r="W1004" s="2" t="s">
        <v>4982</v>
      </c>
      <c r="X1004" s="2" t="s">
        <v>4925</v>
      </c>
      <c r="Y1004" s="2" t="s">
        <v>4309</v>
      </c>
      <c r="Z1004" s="2" t="s">
        <v>6078</v>
      </c>
      <c r="AA10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0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4" s="6" t="str">
        <f>IF(_xlfn.IFNA(INDEX(configuracoes!$A$2:$A$10,MATCH(base_tc_geral[[#This Row],[TIPO]],configuracoes!$A$2:$A$10,0)),"NÃO")="NÃO","NÃO","SIM")</f>
        <v>SIM</v>
      </c>
    </row>
    <row r="1005" spans="1:31" x14ac:dyDescent="0.25">
      <c r="A1005" s="2" t="s">
        <v>676</v>
      </c>
      <c r="B1005" s="2">
        <v>101010210</v>
      </c>
      <c r="C1005" s="2" t="s">
        <v>15</v>
      </c>
      <c r="D1005" s="2" t="s">
        <v>4493</v>
      </c>
      <c r="E1005" s="2" t="s">
        <v>47</v>
      </c>
      <c r="F1005" s="2" t="s">
        <v>264</v>
      </c>
      <c r="G1005" s="2" t="s">
        <v>648</v>
      </c>
      <c r="H1005" s="2" t="s">
        <v>227</v>
      </c>
      <c r="I1005" s="2" t="s">
        <v>16</v>
      </c>
      <c r="J1005" s="2" t="s">
        <v>227</v>
      </c>
      <c r="K1005" s="2" t="s">
        <v>13</v>
      </c>
      <c r="L1005" s="2" t="s">
        <v>25</v>
      </c>
      <c r="M1005" s="2" t="s">
        <v>22</v>
      </c>
      <c r="N1005" s="2" t="s">
        <v>15</v>
      </c>
      <c r="O1005" s="2" t="s">
        <v>266</v>
      </c>
      <c r="P1005" s="2" t="s">
        <v>678</v>
      </c>
      <c r="Q1005" s="2" t="s">
        <v>4926</v>
      </c>
      <c r="R1005" s="2" t="s">
        <v>294</v>
      </c>
      <c r="S1005" s="2" t="s">
        <v>101</v>
      </c>
      <c r="T1005" s="2" t="s">
        <v>4697</v>
      </c>
      <c r="U1005" s="2" t="s">
        <v>12</v>
      </c>
      <c r="V1005" s="2" t="s">
        <v>4809</v>
      </c>
      <c r="W1005" s="2" t="s">
        <v>4931</v>
      </c>
      <c r="X1005" s="2" t="s">
        <v>4925</v>
      </c>
      <c r="Y1005" s="2" t="s">
        <v>677</v>
      </c>
      <c r="Z1005" s="2" t="s">
        <v>6079</v>
      </c>
      <c r="AA10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0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5" s="6" t="str">
        <f>IF(_xlfn.IFNA(INDEX(configuracoes!$A$2:$A$10,MATCH(base_tc_geral[[#This Row],[TIPO]],configuracoes!$A$2:$A$10,0)),"NÃO")="NÃO","NÃO","SIM")</f>
        <v>SIM</v>
      </c>
    </row>
    <row r="1006" spans="1:31" x14ac:dyDescent="0.25">
      <c r="A1006" s="2" t="s">
        <v>1195</v>
      </c>
      <c r="B1006" s="2">
        <v>105000986</v>
      </c>
      <c r="C1006" s="2" t="s">
        <v>15</v>
      </c>
      <c r="D1006" s="2" t="s">
        <v>4483</v>
      </c>
      <c r="E1006" s="2" t="s">
        <v>28</v>
      </c>
      <c r="F1006" s="2" t="s">
        <v>80</v>
      </c>
      <c r="G1006" s="2" t="s">
        <v>883</v>
      </c>
      <c r="H1006" s="2" t="s">
        <v>79</v>
      </c>
      <c r="I1006" s="2" t="s">
        <v>33</v>
      </c>
      <c r="J1006" s="2" t="s">
        <v>34</v>
      </c>
      <c r="K1006" s="2" t="s">
        <v>20</v>
      </c>
      <c r="L1006" s="2" t="s">
        <v>21</v>
      </c>
      <c r="M1006" s="2" t="s">
        <v>22</v>
      </c>
      <c r="N1006" s="2" t="s">
        <v>15</v>
      </c>
      <c r="O1006" s="2" t="s">
        <v>83</v>
      </c>
      <c r="P1006" s="2" t="s">
        <v>1197</v>
      </c>
      <c r="Q1006" s="2" t="s">
        <v>4926</v>
      </c>
      <c r="R1006" s="2" t="s">
        <v>81</v>
      </c>
      <c r="S1006" s="2" t="s">
        <v>167</v>
      </c>
      <c r="T1006" s="2" t="s">
        <v>167</v>
      </c>
      <c r="U1006" s="2" t="s">
        <v>12</v>
      </c>
      <c r="V1006" s="2" t="s">
        <v>4767</v>
      </c>
      <c r="W1006" s="2" t="s">
        <v>4982</v>
      </c>
      <c r="X1006" s="2" t="s">
        <v>4925</v>
      </c>
      <c r="Y1006" s="2" t="s">
        <v>1196</v>
      </c>
      <c r="Z1006" s="2" t="s">
        <v>6080</v>
      </c>
      <c r="AA10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0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0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6" s="6" t="str">
        <f>IF(_xlfn.IFNA(INDEX(configuracoes!$A$2:$A$10,MATCH(base_tc_geral[[#This Row],[TIPO]],configuracoes!$A$2:$A$10,0)),"NÃO")="NÃO","NÃO","SIM")</f>
        <v>SIM</v>
      </c>
    </row>
    <row r="1007" spans="1:31" x14ac:dyDescent="0.25">
      <c r="A1007" s="2" t="s">
        <v>2845</v>
      </c>
      <c r="B1007" s="2">
        <v>101005241</v>
      </c>
      <c r="C1007" s="2" t="s">
        <v>15</v>
      </c>
      <c r="D1007" s="2" t="s">
        <v>4622</v>
      </c>
      <c r="E1007" s="2" t="s">
        <v>47</v>
      </c>
      <c r="F1007" s="2" t="s">
        <v>312</v>
      </c>
      <c r="G1007" s="2" t="s">
        <v>637</v>
      </c>
      <c r="H1007" s="2" t="s">
        <v>311</v>
      </c>
      <c r="I1007" s="2" t="s">
        <v>16</v>
      </c>
      <c r="J1007" s="2" t="s">
        <v>141</v>
      </c>
      <c r="K1007" s="2" t="s">
        <v>20</v>
      </c>
      <c r="L1007" s="2" t="s">
        <v>19</v>
      </c>
      <c r="M1007" s="2" t="s">
        <v>22</v>
      </c>
      <c r="N1007" s="2" t="s">
        <v>15</v>
      </c>
      <c r="O1007" s="2" t="s">
        <v>314</v>
      </c>
      <c r="P1007" s="2" t="s">
        <v>2847</v>
      </c>
      <c r="Q1007" s="2" t="s">
        <v>4926</v>
      </c>
      <c r="R1007" s="2" t="s">
        <v>143</v>
      </c>
      <c r="S1007" s="2" t="s">
        <v>4698</v>
      </c>
      <c r="T1007" s="2" t="s">
        <v>4697</v>
      </c>
      <c r="U1007" s="2" t="s">
        <v>12</v>
      </c>
      <c r="V1007" s="2" t="s">
        <v>4845</v>
      </c>
      <c r="W1007" s="2" t="s">
        <v>42</v>
      </c>
      <c r="X1007" s="2" t="s">
        <v>4925</v>
      </c>
      <c r="Y1007" s="2" t="s">
        <v>2846</v>
      </c>
      <c r="Z1007" s="2" t="s">
        <v>6081</v>
      </c>
      <c r="AA10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0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7" s="6" t="str">
        <f>IF(_xlfn.IFNA(INDEX(configuracoes!$A$2:$A$10,MATCH(base_tc_geral[[#This Row],[TIPO]],configuracoes!$A$2:$A$10,0)),"NÃO")="NÃO","NÃO","SIM")</f>
        <v>SIM</v>
      </c>
    </row>
    <row r="1008" spans="1:31" x14ac:dyDescent="0.25">
      <c r="A1008" s="2" t="s">
        <v>4175</v>
      </c>
      <c r="B1008" s="2">
        <v>101004033</v>
      </c>
      <c r="C1008" s="2" t="s">
        <v>24</v>
      </c>
      <c r="D1008" s="2" t="s">
        <v>4482</v>
      </c>
      <c r="E1008" s="2" t="s">
        <v>47</v>
      </c>
      <c r="F1008" s="2" t="s">
        <v>159</v>
      </c>
      <c r="G1008" s="2" t="s">
        <v>99</v>
      </c>
      <c r="H1008" s="2" t="s">
        <v>60</v>
      </c>
      <c r="I1008" s="2" t="s">
        <v>16</v>
      </c>
      <c r="J1008" s="2" t="s">
        <v>60</v>
      </c>
      <c r="K1008" s="2" t="s">
        <v>13</v>
      </c>
      <c r="L1008" s="2" t="s">
        <v>25</v>
      </c>
      <c r="M1008" s="2" t="s">
        <v>22</v>
      </c>
      <c r="N1008" s="2" t="s">
        <v>24</v>
      </c>
      <c r="O1008" s="2" t="s">
        <v>161</v>
      </c>
      <c r="P1008" s="2" t="s">
        <v>4177</v>
      </c>
      <c r="Q1008" s="2" t="s">
        <v>4926</v>
      </c>
      <c r="R1008" s="2" t="s">
        <v>304</v>
      </c>
      <c r="S1008" s="2" t="s">
        <v>51</v>
      </c>
      <c r="T1008" s="2" t="s">
        <v>4697</v>
      </c>
      <c r="U1008" s="2" t="s">
        <v>39</v>
      </c>
      <c r="V1008" s="2" t="s">
        <v>4870</v>
      </c>
      <c r="W1008" s="2" t="s">
        <v>4982</v>
      </c>
      <c r="X1008" s="2" t="s">
        <v>4925</v>
      </c>
      <c r="Y1008" s="2" t="s">
        <v>4176</v>
      </c>
      <c r="Z1008" s="2" t="s">
        <v>6082</v>
      </c>
      <c r="AA10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0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08" s="6" t="str">
        <f>IF(_xlfn.IFNA(INDEX(configuracoes!$A$2:$A$10,MATCH(base_tc_geral[[#This Row],[TIPO]],configuracoes!$A$2:$A$10,0)),"NÃO")="NÃO","NÃO","SIM")</f>
        <v>SIM</v>
      </c>
    </row>
    <row r="1009" spans="1:31" x14ac:dyDescent="0.25">
      <c r="A1009" s="2" t="s">
        <v>3248</v>
      </c>
      <c r="B1009" s="2">
        <v>109500038</v>
      </c>
      <c r="C1009" s="2" t="s">
        <v>15</v>
      </c>
      <c r="D1009" s="2" t="s">
        <v>4515</v>
      </c>
      <c r="E1009" s="2" t="s">
        <v>86</v>
      </c>
      <c r="F1009" s="2" t="s">
        <v>325</v>
      </c>
      <c r="G1009" s="2" t="s">
        <v>58</v>
      </c>
      <c r="H1009" s="2" t="s">
        <v>283</v>
      </c>
      <c r="I1009" s="2" t="s">
        <v>33</v>
      </c>
      <c r="J1009" s="2" t="s">
        <v>124</v>
      </c>
      <c r="K1009" s="2" t="s">
        <v>13</v>
      </c>
      <c r="L1009" s="2" t="s">
        <v>61</v>
      </c>
      <c r="M1009" s="2" t="s">
        <v>44</v>
      </c>
      <c r="N1009" s="2" t="s">
        <v>15</v>
      </c>
      <c r="O1009" s="2" t="s">
        <v>287</v>
      </c>
      <c r="P1009" s="2" t="s">
        <v>3250</v>
      </c>
      <c r="Q1009" s="2" t="s">
        <v>4926</v>
      </c>
      <c r="R1009" s="2" t="s">
        <v>3212</v>
      </c>
      <c r="S1009" s="2" t="s">
        <v>4699</v>
      </c>
      <c r="T1009" s="2" t="s">
        <v>4696</v>
      </c>
      <c r="U1009" s="2" t="s">
        <v>12</v>
      </c>
      <c r="V1009" s="2" t="s">
        <v>4782</v>
      </c>
      <c r="W1009" s="2" t="s">
        <v>4984</v>
      </c>
      <c r="X1009" s="2" t="s">
        <v>44</v>
      </c>
      <c r="Y1009" s="2" t="s">
        <v>3249</v>
      </c>
      <c r="Z1009" s="2" t="s">
        <v>6083</v>
      </c>
      <c r="AA10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PATRICIO MARTINS </v>
      </c>
      <c r="AB10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0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09" s="6" t="str">
        <f>IF(_xlfn.IFNA(INDEX(configuracoes!$A$2:$A$10,MATCH(base_tc_geral[[#This Row],[TIPO]],configuracoes!$A$2:$A$10,0)),"NÃO")="NÃO","NÃO","SIM")</f>
        <v>NÃO</v>
      </c>
    </row>
    <row r="1010" spans="1:31" x14ac:dyDescent="0.25">
      <c r="A1010" s="2" t="s">
        <v>1469</v>
      </c>
      <c r="B1010" s="2">
        <v>428271</v>
      </c>
      <c r="C1010" s="2" t="s">
        <v>15</v>
      </c>
      <c r="D1010" s="2" t="s">
        <v>4516</v>
      </c>
      <c r="E1010" s="2" t="s">
        <v>47</v>
      </c>
      <c r="F1010" s="2" t="s">
        <v>225</v>
      </c>
      <c r="G1010" s="2" t="s">
        <v>58</v>
      </c>
      <c r="H1010" s="2" t="s">
        <v>224</v>
      </c>
      <c r="I1010" s="2" t="s">
        <v>16</v>
      </c>
      <c r="J1010" s="2" t="s">
        <v>227</v>
      </c>
      <c r="K1010" s="2" t="s">
        <v>92</v>
      </c>
      <c r="L1010" s="2" t="s">
        <v>61</v>
      </c>
      <c r="M1010" s="2" t="s">
        <v>44</v>
      </c>
      <c r="N1010" s="2" t="s">
        <v>15</v>
      </c>
      <c r="O1010" s="2" t="s">
        <v>229</v>
      </c>
      <c r="P1010" s="2" t="s">
        <v>1471</v>
      </c>
      <c r="Q1010" s="2" t="s">
        <v>4926</v>
      </c>
      <c r="R1010" s="2" t="s">
        <v>4828</v>
      </c>
      <c r="S1010" s="2" t="s">
        <v>4698</v>
      </c>
      <c r="T1010" s="2" t="s">
        <v>4697</v>
      </c>
      <c r="U1010" s="2" t="s">
        <v>12</v>
      </c>
      <c r="V1010" s="2" t="s">
        <v>4829</v>
      </c>
      <c r="W1010" s="2" t="s">
        <v>4999</v>
      </c>
      <c r="X1010" s="2" t="s">
        <v>44</v>
      </c>
      <c r="Y1010" s="2" t="s">
        <v>1470</v>
      </c>
      <c r="Z1010" s="2" t="s">
        <v>6084</v>
      </c>
      <c r="AA10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0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0" s="6" t="str">
        <f>IF(_xlfn.IFNA(INDEX(configuracoes!$A$2:$A$10,MATCH(base_tc_geral[[#This Row],[TIPO]],configuracoes!$A$2:$A$10,0)),"NÃO")="NÃO","NÃO","SIM")</f>
        <v>NÃO</v>
      </c>
    </row>
    <row r="1011" spans="1:31" x14ac:dyDescent="0.25">
      <c r="A1011" s="2" t="s">
        <v>809</v>
      </c>
      <c r="B1011" s="2">
        <v>101001670</v>
      </c>
      <c r="C1011" s="2" t="s">
        <v>24</v>
      </c>
      <c r="D1011" s="2" t="s">
        <v>4482</v>
      </c>
      <c r="E1011" s="2" t="s">
        <v>47</v>
      </c>
      <c r="F1011" s="2" t="s">
        <v>303</v>
      </c>
      <c r="G1011" s="2" t="s">
        <v>245</v>
      </c>
      <c r="H1011" s="2" t="s">
        <v>60</v>
      </c>
      <c r="I1011" s="2" t="s">
        <v>16</v>
      </c>
      <c r="J1011" s="2" t="s">
        <v>60</v>
      </c>
      <c r="K1011" s="2" t="s">
        <v>20</v>
      </c>
      <c r="L1011" s="2" t="s">
        <v>21</v>
      </c>
      <c r="M1011" s="2" t="s">
        <v>22</v>
      </c>
      <c r="N1011" s="2" t="s">
        <v>24</v>
      </c>
      <c r="O1011" s="2" t="s">
        <v>161</v>
      </c>
      <c r="P1011" s="2" t="s">
        <v>811</v>
      </c>
      <c r="Q1011" s="2" t="s">
        <v>4926</v>
      </c>
      <c r="R1011" s="2" t="s">
        <v>226</v>
      </c>
      <c r="S1011" s="2" t="s">
        <v>4698</v>
      </c>
      <c r="T1011" s="2" t="s">
        <v>4697</v>
      </c>
      <c r="U1011" s="2" t="s">
        <v>39</v>
      </c>
      <c r="V1011" s="2" t="s">
        <v>4844</v>
      </c>
      <c r="W1011" s="2" t="s">
        <v>4982</v>
      </c>
      <c r="X1011" s="2" t="s">
        <v>4925</v>
      </c>
      <c r="Y1011" s="2" t="s">
        <v>810</v>
      </c>
      <c r="Z1011" s="2" t="s">
        <v>6085</v>
      </c>
      <c r="AA10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0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11" s="6" t="str">
        <f>IF(_xlfn.IFNA(INDEX(configuracoes!$A$2:$A$10,MATCH(base_tc_geral[[#This Row],[TIPO]],configuracoes!$A$2:$A$10,0)),"NÃO")="NÃO","NÃO","SIM")</f>
        <v>SIM</v>
      </c>
    </row>
    <row r="1012" spans="1:31" x14ac:dyDescent="0.25">
      <c r="A1012" s="2" t="s">
        <v>2285</v>
      </c>
      <c r="B1012" s="2">
        <v>109000340</v>
      </c>
      <c r="C1012" s="2" t="s">
        <v>15</v>
      </c>
      <c r="D1012" s="2" t="s">
        <v>4484</v>
      </c>
      <c r="E1012" s="2" t="s">
        <v>86</v>
      </c>
      <c r="F1012" s="2" t="s">
        <v>1320</v>
      </c>
      <c r="G1012" s="2" t="s">
        <v>172</v>
      </c>
      <c r="H1012" s="2" t="s">
        <v>1321</v>
      </c>
      <c r="I1012" s="2" t="s">
        <v>33</v>
      </c>
      <c r="J1012" s="2" t="s">
        <v>91</v>
      </c>
      <c r="K1012" s="2" t="s">
        <v>13</v>
      </c>
      <c r="L1012" s="2" t="s">
        <v>17</v>
      </c>
      <c r="M1012" s="2" t="s">
        <v>23</v>
      </c>
      <c r="N1012" s="2" t="s">
        <v>15</v>
      </c>
      <c r="O1012" s="2" t="s">
        <v>1322</v>
      </c>
      <c r="P1012" s="2" t="s">
        <v>2287</v>
      </c>
      <c r="Q1012" s="2" t="s">
        <v>4926</v>
      </c>
      <c r="R1012" s="2" t="s">
        <v>90</v>
      </c>
      <c r="S1012" s="2" t="s">
        <v>93</v>
      </c>
      <c r="T1012" s="2" t="s">
        <v>4696</v>
      </c>
      <c r="U1012" s="2" t="s">
        <v>12</v>
      </c>
      <c r="V1012" s="2" t="s">
        <v>4898</v>
      </c>
      <c r="W1012" s="2" t="s">
        <v>17</v>
      </c>
      <c r="X1012" s="2" t="s">
        <v>4998</v>
      </c>
      <c r="Y1012" s="2" t="s">
        <v>2286</v>
      </c>
      <c r="Z1012" s="2" t="s">
        <v>6086</v>
      </c>
      <c r="AA10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0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2" s="6" t="str">
        <f>IF(_xlfn.IFNA(INDEX(configuracoes!$A$2:$A$10,MATCH(base_tc_geral[[#This Row],[TIPO]],configuracoes!$A$2:$A$10,0)),"NÃO")="NÃO","NÃO","SIM")</f>
        <v>NÃO</v>
      </c>
    </row>
    <row r="1013" spans="1:31" x14ac:dyDescent="0.25">
      <c r="A1013" s="2" t="s">
        <v>4278</v>
      </c>
      <c r="B1013" s="2">
        <v>109506032</v>
      </c>
      <c r="C1013" s="2" t="s">
        <v>15</v>
      </c>
      <c r="D1013" s="2" t="s">
        <v>4515</v>
      </c>
      <c r="E1013" s="2" t="s">
        <v>86</v>
      </c>
      <c r="F1013" s="2" t="s">
        <v>505</v>
      </c>
      <c r="G1013" s="2" t="s">
        <v>245</v>
      </c>
      <c r="H1013" s="2" t="s">
        <v>164</v>
      </c>
      <c r="I1013" s="2" t="s">
        <v>33</v>
      </c>
      <c r="J1013" s="2" t="s">
        <v>124</v>
      </c>
      <c r="K1013" s="2" t="s">
        <v>20</v>
      </c>
      <c r="L1013" s="2" t="s">
        <v>21</v>
      </c>
      <c r="M1013" s="2" t="s">
        <v>22</v>
      </c>
      <c r="N1013" s="2" t="s">
        <v>15</v>
      </c>
      <c r="O1013" s="2" t="s">
        <v>169</v>
      </c>
      <c r="P1013" s="2" t="s">
        <v>4280</v>
      </c>
      <c r="Q1013" s="2" t="s">
        <v>4926</v>
      </c>
      <c r="R1013" s="2" t="s">
        <v>2892</v>
      </c>
      <c r="S1013" s="2" t="s">
        <v>93</v>
      </c>
      <c r="T1013" s="2" t="s">
        <v>4696</v>
      </c>
      <c r="U1013" s="2" t="s">
        <v>12</v>
      </c>
      <c r="V1013" s="2" t="s">
        <v>4794</v>
      </c>
      <c r="W1013" s="2" t="s">
        <v>4923</v>
      </c>
      <c r="X1013" s="2" t="s">
        <v>4925</v>
      </c>
      <c r="Y1013" s="2" t="s">
        <v>4279</v>
      </c>
      <c r="Z1013" s="2" t="s">
        <v>6087</v>
      </c>
      <c r="AA10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0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3" s="6" t="str">
        <f>IF(_xlfn.IFNA(INDEX(configuracoes!$A$2:$A$10,MATCH(base_tc_geral[[#This Row],[TIPO]],configuracoes!$A$2:$A$10,0)),"NÃO")="NÃO","NÃO","SIM")</f>
        <v>SIM</v>
      </c>
    </row>
    <row r="1014" spans="1:31" x14ac:dyDescent="0.25">
      <c r="A1014" s="2" t="s">
        <v>3425</v>
      </c>
      <c r="B1014" s="2">
        <v>101001488</v>
      </c>
      <c r="C1014" s="2" t="s">
        <v>15</v>
      </c>
      <c r="D1014" s="2" t="s">
        <v>4491</v>
      </c>
      <c r="E1014" s="2" t="s">
        <v>47</v>
      </c>
      <c r="F1014" s="2" t="s">
        <v>159</v>
      </c>
      <c r="G1014" s="2" t="s">
        <v>99</v>
      </c>
      <c r="H1014" s="2" t="s">
        <v>60</v>
      </c>
      <c r="I1014" s="2" t="s">
        <v>16</v>
      </c>
      <c r="J1014" s="2" t="s">
        <v>60</v>
      </c>
      <c r="K1014" s="2" t="s">
        <v>13</v>
      </c>
      <c r="L1014" s="2" t="s">
        <v>25</v>
      </c>
      <c r="M1014" s="2" t="s">
        <v>22</v>
      </c>
      <c r="N1014" s="2" t="s">
        <v>15</v>
      </c>
      <c r="O1014" s="2" t="s">
        <v>161</v>
      </c>
      <c r="P1014" s="2" t="s">
        <v>3427</v>
      </c>
      <c r="Q1014" s="2" t="s">
        <v>4926</v>
      </c>
      <c r="R1014" s="2" t="s">
        <v>252</v>
      </c>
      <c r="S1014" s="2" t="s">
        <v>101</v>
      </c>
      <c r="T1014" s="2" t="s">
        <v>4697</v>
      </c>
      <c r="U1014" s="2" t="s">
        <v>12</v>
      </c>
      <c r="V1014" s="2" t="s">
        <v>4834</v>
      </c>
      <c r="W1014" s="2" t="s">
        <v>4931</v>
      </c>
      <c r="X1014" s="2" t="s">
        <v>4925</v>
      </c>
      <c r="Y1014" s="2" t="s">
        <v>3426</v>
      </c>
      <c r="Z1014" s="2" t="s">
        <v>6088</v>
      </c>
      <c r="AA10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0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4" s="6" t="str">
        <f>IF(_xlfn.IFNA(INDEX(configuracoes!$A$2:$A$10,MATCH(base_tc_geral[[#This Row],[TIPO]],configuracoes!$A$2:$A$10,0)),"NÃO")="NÃO","NÃO","SIM")</f>
        <v>SIM</v>
      </c>
    </row>
    <row r="1015" spans="1:31" x14ac:dyDescent="0.25">
      <c r="A1015" s="2" t="s">
        <v>4010</v>
      </c>
      <c r="B1015" s="2">
        <v>109000340</v>
      </c>
      <c r="C1015" s="2" t="s">
        <v>15</v>
      </c>
      <c r="D1015" s="2" t="s">
        <v>4644</v>
      </c>
      <c r="E1015" s="2" t="s">
        <v>86</v>
      </c>
      <c r="F1015" s="2" t="s">
        <v>199</v>
      </c>
      <c r="G1015" s="2" t="s">
        <v>630</v>
      </c>
      <c r="H1015" s="2" t="s">
        <v>198</v>
      </c>
      <c r="I1015" s="2" t="s">
        <v>33</v>
      </c>
      <c r="J1015" s="2" t="s">
        <v>91</v>
      </c>
      <c r="K1015" s="2" t="s">
        <v>20</v>
      </c>
      <c r="L1015" s="2" t="s">
        <v>21</v>
      </c>
      <c r="M1015" s="2" t="s">
        <v>22</v>
      </c>
      <c r="N1015" s="2" t="s">
        <v>15</v>
      </c>
      <c r="O1015" s="2" t="s">
        <v>201</v>
      </c>
      <c r="P1015" s="2" t="s">
        <v>4012</v>
      </c>
      <c r="Q1015" s="2" t="s">
        <v>4926</v>
      </c>
      <c r="R1015" s="2" t="s">
        <v>90</v>
      </c>
      <c r="S1015" s="2" t="s">
        <v>93</v>
      </c>
      <c r="T1015" s="2" t="s">
        <v>4696</v>
      </c>
      <c r="U1015" s="2" t="s">
        <v>12</v>
      </c>
      <c r="V1015" s="2" t="s">
        <v>4796</v>
      </c>
      <c r="W1015" s="2" t="s">
        <v>4982</v>
      </c>
      <c r="X1015" s="2" t="s">
        <v>4925</v>
      </c>
      <c r="Y1015" s="2" t="s">
        <v>4011</v>
      </c>
      <c r="Z1015" s="2" t="s">
        <v>6294</v>
      </c>
      <c r="AA10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0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5" s="6" t="str">
        <f>IF(_xlfn.IFNA(INDEX(configuracoes!$A$2:$A$10,MATCH(base_tc_geral[[#This Row],[TIPO]],configuracoes!$A$2:$A$10,0)),"NÃO")="NÃO","NÃO","SIM")</f>
        <v>SIM</v>
      </c>
    </row>
    <row r="1016" spans="1:31" x14ac:dyDescent="0.25">
      <c r="A1016" s="2" t="s">
        <v>3676</v>
      </c>
      <c r="B1016" s="2">
        <v>109505819</v>
      </c>
      <c r="C1016" s="2" t="s">
        <v>15</v>
      </c>
      <c r="D1016" s="2" t="s">
        <v>4625</v>
      </c>
      <c r="E1016" s="2" t="s">
        <v>86</v>
      </c>
      <c r="F1016" s="2" t="s">
        <v>165</v>
      </c>
      <c r="G1016" s="2" t="s">
        <v>41</v>
      </c>
      <c r="H1016" s="2" t="s">
        <v>164</v>
      </c>
      <c r="I1016" s="2" t="s">
        <v>33</v>
      </c>
      <c r="J1016" s="2" t="s">
        <v>124</v>
      </c>
      <c r="K1016" s="2" t="s">
        <v>13</v>
      </c>
      <c r="L1016" s="2" t="s">
        <v>42</v>
      </c>
      <c r="M1016" s="2" t="s">
        <v>75</v>
      </c>
      <c r="N1016" s="2" t="s">
        <v>15</v>
      </c>
      <c r="O1016" s="2" t="s">
        <v>169</v>
      </c>
      <c r="P1016" s="2" t="s">
        <v>3678</v>
      </c>
      <c r="Q1016" s="2" t="s">
        <v>4926</v>
      </c>
      <c r="R1016" s="2" t="s">
        <v>3459</v>
      </c>
      <c r="S1016" s="2" t="s">
        <v>93</v>
      </c>
      <c r="T1016" s="2" t="s">
        <v>4696</v>
      </c>
      <c r="U1016" s="2" t="s">
        <v>12</v>
      </c>
      <c r="V1016" s="2" t="s">
        <v>4766</v>
      </c>
      <c r="W1016" s="2" t="s">
        <v>42</v>
      </c>
      <c r="X1016" s="2" t="s">
        <v>75</v>
      </c>
      <c r="Y1016" s="2" t="s">
        <v>3677</v>
      </c>
      <c r="Z1016" s="2" t="s">
        <v>6295</v>
      </c>
      <c r="AA10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10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6" s="6" t="str">
        <f>IF(_xlfn.IFNA(INDEX(configuracoes!$A$2:$A$10,MATCH(base_tc_geral[[#This Row],[TIPO]],configuracoes!$A$2:$A$10,0)),"NÃO")="NÃO","NÃO","SIM")</f>
        <v>SIM</v>
      </c>
    </row>
    <row r="1017" spans="1:31" x14ac:dyDescent="0.25">
      <c r="A1017" s="2" t="s">
        <v>1131</v>
      </c>
      <c r="B1017" s="2">
        <v>109000926</v>
      </c>
      <c r="C1017" s="2" t="s">
        <v>15</v>
      </c>
      <c r="D1017" s="2" t="s">
        <v>4596</v>
      </c>
      <c r="E1017" s="2" t="s">
        <v>86</v>
      </c>
      <c r="F1017" s="2" t="s">
        <v>325</v>
      </c>
      <c r="G1017" s="2" t="s">
        <v>41</v>
      </c>
      <c r="H1017" s="2" t="s">
        <v>283</v>
      </c>
      <c r="I1017" s="2" t="s">
        <v>33</v>
      </c>
      <c r="J1017" s="2" t="s">
        <v>124</v>
      </c>
      <c r="K1017" s="2" t="s">
        <v>13</v>
      </c>
      <c r="L1017" s="2" t="s">
        <v>42</v>
      </c>
      <c r="M1017" s="2" t="s">
        <v>75</v>
      </c>
      <c r="N1017" s="2" t="s">
        <v>15</v>
      </c>
      <c r="O1017" s="2" t="s">
        <v>287</v>
      </c>
      <c r="P1017" s="2" t="s">
        <v>1133</v>
      </c>
      <c r="Q1017" s="2" t="s">
        <v>4926</v>
      </c>
      <c r="R1017" s="2" t="s">
        <v>285</v>
      </c>
      <c r="S1017" s="2" t="s">
        <v>125</v>
      </c>
      <c r="T1017" s="2" t="s">
        <v>4696</v>
      </c>
      <c r="U1017" s="2" t="s">
        <v>12</v>
      </c>
      <c r="V1017" s="2" t="s">
        <v>4777</v>
      </c>
      <c r="W1017" s="2" t="s">
        <v>42</v>
      </c>
      <c r="X1017" s="2" t="s">
        <v>75</v>
      </c>
      <c r="Y1017" s="2" t="s">
        <v>1132</v>
      </c>
      <c r="Z1017" s="2" t="s">
        <v>6296</v>
      </c>
      <c r="AA10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0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7" s="6" t="str">
        <f>IF(_xlfn.IFNA(INDEX(configuracoes!$A$2:$A$10,MATCH(base_tc_geral[[#This Row],[TIPO]],configuracoes!$A$2:$A$10,0)),"NÃO")="NÃO","NÃO","SIM")</f>
        <v>SIM</v>
      </c>
    </row>
    <row r="1018" spans="1:31" x14ac:dyDescent="0.25">
      <c r="A1018" s="2" t="s">
        <v>2054</v>
      </c>
      <c r="B1018" s="2">
        <v>109000926</v>
      </c>
      <c r="C1018" s="2" t="s">
        <v>15</v>
      </c>
      <c r="D1018" s="2" t="s">
        <v>4484</v>
      </c>
      <c r="E1018" s="2" t="s">
        <v>86</v>
      </c>
      <c r="F1018" s="2" t="s">
        <v>1099</v>
      </c>
      <c r="G1018" s="2" t="s">
        <v>711</v>
      </c>
      <c r="H1018" s="2" t="s">
        <v>283</v>
      </c>
      <c r="I1018" s="2" t="s">
        <v>33</v>
      </c>
      <c r="J1018" s="2" t="s">
        <v>124</v>
      </c>
      <c r="K1018" s="2" t="s">
        <v>13</v>
      </c>
      <c r="L1018" s="2" t="s">
        <v>126</v>
      </c>
      <c r="M1018" s="2" t="s">
        <v>128</v>
      </c>
      <c r="N1018" s="2" t="s">
        <v>15</v>
      </c>
      <c r="O1018" s="2" t="s">
        <v>287</v>
      </c>
      <c r="P1018" s="2" t="s">
        <v>2056</v>
      </c>
      <c r="Q1018" s="2" t="s">
        <v>4926</v>
      </c>
      <c r="R1018" s="2" t="s">
        <v>285</v>
      </c>
      <c r="S1018" s="2" t="s">
        <v>125</v>
      </c>
      <c r="T1018" s="2" t="s">
        <v>4696</v>
      </c>
      <c r="U1018" s="2" t="s">
        <v>12</v>
      </c>
      <c r="V1018" s="2" t="s">
        <v>4777</v>
      </c>
      <c r="W1018" s="2" t="s">
        <v>4987</v>
      </c>
      <c r="X1018" s="2" t="s">
        <v>4989</v>
      </c>
      <c r="Y1018" s="2" t="s">
        <v>2055</v>
      </c>
      <c r="Z1018" s="2" t="s">
        <v>6297</v>
      </c>
      <c r="AA10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0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8" s="6" t="str">
        <f>IF(_xlfn.IFNA(INDEX(configuracoes!$A$2:$A$10,MATCH(base_tc_geral[[#This Row],[TIPO]],configuracoes!$A$2:$A$10,0)),"NÃO")="NÃO","NÃO","SIM")</f>
        <v>SIM</v>
      </c>
    </row>
    <row r="1019" spans="1:31" x14ac:dyDescent="0.25">
      <c r="A1019" s="2" t="s">
        <v>3760</v>
      </c>
      <c r="B1019" s="2">
        <v>101005380</v>
      </c>
      <c r="C1019" s="2" t="s">
        <v>15</v>
      </c>
      <c r="D1019" s="2" t="s">
        <v>4659</v>
      </c>
      <c r="E1019" s="2" t="s">
        <v>47</v>
      </c>
      <c r="F1019" s="2" t="s">
        <v>67</v>
      </c>
      <c r="G1019" s="2" t="s">
        <v>172</v>
      </c>
      <c r="H1019" s="2" t="s">
        <v>66</v>
      </c>
      <c r="I1019" s="2" t="s">
        <v>16</v>
      </c>
      <c r="J1019" s="2" t="s">
        <v>66</v>
      </c>
      <c r="K1019" s="2" t="s">
        <v>13</v>
      </c>
      <c r="L1019" s="2" t="s">
        <v>17</v>
      </c>
      <c r="M1019" s="2" t="s">
        <v>18</v>
      </c>
      <c r="N1019" s="2" t="s">
        <v>15</v>
      </c>
      <c r="O1019" s="2" t="s">
        <v>71</v>
      </c>
      <c r="P1019" s="2" t="s">
        <v>3762</v>
      </c>
      <c r="Q1019" s="2" t="s">
        <v>4926</v>
      </c>
      <c r="R1019" s="2" t="s">
        <v>69</v>
      </c>
      <c r="S1019" s="2" t="s">
        <v>4698</v>
      </c>
      <c r="T1019" s="2" t="s">
        <v>4697</v>
      </c>
      <c r="U1019" s="2" t="s">
        <v>12</v>
      </c>
      <c r="V1019" s="2" t="s">
        <v>4793</v>
      </c>
      <c r="W1019" s="2" t="s">
        <v>17</v>
      </c>
      <c r="X1019" s="2" t="s">
        <v>4998</v>
      </c>
      <c r="Y1019" s="2" t="s">
        <v>3761</v>
      </c>
      <c r="Z1019" s="2" t="s">
        <v>6298</v>
      </c>
      <c r="AA10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10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19" s="6" t="str">
        <f>IF(_xlfn.IFNA(INDEX(configuracoes!$A$2:$A$10,MATCH(base_tc_geral[[#This Row],[TIPO]],configuracoes!$A$2:$A$10,0)),"NÃO")="NÃO","NÃO","SIM")</f>
        <v>NÃO</v>
      </c>
    </row>
    <row r="1020" spans="1:31" x14ac:dyDescent="0.25">
      <c r="A1020" s="2" t="s">
        <v>516</v>
      </c>
      <c r="B1020" s="2">
        <v>101001782</v>
      </c>
      <c r="C1020" s="2" t="s">
        <v>15</v>
      </c>
      <c r="D1020" s="2" t="s">
        <v>4484</v>
      </c>
      <c r="E1020" s="2" t="s">
        <v>47</v>
      </c>
      <c r="F1020" s="2" t="s">
        <v>511</v>
      </c>
      <c r="G1020" s="2" t="s">
        <v>630</v>
      </c>
      <c r="H1020" s="2" t="s">
        <v>48</v>
      </c>
      <c r="I1020" s="2" t="s">
        <v>16</v>
      </c>
      <c r="J1020" s="2" t="s">
        <v>48</v>
      </c>
      <c r="K1020" s="2" t="s">
        <v>20</v>
      </c>
      <c r="L1020" s="2" t="s">
        <v>21</v>
      </c>
      <c r="M1020" s="2" t="s">
        <v>22</v>
      </c>
      <c r="N1020" s="2" t="s">
        <v>15</v>
      </c>
      <c r="O1020" s="2" t="s">
        <v>53</v>
      </c>
      <c r="P1020" s="2" t="s">
        <v>518</v>
      </c>
      <c r="Q1020" s="2" t="s">
        <v>4926</v>
      </c>
      <c r="R1020" s="2" t="s">
        <v>512</v>
      </c>
      <c r="S1020" s="2" t="s">
        <v>51</v>
      </c>
      <c r="T1020" s="2" t="s">
        <v>4697</v>
      </c>
      <c r="U1020" s="2" t="s">
        <v>12</v>
      </c>
      <c r="V1020" s="2" t="s">
        <v>4861</v>
      </c>
      <c r="W1020" s="2" t="s">
        <v>4982</v>
      </c>
      <c r="X1020" s="2" t="s">
        <v>4925</v>
      </c>
      <c r="Y1020" s="2" t="s">
        <v>517</v>
      </c>
      <c r="Z1020" s="2" t="s">
        <v>6299</v>
      </c>
      <c r="AA10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0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20" s="6" t="str">
        <f>IF(_xlfn.IFNA(INDEX(configuracoes!$A$2:$A$10,MATCH(base_tc_geral[[#This Row],[TIPO]],configuracoes!$A$2:$A$10,0)),"NÃO")="NÃO","NÃO","SIM")</f>
        <v>SIM</v>
      </c>
    </row>
    <row r="1021" spans="1:31" x14ac:dyDescent="0.25">
      <c r="A1021" s="2" t="s">
        <v>3628</v>
      </c>
      <c r="B1021" s="2">
        <v>101003771</v>
      </c>
      <c r="C1021" s="2" t="s">
        <v>15</v>
      </c>
      <c r="D1021" s="2" t="s">
        <v>4516</v>
      </c>
      <c r="E1021" s="2" t="s">
        <v>47</v>
      </c>
      <c r="F1021" s="2" t="s">
        <v>49</v>
      </c>
      <c r="G1021" s="2" t="s">
        <v>172</v>
      </c>
      <c r="H1021" s="2" t="s">
        <v>48</v>
      </c>
      <c r="I1021" s="2" t="s">
        <v>16</v>
      </c>
      <c r="J1021" s="2" t="s">
        <v>48</v>
      </c>
      <c r="K1021" s="2" t="s">
        <v>13</v>
      </c>
      <c r="L1021" s="2" t="s">
        <v>17</v>
      </c>
      <c r="M1021" s="2" t="s">
        <v>23</v>
      </c>
      <c r="N1021" s="2" t="s">
        <v>15</v>
      </c>
      <c r="O1021" s="2" t="s">
        <v>53</v>
      </c>
      <c r="P1021" s="2" t="s">
        <v>3630</v>
      </c>
      <c r="Q1021" s="2" t="s">
        <v>4926</v>
      </c>
      <c r="R1021" s="2" t="s">
        <v>465</v>
      </c>
      <c r="S1021" s="2" t="s">
        <v>51</v>
      </c>
      <c r="T1021" s="2" t="s">
        <v>4697</v>
      </c>
      <c r="U1021" s="2" t="s">
        <v>12</v>
      </c>
      <c r="V1021" s="2" t="s">
        <v>4810</v>
      </c>
      <c r="W1021" s="2" t="s">
        <v>17</v>
      </c>
      <c r="X1021" s="2" t="s">
        <v>4998</v>
      </c>
      <c r="Y1021" s="2" t="s">
        <v>3629</v>
      </c>
      <c r="Z1021" s="2" t="s">
        <v>6300</v>
      </c>
      <c r="AA10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0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21" s="6" t="str">
        <f>IF(_xlfn.IFNA(INDEX(configuracoes!$A$2:$A$10,MATCH(base_tc_geral[[#This Row],[TIPO]],configuracoes!$A$2:$A$10,0)),"NÃO")="NÃO","NÃO","SIM")</f>
        <v>NÃO</v>
      </c>
    </row>
    <row r="1022" spans="1:31" x14ac:dyDescent="0.25">
      <c r="A1022" s="2" t="s">
        <v>4116</v>
      </c>
      <c r="B1022" s="2">
        <v>321454</v>
      </c>
      <c r="C1022" s="2" t="s">
        <v>15</v>
      </c>
      <c r="D1022" s="2" t="s">
        <v>4559</v>
      </c>
      <c r="E1022" s="2" t="s">
        <v>47</v>
      </c>
      <c r="F1022" s="2" t="s">
        <v>341</v>
      </c>
      <c r="G1022" s="2" t="s">
        <v>149</v>
      </c>
      <c r="H1022" s="2" t="s">
        <v>56</v>
      </c>
      <c r="I1022" s="2" t="s">
        <v>16</v>
      </c>
      <c r="J1022" s="2" t="s">
        <v>60</v>
      </c>
      <c r="K1022" s="2" t="s">
        <v>13</v>
      </c>
      <c r="L1022" s="2" t="s">
        <v>61</v>
      </c>
      <c r="M1022" s="2" t="s">
        <v>133</v>
      </c>
      <c r="N1022" s="2" t="s">
        <v>15</v>
      </c>
      <c r="O1022" s="2" t="s">
        <v>63</v>
      </c>
      <c r="P1022" s="2" t="s">
        <v>4118</v>
      </c>
      <c r="Q1022" s="2" t="s">
        <v>4926</v>
      </c>
      <c r="R1022" s="2" t="s">
        <v>2771</v>
      </c>
      <c r="S1022" s="2" t="s">
        <v>2771</v>
      </c>
      <c r="T1022" s="2" t="s">
        <v>2771</v>
      </c>
      <c r="U1022" s="2" t="s">
        <v>39</v>
      </c>
      <c r="V1022" s="2" t="s">
        <v>4866</v>
      </c>
      <c r="W1022" s="2" t="s">
        <v>5597</v>
      </c>
      <c r="X1022" s="2" t="s">
        <v>5599</v>
      </c>
      <c r="Y1022" s="2" t="s">
        <v>4117</v>
      </c>
      <c r="Z1022" s="2" t="s">
        <v>6301</v>
      </c>
      <c r="AA10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ALBUQUERQUE </v>
      </c>
      <c r="AB10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RODRIGO ALBUQUERQUE </v>
      </c>
      <c r="AC10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RODRIGO ALBUQUERQUE </v>
      </c>
      <c r="AD10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22" s="6" t="str">
        <f>IF(_xlfn.IFNA(INDEX(configuracoes!$A$2:$A$10,MATCH(base_tc_geral[[#This Row],[TIPO]],configuracoes!$A$2:$A$10,0)),"NÃO")="NÃO","NÃO","SIM")</f>
        <v>NÃO</v>
      </c>
    </row>
    <row r="1023" spans="1:31" x14ac:dyDescent="0.25">
      <c r="A1023" s="2" t="s">
        <v>4181</v>
      </c>
      <c r="B1023" s="2">
        <v>101004033</v>
      </c>
      <c r="C1023" s="2" t="s">
        <v>15</v>
      </c>
      <c r="D1023" s="2" t="s">
        <v>4499</v>
      </c>
      <c r="E1023" s="2" t="s">
        <v>47</v>
      </c>
      <c r="F1023" s="2" t="s">
        <v>303</v>
      </c>
      <c r="G1023" s="2" t="s">
        <v>58</v>
      </c>
      <c r="H1023" s="2" t="s">
        <v>60</v>
      </c>
      <c r="I1023" s="2" t="s">
        <v>16</v>
      </c>
      <c r="J1023" s="2" t="s">
        <v>60</v>
      </c>
      <c r="K1023" s="2" t="s">
        <v>92</v>
      </c>
      <c r="L1023" s="2" t="s">
        <v>61</v>
      </c>
      <c r="M1023" s="2" t="s">
        <v>44</v>
      </c>
      <c r="N1023" s="2" t="s">
        <v>15</v>
      </c>
      <c r="O1023" s="2" t="s">
        <v>161</v>
      </c>
      <c r="P1023" s="2" t="s">
        <v>4183</v>
      </c>
      <c r="Q1023" s="2" t="s">
        <v>4926</v>
      </c>
      <c r="R1023" s="2" t="s">
        <v>304</v>
      </c>
      <c r="S1023" s="2" t="s">
        <v>51</v>
      </c>
      <c r="T1023" s="2" t="s">
        <v>4697</v>
      </c>
      <c r="U1023" s="2" t="s">
        <v>12</v>
      </c>
      <c r="V1023" s="2" t="s">
        <v>4813</v>
      </c>
      <c r="W1023" s="2" t="s">
        <v>5013</v>
      </c>
      <c r="X1023" s="2" t="s">
        <v>44</v>
      </c>
      <c r="Y1023" s="2" t="s">
        <v>4182</v>
      </c>
      <c r="Z1023" s="2" t="s">
        <v>6302</v>
      </c>
      <c r="AA10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0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23" s="6" t="str">
        <f>IF(_xlfn.IFNA(INDEX(configuracoes!$A$2:$A$10,MATCH(base_tc_geral[[#This Row],[TIPO]],configuracoes!$A$2:$A$10,0)),"NÃO")="NÃO","NÃO","SIM")</f>
        <v>NÃO</v>
      </c>
    </row>
    <row r="1024" spans="1:31" x14ac:dyDescent="0.25">
      <c r="A1024" s="2" t="s">
        <v>4890</v>
      </c>
      <c r="B1024" s="2">
        <v>101005241</v>
      </c>
      <c r="C1024" s="2" t="s">
        <v>24</v>
      </c>
      <c r="D1024" s="2" t="s">
        <v>4768</v>
      </c>
      <c r="E1024" s="2" t="s">
        <v>47</v>
      </c>
      <c r="F1024" s="2" t="s">
        <v>312</v>
      </c>
      <c r="G1024" s="2" t="s">
        <v>136</v>
      </c>
      <c r="H1024" s="2" t="s">
        <v>311</v>
      </c>
      <c r="I1024" s="2" t="s">
        <v>16</v>
      </c>
      <c r="J1024" s="2" t="s">
        <v>141</v>
      </c>
      <c r="K1024" s="2" t="s">
        <v>13</v>
      </c>
      <c r="L1024" s="2" t="s">
        <v>72</v>
      </c>
      <c r="M1024" s="2" t="s">
        <v>73</v>
      </c>
      <c r="N1024" s="2" t="s">
        <v>24</v>
      </c>
      <c r="O1024" s="2" t="s">
        <v>314</v>
      </c>
      <c r="P1024" s="2" t="s">
        <v>4892</v>
      </c>
      <c r="Q1024" s="2" t="s">
        <v>4926</v>
      </c>
      <c r="R1024" s="2" t="s">
        <v>143</v>
      </c>
      <c r="S1024" s="2" t="s">
        <v>4698</v>
      </c>
      <c r="T1024" s="2" t="s">
        <v>4697</v>
      </c>
      <c r="U1024" s="2" t="s">
        <v>39</v>
      </c>
      <c r="V1024" s="2" t="s">
        <v>4845</v>
      </c>
      <c r="W1024" s="2" t="s">
        <v>72</v>
      </c>
      <c r="X1024" s="2" t="s">
        <v>5011</v>
      </c>
      <c r="Y1024" s="2" t="s">
        <v>4891</v>
      </c>
      <c r="Z1024" s="2" t="s">
        <v>6303</v>
      </c>
      <c r="AA10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0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24" s="6" t="str">
        <f>IF(_xlfn.IFNA(INDEX(configuracoes!$A$2:$A$10,MATCH(base_tc_geral[[#This Row],[TIPO]],configuracoes!$A$2:$A$10,0)),"NÃO")="NÃO","NÃO","SIM")</f>
        <v>NÃO</v>
      </c>
    </row>
    <row r="1025" spans="1:31" x14ac:dyDescent="0.25">
      <c r="A1025" s="2" t="s">
        <v>2160</v>
      </c>
      <c r="B1025" s="2">
        <v>101007963</v>
      </c>
      <c r="C1025" s="2" t="s">
        <v>15</v>
      </c>
      <c r="D1025" s="2" t="s">
        <v>4668</v>
      </c>
      <c r="E1025" s="2" t="s">
        <v>47</v>
      </c>
      <c r="F1025" s="2" t="s">
        <v>244</v>
      </c>
      <c r="G1025" s="2" t="s">
        <v>58</v>
      </c>
      <c r="H1025" s="2" t="s">
        <v>60</v>
      </c>
      <c r="I1025" s="2" t="s">
        <v>16</v>
      </c>
      <c r="J1025" s="2" t="s">
        <v>60</v>
      </c>
      <c r="K1025" s="2" t="s">
        <v>13</v>
      </c>
      <c r="L1025" s="2" t="s">
        <v>61</v>
      </c>
      <c r="M1025" s="2" t="s">
        <v>44</v>
      </c>
      <c r="N1025" s="2" t="s">
        <v>15</v>
      </c>
      <c r="O1025" s="2" t="s">
        <v>161</v>
      </c>
      <c r="P1025" s="2" t="s">
        <v>2162</v>
      </c>
      <c r="Q1025" s="2" t="s">
        <v>4926</v>
      </c>
      <c r="R1025" s="2" t="s">
        <v>246</v>
      </c>
      <c r="S1025" s="2" t="s">
        <v>51</v>
      </c>
      <c r="T1025" s="2" t="s">
        <v>4697</v>
      </c>
      <c r="U1025" s="2" t="s">
        <v>12</v>
      </c>
      <c r="V1025" s="2" t="s">
        <v>4778</v>
      </c>
      <c r="W1025" s="2" t="s">
        <v>5013</v>
      </c>
      <c r="X1025" s="2" t="s">
        <v>44</v>
      </c>
      <c r="Y1025" s="2" t="s">
        <v>2161</v>
      </c>
      <c r="Z1025" s="2" t="s">
        <v>6304</v>
      </c>
      <c r="AA10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0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25" s="6" t="str">
        <f>IF(_xlfn.IFNA(INDEX(configuracoes!$A$2:$A$10,MATCH(base_tc_geral[[#This Row],[TIPO]],configuracoes!$A$2:$A$10,0)),"NÃO")="NÃO","NÃO","SIM")</f>
        <v>NÃO</v>
      </c>
    </row>
    <row r="1026" spans="1:31" x14ac:dyDescent="0.25">
      <c r="A1026" s="2" t="s">
        <v>3472</v>
      </c>
      <c r="B1026" s="2">
        <v>109505819</v>
      </c>
      <c r="C1026" s="2" t="s">
        <v>24</v>
      </c>
      <c r="D1026" s="2" t="s">
        <v>4482</v>
      </c>
      <c r="E1026" s="2" t="s">
        <v>86</v>
      </c>
      <c r="F1026" s="2" t="s">
        <v>177</v>
      </c>
      <c r="G1026" s="2" t="s">
        <v>245</v>
      </c>
      <c r="H1026" s="2" t="s">
        <v>164</v>
      </c>
      <c r="I1026" s="2" t="s">
        <v>33</v>
      </c>
      <c r="J1026" s="2" t="s">
        <v>124</v>
      </c>
      <c r="K1026" s="2" t="s">
        <v>20</v>
      </c>
      <c r="L1026" s="2" t="s">
        <v>21</v>
      </c>
      <c r="M1026" s="2" t="s">
        <v>22</v>
      </c>
      <c r="N1026" s="2" t="s">
        <v>24</v>
      </c>
      <c r="O1026" s="2" t="s">
        <v>169</v>
      </c>
      <c r="P1026" s="2" t="s">
        <v>3474</v>
      </c>
      <c r="Q1026" s="2" t="s">
        <v>4926</v>
      </c>
      <c r="R1026" s="2" t="s">
        <v>3459</v>
      </c>
      <c r="S1026" s="2" t="s">
        <v>93</v>
      </c>
      <c r="T1026" s="2" t="s">
        <v>4696</v>
      </c>
      <c r="U1026" s="2" t="s">
        <v>39</v>
      </c>
      <c r="V1026" s="2" t="s">
        <v>4785</v>
      </c>
      <c r="W1026" s="2" t="s">
        <v>4982</v>
      </c>
      <c r="X1026" s="2" t="s">
        <v>4925</v>
      </c>
      <c r="Y1026" s="2" t="s">
        <v>3473</v>
      </c>
      <c r="Z1026" s="2" t="s">
        <v>6305</v>
      </c>
      <c r="AA10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10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26" s="6" t="str">
        <f>IF(_xlfn.IFNA(INDEX(configuracoes!$A$2:$A$10,MATCH(base_tc_geral[[#This Row],[TIPO]],configuracoes!$A$2:$A$10,0)),"NÃO")="NÃO","NÃO","SIM")</f>
        <v>SIM</v>
      </c>
    </row>
    <row r="1027" spans="1:31" x14ac:dyDescent="0.25">
      <c r="A1027" s="2" t="s">
        <v>1653</v>
      </c>
      <c r="B1027" s="2">
        <v>109500177</v>
      </c>
      <c r="C1027" s="2" t="s">
        <v>15</v>
      </c>
      <c r="D1027" s="2" t="s">
        <v>4550</v>
      </c>
      <c r="E1027" s="2" t="s">
        <v>86</v>
      </c>
      <c r="F1027" s="2" t="s">
        <v>590</v>
      </c>
      <c r="G1027" s="2" t="s">
        <v>245</v>
      </c>
      <c r="H1027" s="2" t="s">
        <v>122</v>
      </c>
      <c r="I1027" s="2" t="s">
        <v>33</v>
      </c>
      <c r="J1027" s="2" t="s">
        <v>124</v>
      </c>
      <c r="K1027" s="2" t="s">
        <v>20</v>
      </c>
      <c r="L1027" s="2" t="s">
        <v>21</v>
      </c>
      <c r="M1027" s="2" t="s">
        <v>22</v>
      </c>
      <c r="N1027" s="2" t="s">
        <v>15</v>
      </c>
      <c r="O1027" s="2" t="s">
        <v>129</v>
      </c>
      <c r="P1027" s="2" t="s">
        <v>1655</v>
      </c>
      <c r="Q1027" s="2" t="s">
        <v>4926</v>
      </c>
      <c r="R1027" s="2" t="s">
        <v>447</v>
      </c>
      <c r="S1027" s="2" t="s">
        <v>125</v>
      </c>
      <c r="T1027" s="2" t="s">
        <v>4696</v>
      </c>
      <c r="U1027" s="2" t="s">
        <v>12</v>
      </c>
      <c r="V1027" s="2" t="s">
        <v>4784</v>
      </c>
      <c r="W1027" s="2" t="s">
        <v>4982</v>
      </c>
      <c r="X1027" s="2" t="s">
        <v>4925</v>
      </c>
      <c r="Y1027" s="2" t="s">
        <v>1654</v>
      </c>
      <c r="Z1027" s="2" t="s">
        <v>6306</v>
      </c>
      <c r="AA10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10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27" s="6" t="str">
        <f>IF(_xlfn.IFNA(INDEX(configuracoes!$A$2:$A$10,MATCH(base_tc_geral[[#This Row],[TIPO]],configuracoes!$A$2:$A$10,0)),"NÃO")="NÃO","NÃO","SIM")</f>
        <v>SIM</v>
      </c>
    </row>
    <row r="1028" spans="1:31" x14ac:dyDescent="0.25">
      <c r="A1028" s="2" t="s">
        <v>4104</v>
      </c>
      <c r="B1028" s="2">
        <v>108401409</v>
      </c>
      <c r="C1028" s="2" t="s">
        <v>24</v>
      </c>
      <c r="D1028" s="2" t="s">
        <v>4768</v>
      </c>
      <c r="E1028" s="2" t="s">
        <v>47</v>
      </c>
      <c r="F1028" s="2" t="s">
        <v>368</v>
      </c>
      <c r="G1028" s="2" t="s">
        <v>41</v>
      </c>
      <c r="H1028" s="2" t="s">
        <v>227</v>
      </c>
      <c r="I1028" s="2" t="s">
        <v>16</v>
      </c>
      <c r="J1028" s="2" t="s">
        <v>227</v>
      </c>
      <c r="K1028" s="2" t="s">
        <v>13</v>
      </c>
      <c r="L1028" s="2" t="s">
        <v>42</v>
      </c>
      <c r="M1028" s="2" t="s">
        <v>75</v>
      </c>
      <c r="N1028" s="2" t="s">
        <v>24</v>
      </c>
      <c r="O1028" s="2" t="s">
        <v>271</v>
      </c>
      <c r="P1028" s="2" t="s">
        <v>4106</v>
      </c>
      <c r="Q1028" s="2" t="s">
        <v>4926</v>
      </c>
      <c r="R1028" s="2" t="s">
        <v>2738</v>
      </c>
      <c r="S1028" s="2" t="s">
        <v>359</v>
      </c>
      <c r="T1028" s="2" t="s">
        <v>4697</v>
      </c>
      <c r="U1028" s="2" t="s">
        <v>39</v>
      </c>
      <c r="V1028" s="2" t="s">
        <v>4844</v>
      </c>
      <c r="W1028" s="2" t="s">
        <v>42</v>
      </c>
      <c r="X1028" s="2" t="s">
        <v>75</v>
      </c>
      <c r="Y1028" s="2" t="s">
        <v>4105</v>
      </c>
      <c r="Z1028" s="2" t="s">
        <v>6089</v>
      </c>
      <c r="AA10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0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0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28" s="6" t="str">
        <f>IF(_xlfn.IFNA(INDEX(configuracoes!$A$2:$A$10,MATCH(base_tc_geral[[#This Row],[TIPO]],configuracoes!$A$2:$A$10,0)),"NÃO")="NÃO","NÃO","SIM")</f>
        <v>SIM</v>
      </c>
    </row>
    <row r="1029" spans="1:31" x14ac:dyDescent="0.25">
      <c r="A1029" s="2" t="s">
        <v>670</v>
      </c>
      <c r="B1029" s="2">
        <v>101010210</v>
      </c>
      <c r="C1029" s="2" t="s">
        <v>15</v>
      </c>
      <c r="D1029" s="2" t="s">
        <v>4492</v>
      </c>
      <c r="E1029" s="2" t="s">
        <v>47</v>
      </c>
      <c r="F1029" s="2" t="s">
        <v>98</v>
      </c>
      <c r="G1029" s="2" t="s">
        <v>648</v>
      </c>
      <c r="H1029" s="2" t="s">
        <v>56</v>
      </c>
      <c r="I1029" s="2" t="s">
        <v>16</v>
      </c>
      <c r="J1029" s="2" t="s">
        <v>60</v>
      </c>
      <c r="K1029" s="2" t="s">
        <v>13</v>
      </c>
      <c r="L1029" s="2" t="s">
        <v>25</v>
      </c>
      <c r="M1029" s="2" t="s">
        <v>22</v>
      </c>
      <c r="N1029" s="2" t="s">
        <v>15</v>
      </c>
      <c r="O1029" s="2" t="s">
        <v>63</v>
      </c>
      <c r="P1029" s="2" t="s">
        <v>672</v>
      </c>
      <c r="Q1029" s="2" t="s">
        <v>4926</v>
      </c>
      <c r="R1029" s="2" t="s">
        <v>294</v>
      </c>
      <c r="S1029" s="2" t="s">
        <v>101</v>
      </c>
      <c r="T1029" s="2" t="s">
        <v>4697</v>
      </c>
      <c r="U1029" s="2" t="s">
        <v>12</v>
      </c>
      <c r="V1029" s="2" t="s">
        <v>4809</v>
      </c>
      <c r="W1029" s="2" t="s">
        <v>4931</v>
      </c>
      <c r="X1029" s="2" t="s">
        <v>4925</v>
      </c>
      <c r="Y1029" s="2" t="s">
        <v>671</v>
      </c>
      <c r="Z1029" s="2" t="s">
        <v>6090</v>
      </c>
      <c r="AA10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0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29" s="6" t="str">
        <f>IF(_xlfn.IFNA(INDEX(configuracoes!$A$2:$A$10,MATCH(base_tc_geral[[#This Row],[TIPO]],configuracoes!$A$2:$A$10,0)),"NÃO")="NÃO","NÃO","SIM")</f>
        <v>SIM</v>
      </c>
    </row>
    <row r="1030" spans="1:31" x14ac:dyDescent="0.25">
      <c r="A1030" s="2" t="s">
        <v>2520</v>
      </c>
      <c r="B1030" s="2">
        <v>101010209</v>
      </c>
      <c r="C1030" s="2" t="s">
        <v>15</v>
      </c>
      <c r="D1030" s="2" t="s">
        <v>4570</v>
      </c>
      <c r="E1030" s="2" t="s">
        <v>47</v>
      </c>
      <c r="F1030" s="2" t="s">
        <v>303</v>
      </c>
      <c r="G1030" s="2" t="s">
        <v>58</v>
      </c>
      <c r="H1030" s="2" t="s">
        <v>60</v>
      </c>
      <c r="I1030" s="2" t="s">
        <v>16</v>
      </c>
      <c r="J1030" s="2" t="s">
        <v>60</v>
      </c>
      <c r="K1030" s="2" t="s">
        <v>92</v>
      </c>
      <c r="L1030" s="2" t="s">
        <v>61</v>
      </c>
      <c r="M1030" s="2" t="s">
        <v>44</v>
      </c>
      <c r="N1030" s="2" t="s">
        <v>15</v>
      </c>
      <c r="O1030" s="2" t="s">
        <v>161</v>
      </c>
      <c r="P1030" s="2" t="s">
        <v>2522</v>
      </c>
      <c r="Q1030" s="2" t="s">
        <v>4926</v>
      </c>
      <c r="R1030" s="2" t="s">
        <v>279</v>
      </c>
      <c r="S1030" s="2" t="s">
        <v>51</v>
      </c>
      <c r="T1030" s="2" t="s">
        <v>4697</v>
      </c>
      <c r="U1030" s="2" t="s">
        <v>12</v>
      </c>
      <c r="V1030" s="2" t="s">
        <v>4813</v>
      </c>
      <c r="W1030" s="2" t="s">
        <v>4999</v>
      </c>
      <c r="X1030" s="2" t="s">
        <v>44</v>
      </c>
      <c r="Y1030" s="2" t="s">
        <v>2521</v>
      </c>
      <c r="Z1030" s="2" t="s">
        <v>6091</v>
      </c>
      <c r="AA10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10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0" s="6" t="str">
        <f>IF(_xlfn.IFNA(INDEX(configuracoes!$A$2:$A$10,MATCH(base_tc_geral[[#This Row],[TIPO]],configuracoes!$A$2:$A$10,0)),"NÃO")="NÃO","NÃO","SIM")</f>
        <v>NÃO</v>
      </c>
    </row>
    <row r="1031" spans="1:31" x14ac:dyDescent="0.25">
      <c r="A1031" s="2" t="s">
        <v>4059</v>
      </c>
      <c r="B1031" s="2">
        <v>109000340</v>
      </c>
      <c r="C1031" s="2" t="s">
        <v>24</v>
      </c>
      <c r="D1031" s="2" t="s">
        <v>4482</v>
      </c>
      <c r="E1031" s="2" t="s">
        <v>86</v>
      </c>
      <c r="F1031" s="2" t="s">
        <v>1320</v>
      </c>
      <c r="G1031" s="2" t="s">
        <v>172</v>
      </c>
      <c r="H1031" s="2" t="s">
        <v>1321</v>
      </c>
      <c r="I1031" s="2" t="s">
        <v>33</v>
      </c>
      <c r="J1031" s="2" t="s">
        <v>91</v>
      </c>
      <c r="K1031" s="2" t="s">
        <v>13</v>
      </c>
      <c r="L1031" s="2" t="s">
        <v>17</v>
      </c>
      <c r="M1031" s="2" t="s">
        <v>18</v>
      </c>
      <c r="N1031" s="2" t="s">
        <v>24</v>
      </c>
      <c r="O1031" s="2" t="s">
        <v>1322</v>
      </c>
      <c r="P1031" s="2" t="s">
        <v>4061</v>
      </c>
      <c r="Q1031" s="2" t="s">
        <v>4926</v>
      </c>
      <c r="R1031" s="2" t="s">
        <v>90</v>
      </c>
      <c r="S1031" s="2" t="s">
        <v>93</v>
      </c>
      <c r="T1031" s="2" t="s">
        <v>4696</v>
      </c>
      <c r="U1031" s="2" t="s">
        <v>39</v>
      </c>
      <c r="V1031" s="2" t="s">
        <v>4898</v>
      </c>
      <c r="W1031" s="2" t="s">
        <v>17</v>
      </c>
      <c r="X1031" s="2" t="s">
        <v>4998</v>
      </c>
      <c r="Y1031" s="2" t="s">
        <v>4060</v>
      </c>
      <c r="Z1031" s="2" t="s">
        <v>6092</v>
      </c>
      <c r="AA10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0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31" s="6" t="str">
        <f>IF(_xlfn.IFNA(INDEX(configuracoes!$A$2:$A$10,MATCH(base_tc_geral[[#This Row],[TIPO]],configuracoes!$A$2:$A$10,0)),"NÃO")="NÃO","NÃO","SIM")</f>
        <v>NÃO</v>
      </c>
    </row>
    <row r="1032" spans="1:31" x14ac:dyDescent="0.25">
      <c r="A1032" s="2" t="s">
        <v>3361</v>
      </c>
      <c r="B1032" s="2">
        <v>101001488</v>
      </c>
      <c r="C1032" s="2" t="s">
        <v>15</v>
      </c>
      <c r="D1032" s="2" t="s">
        <v>4490</v>
      </c>
      <c r="E1032" s="2" t="s">
        <v>47</v>
      </c>
      <c r="F1032" s="2" t="s">
        <v>251</v>
      </c>
      <c r="G1032" s="2" t="s">
        <v>613</v>
      </c>
      <c r="H1032" s="2" t="s">
        <v>224</v>
      </c>
      <c r="I1032" s="2" t="s">
        <v>16</v>
      </c>
      <c r="J1032" s="2" t="s">
        <v>227</v>
      </c>
      <c r="K1032" s="2" t="s">
        <v>20</v>
      </c>
      <c r="L1032" s="2" t="s">
        <v>25</v>
      </c>
      <c r="M1032" s="2" t="s">
        <v>22</v>
      </c>
      <c r="N1032" s="2" t="s">
        <v>15</v>
      </c>
      <c r="O1032" s="2" t="s">
        <v>229</v>
      </c>
      <c r="P1032" s="2" t="s">
        <v>3363</v>
      </c>
      <c r="Q1032" s="2" t="s">
        <v>4926</v>
      </c>
      <c r="R1032" s="2" t="s">
        <v>252</v>
      </c>
      <c r="S1032" s="2" t="s">
        <v>101</v>
      </c>
      <c r="T1032" s="2" t="s">
        <v>4697</v>
      </c>
      <c r="U1032" s="2" t="s">
        <v>12</v>
      </c>
      <c r="V1032" s="2" t="s">
        <v>4811</v>
      </c>
      <c r="W1032" s="2" t="s">
        <v>4931</v>
      </c>
      <c r="X1032" s="2" t="s">
        <v>4925</v>
      </c>
      <c r="Y1032" s="2" t="s">
        <v>3362</v>
      </c>
      <c r="Z1032" s="2" t="s">
        <v>6093</v>
      </c>
      <c r="AA10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0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2" s="6" t="str">
        <f>IF(_xlfn.IFNA(INDEX(configuracoes!$A$2:$A$10,MATCH(base_tc_geral[[#This Row],[TIPO]],configuracoes!$A$2:$A$10,0)),"NÃO")="NÃO","NÃO","SIM")</f>
        <v>SIM</v>
      </c>
    </row>
    <row r="1033" spans="1:31" x14ac:dyDescent="0.25">
      <c r="A1033" s="2" t="s">
        <v>2701</v>
      </c>
      <c r="B1033" s="2">
        <v>109506091</v>
      </c>
      <c r="C1033" s="2" t="s">
        <v>15</v>
      </c>
      <c r="D1033" s="2" t="s">
        <v>4568</v>
      </c>
      <c r="E1033" s="2" t="s">
        <v>86</v>
      </c>
      <c r="F1033" s="2" t="s">
        <v>123</v>
      </c>
      <c r="G1033" s="2" t="s">
        <v>245</v>
      </c>
      <c r="H1033" s="2" t="s">
        <v>122</v>
      </c>
      <c r="I1033" s="2" t="s">
        <v>33</v>
      </c>
      <c r="J1033" s="2" t="s">
        <v>124</v>
      </c>
      <c r="K1033" s="2" t="s">
        <v>20</v>
      </c>
      <c r="L1033" s="2" t="s">
        <v>21</v>
      </c>
      <c r="M1033" s="2" t="s">
        <v>22</v>
      </c>
      <c r="N1033" s="2" t="s">
        <v>15</v>
      </c>
      <c r="O1033" s="2" t="s">
        <v>129</v>
      </c>
      <c r="P1033" s="2" t="s">
        <v>2703</v>
      </c>
      <c r="Q1033" s="2" t="s">
        <v>4926</v>
      </c>
      <c r="R1033" s="2" t="s">
        <v>2683</v>
      </c>
      <c r="S1033" s="2" t="s">
        <v>125</v>
      </c>
      <c r="T1033" s="2" t="s">
        <v>4696</v>
      </c>
      <c r="U1033" s="2" t="s">
        <v>12</v>
      </c>
      <c r="V1033" s="2" t="s">
        <v>4771</v>
      </c>
      <c r="W1033" s="2" t="s">
        <v>4982</v>
      </c>
      <c r="X1033" s="2" t="s">
        <v>4925</v>
      </c>
      <c r="Y1033" s="2" t="s">
        <v>2702</v>
      </c>
      <c r="Z1033" s="2" t="s">
        <v>6094</v>
      </c>
      <c r="AA10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0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3" s="6" t="str">
        <f>IF(_xlfn.IFNA(INDEX(configuracoes!$A$2:$A$10,MATCH(base_tc_geral[[#This Row],[TIPO]],configuracoes!$A$2:$A$10,0)),"NÃO")="NÃO","NÃO","SIM")</f>
        <v>SIM</v>
      </c>
    </row>
    <row r="1034" spans="1:31" x14ac:dyDescent="0.25">
      <c r="A1034" s="2" t="s">
        <v>415</v>
      </c>
      <c r="B1034" s="2">
        <v>105303207</v>
      </c>
      <c r="C1034" s="2" t="s">
        <v>15</v>
      </c>
      <c r="D1034" s="2" t="s">
        <v>4672</v>
      </c>
      <c r="E1034" s="2" t="s">
        <v>28</v>
      </c>
      <c r="F1034" s="2" t="s">
        <v>154</v>
      </c>
      <c r="G1034" s="2" t="s">
        <v>245</v>
      </c>
      <c r="H1034" s="2" t="s">
        <v>34</v>
      </c>
      <c r="I1034" s="2" t="s">
        <v>33</v>
      </c>
      <c r="J1034" s="2" t="s">
        <v>34</v>
      </c>
      <c r="K1034" s="2" t="s">
        <v>20</v>
      </c>
      <c r="L1034" s="2" t="s">
        <v>21</v>
      </c>
      <c r="M1034" s="2" t="s">
        <v>22</v>
      </c>
      <c r="N1034" s="2" t="s">
        <v>15</v>
      </c>
      <c r="O1034" s="2" t="s">
        <v>156</v>
      </c>
      <c r="P1034" s="2" t="s">
        <v>417</v>
      </c>
      <c r="Q1034" s="2" t="s">
        <v>4926</v>
      </c>
      <c r="R1034" s="2" t="s">
        <v>2243</v>
      </c>
      <c r="S1034" s="2" t="s">
        <v>167</v>
      </c>
      <c r="T1034" s="2" t="s">
        <v>167</v>
      </c>
      <c r="U1034" s="2" t="s">
        <v>12</v>
      </c>
      <c r="V1034" s="2" t="s">
        <v>4852</v>
      </c>
      <c r="W1034" s="2" t="s">
        <v>4982</v>
      </c>
      <c r="X1034" s="2" t="s">
        <v>4925</v>
      </c>
      <c r="Y1034" s="2" t="s">
        <v>416</v>
      </c>
      <c r="Z1034" s="2" t="s">
        <v>6095</v>
      </c>
      <c r="AA10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10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0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4" s="6" t="str">
        <f>IF(_xlfn.IFNA(INDEX(configuracoes!$A$2:$A$10,MATCH(base_tc_geral[[#This Row],[TIPO]],configuracoes!$A$2:$A$10,0)),"NÃO")="NÃO","NÃO","SIM")</f>
        <v>SIM</v>
      </c>
    </row>
    <row r="1035" spans="1:31" x14ac:dyDescent="0.25">
      <c r="A1035" s="2" t="s">
        <v>104</v>
      </c>
      <c r="B1035" s="2">
        <v>102101393</v>
      </c>
      <c r="C1035" s="2" t="s">
        <v>15</v>
      </c>
      <c r="D1035" s="2" t="s">
        <v>4499</v>
      </c>
      <c r="E1035" s="2" t="s">
        <v>106</v>
      </c>
      <c r="F1035" s="2" t="s">
        <v>108</v>
      </c>
      <c r="G1035" s="2" t="s">
        <v>172</v>
      </c>
      <c r="H1035" s="2" t="s">
        <v>107</v>
      </c>
      <c r="I1035" s="2" t="s">
        <v>33</v>
      </c>
      <c r="J1035" s="2" t="s">
        <v>109</v>
      </c>
      <c r="K1035" s="2" t="s">
        <v>13</v>
      </c>
      <c r="L1035" s="2" t="s">
        <v>17</v>
      </c>
      <c r="M1035" s="2" t="s">
        <v>23</v>
      </c>
      <c r="N1035" s="2" t="s">
        <v>15</v>
      </c>
      <c r="O1035" s="2" t="s">
        <v>112</v>
      </c>
      <c r="P1035" s="2" t="s">
        <v>111</v>
      </c>
      <c r="Q1035" s="2" t="s">
        <v>4926</v>
      </c>
      <c r="R1035" s="2" t="s">
        <v>735</v>
      </c>
      <c r="S1035" s="2" t="s">
        <v>736</v>
      </c>
      <c r="T1035" s="2" t="s">
        <v>167</v>
      </c>
      <c r="U1035" s="2" t="s">
        <v>12</v>
      </c>
      <c r="V1035" s="2" t="s">
        <v>4886</v>
      </c>
      <c r="W1035" s="2" t="s">
        <v>17</v>
      </c>
      <c r="X1035" s="2" t="s">
        <v>4998</v>
      </c>
      <c r="Y1035" s="2" t="s">
        <v>105</v>
      </c>
      <c r="Z1035" s="2" t="s">
        <v>6307</v>
      </c>
      <c r="AA10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0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0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5" s="6" t="str">
        <f>IF(_xlfn.IFNA(INDEX(configuracoes!$A$2:$A$10,MATCH(base_tc_geral[[#This Row],[TIPO]],configuracoes!$A$2:$A$10,0)),"NÃO")="NÃO","NÃO","SIM")</f>
        <v>NÃO</v>
      </c>
    </row>
    <row r="1036" spans="1:31" x14ac:dyDescent="0.25">
      <c r="A1036" s="2" t="s">
        <v>2962</v>
      </c>
      <c r="B1036" s="2">
        <v>109506032</v>
      </c>
      <c r="C1036" s="2" t="s">
        <v>15</v>
      </c>
      <c r="D1036" s="2" t="s">
        <v>4481</v>
      </c>
      <c r="E1036" s="2" t="s">
        <v>86</v>
      </c>
      <c r="F1036" s="2" t="s">
        <v>165</v>
      </c>
      <c r="G1036" s="2" t="s">
        <v>711</v>
      </c>
      <c r="H1036" s="2" t="s">
        <v>164</v>
      </c>
      <c r="I1036" s="2" t="s">
        <v>33</v>
      </c>
      <c r="J1036" s="2" t="s">
        <v>124</v>
      </c>
      <c r="K1036" s="2" t="s">
        <v>13</v>
      </c>
      <c r="L1036" s="2" t="s">
        <v>126</v>
      </c>
      <c r="M1036" s="2" t="s">
        <v>128</v>
      </c>
      <c r="N1036" s="2" t="s">
        <v>15</v>
      </c>
      <c r="O1036" s="2" t="s">
        <v>169</v>
      </c>
      <c r="P1036" s="2" t="s">
        <v>2964</v>
      </c>
      <c r="Q1036" s="2" t="s">
        <v>4926</v>
      </c>
      <c r="R1036" s="2" t="s">
        <v>2892</v>
      </c>
      <c r="S1036" s="2" t="s">
        <v>93</v>
      </c>
      <c r="T1036" s="2" t="s">
        <v>4696</v>
      </c>
      <c r="U1036" s="2" t="s">
        <v>12</v>
      </c>
      <c r="V1036" s="2" t="s">
        <v>4785</v>
      </c>
      <c r="W1036" s="2" t="s">
        <v>4987</v>
      </c>
      <c r="X1036" s="2" t="s">
        <v>4989</v>
      </c>
      <c r="Y1036" s="2" t="s">
        <v>2963</v>
      </c>
      <c r="Z1036" s="2" t="s">
        <v>6308</v>
      </c>
      <c r="AA10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0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6" s="6" t="str">
        <f>IF(_xlfn.IFNA(INDEX(configuracoes!$A$2:$A$10,MATCH(base_tc_geral[[#This Row],[TIPO]],configuracoes!$A$2:$A$10,0)),"NÃO")="NÃO","NÃO","SIM")</f>
        <v>SIM</v>
      </c>
    </row>
    <row r="1037" spans="1:31" x14ac:dyDescent="0.25">
      <c r="A1037" s="2" t="s">
        <v>323</v>
      </c>
      <c r="B1037" s="2">
        <v>109000926</v>
      </c>
      <c r="C1037" s="2" t="s">
        <v>15</v>
      </c>
      <c r="D1037" s="2" t="s">
        <v>4548</v>
      </c>
      <c r="E1037" s="2" t="s">
        <v>86</v>
      </c>
      <c r="F1037" s="2" t="s">
        <v>325</v>
      </c>
      <c r="G1037" s="2" t="s">
        <v>89</v>
      </c>
      <c r="H1037" s="2" t="s">
        <v>283</v>
      </c>
      <c r="I1037" s="2" t="s">
        <v>33</v>
      </c>
      <c r="J1037" s="2" t="s">
        <v>124</v>
      </c>
      <c r="K1037" s="2" t="s">
        <v>13</v>
      </c>
      <c r="L1037" s="2" t="s">
        <v>37</v>
      </c>
      <c r="M1037" s="2" t="s">
        <v>44</v>
      </c>
      <c r="N1037" s="2" t="s">
        <v>15</v>
      </c>
      <c r="O1037" s="2" t="s">
        <v>287</v>
      </c>
      <c r="P1037" s="2" t="s">
        <v>326</v>
      </c>
      <c r="Q1037" s="2" t="s">
        <v>4926</v>
      </c>
      <c r="R1037" s="2" t="s">
        <v>285</v>
      </c>
      <c r="S1037" s="2" t="s">
        <v>125</v>
      </c>
      <c r="T1037" s="2" t="s">
        <v>4696</v>
      </c>
      <c r="U1037" s="2" t="s">
        <v>12</v>
      </c>
      <c r="V1037" s="2" t="s">
        <v>4777</v>
      </c>
      <c r="W1037" s="2" t="s">
        <v>5013</v>
      </c>
      <c r="X1037" s="2" t="s">
        <v>44</v>
      </c>
      <c r="Y1037" s="2" t="s">
        <v>324</v>
      </c>
      <c r="Z1037" s="2" t="s">
        <v>6309</v>
      </c>
      <c r="AA10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0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7" s="6" t="str">
        <f>IF(_xlfn.IFNA(INDEX(configuracoes!$A$2:$A$10,MATCH(base_tc_geral[[#This Row],[TIPO]],configuracoes!$A$2:$A$10,0)),"NÃO")="NÃO","NÃO","SIM")</f>
        <v>NÃO</v>
      </c>
    </row>
    <row r="1038" spans="1:31" x14ac:dyDescent="0.25">
      <c r="A1038" s="2" t="s">
        <v>2589</v>
      </c>
      <c r="B1038" s="2">
        <v>109505858</v>
      </c>
      <c r="C1038" s="2" t="s">
        <v>15</v>
      </c>
      <c r="D1038" s="2" t="s">
        <v>4523</v>
      </c>
      <c r="E1038" s="2" t="s">
        <v>86</v>
      </c>
      <c r="F1038" s="2" t="s">
        <v>218</v>
      </c>
      <c r="G1038" s="2" t="s">
        <v>245</v>
      </c>
      <c r="H1038" s="2" t="s">
        <v>217</v>
      </c>
      <c r="I1038" s="2" t="s">
        <v>33</v>
      </c>
      <c r="J1038" s="2" t="s">
        <v>91</v>
      </c>
      <c r="K1038" s="2" t="s">
        <v>20</v>
      </c>
      <c r="L1038" s="2" t="s">
        <v>21</v>
      </c>
      <c r="M1038" s="2" t="s">
        <v>22</v>
      </c>
      <c r="N1038" s="2" t="s">
        <v>15</v>
      </c>
      <c r="O1038" s="2" t="s">
        <v>221</v>
      </c>
      <c r="P1038" s="2" t="s">
        <v>2591</v>
      </c>
      <c r="Q1038" s="2" t="s">
        <v>4926</v>
      </c>
      <c r="R1038" s="2" t="s">
        <v>1466</v>
      </c>
      <c r="S1038" s="2" t="s">
        <v>93</v>
      </c>
      <c r="T1038" s="2" t="s">
        <v>4696</v>
      </c>
      <c r="U1038" s="2" t="s">
        <v>12</v>
      </c>
      <c r="V1038" s="2" t="s">
        <v>4802</v>
      </c>
      <c r="W1038" s="2" t="s">
        <v>4982</v>
      </c>
      <c r="X1038" s="2" t="s">
        <v>4925</v>
      </c>
      <c r="Y1038" s="2" t="s">
        <v>2590</v>
      </c>
      <c r="Z1038" s="2" t="s">
        <v>6310</v>
      </c>
      <c r="AA10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0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8" s="6" t="str">
        <f>IF(_xlfn.IFNA(INDEX(configuracoes!$A$2:$A$10,MATCH(base_tc_geral[[#This Row],[TIPO]],configuracoes!$A$2:$A$10,0)),"NÃO")="NÃO","NÃO","SIM")</f>
        <v>SIM</v>
      </c>
    </row>
    <row r="1039" spans="1:31" x14ac:dyDescent="0.25">
      <c r="A1039" s="2" t="s">
        <v>2882</v>
      </c>
      <c r="B1039" s="2">
        <v>101001782</v>
      </c>
      <c r="C1039" s="2" t="s">
        <v>15</v>
      </c>
      <c r="D1039" s="2" t="s">
        <v>4516</v>
      </c>
      <c r="E1039" s="2" t="s">
        <v>47</v>
      </c>
      <c r="F1039" s="2" t="s">
        <v>464</v>
      </c>
      <c r="G1039" s="2" t="s">
        <v>58</v>
      </c>
      <c r="H1039" s="2" t="s">
        <v>48</v>
      </c>
      <c r="I1039" s="2" t="s">
        <v>16</v>
      </c>
      <c r="J1039" s="2" t="s">
        <v>48</v>
      </c>
      <c r="K1039" s="2" t="s">
        <v>92</v>
      </c>
      <c r="L1039" s="2" t="s">
        <v>61</v>
      </c>
      <c r="M1039" s="2" t="s">
        <v>22</v>
      </c>
      <c r="N1039" s="2" t="s">
        <v>15</v>
      </c>
      <c r="O1039" s="2" t="s">
        <v>53</v>
      </c>
      <c r="P1039" s="2" t="s">
        <v>2884</v>
      </c>
      <c r="Q1039" s="2" t="s">
        <v>4926</v>
      </c>
      <c r="R1039" s="2" t="s">
        <v>512</v>
      </c>
      <c r="S1039" s="2" t="s">
        <v>51</v>
      </c>
      <c r="T1039" s="2" t="s">
        <v>4697</v>
      </c>
      <c r="U1039" s="2" t="s">
        <v>12</v>
      </c>
      <c r="V1039" s="2" t="s">
        <v>4861</v>
      </c>
      <c r="W1039" s="2" t="s">
        <v>5013</v>
      </c>
      <c r="X1039" s="2" t="s">
        <v>4925</v>
      </c>
      <c r="Y1039" s="2" t="s">
        <v>2883</v>
      </c>
      <c r="Z1039" s="2" t="s">
        <v>6311</v>
      </c>
      <c r="AA10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0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39" s="6" t="str">
        <f>IF(_xlfn.IFNA(INDEX(configuracoes!$A$2:$A$10,MATCH(base_tc_geral[[#This Row],[TIPO]],configuracoes!$A$2:$A$10,0)),"NÃO")="NÃO","NÃO","SIM")</f>
        <v>NÃO</v>
      </c>
    </row>
    <row r="1040" spans="1:31" x14ac:dyDescent="0.25">
      <c r="A1040" s="2" t="s">
        <v>2842</v>
      </c>
      <c r="B1040" s="2">
        <v>101005241</v>
      </c>
      <c r="C1040" s="2" t="s">
        <v>15</v>
      </c>
      <c r="D1040" s="2" t="s">
        <v>4544</v>
      </c>
      <c r="E1040" s="2" t="s">
        <v>47</v>
      </c>
      <c r="F1040" s="2" t="s">
        <v>312</v>
      </c>
      <c r="G1040" s="2" t="s">
        <v>883</v>
      </c>
      <c r="H1040" s="2" t="s">
        <v>311</v>
      </c>
      <c r="I1040" s="2" t="s">
        <v>16</v>
      </c>
      <c r="J1040" s="2" t="s">
        <v>141</v>
      </c>
      <c r="K1040" s="2" t="s">
        <v>20</v>
      </c>
      <c r="L1040" s="2" t="s">
        <v>21</v>
      </c>
      <c r="M1040" s="2" t="s">
        <v>22</v>
      </c>
      <c r="N1040" s="2" t="s">
        <v>15</v>
      </c>
      <c r="O1040" s="2" t="s">
        <v>314</v>
      </c>
      <c r="P1040" s="2" t="s">
        <v>2844</v>
      </c>
      <c r="Q1040" s="2" t="s">
        <v>4926</v>
      </c>
      <c r="R1040" s="2" t="s">
        <v>143</v>
      </c>
      <c r="S1040" s="2" t="s">
        <v>4698</v>
      </c>
      <c r="T1040" s="2" t="s">
        <v>4697</v>
      </c>
      <c r="U1040" s="2" t="s">
        <v>12</v>
      </c>
      <c r="V1040" s="2" t="s">
        <v>4845</v>
      </c>
      <c r="W1040" s="2" t="s">
        <v>4982</v>
      </c>
      <c r="X1040" s="2" t="s">
        <v>4925</v>
      </c>
      <c r="Y1040" s="2" t="s">
        <v>2843</v>
      </c>
      <c r="Z1040" s="2" t="s">
        <v>6312</v>
      </c>
      <c r="AA10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0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0" s="6" t="str">
        <f>IF(_xlfn.IFNA(INDEX(configuracoes!$A$2:$A$10,MATCH(base_tc_geral[[#This Row],[TIPO]],configuracoes!$A$2:$A$10,0)),"NÃO")="NÃO","NÃO","SIM")</f>
        <v>SIM</v>
      </c>
    </row>
    <row r="1041" spans="1:31" x14ac:dyDescent="0.25">
      <c r="A1041" s="2" t="s">
        <v>2099</v>
      </c>
      <c r="B1041" s="2">
        <v>101007665</v>
      </c>
      <c r="C1041" s="2" t="s">
        <v>15</v>
      </c>
      <c r="D1041" s="2" t="s">
        <v>4481</v>
      </c>
      <c r="E1041" s="2" t="s">
        <v>47</v>
      </c>
      <c r="F1041" s="2" t="s">
        <v>341</v>
      </c>
      <c r="G1041" s="2" t="s">
        <v>364</v>
      </c>
      <c r="H1041" s="2" t="s">
        <v>56</v>
      </c>
      <c r="I1041" s="2" t="s">
        <v>16</v>
      </c>
      <c r="J1041" s="2" t="s">
        <v>60</v>
      </c>
      <c r="K1041" s="2" t="s">
        <v>13</v>
      </c>
      <c r="L1041" s="2" t="s">
        <v>37</v>
      </c>
      <c r="M1041" s="2" t="s">
        <v>44</v>
      </c>
      <c r="N1041" s="2" t="s">
        <v>15</v>
      </c>
      <c r="O1041" s="2" t="s">
        <v>63</v>
      </c>
      <c r="P1041" s="2" t="s">
        <v>2101</v>
      </c>
      <c r="Q1041" s="2" t="s">
        <v>4926</v>
      </c>
      <c r="R1041" s="2" t="s">
        <v>342</v>
      </c>
      <c r="S1041" s="2" t="s">
        <v>51</v>
      </c>
      <c r="T1041" s="2" t="s">
        <v>4697</v>
      </c>
      <c r="U1041" s="2" t="s">
        <v>12</v>
      </c>
      <c r="V1041" s="2" t="s">
        <v>4866</v>
      </c>
      <c r="W1041" s="2" t="s">
        <v>4999</v>
      </c>
      <c r="X1041" s="2" t="s">
        <v>44</v>
      </c>
      <c r="Y1041" s="2" t="s">
        <v>2100</v>
      </c>
      <c r="Z1041" s="2" t="s">
        <v>6313</v>
      </c>
      <c r="AA10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0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1" s="6" t="str">
        <f>IF(_xlfn.IFNA(INDEX(configuracoes!$A$2:$A$10,MATCH(base_tc_geral[[#This Row],[TIPO]],configuracoes!$A$2:$A$10,0)),"NÃO")="NÃO","NÃO","SIM")</f>
        <v>NÃO</v>
      </c>
    </row>
    <row r="1042" spans="1:31" x14ac:dyDescent="0.25">
      <c r="A1042" s="2" t="s">
        <v>4125</v>
      </c>
      <c r="B1042" s="2">
        <v>321454</v>
      </c>
      <c r="C1042" s="2" t="s">
        <v>15</v>
      </c>
      <c r="D1042" s="2" t="s">
        <v>4495</v>
      </c>
      <c r="E1042" s="2" t="s">
        <v>86</v>
      </c>
      <c r="F1042" s="2" t="s">
        <v>540</v>
      </c>
      <c r="G1042" s="2" t="s">
        <v>99</v>
      </c>
      <c r="H1042" s="2" t="s">
        <v>283</v>
      </c>
      <c r="I1042" s="2" t="s">
        <v>33</v>
      </c>
      <c r="J1042" s="2" t="s">
        <v>124</v>
      </c>
      <c r="K1042" s="2" t="s">
        <v>13</v>
      </c>
      <c r="L1042" s="2" t="s">
        <v>25</v>
      </c>
      <c r="M1042" s="2" t="s">
        <v>133</v>
      </c>
      <c r="N1042" s="2" t="s">
        <v>15</v>
      </c>
      <c r="O1042" s="2" t="s">
        <v>287</v>
      </c>
      <c r="P1042" s="2" t="s">
        <v>4127</v>
      </c>
      <c r="Q1042" s="2" t="s">
        <v>4926</v>
      </c>
      <c r="R1042" s="2" t="s">
        <v>2771</v>
      </c>
      <c r="S1042" s="2" t="s">
        <v>2771</v>
      </c>
      <c r="T1042" s="2" t="s">
        <v>2771</v>
      </c>
      <c r="U1042" s="2" t="s">
        <v>39</v>
      </c>
      <c r="V1042" s="2" t="s">
        <v>4765</v>
      </c>
      <c r="W1042" s="2" t="s">
        <v>5597</v>
      </c>
      <c r="X1042" s="2" t="s">
        <v>5599</v>
      </c>
      <c r="Y1042" s="2" t="s">
        <v>4126</v>
      </c>
      <c r="Z1042" s="2" t="s">
        <v>6314</v>
      </c>
      <c r="AA10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ALBUQUERQUE </v>
      </c>
      <c r="AB10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RODRIGO ALBUQUERQUE </v>
      </c>
      <c r="AC10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RODRIGO ALBUQUERQUE </v>
      </c>
      <c r="AD10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2" s="6" t="str">
        <f>IF(_xlfn.IFNA(INDEX(configuracoes!$A$2:$A$10,MATCH(base_tc_geral[[#This Row],[TIPO]],configuracoes!$A$2:$A$10,0)),"NÃO")="NÃO","NÃO","SIM")</f>
        <v>SIM</v>
      </c>
    </row>
    <row r="1043" spans="1:31" x14ac:dyDescent="0.25">
      <c r="A1043" s="2" t="s">
        <v>4166</v>
      </c>
      <c r="B1043" s="2">
        <v>101008134</v>
      </c>
      <c r="C1043" s="2" t="s">
        <v>15</v>
      </c>
      <c r="D1043" s="2" t="s">
        <v>4644</v>
      </c>
      <c r="E1043" s="2" t="s">
        <v>47</v>
      </c>
      <c r="F1043" s="2" t="s">
        <v>368</v>
      </c>
      <c r="G1043" s="2" t="s">
        <v>58</v>
      </c>
      <c r="H1043" s="2" t="s">
        <v>227</v>
      </c>
      <c r="I1043" s="2" t="s">
        <v>16</v>
      </c>
      <c r="J1043" s="2" t="s">
        <v>227</v>
      </c>
      <c r="K1043" s="2" t="s">
        <v>92</v>
      </c>
      <c r="L1043" s="2" t="s">
        <v>61</v>
      </c>
      <c r="M1043" s="2" t="s">
        <v>44</v>
      </c>
      <c r="N1043" s="2" t="s">
        <v>15</v>
      </c>
      <c r="O1043" s="2" t="s">
        <v>271</v>
      </c>
      <c r="P1043" s="2" t="s">
        <v>4168</v>
      </c>
      <c r="Q1043" s="2" t="s">
        <v>4926</v>
      </c>
      <c r="R1043" s="2" t="s">
        <v>351</v>
      </c>
      <c r="S1043" s="2" t="s">
        <v>101</v>
      </c>
      <c r="T1043" s="2" t="s">
        <v>4697</v>
      </c>
      <c r="U1043" s="2" t="s">
        <v>12</v>
      </c>
      <c r="V1043" s="2" t="s">
        <v>4834</v>
      </c>
      <c r="W1043" s="2" t="s">
        <v>4999</v>
      </c>
      <c r="X1043" s="2" t="s">
        <v>44</v>
      </c>
      <c r="Y1043" s="2" t="s">
        <v>4167</v>
      </c>
      <c r="Z1043" s="2" t="s">
        <v>6315</v>
      </c>
      <c r="AA10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0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3" s="6" t="str">
        <f>IF(_xlfn.IFNA(INDEX(configuracoes!$A$2:$A$10,MATCH(base_tc_geral[[#This Row],[TIPO]],configuracoes!$A$2:$A$10,0)),"NÃO")="NÃO","NÃO","SIM")</f>
        <v>NÃO</v>
      </c>
    </row>
    <row r="1044" spans="1:31" x14ac:dyDescent="0.25">
      <c r="A1044" s="2" t="s">
        <v>522</v>
      </c>
      <c r="B1044" s="2">
        <v>105303207</v>
      </c>
      <c r="C1044" s="2" t="s">
        <v>15</v>
      </c>
      <c r="D1044" s="2" t="s">
        <v>4673</v>
      </c>
      <c r="E1044" s="2" t="s">
        <v>28</v>
      </c>
      <c r="F1044" s="2" t="s">
        <v>423</v>
      </c>
      <c r="G1044" s="2" t="s">
        <v>58</v>
      </c>
      <c r="H1044" s="2" t="s">
        <v>34</v>
      </c>
      <c r="I1044" s="2" t="s">
        <v>33</v>
      </c>
      <c r="J1044" s="2" t="s">
        <v>34</v>
      </c>
      <c r="K1044" s="2" t="s">
        <v>92</v>
      </c>
      <c r="L1044" s="2" t="s">
        <v>61</v>
      </c>
      <c r="M1044" s="2" t="s">
        <v>44</v>
      </c>
      <c r="N1044" s="2" t="s">
        <v>15</v>
      </c>
      <c r="O1044" s="2" t="s">
        <v>156</v>
      </c>
      <c r="P1044" s="2" t="s">
        <v>524</v>
      </c>
      <c r="Q1044" s="2" t="s">
        <v>4926</v>
      </c>
      <c r="R1044" s="2" t="s">
        <v>2243</v>
      </c>
      <c r="S1044" s="2" t="s">
        <v>167</v>
      </c>
      <c r="T1044" s="2" t="s">
        <v>167</v>
      </c>
      <c r="U1044" s="2" t="s">
        <v>12</v>
      </c>
      <c r="V1044" s="2" t="s">
        <v>4852</v>
      </c>
      <c r="W1044" s="2" t="s">
        <v>4999</v>
      </c>
      <c r="X1044" s="2" t="s">
        <v>44</v>
      </c>
      <c r="Y1044" s="2" t="s">
        <v>523</v>
      </c>
      <c r="Z1044" s="2" t="s">
        <v>6316</v>
      </c>
      <c r="AA10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10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0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4" s="6" t="str">
        <f>IF(_xlfn.IFNA(INDEX(configuracoes!$A$2:$A$10,MATCH(base_tc_geral[[#This Row],[TIPO]],configuracoes!$A$2:$A$10,0)),"NÃO")="NÃO","NÃO","SIM")</f>
        <v>NÃO</v>
      </c>
    </row>
    <row r="1045" spans="1:31" x14ac:dyDescent="0.25">
      <c r="A1045" s="2" t="s">
        <v>3616</v>
      </c>
      <c r="B1045" s="2">
        <v>109506172</v>
      </c>
      <c r="C1045" s="2" t="s">
        <v>15</v>
      </c>
      <c r="D1045" s="2" t="s">
        <v>4515</v>
      </c>
      <c r="E1045" s="2" t="s">
        <v>86</v>
      </c>
      <c r="F1045" s="2" t="s">
        <v>177</v>
      </c>
      <c r="G1045" s="2" t="s">
        <v>149</v>
      </c>
      <c r="H1045" s="2" t="s">
        <v>164</v>
      </c>
      <c r="I1045" s="2" t="s">
        <v>33</v>
      </c>
      <c r="J1045" s="2" t="s">
        <v>124</v>
      </c>
      <c r="K1045" s="2" t="s">
        <v>20</v>
      </c>
      <c r="L1045" s="2" t="s">
        <v>61</v>
      </c>
      <c r="M1045" s="2" t="s">
        <v>22</v>
      </c>
      <c r="N1045" s="2" t="s">
        <v>15</v>
      </c>
      <c r="O1045" s="2" t="s">
        <v>169</v>
      </c>
      <c r="P1045" s="2" t="s">
        <v>3618</v>
      </c>
      <c r="Q1045" s="2" t="s">
        <v>4926</v>
      </c>
      <c r="R1045" s="2" t="s">
        <v>3588</v>
      </c>
      <c r="S1045" s="2" t="s">
        <v>93</v>
      </c>
      <c r="T1045" s="2" t="s">
        <v>4696</v>
      </c>
      <c r="U1045" s="2" t="s">
        <v>12</v>
      </c>
      <c r="V1045" s="2" t="s">
        <v>4798</v>
      </c>
      <c r="W1045" s="2" t="s">
        <v>4982</v>
      </c>
      <c r="X1045" s="2" t="s">
        <v>4925</v>
      </c>
      <c r="Y1045" s="2" t="s">
        <v>3617</v>
      </c>
      <c r="Z1045" s="2" t="s">
        <v>6317</v>
      </c>
      <c r="AA10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0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5" s="6" t="str">
        <f>IF(_xlfn.IFNA(INDEX(configuracoes!$A$2:$A$10,MATCH(base_tc_geral[[#This Row],[TIPO]],configuracoes!$A$2:$A$10,0)),"NÃO")="NÃO","NÃO","SIM")</f>
        <v>NÃO</v>
      </c>
    </row>
    <row r="1046" spans="1:31" x14ac:dyDescent="0.25">
      <c r="A1046" s="2" t="s">
        <v>281</v>
      </c>
      <c r="B1046" s="2">
        <v>109000926</v>
      </c>
      <c r="C1046" s="2" t="s">
        <v>15</v>
      </c>
      <c r="D1046" s="2" t="s">
        <v>4558</v>
      </c>
      <c r="E1046" s="2" t="s">
        <v>86</v>
      </c>
      <c r="F1046" s="2" t="s">
        <v>284</v>
      </c>
      <c r="G1046" s="2" t="s">
        <v>711</v>
      </c>
      <c r="H1046" s="2" t="s">
        <v>283</v>
      </c>
      <c r="I1046" s="2" t="s">
        <v>33</v>
      </c>
      <c r="J1046" s="2" t="s">
        <v>124</v>
      </c>
      <c r="K1046" s="2" t="s">
        <v>13</v>
      </c>
      <c r="L1046" s="2" t="s">
        <v>126</v>
      </c>
      <c r="M1046" s="2" t="s">
        <v>128</v>
      </c>
      <c r="N1046" s="2" t="s">
        <v>15</v>
      </c>
      <c r="O1046" s="2" t="s">
        <v>287</v>
      </c>
      <c r="P1046" s="2" t="s">
        <v>286</v>
      </c>
      <c r="Q1046" s="2" t="s">
        <v>4926</v>
      </c>
      <c r="R1046" s="2" t="s">
        <v>285</v>
      </c>
      <c r="S1046" s="2" t="s">
        <v>125</v>
      </c>
      <c r="T1046" s="2" t="s">
        <v>4696</v>
      </c>
      <c r="U1046" s="2" t="s">
        <v>12</v>
      </c>
      <c r="V1046" s="2" t="s">
        <v>4777</v>
      </c>
      <c r="W1046" s="2" t="s">
        <v>4987</v>
      </c>
      <c r="X1046" s="2" t="s">
        <v>4989</v>
      </c>
      <c r="Y1046" s="2" t="s">
        <v>282</v>
      </c>
      <c r="Z1046" s="2" t="s">
        <v>6318</v>
      </c>
      <c r="AA10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0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6" s="6" t="str">
        <f>IF(_xlfn.IFNA(INDEX(configuracoes!$A$2:$A$10,MATCH(base_tc_geral[[#This Row],[TIPO]],configuracoes!$A$2:$A$10,0)),"NÃO")="NÃO","NÃO","SIM")</f>
        <v>SIM</v>
      </c>
    </row>
    <row r="1047" spans="1:31" x14ac:dyDescent="0.25">
      <c r="A1047" s="2" t="s">
        <v>3108</v>
      </c>
      <c r="B1047" s="2">
        <v>109000017</v>
      </c>
      <c r="C1047" s="2" t="s">
        <v>15</v>
      </c>
      <c r="D1047" s="2" t="s">
        <v>4576</v>
      </c>
      <c r="E1047" s="2" t="s">
        <v>86</v>
      </c>
      <c r="F1047" s="2" t="s">
        <v>274</v>
      </c>
      <c r="G1047" s="2" t="s">
        <v>245</v>
      </c>
      <c r="H1047" s="2" t="s">
        <v>210</v>
      </c>
      <c r="I1047" s="2" t="s">
        <v>33</v>
      </c>
      <c r="J1047" s="2" t="s">
        <v>124</v>
      </c>
      <c r="K1047" s="2" t="s">
        <v>20</v>
      </c>
      <c r="L1047" s="2" t="s">
        <v>21</v>
      </c>
      <c r="M1047" s="2" t="s">
        <v>22</v>
      </c>
      <c r="N1047" s="2" t="s">
        <v>15</v>
      </c>
      <c r="O1047" s="2" t="s">
        <v>214</v>
      </c>
      <c r="P1047" s="2" t="s">
        <v>3110</v>
      </c>
      <c r="Q1047" s="2" t="s">
        <v>4926</v>
      </c>
      <c r="R1047" s="2" t="s">
        <v>212</v>
      </c>
      <c r="S1047" s="2" t="s">
        <v>93</v>
      </c>
      <c r="T1047" s="2" t="s">
        <v>4696</v>
      </c>
      <c r="U1047" s="2" t="s">
        <v>12</v>
      </c>
      <c r="V1047" s="2" t="s">
        <v>4794</v>
      </c>
      <c r="W1047" s="2" t="s">
        <v>4982</v>
      </c>
      <c r="X1047" s="2" t="s">
        <v>4925</v>
      </c>
      <c r="Y1047" s="2" t="s">
        <v>3109</v>
      </c>
      <c r="Z1047" s="2" t="s">
        <v>6319</v>
      </c>
      <c r="AA10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0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7" s="6" t="str">
        <f>IF(_xlfn.IFNA(INDEX(configuracoes!$A$2:$A$10,MATCH(base_tc_geral[[#This Row],[TIPO]],configuracoes!$A$2:$A$10,0)),"NÃO")="NÃO","NÃO","SIM")</f>
        <v>SIM</v>
      </c>
    </row>
    <row r="1048" spans="1:31" x14ac:dyDescent="0.25">
      <c r="A1048" s="2" t="s">
        <v>179</v>
      </c>
      <c r="B1048" s="2">
        <v>101005380</v>
      </c>
      <c r="C1048" s="2" t="s">
        <v>15</v>
      </c>
      <c r="D1048" s="2" t="s">
        <v>4639</v>
      </c>
      <c r="E1048" s="2" t="s">
        <v>47</v>
      </c>
      <c r="F1048" s="2" t="s">
        <v>181</v>
      </c>
      <c r="G1048" s="2" t="s">
        <v>883</v>
      </c>
      <c r="H1048" s="2" t="s">
        <v>66</v>
      </c>
      <c r="I1048" s="2" t="s">
        <v>16</v>
      </c>
      <c r="J1048" s="2" t="s">
        <v>66</v>
      </c>
      <c r="K1048" s="2" t="s">
        <v>20</v>
      </c>
      <c r="L1048" s="2" t="s">
        <v>21</v>
      </c>
      <c r="M1048" s="2" t="s">
        <v>22</v>
      </c>
      <c r="N1048" s="2" t="s">
        <v>15</v>
      </c>
      <c r="O1048" s="2" t="s">
        <v>71</v>
      </c>
      <c r="P1048" s="2" t="s">
        <v>182</v>
      </c>
      <c r="Q1048" s="2" t="s">
        <v>4926</v>
      </c>
      <c r="R1048" s="2" t="s">
        <v>69</v>
      </c>
      <c r="S1048" s="2" t="s">
        <v>4698</v>
      </c>
      <c r="T1048" s="2" t="s">
        <v>4697</v>
      </c>
      <c r="U1048" s="2" t="s">
        <v>12</v>
      </c>
      <c r="V1048" s="2" t="s">
        <v>4787</v>
      </c>
      <c r="W1048" s="2" t="s">
        <v>4982</v>
      </c>
      <c r="X1048" s="2" t="s">
        <v>4925</v>
      </c>
      <c r="Y1048" s="2" t="s">
        <v>180</v>
      </c>
      <c r="Z1048" s="2" t="s">
        <v>6320</v>
      </c>
      <c r="AA10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10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8" s="6" t="str">
        <f>IF(_xlfn.IFNA(INDEX(configuracoes!$A$2:$A$10,MATCH(base_tc_geral[[#This Row],[TIPO]],configuracoes!$A$2:$A$10,0)),"NÃO")="NÃO","NÃO","SIM")</f>
        <v>SIM</v>
      </c>
    </row>
    <row r="1049" spans="1:31" x14ac:dyDescent="0.25">
      <c r="A1049" s="2" t="s">
        <v>972</v>
      </c>
      <c r="B1049" s="2">
        <v>102101393</v>
      </c>
      <c r="C1049" s="2" t="s">
        <v>15</v>
      </c>
      <c r="D1049" s="2" t="s">
        <v>4582</v>
      </c>
      <c r="E1049" s="2" t="s">
        <v>106</v>
      </c>
      <c r="F1049" s="2" t="s">
        <v>428</v>
      </c>
      <c r="G1049" s="2" t="s">
        <v>172</v>
      </c>
      <c r="H1049" s="2" t="s">
        <v>427</v>
      </c>
      <c r="I1049" s="2" t="s">
        <v>33</v>
      </c>
      <c r="J1049" s="2" t="s">
        <v>109</v>
      </c>
      <c r="K1049" s="2" t="s">
        <v>13</v>
      </c>
      <c r="L1049" s="2" t="s">
        <v>17</v>
      </c>
      <c r="M1049" s="2" t="s">
        <v>23</v>
      </c>
      <c r="N1049" s="2" t="s">
        <v>15</v>
      </c>
      <c r="O1049" s="2" t="s">
        <v>430</v>
      </c>
      <c r="P1049" s="2" t="s">
        <v>974</v>
      </c>
      <c r="Q1049" s="2" t="s">
        <v>4926</v>
      </c>
      <c r="R1049" s="2" t="s">
        <v>735</v>
      </c>
      <c r="S1049" s="2" t="s">
        <v>736</v>
      </c>
      <c r="T1049" s="2" t="s">
        <v>167</v>
      </c>
      <c r="U1049" s="2" t="s">
        <v>12</v>
      </c>
      <c r="V1049" s="2" t="s">
        <v>4886</v>
      </c>
      <c r="W1049" s="2" t="s">
        <v>17</v>
      </c>
      <c r="X1049" s="2" t="s">
        <v>4998</v>
      </c>
      <c r="Y1049" s="2" t="s">
        <v>973</v>
      </c>
      <c r="Z1049" s="2" t="s">
        <v>6380</v>
      </c>
      <c r="AA10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0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0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49" s="6" t="str">
        <f>IF(_xlfn.IFNA(INDEX(configuracoes!$A$2:$A$10,MATCH(base_tc_geral[[#This Row],[TIPO]],configuracoes!$A$2:$A$10,0)),"NÃO")="NÃO","NÃO","SIM")</f>
        <v>NÃO</v>
      </c>
    </row>
    <row r="1050" spans="1:31" x14ac:dyDescent="0.25">
      <c r="A1050" s="2" t="s">
        <v>3542</v>
      </c>
      <c r="B1050" s="2">
        <v>102101634</v>
      </c>
      <c r="C1050" s="2" t="s">
        <v>15</v>
      </c>
      <c r="D1050" s="2" t="s">
        <v>4606</v>
      </c>
      <c r="E1050" s="2" t="s">
        <v>106</v>
      </c>
      <c r="F1050" s="2" t="s">
        <v>186</v>
      </c>
      <c r="G1050" s="2" t="s">
        <v>1350</v>
      </c>
      <c r="H1050" s="2" t="s">
        <v>107</v>
      </c>
      <c r="I1050" s="2" t="s">
        <v>33</v>
      </c>
      <c r="J1050" s="2" t="s">
        <v>109</v>
      </c>
      <c r="K1050" s="2" t="s">
        <v>13</v>
      </c>
      <c r="L1050" s="2" t="s">
        <v>126</v>
      </c>
      <c r="M1050" s="2" t="s">
        <v>128</v>
      </c>
      <c r="N1050" s="2" t="s">
        <v>15</v>
      </c>
      <c r="O1050" s="2" t="s">
        <v>112</v>
      </c>
      <c r="P1050" s="2" t="s">
        <v>3544</v>
      </c>
      <c r="Q1050" s="2" t="s">
        <v>4926</v>
      </c>
      <c r="R1050" s="2" t="s">
        <v>406</v>
      </c>
      <c r="S1050" s="2" t="s">
        <v>736</v>
      </c>
      <c r="T1050" s="2" t="s">
        <v>167</v>
      </c>
      <c r="U1050" s="2" t="s">
        <v>12</v>
      </c>
      <c r="V1050" s="2" t="s">
        <v>4853</v>
      </c>
      <c r="W1050" s="2" t="s">
        <v>4987</v>
      </c>
      <c r="X1050" s="2" t="s">
        <v>4989</v>
      </c>
      <c r="Y1050" s="2" t="s">
        <v>3543</v>
      </c>
      <c r="Z1050" s="2" t="s">
        <v>6381</v>
      </c>
      <c r="AA10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10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0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0" s="6" t="str">
        <f>IF(_xlfn.IFNA(INDEX(configuracoes!$A$2:$A$10,MATCH(base_tc_geral[[#This Row],[TIPO]],configuracoes!$A$2:$A$10,0)),"NÃO")="NÃO","NÃO","SIM")</f>
        <v>SIM</v>
      </c>
    </row>
    <row r="1051" spans="1:31" x14ac:dyDescent="0.25">
      <c r="A1051" s="2" t="s">
        <v>2451</v>
      </c>
      <c r="B1051" s="2">
        <v>102100390</v>
      </c>
      <c r="C1051" s="2" t="s">
        <v>15</v>
      </c>
      <c r="D1051" s="2" t="s">
        <v>4499</v>
      </c>
      <c r="E1051" s="2" t="s">
        <v>106</v>
      </c>
      <c r="F1051" s="2" t="s">
        <v>131</v>
      </c>
      <c r="G1051" s="2" t="s">
        <v>136</v>
      </c>
      <c r="H1051" s="2" t="s">
        <v>130</v>
      </c>
      <c r="I1051" s="2" t="s">
        <v>33</v>
      </c>
      <c r="J1051" s="2" t="s">
        <v>109</v>
      </c>
      <c r="K1051" s="2" t="s">
        <v>13</v>
      </c>
      <c r="L1051" s="2" t="s">
        <v>72</v>
      </c>
      <c r="M1051" s="2" t="s">
        <v>73</v>
      </c>
      <c r="N1051" s="2" t="s">
        <v>15</v>
      </c>
      <c r="O1051" s="2" t="s">
        <v>132</v>
      </c>
      <c r="P1051" s="2" t="s">
        <v>2453</v>
      </c>
      <c r="Q1051" s="2" t="s">
        <v>4926</v>
      </c>
      <c r="R1051" s="2" t="s">
        <v>1092</v>
      </c>
      <c r="S1051" s="2" t="s">
        <v>736</v>
      </c>
      <c r="T1051" s="2" t="s">
        <v>167</v>
      </c>
      <c r="U1051" s="2" t="s">
        <v>39</v>
      </c>
      <c r="V1051" s="2" t="s">
        <v>4853</v>
      </c>
      <c r="W1051" s="2" t="s">
        <v>72</v>
      </c>
      <c r="X1051" s="2" t="s">
        <v>5011</v>
      </c>
      <c r="Y1051" s="2" t="s">
        <v>2452</v>
      </c>
      <c r="Z1051" s="2" t="s">
        <v>6382</v>
      </c>
      <c r="AA10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10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0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1" s="6" t="str">
        <f>IF(_xlfn.IFNA(INDEX(configuracoes!$A$2:$A$10,MATCH(base_tc_geral[[#This Row],[TIPO]],configuracoes!$A$2:$A$10,0)),"NÃO")="NÃO","NÃO","SIM")</f>
        <v>NÃO</v>
      </c>
    </row>
    <row r="1052" spans="1:31" x14ac:dyDescent="0.25">
      <c r="A1052" s="2" t="s">
        <v>3622</v>
      </c>
      <c r="B1052" s="2">
        <v>101003771</v>
      </c>
      <c r="C1052" s="2" t="s">
        <v>15</v>
      </c>
      <c r="D1052" s="2" t="s">
        <v>4516</v>
      </c>
      <c r="E1052" s="2" t="s">
        <v>47</v>
      </c>
      <c r="F1052" s="2" t="s">
        <v>464</v>
      </c>
      <c r="G1052" s="2" t="s">
        <v>172</v>
      </c>
      <c r="H1052" s="2" t="s">
        <v>48</v>
      </c>
      <c r="I1052" s="2" t="s">
        <v>16</v>
      </c>
      <c r="J1052" s="2" t="s">
        <v>48</v>
      </c>
      <c r="K1052" s="2" t="s">
        <v>13</v>
      </c>
      <c r="L1052" s="2" t="s">
        <v>17</v>
      </c>
      <c r="M1052" s="2" t="s">
        <v>18</v>
      </c>
      <c r="N1052" s="2" t="s">
        <v>15</v>
      </c>
      <c r="O1052" s="2" t="s">
        <v>53</v>
      </c>
      <c r="P1052" s="2" t="s">
        <v>3624</v>
      </c>
      <c r="Q1052" s="2" t="s">
        <v>4926</v>
      </c>
      <c r="R1052" s="2" t="s">
        <v>465</v>
      </c>
      <c r="S1052" s="2" t="s">
        <v>51</v>
      </c>
      <c r="T1052" s="2" t="s">
        <v>4697</v>
      </c>
      <c r="U1052" s="2" t="s">
        <v>12</v>
      </c>
      <c r="V1052" s="2" t="s">
        <v>4810</v>
      </c>
      <c r="W1052" s="2" t="s">
        <v>17</v>
      </c>
      <c r="X1052" s="2" t="s">
        <v>4998</v>
      </c>
      <c r="Y1052" s="2" t="s">
        <v>3623</v>
      </c>
      <c r="Z1052" s="2" t="s">
        <v>6383</v>
      </c>
      <c r="AA10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0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2" s="6" t="str">
        <f>IF(_xlfn.IFNA(INDEX(configuracoes!$A$2:$A$10,MATCH(base_tc_geral[[#This Row],[TIPO]],configuracoes!$A$2:$A$10,0)),"NÃO")="NÃO","NÃO","SIM")</f>
        <v>NÃO</v>
      </c>
    </row>
    <row r="1053" spans="1:31" x14ac:dyDescent="0.25">
      <c r="A1053" s="2" t="s">
        <v>3428</v>
      </c>
      <c r="B1053" s="2">
        <v>101001488</v>
      </c>
      <c r="C1053" s="2" t="s">
        <v>15</v>
      </c>
      <c r="D1053" s="2" t="s">
        <v>4493</v>
      </c>
      <c r="E1053" s="2" t="s">
        <v>47</v>
      </c>
      <c r="F1053" s="2" t="s">
        <v>251</v>
      </c>
      <c r="G1053" s="2" t="s">
        <v>648</v>
      </c>
      <c r="H1053" s="2" t="s">
        <v>224</v>
      </c>
      <c r="I1053" s="2" t="s">
        <v>16</v>
      </c>
      <c r="J1053" s="2" t="s">
        <v>227</v>
      </c>
      <c r="K1053" s="2" t="s">
        <v>13</v>
      </c>
      <c r="L1053" s="2" t="s">
        <v>25</v>
      </c>
      <c r="M1053" s="2" t="s">
        <v>22</v>
      </c>
      <c r="N1053" s="2" t="s">
        <v>15</v>
      </c>
      <c r="O1053" s="2" t="s">
        <v>229</v>
      </c>
      <c r="P1053" s="2" t="s">
        <v>3430</v>
      </c>
      <c r="Q1053" s="2" t="s">
        <v>4926</v>
      </c>
      <c r="R1053" s="2" t="s">
        <v>252</v>
      </c>
      <c r="S1053" s="2" t="s">
        <v>101</v>
      </c>
      <c r="T1053" s="2" t="s">
        <v>4697</v>
      </c>
      <c r="U1053" s="2" t="s">
        <v>12</v>
      </c>
      <c r="V1053" s="2" t="s">
        <v>4838</v>
      </c>
      <c r="W1053" s="2" t="s">
        <v>4931</v>
      </c>
      <c r="X1053" s="2" t="s">
        <v>4925</v>
      </c>
      <c r="Y1053" s="2" t="s">
        <v>3429</v>
      </c>
      <c r="Z1053" s="2" t="s">
        <v>6384</v>
      </c>
      <c r="AA10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0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3" s="6" t="str">
        <f>IF(_xlfn.IFNA(INDEX(configuracoes!$A$2:$A$10,MATCH(base_tc_geral[[#This Row],[TIPO]],configuracoes!$A$2:$A$10,0)),"NÃO")="NÃO","NÃO","SIM")</f>
        <v>SIM</v>
      </c>
    </row>
    <row r="1054" spans="1:31" x14ac:dyDescent="0.25">
      <c r="A1054" s="2" t="s">
        <v>2719</v>
      </c>
      <c r="B1054" s="2">
        <v>101008134</v>
      </c>
      <c r="C1054" s="2" t="s">
        <v>15</v>
      </c>
      <c r="D1054" s="2" t="s">
        <v>4484</v>
      </c>
      <c r="E1054" s="2" t="s">
        <v>47</v>
      </c>
      <c r="F1054" s="2" t="s">
        <v>1405</v>
      </c>
      <c r="G1054" s="2" t="s">
        <v>245</v>
      </c>
      <c r="H1054" s="2" t="s">
        <v>227</v>
      </c>
      <c r="I1054" s="2" t="s">
        <v>16</v>
      </c>
      <c r="J1054" s="2" t="s">
        <v>227</v>
      </c>
      <c r="K1054" s="2" t="s">
        <v>20</v>
      </c>
      <c r="L1054" s="2" t="s">
        <v>21</v>
      </c>
      <c r="M1054" s="2" t="s">
        <v>22</v>
      </c>
      <c r="N1054" s="2" t="s">
        <v>15</v>
      </c>
      <c r="O1054" s="2" t="s">
        <v>271</v>
      </c>
      <c r="P1054" s="2" t="s">
        <v>2721</v>
      </c>
      <c r="Q1054" s="2" t="s">
        <v>4926</v>
      </c>
      <c r="R1054" s="2" t="s">
        <v>351</v>
      </c>
      <c r="S1054" s="2" t="s">
        <v>101</v>
      </c>
      <c r="T1054" s="2" t="s">
        <v>4697</v>
      </c>
      <c r="U1054" s="2" t="s">
        <v>12</v>
      </c>
      <c r="V1054" s="2" t="s">
        <v>4834</v>
      </c>
      <c r="W1054" s="2" t="s">
        <v>4982</v>
      </c>
      <c r="X1054" s="2" t="s">
        <v>4925</v>
      </c>
      <c r="Y1054" s="2" t="s">
        <v>2720</v>
      </c>
      <c r="Z1054" s="2" t="s">
        <v>6385</v>
      </c>
      <c r="AA10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0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4" s="6" t="str">
        <f>IF(_xlfn.IFNA(INDEX(configuracoes!$A$2:$A$10,MATCH(base_tc_geral[[#This Row],[TIPO]],configuracoes!$A$2:$A$10,0)),"NÃO")="NÃO","NÃO","SIM")</f>
        <v>SIM</v>
      </c>
    </row>
    <row r="1055" spans="1:31" x14ac:dyDescent="0.25">
      <c r="A1055" s="2" t="s">
        <v>2106</v>
      </c>
      <c r="B1055" s="2">
        <v>101007665</v>
      </c>
      <c r="C1055" s="2" t="s">
        <v>15</v>
      </c>
      <c r="D1055" s="2" t="s">
        <v>4636</v>
      </c>
      <c r="E1055" s="2" t="s">
        <v>47</v>
      </c>
      <c r="F1055" s="2" t="s">
        <v>341</v>
      </c>
      <c r="G1055" s="2" t="s">
        <v>245</v>
      </c>
      <c r="H1055" s="2" t="s">
        <v>56</v>
      </c>
      <c r="I1055" s="2" t="s">
        <v>16</v>
      </c>
      <c r="J1055" s="2" t="s">
        <v>60</v>
      </c>
      <c r="K1055" s="2" t="s">
        <v>20</v>
      </c>
      <c r="L1055" s="2" t="s">
        <v>21</v>
      </c>
      <c r="M1055" s="2" t="s">
        <v>22</v>
      </c>
      <c r="N1055" s="2" t="s">
        <v>15</v>
      </c>
      <c r="O1055" s="2" t="s">
        <v>63</v>
      </c>
      <c r="P1055" s="2" t="s">
        <v>2108</v>
      </c>
      <c r="Q1055" s="2" t="s">
        <v>4926</v>
      </c>
      <c r="R1055" s="2" t="s">
        <v>342</v>
      </c>
      <c r="S1055" s="2" t="s">
        <v>51</v>
      </c>
      <c r="T1055" s="2" t="s">
        <v>4697</v>
      </c>
      <c r="U1055" s="2" t="s">
        <v>12</v>
      </c>
      <c r="V1055" s="2" t="s">
        <v>4866</v>
      </c>
      <c r="W1055" s="2" t="s">
        <v>4982</v>
      </c>
      <c r="X1055" s="2" t="s">
        <v>4925</v>
      </c>
      <c r="Y1055" s="2" t="s">
        <v>2107</v>
      </c>
      <c r="Z1055" s="2" t="s">
        <v>6386</v>
      </c>
      <c r="AA10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0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5" s="6" t="str">
        <f>IF(_xlfn.IFNA(INDEX(configuracoes!$A$2:$A$10,MATCH(base_tc_geral[[#This Row],[TIPO]],configuracoes!$A$2:$A$10,0)),"NÃO")="NÃO","NÃO","SIM")</f>
        <v>SIM</v>
      </c>
    </row>
    <row r="1056" spans="1:31" x14ac:dyDescent="0.25">
      <c r="A1056" s="2" t="s">
        <v>2130</v>
      </c>
      <c r="B1056" s="2">
        <v>101007665</v>
      </c>
      <c r="C1056" s="2" t="s">
        <v>15</v>
      </c>
      <c r="D1056" s="2" t="s">
        <v>4576</v>
      </c>
      <c r="E1056" s="2" t="s">
        <v>47</v>
      </c>
      <c r="F1056" s="2" t="s">
        <v>341</v>
      </c>
      <c r="G1056" s="2" t="s">
        <v>245</v>
      </c>
      <c r="H1056" s="2" t="s">
        <v>56</v>
      </c>
      <c r="I1056" s="2" t="s">
        <v>16</v>
      </c>
      <c r="J1056" s="2" t="s">
        <v>60</v>
      </c>
      <c r="K1056" s="2" t="s">
        <v>20</v>
      </c>
      <c r="L1056" s="2" t="s">
        <v>21</v>
      </c>
      <c r="M1056" s="2" t="s">
        <v>22</v>
      </c>
      <c r="N1056" s="2" t="s">
        <v>15</v>
      </c>
      <c r="O1056" s="2" t="s">
        <v>63</v>
      </c>
      <c r="P1056" s="2" t="s">
        <v>2132</v>
      </c>
      <c r="Q1056" s="2" t="s">
        <v>4926</v>
      </c>
      <c r="R1056" s="2" t="s">
        <v>342</v>
      </c>
      <c r="S1056" s="2" t="s">
        <v>51</v>
      </c>
      <c r="T1056" s="2" t="s">
        <v>4697</v>
      </c>
      <c r="U1056" s="2" t="s">
        <v>12</v>
      </c>
      <c r="V1056" s="2" t="s">
        <v>4866</v>
      </c>
      <c r="W1056" s="2" t="s">
        <v>4982</v>
      </c>
      <c r="X1056" s="2" t="s">
        <v>4925</v>
      </c>
      <c r="Y1056" s="2" t="s">
        <v>2131</v>
      </c>
      <c r="Z1056" s="2" t="s">
        <v>6387</v>
      </c>
      <c r="AA10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0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6" s="6" t="str">
        <f>IF(_xlfn.IFNA(INDEX(configuracoes!$A$2:$A$10,MATCH(base_tc_geral[[#This Row],[TIPO]],configuracoes!$A$2:$A$10,0)),"NÃO")="NÃO","NÃO","SIM")</f>
        <v>SIM</v>
      </c>
    </row>
    <row r="1057" spans="1:31" x14ac:dyDescent="0.25">
      <c r="A1057" s="2" t="s">
        <v>1541</v>
      </c>
      <c r="B1057" s="2">
        <v>109000017</v>
      </c>
      <c r="C1057" s="2" t="s">
        <v>15</v>
      </c>
      <c r="D1057" s="2" t="s">
        <v>4538</v>
      </c>
      <c r="E1057" s="2" t="s">
        <v>86</v>
      </c>
      <c r="F1057" s="2" t="s">
        <v>211</v>
      </c>
      <c r="G1057" s="2" t="s">
        <v>58</v>
      </c>
      <c r="H1057" s="2" t="s">
        <v>210</v>
      </c>
      <c r="I1057" s="2" t="s">
        <v>33</v>
      </c>
      <c r="J1057" s="2" t="s">
        <v>124</v>
      </c>
      <c r="K1057" s="2" t="s">
        <v>92</v>
      </c>
      <c r="L1057" s="2" t="s">
        <v>61</v>
      </c>
      <c r="M1057" s="2" t="s">
        <v>44</v>
      </c>
      <c r="N1057" s="2" t="s">
        <v>15</v>
      </c>
      <c r="O1057" s="2" t="s">
        <v>214</v>
      </c>
      <c r="P1057" s="2" t="s">
        <v>1543</v>
      </c>
      <c r="Q1057" s="2" t="s">
        <v>4926</v>
      </c>
      <c r="R1057" s="2" t="s">
        <v>212</v>
      </c>
      <c r="S1057" s="2" t="s">
        <v>93</v>
      </c>
      <c r="T1057" s="2" t="s">
        <v>4696</v>
      </c>
      <c r="U1057" s="2" t="s">
        <v>12</v>
      </c>
      <c r="V1057" s="2" t="s">
        <v>4820</v>
      </c>
      <c r="W1057" s="2" t="s">
        <v>5013</v>
      </c>
      <c r="X1057" s="2" t="s">
        <v>44</v>
      </c>
      <c r="Y1057" s="2" t="s">
        <v>1542</v>
      </c>
      <c r="Z1057" s="2" t="s">
        <v>6388</v>
      </c>
      <c r="AA10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0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7" s="6" t="str">
        <f>IF(_xlfn.IFNA(INDEX(configuracoes!$A$2:$A$10,MATCH(base_tc_geral[[#This Row],[TIPO]],configuracoes!$A$2:$A$10,0)),"NÃO")="NÃO","NÃO","SIM")</f>
        <v>NÃO</v>
      </c>
    </row>
    <row r="1058" spans="1:31" x14ac:dyDescent="0.25">
      <c r="A1058" s="2" t="s">
        <v>1791</v>
      </c>
      <c r="B1058" s="2">
        <v>109504369</v>
      </c>
      <c r="C1058" s="2" t="s">
        <v>24</v>
      </c>
      <c r="D1058" s="2" t="s">
        <v>4503</v>
      </c>
      <c r="E1058" s="2" t="s">
        <v>86</v>
      </c>
      <c r="F1058" s="2" t="s">
        <v>1320</v>
      </c>
      <c r="G1058" s="2" t="s">
        <v>58</v>
      </c>
      <c r="H1058" s="2" t="s">
        <v>1321</v>
      </c>
      <c r="I1058" s="2" t="s">
        <v>33</v>
      </c>
      <c r="J1058" s="2" t="s">
        <v>91</v>
      </c>
      <c r="K1058" s="2" t="s">
        <v>13</v>
      </c>
      <c r="L1058" s="2" t="s">
        <v>61</v>
      </c>
      <c r="M1058" s="2" t="s">
        <v>23</v>
      </c>
      <c r="N1058" s="2" t="s">
        <v>24</v>
      </c>
      <c r="O1058" s="2" t="s">
        <v>1322</v>
      </c>
      <c r="P1058" s="2" t="s">
        <v>1793</v>
      </c>
      <c r="Q1058" s="2" t="s">
        <v>4926</v>
      </c>
      <c r="R1058" s="2" t="s">
        <v>829</v>
      </c>
      <c r="S1058" s="2" t="s">
        <v>4699</v>
      </c>
      <c r="T1058" s="2" t="s">
        <v>4696</v>
      </c>
      <c r="U1058" s="2" t="s">
        <v>39</v>
      </c>
      <c r="V1058" s="2" t="s">
        <v>4904</v>
      </c>
      <c r="W1058" s="2" t="s">
        <v>4984</v>
      </c>
      <c r="X1058" s="2" t="s">
        <v>4998</v>
      </c>
      <c r="Y1058" s="2" t="s">
        <v>1792</v>
      </c>
      <c r="Z1058" s="2" t="s">
        <v>6359</v>
      </c>
      <c r="AA10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10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0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58" s="6" t="str">
        <f>IF(_xlfn.IFNA(INDEX(configuracoes!$A$2:$A$10,MATCH(base_tc_geral[[#This Row],[TIPO]],configuracoes!$A$2:$A$10,0)),"NÃO")="NÃO","NÃO","SIM")</f>
        <v>NÃO</v>
      </c>
    </row>
    <row r="1059" spans="1:31" x14ac:dyDescent="0.25">
      <c r="A1059" s="2" t="s">
        <v>4040</v>
      </c>
      <c r="B1059" s="2">
        <v>109000340</v>
      </c>
      <c r="C1059" s="2" t="s">
        <v>15</v>
      </c>
      <c r="D1059" s="2" t="s">
        <v>4489</v>
      </c>
      <c r="E1059" s="2" t="s">
        <v>86</v>
      </c>
      <c r="F1059" s="2" t="s">
        <v>1320</v>
      </c>
      <c r="G1059" s="2" t="s">
        <v>630</v>
      </c>
      <c r="H1059" s="2" t="s">
        <v>1321</v>
      </c>
      <c r="I1059" s="2" t="s">
        <v>33</v>
      </c>
      <c r="J1059" s="2" t="s">
        <v>91</v>
      </c>
      <c r="K1059" s="2" t="s">
        <v>20</v>
      </c>
      <c r="L1059" s="2" t="s">
        <v>21</v>
      </c>
      <c r="M1059" s="2" t="s">
        <v>22</v>
      </c>
      <c r="N1059" s="2" t="s">
        <v>15</v>
      </c>
      <c r="O1059" s="2" t="s">
        <v>1322</v>
      </c>
      <c r="P1059" s="2" t="s">
        <v>4042</v>
      </c>
      <c r="Q1059" s="2" t="s">
        <v>4926</v>
      </c>
      <c r="R1059" s="2" t="s">
        <v>90</v>
      </c>
      <c r="S1059" s="2" t="s">
        <v>93</v>
      </c>
      <c r="T1059" s="2" t="s">
        <v>4696</v>
      </c>
      <c r="U1059" s="2" t="s">
        <v>12</v>
      </c>
      <c r="V1059" s="2" t="s">
        <v>4898</v>
      </c>
      <c r="W1059" s="2" t="s">
        <v>4982</v>
      </c>
      <c r="X1059" s="2" t="s">
        <v>4925</v>
      </c>
      <c r="Y1059" s="2" t="s">
        <v>4041</v>
      </c>
      <c r="Z1059" s="2" t="s">
        <v>6360</v>
      </c>
      <c r="AA10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0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59" s="6" t="str">
        <f>IF(_xlfn.IFNA(INDEX(configuracoes!$A$2:$A$10,MATCH(base_tc_geral[[#This Row],[TIPO]],configuracoes!$A$2:$A$10,0)),"NÃO")="NÃO","NÃO","SIM")</f>
        <v>SIM</v>
      </c>
    </row>
    <row r="1060" spans="1:31" x14ac:dyDescent="0.25">
      <c r="A1060" s="2" t="s">
        <v>2327</v>
      </c>
      <c r="B1060" s="2">
        <v>101005989</v>
      </c>
      <c r="C1060" s="2" t="s">
        <v>15</v>
      </c>
      <c r="D1060" s="2" t="s">
        <v>4499</v>
      </c>
      <c r="E1060" s="2" t="s">
        <v>47</v>
      </c>
      <c r="F1060" s="2" t="s">
        <v>433</v>
      </c>
      <c r="G1060" s="2" t="s">
        <v>58</v>
      </c>
      <c r="H1060" s="2" t="s">
        <v>56</v>
      </c>
      <c r="I1060" s="2" t="s">
        <v>16</v>
      </c>
      <c r="J1060" s="2" t="s">
        <v>60</v>
      </c>
      <c r="K1060" s="2" t="s">
        <v>92</v>
      </c>
      <c r="L1060" s="2" t="s">
        <v>61</v>
      </c>
      <c r="M1060" s="2" t="s">
        <v>18</v>
      </c>
      <c r="N1060" s="2" t="s">
        <v>15</v>
      </c>
      <c r="O1060" s="2" t="s">
        <v>63</v>
      </c>
      <c r="P1060" s="2" t="s">
        <v>2329</v>
      </c>
      <c r="Q1060" s="2" t="s">
        <v>4926</v>
      </c>
      <c r="R1060" s="2" t="s">
        <v>59</v>
      </c>
      <c r="S1060" s="2" t="s">
        <v>51</v>
      </c>
      <c r="T1060" s="2" t="s">
        <v>4697</v>
      </c>
      <c r="U1060" s="2" t="s">
        <v>12</v>
      </c>
      <c r="V1060" s="2" t="s">
        <v>4779</v>
      </c>
      <c r="W1060" s="2" t="s">
        <v>4982</v>
      </c>
      <c r="X1060" s="2" t="s">
        <v>4998</v>
      </c>
      <c r="Y1060" s="2" t="s">
        <v>2328</v>
      </c>
      <c r="Z1060" s="2" t="s">
        <v>6096</v>
      </c>
      <c r="AA10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0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0" s="6" t="str">
        <f>IF(_xlfn.IFNA(INDEX(configuracoes!$A$2:$A$10,MATCH(base_tc_geral[[#This Row],[TIPO]],configuracoes!$A$2:$A$10,0)),"NÃO")="NÃO","NÃO","SIM")</f>
        <v>NÃO</v>
      </c>
    </row>
    <row r="1061" spans="1:31" x14ac:dyDescent="0.25">
      <c r="A1061" s="2" t="s">
        <v>1708</v>
      </c>
      <c r="B1061" s="2">
        <v>101010062</v>
      </c>
      <c r="C1061" s="2" t="s">
        <v>15</v>
      </c>
      <c r="D1061" s="2" t="s">
        <v>4584</v>
      </c>
      <c r="E1061" s="2" t="s">
        <v>47</v>
      </c>
      <c r="F1061" s="2" t="s">
        <v>181</v>
      </c>
      <c r="G1061" s="2" t="s">
        <v>58</v>
      </c>
      <c r="H1061" s="2" t="s">
        <v>66</v>
      </c>
      <c r="I1061" s="2" t="s">
        <v>16</v>
      </c>
      <c r="J1061" s="2" t="s">
        <v>66</v>
      </c>
      <c r="K1061" s="2" t="s">
        <v>92</v>
      </c>
      <c r="L1061" s="2" t="s">
        <v>61</v>
      </c>
      <c r="M1061" s="2" t="s">
        <v>44</v>
      </c>
      <c r="N1061" s="2" t="s">
        <v>15</v>
      </c>
      <c r="O1061" s="2" t="s">
        <v>71</v>
      </c>
      <c r="P1061" s="2" t="s">
        <v>1710</v>
      </c>
      <c r="Q1061" s="2" t="s">
        <v>4926</v>
      </c>
      <c r="R1061" s="2" t="s">
        <v>1699</v>
      </c>
      <c r="S1061" s="2" t="s">
        <v>4698</v>
      </c>
      <c r="T1061" s="2" t="s">
        <v>4697</v>
      </c>
      <c r="U1061" s="2" t="s">
        <v>12</v>
      </c>
      <c r="V1061" s="2" t="s">
        <v>4792</v>
      </c>
      <c r="W1061" s="2" t="s">
        <v>5013</v>
      </c>
      <c r="X1061" s="2" t="s">
        <v>44</v>
      </c>
      <c r="Y1061" s="2" t="s">
        <v>1709</v>
      </c>
      <c r="Z1061" s="2" t="s">
        <v>5919</v>
      </c>
      <c r="AA10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0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1" s="6" t="str">
        <f>IF(_xlfn.IFNA(INDEX(configuracoes!$A$2:$A$10,MATCH(base_tc_geral[[#This Row],[TIPO]],configuracoes!$A$2:$A$10,0)),"NÃO")="NÃO","NÃO","SIM")</f>
        <v>NÃO</v>
      </c>
    </row>
    <row r="1062" spans="1:31" x14ac:dyDescent="0.25">
      <c r="A1062" s="2" t="s">
        <v>3328</v>
      </c>
      <c r="B1062" s="2">
        <v>101001488</v>
      </c>
      <c r="C1062" s="2" t="s">
        <v>15</v>
      </c>
      <c r="D1062" s="2" t="s">
        <v>4493</v>
      </c>
      <c r="E1062" s="2" t="s">
        <v>47</v>
      </c>
      <c r="F1062" s="2" t="s">
        <v>159</v>
      </c>
      <c r="G1062" s="2" t="s">
        <v>99</v>
      </c>
      <c r="H1062" s="2" t="s">
        <v>60</v>
      </c>
      <c r="I1062" s="2" t="s">
        <v>16</v>
      </c>
      <c r="J1062" s="2" t="s">
        <v>60</v>
      </c>
      <c r="K1062" s="2" t="s">
        <v>13</v>
      </c>
      <c r="L1062" s="2" t="s">
        <v>25</v>
      </c>
      <c r="M1062" s="2" t="s">
        <v>22</v>
      </c>
      <c r="N1062" s="2" t="s">
        <v>15</v>
      </c>
      <c r="O1062" s="2" t="s">
        <v>161</v>
      </c>
      <c r="P1062" s="2" t="s">
        <v>3330</v>
      </c>
      <c r="Q1062" s="2" t="s">
        <v>4926</v>
      </c>
      <c r="R1062" s="2" t="s">
        <v>252</v>
      </c>
      <c r="S1062" s="2" t="s">
        <v>101</v>
      </c>
      <c r="T1062" s="2" t="s">
        <v>4697</v>
      </c>
      <c r="U1062" s="2" t="s">
        <v>12</v>
      </c>
      <c r="V1062" s="2" t="s">
        <v>4838</v>
      </c>
      <c r="W1062" s="2" t="s">
        <v>4931</v>
      </c>
      <c r="X1062" s="2" t="s">
        <v>4925</v>
      </c>
      <c r="Y1062" s="2" t="s">
        <v>3329</v>
      </c>
      <c r="Z1062" s="2" t="s">
        <v>5920</v>
      </c>
      <c r="AA10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0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2" s="6" t="str">
        <f>IF(_xlfn.IFNA(INDEX(configuracoes!$A$2:$A$10,MATCH(base_tc_geral[[#This Row],[TIPO]],configuracoes!$A$2:$A$10,0)),"NÃO")="NÃO","NÃO","SIM")</f>
        <v>SIM</v>
      </c>
    </row>
    <row r="1063" spans="1:31" x14ac:dyDescent="0.25">
      <c r="A1063" s="2" t="s">
        <v>3171</v>
      </c>
      <c r="B1063" s="2">
        <v>109505858</v>
      </c>
      <c r="C1063" s="2" t="s">
        <v>15</v>
      </c>
      <c r="D1063" s="2" t="s">
        <v>4515</v>
      </c>
      <c r="E1063" s="2" t="s">
        <v>86</v>
      </c>
      <c r="F1063" s="2" t="s">
        <v>817</v>
      </c>
      <c r="G1063" s="2" t="s">
        <v>637</v>
      </c>
      <c r="H1063" s="2" t="s">
        <v>217</v>
      </c>
      <c r="I1063" s="2" t="s">
        <v>33</v>
      </c>
      <c r="J1063" s="2" t="s">
        <v>91</v>
      </c>
      <c r="K1063" s="2" t="s">
        <v>20</v>
      </c>
      <c r="L1063" s="2" t="s">
        <v>19</v>
      </c>
      <c r="M1063" s="2" t="s">
        <v>22</v>
      </c>
      <c r="N1063" s="2" t="s">
        <v>15</v>
      </c>
      <c r="O1063" s="2" t="s">
        <v>221</v>
      </c>
      <c r="P1063" s="2" t="s">
        <v>3173</v>
      </c>
      <c r="Q1063" s="2" t="s">
        <v>4926</v>
      </c>
      <c r="R1063" s="2" t="s">
        <v>1466</v>
      </c>
      <c r="S1063" s="2" t="s">
        <v>93</v>
      </c>
      <c r="T1063" s="2" t="s">
        <v>4696</v>
      </c>
      <c r="U1063" s="2" t="s">
        <v>12</v>
      </c>
      <c r="V1063" s="2" t="s">
        <v>4802</v>
      </c>
      <c r="W1063" s="2" t="s">
        <v>4982</v>
      </c>
      <c r="X1063" s="2" t="s">
        <v>4925</v>
      </c>
      <c r="Y1063" s="2" t="s">
        <v>3172</v>
      </c>
      <c r="Z1063" s="2" t="s">
        <v>5921</v>
      </c>
      <c r="AA10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0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3" s="6" t="str">
        <f>IF(_xlfn.IFNA(INDEX(configuracoes!$A$2:$A$10,MATCH(base_tc_geral[[#This Row],[TIPO]],configuracoes!$A$2:$A$10,0)),"NÃO")="NÃO","NÃO","SIM")</f>
        <v>SIM</v>
      </c>
    </row>
    <row r="1064" spans="1:31" x14ac:dyDescent="0.25">
      <c r="A1064" s="2" t="s">
        <v>4086</v>
      </c>
      <c r="B1064" s="2">
        <v>109506091</v>
      </c>
      <c r="C1064" s="2" t="s">
        <v>15</v>
      </c>
      <c r="D1064" s="2" t="s">
        <v>4539</v>
      </c>
      <c r="E1064" s="2" t="s">
        <v>86</v>
      </c>
      <c r="F1064" s="2" t="s">
        <v>123</v>
      </c>
      <c r="G1064" s="2" t="s">
        <v>245</v>
      </c>
      <c r="H1064" s="2" t="s">
        <v>122</v>
      </c>
      <c r="I1064" s="2" t="s">
        <v>33</v>
      </c>
      <c r="J1064" s="2" t="s">
        <v>124</v>
      </c>
      <c r="K1064" s="2" t="s">
        <v>20</v>
      </c>
      <c r="L1064" s="2" t="s">
        <v>21</v>
      </c>
      <c r="M1064" s="2" t="s">
        <v>22</v>
      </c>
      <c r="N1064" s="2" t="s">
        <v>15</v>
      </c>
      <c r="O1064" s="2" t="s">
        <v>129</v>
      </c>
      <c r="P1064" s="2" t="s">
        <v>4088</v>
      </c>
      <c r="Q1064" s="2" t="s">
        <v>4926</v>
      </c>
      <c r="R1064" s="2" t="s">
        <v>2683</v>
      </c>
      <c r="S1064" s="2" t="s">
        <v>125</v>
      </c>
      <c r="T1064" s="2" t="s">
        <v>4696</v>
      </c>
      <c r="U1064" s="2" t="s">
        <v>12</v>
      </c>
      <c r="V1064" s="2" t="s">
        <v>4771</v>
      </c>
      <c r="W1064" s="2" t="s">
        <v>4982</v>
      </c>
      <c r="X1064" s="2" t="s">
        <v>4925</v>
      </c>
      <c r="Y1064" s="2" t="s">
        <v>4087</v>
      </c>
      <c r="Z1064" s="2" t="s">
        <v>5922</v>
      </c>
      <c r="AA10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0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4" s="6" t="str">
        <f>IF(_xlfn.IFNA(INDEX(configuracoes!$A$2:$A$10,MATCH(base_tc_geral[[#This Row],[TIPO]],configuracoes!$A$2:$A$10,0)),"NÃO")="NÃO","NÃO","SIM")</f>
        <v>SIM</v>
      </c>
    </row>
    <row r="1065" spans="1:31" x14ac:dyDescent="0.25">
      <c r="A1065" s="2" t="s">
        <v>1888</v>
      </c>
      <c r="B1065" s="2">
        <v>109000926</v>
      </c>
      <c r="C1065" s="2" t="s">
        <v>15</v>
      </c>
      <c r="D1065" s="2" t="s">
        <v>4554</v>
      </c>
      <c r="E1065" s="2" t="s">
        <v>86</v>
      </c>
      <c r="F1065" s="2" t="s">
        <v>1099</v>
      </c>
      <c r="G1065" s="2" t="s">
        <v>149</v>
      </c>
      <c r="H1065" s="2" t="s">
        <v>283</v>
      </c>
      <c r="I1065" s="2" t="s">
        <v>33</v>
      </c>
      <c r="J1065" s="2" t="s">
        <v>124</v>
      </c>
      <c r="K1065" s="2" t="s">
        <v>20</v>
      </c>
      <c r="L1065" s="2" t="s">
        <v>61</v>
      </c>
      <c r="M1065" s="2" t="s">
        <v>22</v>
      </c>
      <c r="N1065" s="2" t="s">
        <v>15</v>
      </c>
      <c r="O1065" s="2" t="s">
        <v>287</v>
      </c>
      <c r="P1065" s="2" t="s">
        <v>1890</v>
      </c>
      <c r="Q1065" s="2" t="s">
        <v>4926</v>
      </c>
      <c r="R1065" s="2" t="s">
        <v>285</v>
      </c>
      <c r="S1065" s="2" t="s">
        <v>125</v>
      </c>
      <c r="T1065" s="2" t="s">
        <v>4696</v>
      </c>
      <c r="U1065" s="2" t="s">
        <v>12</v>
      </c>
      <c r="V1065" s="2" t="s">
        <v>4777</v>
      </c>
      <c r="W1065" s="2" t="s">
        <v>4982</v>
      </c>
      <c r="X1065" s="2" t="s">
        <v>4925</v>
      </c>
      <c r="Y1065" s="2" t="s">
        <v>1889</v>
      </c>
      <c r="Z1065" s="2" t="s">
        <v>5923</v>
      </c>
      <c r="AA10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0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5" s="6" t="str">
        <f>IF(_xlfn.IFNA(INDEX(configuracoes!$A$2:$A$10,MATCH(base_tc_geral[[#This Row],[TIPO]],configuracoes!$A$2:$A$10,0)),"NÃO")="NÃO","NÃO","SIM")</f>
        <v>NÃO</v>
      </c>
    </row>
    <row r="1066" spans="1:31" x14ac:dyDescent="0.25">
      <c r="A1066" s="2" t="s">
        <v>2351</v>
      </c>
      <c r="B1066" s="2">
        <v>105000986</v>
      </c>
      <c r="C1066" s="2" t="s">
        <v>15</v>
      </c>
      <c r="D1066" s="2" t="s">
        <v>4609</v>
      </c>
      <c r="E1066" s="2" t="s">
        <v>28</v>
      </c>
      <c r="F1066" s="2" t="s">
        <v>80</v>
      </c>
      <c r="G1066" s="2" t="s">
        <v>630</v>
      </c>
      <c r="H1066" s="2" t="s">
        <v>79</v>
      </c>
      <c r="I1066" s="2" t="s">
        <v>33</v>
      </c>
      <c r="J1066" s="2" t="s">
        <v>34</v>
      </c>
      <c r="K1066" s="2" t="s">
        <v>20</v>
      </c>
      <c r="L1066" s="2" t="s">
        <v>21</v>
      </c>
      <c r="M1066" s="2" t="s">
        <v>22</v>
      </c>
      <c r="N1066" s="2" t="s">
        <v>15</v>
      </c>
      <c r="O1066" s="2" t="s">
        <v>83</v>
      </c>
      <c r="P1066" s="2" t="s">
        <v>2353</v>
      </c>
      <c r="Q1066" s="2" t="s">
        <v>4926</v>
      </c>
      <c r="R1066" s="2" t="s">
        <v>81</v>
      </c>
      <c r="S1066" s="2" t="s">
        <v>167</v>
      </c>
      <c r="T1066" s="2" t="s">
        <v>167</v>
      </c>
      <c r="U1066" s="2" t="s">
        <v>12</v>
      </c>
      <c r="V1066" s="2" t="s">
        <v>4767</v>
      </c>
      <c r="W1066" s="2" t="s">
        <v>4982</v>
      </c>
      <c r="X1066" s="2" t="s">
        <v>4925</v>
      </c>
      <c r="Y1066" s="2" t="s">
        <v>2352</v>
      </c>
      <c r="Z1066" s="2" t="s">
        <v>6361</v>
      </c>
      <c r="AA10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0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0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6" s="6" t="str">
        <f>IF(_xlfn.IFNA(INDEX(configuracoes!$A$2:$A$10,MATCH(base_tc_geral[[#This Row],[TIPO]],configuracoes!$A$2:$A$10,0)),"NÃO")="NÃO","NÃO","SIM")</f>
        <v>SIM</v>
      </c>
    </row>
    <row r="1067" spans="1:31" x14ac:dyDescent="0.25">
      <c r="A1067" s="2" t="s">
        <v>2045</v>
      </c>
      <c r="B1067" s="2">
        <v>102101642</v>
      </c>
      <c r="C1067" s="2" t="s">
        <v>15</v>
      </c>
      <c r="D1067" s="2" t="s">
        <v>4612</v>
      </c>
      <c r="E1067" s="2" t="s">
        <v>106</v>
      </c>
      <c r="F1067" s="2" t="s">
        <v>329</v>
      </c>
      <c r="G1067" s="2" t="s">
        <v>630</v>
      </c>
      <c r="H1067" s="2" t="s">
        <v>107</v>
      </c>
      <c r="I1067" s="2" t="s">
        <v>33</v>
      </c>
      <c r="J1067" s="2" t="s">
        <v>109</v>
      </c>
      <c r="K1067" s="2" t="s">
        <v>20</v>
      </c>
      <c r="L1067" s="2" t="s">
        <v>21</v>
      </c>
      <c r="M1067" s="2" t="s">
        <v>22</v>
      </c>
      <c r="N1067" s="2" t="s">
        <v>15</v>
      </c>
      <c r="O1067" s="2" t="s">
        <v>112</v>
      </c>
      <c r="P1067" s="2" t="s">
        <v>2047</v>
      </c>
      <c r="Q1067" s="2" t="s">
        <v>4926</v>
      </c>
      <c r="R1067" s="2" t="s">
        <v>187</v>
      </c>
      <c r="S1067" s="2" t="s">
        <v>736</v>
      </c>
      <c r="T1067" s="2" t="s">
        <v>167</v>
      </c>
      <c r="U1067" s="2" t="s">
        <v>12</v>
      </c>
      <c r="V1067" s="2" t="s">
        <v>4772</v>
      </c>
      <c r="W1067" s="2" t="s">
        <v>4982</v>
      </c>
      <c r="X1067" s="2" t="s">
        <v>4925</v>
      </c>
      <c r="Y1067" s="2" t="s">
        <v>2046</v>
      </c>
      <c r="Z1067" s="2" t="s">
        <v>6362</v>
      </c>
      <c r="AA10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10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0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7" s="6" t="str">
        <f>IF(_xlfn.IFNA(INDEX(configuracoes!$A$2:$A$10,MATCH(base_tc_geral[[#This Row],[TIPO]],configuracoes!$A$2:$A$10,0)),"NÃO")="NÃO","NÃO","SIM")</f>
        <v>SIM</v>
      </c>
    </row>
    <row r="1068" spans="1:31" x14ac:dyDescent="0.25">
      <c r="A1068" s="2" t="s">
        <v>3597</v>
      </c>
      <c r="B1068" s="2">
        <v>109506172</v>
      </c>
      <c r="C1068" s="2" t="s">
        <v>15</v>
      </c>
      <c r="D1068" s="2" t="s">
        <v>4484</v>
      </c>
      <c r="E1068" s="2" t="s">
        <v>86</v>
      </c>
      <c r="F1068" s="2" t="s">
        <v>177</v>
      </c>
      <c r="G1068" s="2" t="s">
        <v>245</v>
      </c>
      <c r="H1068" s="2" t="s">
        <v>164</v>
      </c>
      <c r="I1068" s="2" t="s">
        <v>33</v>
      </c>
      <c r="J1068" s="2" t="s">
        <v>124</v>
      </c>
      <c r="K1068" s="2" t="s">
        <v>20</v>
      </c>
      <c r="L1068" s="2" t="s">
        <v>21</v>
      </c>
      <c r="M1068" s="2" t="s">
        <v>22</v>
      </c>
      <c r="N1068" s="2" t="s">
        <v>15</v>
      </c>
      <c r="O1068" s="2" t="s">
        <v>169</v>
      </c>
      <c r="P1068" s="2" t="s">
        <v>3599</v>
      </c>
      <c r="Q1068" s="2" t="s">
        <v>4926</v>
      </c>
      <c r="R1068" s="2" t="s">
        <v>3588</v>
      </c>
      <c r="S1068" s="2" t="s">
        <v>93</v>
      </c>
      <c r="T1068" s="2" t="s">
        <v>4696</v>
      </c>
      <c r="U1068" s="2" t="s">
        <v>12</v>
      </c>
      <c r="V1068" s="2" t="s">
        <v>4798</v>
      </c>
      <c r="W1068" s="2" t="s">
        <v>4982</v>
      </c>
      <c r="X1068" s="2" t="s">
        <v>4925</v>
      </c>
      <c r="Y1068" s="2" t="s">
        <v>3598</v>
      </c>
      <c r="Z1068" s="2" t="s">
        <v>6363</v>
      </c>
      <c r="AA10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0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8" s="6" t="str">
        <f>IF(_xlfn.IFNA(INDEX(configuracoes!$A$2:$A$10,MATCH(base_tc_geral[[#This Row],[TIPO]],configuracoes!$A$2:$A$10,0)),"NÃO")="NÃO","NÃO","SIM")</f>
        <v>SIM</v>
      </c>
    </row>
    <row r="1069" spans="1:31" x14ac:dyDescent="0.25">
      <c r="A1069" s="2" t="s">
        <v>4404</v>
      </c>
      <c r="B1069" s="2">
        <v>109506172</v>
      </c>
      <c r="C1069" s="2" t="s">
        <v>15</v>
      </c>
      <c r="D1069" s="2" t="s">
        <v>4568</v>
      </c>
      <c r="E1069" s="2" t="s">
        <v>86</v>
      </c>
      <c r="F1069" s="2" t="s">
        <v>177</v>
      </c>
      <c r="G1069" s="2" t="s">
        <v>89</v>
      </c>
      <c r="H1069" s="2" t="s">
        <v>164</v>
      </c>
      <c r="I1069" s="2" t="s">
        <v>33</v>
      </c>
      <c r="J1069" s="2" t="s">
        <v>124</v>
      </c>
      <c r="K1069" s="2" t="s">
        <v>92</v>
      </c>
      <c r="L1069" s="2" t="s">
        <v>37</v>
      </c>
      <c r="M1069" s="2" t="s">
        <v>38</v>
      </c>
      <c r="N1069" s="2" t="s">
        <v>15</v>
      </c>
      <c r="O1069" s="2" t="s">
        <v>169</v>
      </c>
      <c r="P1069" s="2" t="s">
        <v>4406</v>
      </c>
      <c r="Q1069" s="2" t="s">
        <v>4926</v>
      </c>
      <c r="R1069" s="2" t="s">
        <v>3588</v>
      </c>
      <c r="S1069" s="2" t="s">
        <v>93</v>
      </c>
      <c r="T1069" s="2" t="s">
        <v>4696</v>
      </c>
      <c r="U1069" s="2" t="s">
        <v>12</v>
      </c>
      <c r="V1069" s="2" t="s">
        <v>4798</v>
      </c>
      <c r="W1069" s="2" t="s">
        <v>4999</v>
      </c>
      <c r="X1069" s="2" t="s">
        <v>38</v>
      </c>
      <c r="Y1069" s="2" t="s">
        <v>4405</v>
      </c>
      <c r="Z1069" s="2" t="s">
        <v>6364</v>
      </c>
      <c r="AA10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0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69" s="6" t="str">
        <f>IF(_xlfn.IFNA(INDEX(configuracoes!$A$2:$A$10,MATCH(base_tc_geral[[#This Row],[TIPO]],configuracoes!$A$2:$A$10,0)),"NÃO")="NÃO","NÃO","SIM")</f>
        <v>NÃO</v>
      </c>
    </row>
    <row r="1070" spans="1:31" x14ac:dyDescent="0.25">
      <c r="A1070" s="2" t="s">
        <v>2487</v>
      </c>
      <c r="B1070" s="2">
        <v>109501286</v>
      </c>
      <c r="C1070" s="2" t="s">
        <v>15</v>
      </c>
      <c r="D1070" s="2" t="s">
        <v>4523</v>
      </c>
      <c r="E1070" s="2" t="s">
        <v>86</v>
      </c>
      <c r="F1070" s="2" t="s">
        <v>497</v>
      </c>
      <c r="G1070" s="2" t="s">
        <v>58</v>
      </c>
      <c r="H1070" s="2" t="s">
        <v>164</v>
      </c>
      <c r="I1070" s="2" t="s">
        <v>33</v>
      </c>
      <c r="J1070" s="2" t="s">
        <v>124</v>
      </c>
      <c r="K1070" s="2" t="s">
        <v>92</v>
      </c>
      <c r="L1070" s="2" t="s">
        <v>61</v>
      </c>
      <c r="M1070" s="2" t="s">
        <v>44</v>
      </c>
      <c r="N1070" s="2" t="s">
        <v>15</v>
      </c>
      <c r="O1070" s="2" t="s">
        <v>169</v>
      </c>
      <c r="P1070" s="2" t="s">
        <v>2489</v>
      </c>
      <c r="Q1070" s="2" t="s">
        <v>4926</v>
      </c>
      <c r="R1070" s="2" t="s">
        <v>498</v>
      </c>
      <c r="S1070" s="2" t="s">
        <v>93</v>
      </c>
      <c r="T1070" s="2" t="s">
        <v>4696</v>
      </c>
      <c r="U1070" s="2" t="s">
        <v>12</v>
      </c>
      <c r="V1070" s="2" t="s">
        <v>4766</v>
      </c>
      <c r="W1070" s="2" t="s">
        <v>5013</v>
      </c>
      <c r="X1070" s="2" t="s">
        <v>44</v>
      </c>
      <c r="Y1070" s="2" t="s">
        <v>2488</v>
      </c>
      <c r="Z1070" s="2" t="s">
        <v>6365</v>
      </c>
      <c r="AA10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10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0" s="6" t="str">
        <f>IF(_xlfn.IFNA(INDEX(configuracoes!$A$2:$A$10,MATCH(base_tc_geral[[#This Row],[TIPO]],configuracoes!$A$2:$A$10,0)),"NÃO")="NÃO","NÃO","SIM")</f>
        <v>NÃO</v>
      </c>
    </row>
    <row r="1071" spans="1:31" x14ac:dyDescent="0.25">
      <c r="A1071" s="2" t="s">
        <v>1876</v>
      </c>
      <c r="B1071" s="2">
        <v>109000926</v>
      </c>
      <c r="C1071" s="2" t="s">
        <v>15</v>
      </c>
      <c r="D1071" s="2" t="s">
        <v>4507</v>
      </c>
      <c r="E1071" s="2" t="s">
        <v>86</v>
      </c>
      <c r="F1071" s="2" t="s">
        <v>325</v>
      </c>
      <c r="G1071" s="2" t="s">
        <v>245</v>
      </c>
      <c r="H1071" s="2" t="s">
        <v>283</v>
      </c>
      <c r="I1071" s="2" t="s">
        <v>33</v>
      </c>
      <c r="J1071" s="2" t="s">
        <v>124</v>
      </c>
      <c r="K1071" s="2" t="s">
        <v>20</v>
      </c>
      <c r="L1071" s="2" t="s">
        <v>21</v>
      </c>
      <c r="M1071" s="2" t="s">
        <v>22</v>
      </c>
      <c r="N1071" s="2" t="s">
        <v>15</v>
      </c>
      <c r="O1071" s="2" t="s">
        <v>287</v>
      </c>
      <c r="P1071" s="2" t="s">
        <v>1878</v>
      </c>
      <c r="Q1071" s="2" t="s">
        <v>4926</v>
      </c>
      <c r="R1071" s="2" t="s">
        <v>285</v>
      </c>
      <c r="S1071" s="2" t="s">
        <v>125</v>
      </c>
      <c r="T1071" s="2" t="s">
        <v>4696</v>
      </c>
      <c r="U1071" s="2" t="s">
        <v>12</v>
      </c>
      <c r="V1071" s="2" t="s">
        <v>4777</v>
      </c>
      <c r="W1071" s="2" t="s">
        <v>4982</v>
      </c>
      <c r="X1071" s="2" t="s">
        <v>4925</v>
      </c>
      <c r="Y1071" s="2" t="s">
        <v>1877</v>
      </c>
      <c r="Z1071" s="2" t="s">
        <v>6366</v>
      </c>
      <c r="AA10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0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1" s="6" t="str">
        <f>IF(_xlfn.IFNA(INDEX(configuracoes!$A$2:$A$10,MATCH(base_tc_geral[[#This Row],[TIPO]],configuracoes!$A$2:$A$10,0)),"NÃO")="NÃO","NÃO","SIM")</f>
        <v>SIM</v>
      </c>
    </row>
    <row r="1072" spans="1:31" x14ac:dyDescent="0.25">
      <c r="A1072" s="2" t="s">
        <v>3132</v>
      </c>
      <c r="B1072" s="2">
        <v>109501286</v>
      </c>
      <c r="C1072" s="2" t="s">
        <v>15</v>
      </c>
      <c r="D1072" s="2" t="s">
        <v>4515</v>
      </c>
      <c r="E1072" s="2" t="s">
        <v>86</v>
      </c>
      <c r="F1072" s="2" t="s">
        <v>497</v>
      </c>
      <c r="G1072" s="2" t="s">
        <v>245</v>
      </c>
      <c r="H1072" s="2" t="s">
        <v>164</v>
      </c>
      <c r="I1072" s="2" t="s">
        <v>33</v>
      </c>
      <c r="J1072" s="2" t="s">
        <v>124</v>
      </c>
      <c r="K1072" s="2" t="s">
        <v>20</v>
      </c>
      <c r="L1072" s="2" t="s">
        <v>21</v>
      </c>
      <c r="M1072" s="2" t="s">
        <v>22</v>
      </c>
      <c r="N1072" s="2" t="s">
        <v>15</v>
      </c>
      <c r="O1072" s="2" t="s">
        <v>169</v>
      </c>
      <c r="P1072" s="2" t="s">
        <v>3134</v>
      </c>
      <c r="Q1072" s="2" t="s">
        <v>4926</v>
      </c>
      <c r="R1072" s="2" t="s">
        <v>498</v>
      </c>
      <c r="S1072" s="2" t="s">
        <v>93</v>
      </c>
      <c r="T1072" s="2" t="s">
        <v>4696</v>
      </c>
      <c r="U1072" s="2" t="s">
        <v>12</v>
      </c>
      <c r="V1072" s="2" t="s">
        <v>4766</v>
      </c>
      <c r="W1072" s="2" t="s">
        <v>4982</v>
      </c>
      <c r="X1072" s="2" t="s">
        <v>4925</v>
      </c>
      <c r="Y1072" s="2" t="s">
        <v>3133</v>
      </c>
      <c r="Z1072" s="2" t="s">
        <v>5924</v>
      </c>
      <c r="AA10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10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2" s="6" t="str">
        <f>IF(_xlfn.IFNA(INDEX(configuracoes!$A$2:$A$10,MATCH(base_tc_geral[[#This Row],[TIPO]],configuracoes!$A$2:$A$10,0)),"NÃO")="NÃO","NÃO","SIM")</f>
        <v>SIM</v>
      </c>
    </row>
    <row r="1073" spans="1:31" x14ac:dyDescent="0.25">
      <c r="A1073" s="2" t="s">
        <v>500</v>
      </c>
      <c r="B1073" s="2">
        <v>109506172</v>
      </c>
      <c r="C1073" s="2" t="s">
        <v>15</v>
      </c>
      <c r="D1073" s="2" t="s">
        <v>4502</v>
      </c>
      <c r="E1073" s="2" t="s">
        <v>86</v>
      </c>
      <c r="F1073" s="2" t="s">
        <v>177</v>
      </c>
      <c r="G1073" s="2" t="s">
        <v>149</v>
      </c>
      <c r="H1073" s="2" t="s">
        <v>164</v>
      </c>
      <c r="I1073" s="2" t="s">
        <v>33</v>
      </c>
      <c r="J1073" s="2" t="s">
        <v>124</v>
      </c>
      <c r="K1073" s="2" t="s">
        <v>20</v>
      </c>
      <c r="L1073" s="2" t="s">
        <v>61</v>
      </c>
      <c r="M1073" s="2" t="s">
        <v>22</v>
      </c>
      <c r="N1073" s="2" t="s">
        <v>15</v>
      </c>
      <c r="O1073" s="2" t="s">
        <v>169</v>
      </c>
      <c r="P1073" s="2" t="s">
        <v>502</v>
      </c>
      <c r="Q1073" s="2" t="s">
        <v>4926</v>
      </c>
      <c r="R1073" s="2" t="s">
        <v>3588</v>
      </c>
      <c r="S1073" s="2" t="s">
        <v>93</v>
      </c>
      <c r="T1073" s="2" t="s">
        <v>4696</v>
      </c>
      <c r="U1073" s="2" t="s">
        <v>12</v>
      </c>
      <c r="V1073" s="2" t="s">
        <v>4798</v>
      </c>
      <c r="W1073" s="2" t="s">
        <v>4982</v>
      </c>
      <c r="X1073" s="2" t="s">
        <v>4925</v>
      </c>
      <c r="Y1073" s="2" t="s">
        <v>501</v>
      </c>
      <c r="Z1073" s="2" t="s">
        <v>5931</v>
      </c>
      <c r="AA10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0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3" s="6" t="str">
        <f>IF(_xlfn.IFNA(INDEX(configuracoes!$A$2:$A$10,MATCH(base_tc_geral[[#This Row],[TIPO]],configuracoes!$A$2:$A$10,0)),"NÃO")="NÃO","NÃO","SIM")</f>
        <v>NÃO</v>
      </c>
    </row>
    <row r="1074" spans="1:31" x14ac:dyDescent="0.25">
      <c r="A1074" s="2" t="s">
        <v>930</v>
      </c>
      <c r="B1074" s="2">
        <v>109000017</v>
      </c>
      <c r="C1074" s="2" t="s">
        <v>15</v>
      </c>
      <c r="D1074" s="2" t="s">
        <v>4577</v>
      </c>
      <c r="E1074" s="2" t="s">
        <v>86</v>
      </c>
      <c r="F1074" s="2" t="s">
        <v>211</v>
      </c>
      <c r="G1074" s="2" t="s">
        <v>245</v>
      </c>
      <c r="H1074" s="2" t="s">
        <v>210</v>
      </c>
      <c r="I1074" s="2" t="s">
        <v>33</v>
      </c>
      <c r="J1074" s="2" t="s">
        <v>124</v>
      </c>
      <c r="K1074" s="2" t="s">
        <v>20</v>
      </c>
      <c r="L1074" s="2" t="s">
        <v>21</v>
      </c>
      <c r="M1074" s="2" t="s">
        <v>22</v>
      </c>
      <c r="N1074" s="2" t="s">
        <v>15</v>
      </c>
      <c r="O1074" s="2" t="s">
        <v>214</v>
      </c>
      <c r="P1074" s="2" t="s">
        <v>932</v>
      </c>
      <c r="Q1074" s="2" t="s">
        <v>4926</v>
      </c>
      <c r="R1074" s="2" t="s">
        <v>212</v>
      </c>
      <c r="S1074" s="2" t="s">
        <v>93</v>
      </c>
      <c r="T1074" s="2" t="s">
        <v>4696</v>
      </c>
      <c r="U1074" s="2" t="s">
        <v>12</v>
      </c>
      <c r="V1074" s="2" t="s">
        <v>4820</v>
      </c>
      <c r="W1074" s="2" t="s">
        <v>4982</v>
      </c>
      <c r="X1074" s="2" t="s">
        <v>4925</v>
      </c>
      <c r="Y1074" s="2" t="s">
        <v>931</v>
      </c>
      <c r="Z1074" s="2" t="s">
        <v>5932</v>
      </c>
      <c r="AA10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0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4" s="6" t="str">
        <f>IF(_xlfn.IFNA(INDEX(configuracoes!$A$2:$A$10,MATCH(base_tc_geral[[#This Row],[TIPO]],configuracoes!$A$2:$A$10,0)),"NÃO")="NÃO","NÃO","SIM")</f>
        <v>SIM</v>
      </c>
    </row>
    <row r="1075" spans="1:31" x14ac:dyDescent="0.25">
      <c r="A1075" s="2" t="s">
        <v>4398</v>
      </c>
      <c r="B1075" s="2">
        <v>109505287</v>
      </c>
      <c r="C1075" s="2" t="s">
        <v>15</v>
      </c>
      <c r="D1075" s="2" t="s">
        <v>4515</v>
      </c>
      <c r="E1075" s="2" t="s">
        <v>86</v>
      </c>
      <c r="F1075" s="2" t="s">
        <v>325</v>
      </c>
      <c r="G1075" s="2" t="s">
        <v>89</v>
      </c>
      <c r="H1075" s="2" t="s">
        <v>283</v>
      </c>
      <c r="I1075" s="2" t="s">
        <v>33</v>
      </c>
      <c r="J1075" s="2" t="s">
        <v>124</v>
      </c>
      <c r="K1075" s="2" t="s">
        <v>13</v>
      </c>
      <c r="L1075" s="2" t="s">
        <v>37</v>
      </c>
      <c r="M1075" s="2" t="s">
        <v>103</v>
      </c>
      <c r="N1075" s="2" t="s">
        <v>15</v>
      </c>
      <c r="O1075" s="2" t="s">
        <v>287</v>
      </c>
      <c r="P1075" s="2" t="s">
        <v>4400</v>
      </c>
      <c r="Q1075" s="2" t="s">
        <v>4926</v>
      </c>
      <c r="R1075" s="2" t="s">
        <v>4386</v>
      </c>
      <c r="S1075" s="2" t="s">
        <v>4700</v>
      </c>
      <c r="T1075" s="2" t="s">
        <v>4701</v>
      </c>
      <c r="U1075" s="2" t="s">
        <v>39</v>
      </c>
      <c r="V1075" s="2" t="s">
        <v>4912</v>
      </c>
      <c r="W1075" s="2" t="s">
        <v>4993</v>
      </c>
      <c r="X1075" s="2" t="s">
        <v>5276</v>
      </c>
      <c r="Y1075" s="2" t="s">
        <v>4399</v>
      </c>
      <c r="Z1075" s="2" t="s">
        <v>5853</v>
      </c>
      <c r="AA10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RODRIGO CARDOZO </v>
      </c>
      <c r="AB10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CARLOS EDUARDO </v>
      </c>
      <c r="AC10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10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5" s="6" t="str">
        <f>IF(_xlfn.IFNA(INDEX(configuracoes!$A$2:$A$10,MATCH(base_tc_geral[[#This Row],[TIPO]],configuracoes!$A$2:$A$10,0)),"NÃO")="NÃO","NÃO","SIM")</f>
        <v>NÃO</v>
      </c>
    </row>
    <row r="1076" spans="1:31" x14ac:dyDescent="0.25">
      <c r="A1076" s="2" t="s">
        <v>2481</v>
      </c>
      <c r="B1076" s="2">
        <v>109501286</v>
      </c>
      <c r="C1076" s="2" t="s">
        <v>15</v>
      </c>
      <c r="D1076" s="2" t="s">
        <v>4781</v>
      </c>
      <c r="E1076" s="2" t="s">
        <v>86</v>
      </c>
      <c r="F1076" s="2" t="s">
        <v>205</v>
      </c>
      <c r="G1076" s="2" t="s">
        <v>245</v>
      </c>
      <c r="H1076" s="2" t="s">
        <v>122</v>
      </c>
      <c r="I1076" s="2" t="s">
        <v>33</v>
      </c>
      <c r="J1076" s="2" t="s">
        <v>124</v>
      </c>
      <c r="K1076" s="2" t="s">
        <v>20</v>
      </c>
      <c r="L1076" s="2" t="s">
        <v>21</v>
      </c>
      <c r="M1076" s="2" t="s">
        <v>22</v>
      </c>
      <c r="N1076" s="2" t="s">
        <v>15</v>
      </c>
      <c r="O1076" s="2" t="s">
        <v>129</v>
      </c>
      <c r="P1076" s="2" t="s">
        <v>2483</v>
      </c>
      <c r="Q1076" s="2" t="s">
        <v>4926</v>
      </c>
      <c r="R1076" s="2" t="s">
        <v>498</v>
      </c>
      <c r="S1076" s="2" t="s">
        <v>93</v>
      </c>
      <c r="T1076" s="2" t="s">
        <v>4696</v>
      </c>
      <c r="U1076" s="2" t="s">
        <v>12</v>
      </c>
      <c r="V1076" s="2" t="s">
        <v>4784</v>
      </c>
      <c r="W1076" s="2" t="s">
        <v>4982</v>
      </c>
      <c r="X1076" s="2" t="s">
        <v>4925</v>
      </c>
      <c r="Y1076" s="2" t="s">
        <v>2482</v>
      </c>
      <c r="Z1076" s="2" t="s">
        <v>5854</v>
      </c>
      <c r="AA10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10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6" s="6" t="str">
        <f>IF(_xlfn.IFNA(INDEX(configuracoes!$A$2:$A$10,MATCH(base_tc_geral[[#This Row],[TIPO]],configuracoes!$A$2:$A$10,0)),"NÃO")="NÃO","NÃO","SIM")</f>
        <v>SIM</v>
      </c>
    </row>
    <row r="1077" spans="1:31" x14ac:dyDescent="0.25">
      <c r="A1077" s="2" t="s">
        <v>4037</v>
      </c>
      <c r="B1077" s="2">
        <v>109000340</v>
      </c>
      <c r="C1077" s="2" t="s">
        <v>15</v>
      </c>
      <c r="D1077" s="2" t="s">
        <v>4506</v>
      </c>
      <c r="E1077" s="2" t="s">
        <v>86</v>
      </c>
      <c r="F1077" s="2" t="s">
        <v>88</v>
      </c>
      <c r="G1077" s="2" t="s">
        <v>58</v>
      </c>
      <c r="H1077" s="2" t="s">
        <v>87</v>
      </c>
      <c r="I1077" s="2" t="s">
        <v>33</v>
      </c>
      <c r="J1077" s="2" t="s">
        <v>91</v>
      </c>
      <c r="K1077" s="2" t="s">
        <v>92</v>
      </c>
      <c r="L1077" s="2" t="s">
        <v>61</v>
      </c>
      <c r="M1077" s="2" t="s">
        <v>44</v>
      </c>
      <c r="N1077" s="2" t="s">
        <v>15</v>
      </c>
      <c r="O1077" s="2" t="s">
        <v>95</v>
      </c>
      <c r="P1077" s="2" t="s">
        <v>4039</v>
      </c>
      <c r="Q1077" s="2" t="s">
        <v>4926</v>
      </c>
      <c r="R1077" s="2" t="s">
        <v>90</v>
      </c>
      <c r="S1077" s="2" t="s">
        <v>93</v>
      </c>
      <c r="T1077" s="2" t="s">
        <v>4696</v>
      </c>
      <c r="U1077" s="2" t="s">
        <v>12</v>
      </c>
      <c r="V1077" s="2" t="s">
        <v>4796</v>
      </c>
      <c r="W1077" s="2" t="s">
        <v>4999</v>
      </c>
      <c r="X1077" s="2" t="s">
        <v>44</v>
      </c>
      <c r="Y1077" s="2" t="s">
        <v>4038</v>
      </c>
      <c r="Z1077" s="2" t="s">
        <v>5855</v>
      </c>
      <c r="AA10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0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7" s="6" t="str">
        <f>IF(_xlfn.IFNA(INDEX(configuracoes!$A$2:$A$10,MATCH(base_tc_geral[[#This Row],[TIPO]],configuracoes!$A$2:$A$10,0)),"NÃO")="NÃO","NÃO","SIM")</f>
        <v>NÃO</v>
      </c>
    </row>
    <row r="1078" spans="1:31" x14ac:dyDescent="0.25">
      <c r="A1078" s="2" t="s">
        <v>3156</v>
      </c>
      <c r="B1078" s="2">
        <v>109000943</v>
      </c>
      <c r="C1078" s="2" t="s">
        <v>15</v>
      </c>
      <c r="D1078" s="2" t="s">
        <v>4516</v>
      </c>
      <c r="E1078" s="2" t="s">
        <v>86</v>
      </c>
      <c r="F1078" s="2" t="s">
        <v>205</v>
      </c>
      <c r="G1078" s="2" t="s">
        <v>245</v>
      </c>
      <c r="H1078" s="2" t="s">
        <v>122</v>
      </c>
      <c r="I1078" s="2" t="s">
        <v>33</v>
      </c>
      <c r="J1078" s="2" t="s">
        <v>124</v>
      </c>
      <c r="K1078" s="2" t="s">
        <v>20</v>
      </c>
      <c r="L1078" s="2" t="s">
        <v>21</v>
      </c>
      <c r="M1078" s="2" t="s">
        <v>22</v>
      </c>
      <c r="N1078" s="2" t="s">
        <v>15</v>
      </c>
      <c r="O1078" s="2" t="s">
        <v>129</v>
      </c>
      <c r="P1078" s="2" t="s">
        <v>3158</v>
      </c>
      <c r="Q1078" s="2" t="s">
        <v>4926</v>
      </c>
      <c r="R1078" s="2" t="s">
        <v>206</v>
      </c>
      <c r="S1078" s="2" t="s">
        <v>125</v>
      </c>
      <c r="T1078" s="2" t="s">
        <v>4696</v>
      </c>
      <c r="U1078" s="2" t="s">
        <v>12</v>
      </c>
      <c r="V1078" s="2" t="s">
        <v>4784</v>
      </c>
      <c r="W1078" s="2" t="s">
        <v>4982</v>
      </c>
      <c r="X1078" s="2" t="s">
        <v>4925</v>
      </c>
      <c r="Y1078" s="2" t="s">
        <v>3157</v>
      </c>
      <c r="Z1078" s="2" t="s">
        <v>6367</v>
      </c>
      <c r="AA10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0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8" s="6" t="str">
        <f>IF(_xlfn.IFNA(INDEX(configuracoes!$A$2:$A$10,MATCH(base_tc_geral[[#This Row],[TIPO]],configuracoes!$A$2:$A$10,0)),"NÃO")="NÃO","NÃO","SIM")</f>
        <v>SIM</v>
      </c>
    </row>
    <row r="1079" spans="1:31" x14ac:dyDescent="0.25">
      <c r="A1079" s="2" t="s">
        <v>3842</v>
      </c>
      <c r="B1079" s="2">
        <v>109500315</v>
      </c>
      <c r="C1079" s="2" t="s">
        <v>15</v>
      </c>
      <c r="D1079" s="2" t="s">
        <v>4505</v>
      </c>
      <c r="E1079" s="2" t="s">
        <v>86</v>
      </c>
      <c r="F1079" s="2" t="s">
        <v>177</v>
      </c>
      <c r="G1079" s="2" t="s">
        <v>172</v>
      </c>
      <c r="H1079" s="2" t="s">
        <v>164</v>
      </c>
      <c r="I1079" s="2" t="s">
        <v>33</v>
      </c>
      <c r="J1079" s="2" t="s">
        <v>124</v>
      </c>
      <c r="K1079" s="2" t="s">
        <v>13</v>
      </c>
      <c r="L1079" s="2" t="s">
        <v>17</v>
      </c>
      <c r="M1079" s="2" t="s">
        <v>18</v>
      </c>
      <c r="N1079" s="2" t="s">
        <v>15</v>
      </c>
      <c r="O1079" s="2" t="s">
        <v>169</v>
      </c>
      <c r="P1079" s="2" t="s">
        <v>3844</v>
      </c>
      <c r="Q1079" s="2" t="s">
        <v>4926</v>
      </c>
      <c r="R1079" s="2" t="s">
        <v>173</v>
      </c>
      <c r="S1079" s="2" t="s">
        <v>93</v>
      </c>
      <c r="T1079" s="2" t="s">
        <v>4696</v>
      </c>
      <c r="U1079" s="2" t="s">
        <v>12</v>
      </c>
      <c r="V1079" s="2" t="s">
        <v>4887</v>
      </c>
      <c r="W1079" s="2" t="s">
        <v>17</v>
      </c>
      <c r="X1079" s="2" t="s">
        <v>4998</v>
      </c>
      <c r="Y1079" s="2" t="s">
        <v>3843</v>
      </c>
      <c r="Z1079" s="2" t="s">
        <v>6368</v>
      </c>
      <c r="AA10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0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79" s="6" t="str">
        <f>IF(_xlfn.IFNA(INDEX(configuracoes!$A$2:$A$10,MATCH(base_tc_geral[[#This Row],[TIPO]],configuracoes!$A$2:$A$10,0)),"NÃO")="NÃO","NÃO","SIM")</f>
        <v>NÃO</v>
      </c>
    </row>
    <row r="1080" spans="1:31" x14ac:dyDescent="0.25">
      <c r="A1080" s="2" t="s">
        <v>3099</v>
      </c>
      <c r="B1080" s="2">
        <v>109505049</v>
      </c>
      <c r="C1080" s="2" t="s">
        <v>15</v>
      </c>
      <c r="D1080" s="2" t="s">
        <v>4515</v>
      </c>
      <c r="E1080" s="2" t="s">
        <v>86</v>
      </c>
      <c r="F1080" s="2" t="s">
        <v>540</v>
      </c>
      <c r="G1080" s="2" t="s">
        <v>99</v>
      </c>
      <c r="H1080" s="2" t="s">
        <v>283</v>
      </c>
      <c r="I1080" s="2" t="s">
        <v>33</v>
      </c>
      <c r="J1080" s="2" t="s">
        <v>124</v>
      </c>
      <c r="K1080" s="2" t="s">
        <v>20</v>
      </c>
      <c r="L1080" s="2" t="s">
        <v>25</v>
      </c>
      <c r="M1080" s="2" t="s">
        <v>22</v>
      </c>
      <c r="N1080" s="2" t="s">
        <v>15</v>
      </c>
      <c r="O1080" s="2" t="s">
        <v>287</v>
      </c>
      <c r="P1080" s="2" t="s">
        <v>3101</v>
      </c>
      <c r="Q1080" s="2" t="s">
        <v>4926</v>
      </c>
      <c r="R1080" s="2" t="s">
        <v>541</v>
      </c>
      <c r="S1080" s="2" t="s">
        <v>125</v>
      </c>
      <c r="T1080" s="2" t="s">
        <v>4696</v>
      </c>
      <c r="U1080" s="2" t="s">
        <v>12</v>
      </c>
      <c r="V1080" s="2" t="s">
        <v>4765</v>
      </c>
      <c r="W1080" s="2" t="s">
        <v>4931</v>
      </c>
      <c r="X1080" s="2" t="s">
        <v>4925</v>
      </c>
      <c r="Y1080" s="2" t="s">
        <v>3100</v>
      </c>
      <c r="Z1080" s="2" t="s">
        <v>6369</v>
      </c>
      <c r="AA10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0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80" s="6" t="str">
        <f>IF(_xlfn.IFNA(INDEX(configuracoes!$A$2:$A$10,MATCH(base_tc_geral[[#This Row],[TIPO]],configuracoes!$A$2:$A$10,0)),"NÃO")="NÃO","NÃO","SIM")</f>
        <v>SIM</v>
      </c>
    </row>
    <row r="1081" spans="1:31" x14ac:dyDescent="0.25">
      <c r="A1081" s="2" t="s">
        <v>3205</v>
      </c>
      <c r="B1081" s="2">
        <v>109000119</v>
      </c>
      <c r="C1081" s="2" t="s">
        <v>15</v>
      </c>
      <c r="D1081" s="2" t="s">
        <v>4523</v>
      </c>
      <c r="E1081" s="2" t="s">
        <v>86</v>
      </c>
      <c r="F1081" s="2" t="s">
        <v>274</v>
      </c>
      <c r="G1081" s="2" t="s">
        <v>58</v>
      </c>
      <c r="H1081" s="2" t="s">
        <v>210</v>
      </c>
      <c r="I1081" s="2" t="s">
        <v>33</v>
      </c>
      <c r="J1081" s="2" t="s">
        <v>124</v>
      </c>
      <c r="K1081" s="2" t="s">
        <v>13</v>
      </c>
      <c r="L1081" s="2" t="s">
        <v>61</v>
      </c>
      <c r="M1081" s="2" t="s">
        <v>38</v>
      </c>
      <c r="N1081" s="2" t="s">
        <v>15</v>
      </c>
      <c r="O1081" s="2" t="s">
        <v>214</v>
      </c>
      <c r="P1081" s="2" t="s">
        <v>3207</v>
      </c>
      <c r="Q1081" s="2" t="s">
        <v>4926</v>
      </c>
      <c r="R1081" s="2" t="s">
        <v>191</v>
      </c>
      <c r="S1081" s="2" t="s">
        <v>4699</v>
      </c>
      <c r="T1081" s="2" t="s">
        <v>4696</v>
      </c>
      <c r="U1081" s="2" t="s">
        <v>12</v>
      </c>
      <c r="V1081" s="2" t="s">
        <v>4849</v>
      </c>
      <c r="W1081" s="2" t="s">
        <v>4984</v>
      </c>
      <c r="X1081" s="2" t="s">
        <v>38</v>
      </c>
      <c r="Y1081" s="2" t="s">
        <v>3206</v>
      </c>
      <c r="Z1081" s="2" t="s">
        <v>6370</v>
      </c>
      <c r="AA10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10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0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81" s="6" t="str">
        <f>IF(_xlfn.IFNA(INDEX(configuracoes!$A$2:$A$10,MATCH(base_tc_geral[[#This Row],[TIPO]],configuracoes!$A$2:$A$10,0)),"NÃO")="NÃO","NÃO","SIM")</f>
        <v>NÃO</v>
      </c>
    </row>
    <row r="1082" spans="1:31" x14ac:dyDescent="0.25">
      <c r="A1082" s="2" t="s">
        <v>495</v>
      </c>
      <c r="B1082" s="2">
        <v>109501286</v>
      </c>
      <c r="C1082" s="2" t="s">
        <v>15</v>
      </c>
      <c r="D1082" s="2" t="s">
        <v>4484</v>
      </c>
      <c r="E1082" s="2" t="s">
        <v>86</v>
      </c>
      <c r="F1082" s="2" t="s">
        <v>497</v>
      </c>
      <c r="G1082" s="2" t="s">
        <v>245</v>
      </c>
      <c r="H1082" s="2" t="s">
        <v>164</v>
      </c>
      <c r="I1082" s="2" t="s">
        <v>33</v>
      </c>
      <c r="J1082" s="2" t="s">
        <v>124</v>
      </c>
      <c r="K1082" s="2" t="s">
        <v>20</v>
      </c>
      <c r="L1082" s="2" t="s">
        <v>21</v>
      </c>
      <c r="M1082" s="2" t="s">
        <v>22</v>
      </c>
      <c r="N1082" s="2" t="s">
        <v>15</v>
      </c>
      <c r="O1082" s="2" t="s">
        <v>169</v>
      </c>
      <c r="P1082" s="2" t="s">
        <v>499</v>
      </c>
      <c r="Q1082" s="2" t="s">
        <v>4926</v>
      </c>
      <c r="R1082" s="2" t="s">
        <v>498</v>
      </c>
      <c r="S1082" s="2" t="s">
        <v>93</v>
      </c>
      <c r="T1082" s="2" t="s">
        <v>4696</v>
      </c>
      <c r="U1082" s="2" t="s">
        <v>12</v>
      </c>
      <c r="V1082" s="2" t="s">
        <v>4766</v>
      </c>
      <c r="W1082" s="2" t="s">
        <v>4982</v>
      </c>
      <c r="X1082" s="2" t="s">
        <v>4925</v>
      </c>
      <c r="Y1082" s="2" t="s">
        <v>496</v>
      </c>
      <c r="Z1082" s="2" t="s">
        <v>6371</v>
      </c>
      <c r="AA10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10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82" s="6" t="str">
        <f>IF(_xlfn.IFNA(INDEX(configuracoes!$A$2:$A$10,MATCH(base_tc_geral[[#This Row],[TIPO]],configuracoes!$A$2:$A$10,0)),"NÃO")="NÃO","NÃO","SIM")</f>
        <v>SIM</v>
      </c>
    </row>
    <row r="1083" spans="1:31" x14ac:dyDescent="0.25">
      <c r="A1083" s="2" t="s">
        <v>3649</v>
      </c>
      <c r="B1083" s="2">
        <v>109506172</v>
      </c>
      <c r="C1083" s="2" t="s">
        <v>15</v>
      </c>
      <c r="D1083" s="2" t="s">
        <v>4484</v>
      </c>
      <c r="E1083" s="2" t="s">
        <v>86</v>
      </c>
      <c r="F1083" s="2" t="s">
        <v>177</v>
      </c>
      <c r="G1083" s="2" t="s">
        <v>245</v>
      </c>
      <c r="H1083" s="2" t="s">
        <v>164</v>
      </c>
      <c r="I1083" s="2" t="s">
        <v>33</v>
      </c>
      <c r="J1083" s="2" t="s">
        <v>124</v>
      </c>
      <c r="K1083" s="2" t="s">
        <v>20</v>
      </c>
      <c r="L1083" s="2" t="s">
        <v>21</v>
      </c>
      <c r="M1083" s="2" t="s">
        <v>22</v>
      </c>
      <c r="N1083" s="2" t="s">
        <v>15</v>
      </c>
      <c r="O1083" s="2" t="s">
        <v>169</v>
      </c>
      <c r="P1083" s="2" t="s">
        <v>3651</v>
      </c>
      <c r="Q1083" s="2" t="s">
        <v>4926</v>
      </c>
      <c r="R1083" s="2" t="s">
        <v>3588</v>
      </c>
      <c r="S1083" s="2" t="s">
        <v>93</v>
      </c>
      <c r="T1083" s="2" t="s">
        <v>4696</v>
      </c>
      <c r="U1083" s="2" t="s">
        <v>12</v>
      </c>
      <c r="V1083" s="2" t="s">
        <v>4798</v>
      </c>
      <c r="W1083" s="2" t="s">
        <v>4982</v>
      </c>
      <c r="X1083" s="2" t="s">
        <v>4925</v>
      </c>
      <c r="Y1083" s="2" t="s">
        <v>3650</v>
      </c>
      <c r="Z1083" s="2" t="s">
        <v>6372</v>
      </c>
      <c r="AA10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0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83" s="6" t="str">
        <f>IF(_xlfn.IFNA(INDEX(configuracoes!$A$2:$A$10,MATCH(base_tc_geral[[#This Row],[TIPO]],configuracoes!$A$2:$A$10,0)),"NÃO")="NÃO","NÃO","SIM")</f>
        <v>SIM</v>
      </c>
    </row>
    <row r="1084" spans="1:31" x14ac:dyDescent="0.25">
      <c r="A1084" s="2" t="s">
        <v>2854</v>
      </c>
      <c r="B1084" s="2">
        <v>101005241</v>
      </c>
      <c r="C1084" s="2" t="s">
        <v>24</v>
      </c>
      <c r="D1084" s="2" t="s">
        <v>4768</v>
      </c>
      <c r="E1084" s="2" t="s">
        <v>47</v>
      </c>
      <c r="F1084" s="2" t="s">
        <v>312</v>
      </c>
      <c r="G1084" s="2" t="s">
        <v>364</v>
      </c>
      <c r="H1084" s="2" t="s">
        <v>311</v>
      </c>
      <c r="I1084" s="2" t="s">
        <v>16</v>
      </c>
      <c r="J1084" s="2" t="s">
        <v>141</v>
      </c>
      <c r="K1084" s="2" t="s">
        <v>13</v>
      </c>
      <c r="L1084" s="2" t="s">
        <v>37</v>
      </c>
      <c r="M1084" s="2" t="s">
        <v>38</v>
      </c>
      <c r="N1084" s="2" t="s">
        <v>24</v>
      </c>
      <c r="O1084" s="2" t="s">
        <v>314</v>
      </c>
      <c r="P1084" s="2" t="s">
        <v>2856</v>
      </c>
      <c r="Q1084" s="2" t="s">
        <v>4926</v>
      </c>
      <c r="R1084" s="2" t="s">
        <v>143</v>
      </c>
      <c r="S1084" s="2" t="s">
        <v>4698</v>
      </c>
      <c r="T1084" s="2" t="s">
        <v>4697</v>
      </c>
      <c r="U1084" s="2" t="s">
        <v>39</v>
      </c>
      <c r="V1084" s="2" t="s">
        <v>4845</v>
      </c>
      <c r="W1084" s="2" t="s">
        <v>4982</v>
      </c>
      <c r="X1084" s="2" t="s">
        <v>38</v>
      </c>
      <c r="Y1084" s="2" t="s">
        <v>2855</v>
      </c>
      <c r="Z1084" s="2" t="s">
        <v>5856</v>
      </c>
      <c r="AA10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0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84" s="6" t="str">
        <f>IF(_xlfn.IFNA(INDEX(configuracoes!$A$2:$A$10,MATCH(base_tc_geral[[#This Row],[TIPO]],configuracoes!$A$2:$A$10,0)),"NÃO")="NÃO","NÃO","SIM")</f>
        <v>NÃO</v>
      </c>
    </row>
    <row r="1085" spans="1:31" x14ac:dyDescent="0.25">
      <c r="A1085" s="2" t="s">
        <v>2830</v>
      </c>
      <c r="B1085" s="2">
        <v>101004033</v>
      </c>
      <c r="C1085" s="2" t="s">
        <v>24</v>
      </c>
      <c r="D1085" s="2" t="s">
        <v>4503</v>
      </c>
      <c r="E1085" s="2" t="s">
        <v>47</v>
      </c>
      <c r="F1085" s="2" t="s">
        <v>398</v>
      </c>
      <c r="G1085" s="2" t="s">
        <v>136</v>
      </c>
      <c r="H1085" s="2" t="s">
        <v>60</v>
      </c>
      <c r="I1085" s="2" t="s">
        <v>16</v>
      </c>
      <c r="J1085" s="2" t="s">
        <v>60</v>
      </c>
      <c r="K1085" s="2" t="s">
        <v>20</v>
      </c>
      <c r="L1085" s="2" t="s">
        <v>72</v>
      </c>
      <c r="M1085" s="2" t="s">
        <v>22</v>
      </c>
      <c r="N1085" s="2" t="s">
        <v>24</v>
      </c>
      <c r="O1085" s="2" t="s">
        <v>161</v>
      </c>
      <c r="P1085" s="2" t="s">
        <v>2832</v>
      </c>
      <c r="Q1085" s="2" t="s">
        <v>4926</v>
      </c>
      <c r="R1085" s="2" t="s">
        <v>304</v>
      </c>
      <c r="S1085" s="2" t="s">
        <v>51</v>
      </c>
      <c r="T1085" s="2" t="s">
        <v>4697</v>
      </c>
      <c r="U1085" s="2" t="s">
        <v>39</v>
      </c>
      <c r="V1085" s="2" t="s">
        <v>4813</v>
      </c>
      <c r="W1085" s="2" t="s">
        <v>4982</v>
      </c>
      <c r="X1085" s="2" t="s">
        <v>4925</v>
      </c>
      <c r="Y1085" s="2" t="s">
        <v>2831</v>
      </c>
      <c r="Z1085" s="2" t="s">
        <v>5857</v>
      </c>
      <c r="AA10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0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85" s="6" t="str">
        <f>IF(_xlfn.IFNA(INDEX(configuracoes!$A$2:$A$10,MATCH(base_tc_geral[[#This Row],[TIPO]],configuracoes!$A$2:$A$10,0)),"NÃO")="NÃO","NÃO","SIM")</f>
        <v>NÃO</v>
      </c>
    </row>
    <row r="1086" spans="1:31" x14ac:dyDescent="0.25">
      <c r="A1086" s="2" t="s">
        <v>2848</v>
      </c>
      <c r="B1086" s="2">
        <v>101005241</v>
      </c>
      <c r="C1086" s="2" t="s">
        <v>24</v>
      </c>
      <c r="D1086" s="2" t="s">
        <v>4768</v>
      </c>
      <c r="E1086" s="2" t="s">
        <v>47</v>
      </c>
      <c r="F1086" s="2" t="s">
        <v>312</v>
      </c>
      <c r="G1086" s="2" t="s">
        <v>883</v>
      </c>
      <c r="H1086" s="2" t="s">
        <v>311</v>
      </c>
      <c r="I1086" s="2" t="s">
        <v>16</v>
      </c>
      <c r="J1086" s="2" t="s">
        <v>141</v>
      </c>
      <c r="K1086" s="2" t="s">
        <v>20</v>
      </c>
      <c r="L1086" s="2" t="s">
        <v>21</v>
      </c>
      <c r="M1086" s="2" t="s">
        <v>22</v>
      </c>
      <c r="N1086" s="2" t="s">
        <v>24</v>
      </c>
      <c r="O1086" s="2" t="s">
        <v>314</v>
      </c>
      <c r="P1086" s="2" t="s">
        <v>2850</v>
      </c>
      <c r="Q1086" s="2" t="s">
        <v>4926</v>
      </c>
      <c r="R1086" s="2" t="s">
        <v>143</v>
      </c>
      <c r="S1086" s="2" t="s">
        <v>4698</v>
      </c>
      <c r="T1086" s="2" t="s">
        <v>4697</v>
      </c>
      <c r="U1086" s="2" t="s">
        <v>39</v>
      </c>
      <c r="V1086" s="2" t="s">
        <v>4845</v>
      </c>
      <c r="W1086" s="2" t="s">
        <v>4982</v>
      </c>
      <c r="X1086" s="2" t="s">
        <v>4925</v>
      </c>
      <c r="Y1086" s="2" t="s">
        <v>2849</v>
      </c>
      <c r="Z1086" s="2" t="s">
        <v>5858</v>
      </c>
      <c r="AA10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0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86" s="6" t="str">
        <f>IF(_xlfn.IFNA(INDEX(configuracoes!$A$2:$A$10,MATCH(base_tc_geral[[#This Row],[TIPO]],configuracoes!$A$2:$A$10,0)),"NÃO")="NÃO","NÃO","SIM")</f>
        <v>SIM</v>
      </c>
    </row>
    <row r="1087" spans="1:31" x14ac:dyDescent="0.25">
      <c r="A1087" s="2" t="s">
        <v>4467</v>
      </c>
      <c r="B1087" s="2">
        <v>101003771</v>
      </c>
      <c r="C1087" s="2" t="s">
        <v>15</v>
      </c>
      <c r="D1087" s="2" t="s">
        <v>4522</v>
      </c>
      <c r="E1087" s="2" t="s">
        <v>47</v>
      </c>
      <c r="F1087" s="2" t="s">
        <v>341</v>
      </c>
      <c r="G1087" s="2" t="s">
        <v>172</v>
      </c>
      <c r="H1087" s="2" t="s">
        <v>56</v>
      </c>
      <c r="I1087" s="2" t="s">
        <v>16</v>
      </c>
      <c r="J1087" s="2" t="s">
        <v>60</v>
      </c>
      <c r="K1087" s="2" t="s">
        <v>13</v>
      </c>
      <c r="L1087" s="2" t="s">
        <v>17</v>
      </c>
      <c r="M1087" s="2" t="s">
        <v>18</v>
      </c>
      <c r="N1087" s="2" t="s">
        <v>15</v>
      </c>
      <c r="O1087" s="2" t="s">
        <v>63</v>
      </c>
      <c r="P1087" s="2" t="s">
        <v>4469</v>
      </c>
      <c r="Q1087" s="2" t="s">
        <v>4926</v>
      </c>
      <c r="R1087" s="2" t="s">
        <v>465</v>
      </c>
      <c r="S1087" s="2" t="s">
        <v>51</v>
      </c>
      <c r="T1087" s="2" t="s">
        <v>4697</v>
      </c>
      <c r="U1087" s="2" t="s">
        <v>12</v>
      </c>
      <c r="V1087" s="2" t="s">
        <v>4810</v>
      </c>
      <c r="W1087" s="2" t="s">
        <v>17</v>
      </c>
      <c r="X1087" s="2" t="s">
        <v>4998</v>
      </c>
      <c r="Y1087" s="2" t="s">
        <v>4468</v>
      </c>
      <c r="Z1087" s="2" t="s">
        <v>5859</v>
      </c>
      <c r="AA10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0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87" s="6" t="str">
        <f>IF(_xlfn.IFNA(INDEX(configuracoes!$A$2:$A$10,MATCH(base_tc_geral[[#This Row],[TIPO]],configuracoes!$A$2:$A$10,0)),"NÃO")="NÃO","NÃO","SIM")</f>
        <v>NÃO</v>
      </c>
    </row>
    <row r="1088" spans="1:31" x14ac:dyDescent="0.25">
      <c r="A1088" s="2" t="s">
        <v>894</v>
      </c>
      <c r="B1088" s="2">
        <v>105303208</v>
      </c>
      <c r="C1088" s="2" t="s">
        <v>15</v>
      </c>
      <c r="D1088" s="2" t="s">
        <v>4502</v>
      </c>
      <c r="E1088" s="2" t="s">
        <v>28</v>
      </c>
      <c r="F1088" s="2" t="s">
        <v>440</v>
      </c>
      <c r="G1088" s="2" t="s">
        <v>245</v>
      </c>
      <c r="H1088" s="2" t="s">
        <v>34</v>
      </c>
      <c r="I1088" s="2" t="s">
        <v>33</v>
      </c>
      <c r="J1088" s="2" t="s">
        <v>34</v>
      </c>
      <c r="K1088" s="2" t="s">
        <v>20</v>
      </c>
      <c r="L1088" s="2" t="s">
        <v>21</v>
      </c>
      <c r="M1088" s="2" t="s">
        <v>22</v>
      </c>
      <c r="N1088" s="2" t="s">
        <v>15</v>
      </c>
      <c r="O1088" s="2" t="s">
        <v>156</v>
      </c>
      <c r="P1088" s="2" t="s">
        <v>896</v>
      </c>
      <c r="Q1088" s="2" t="s">
        <v>4926</v>
      </c>
      <c r="R1088" s="2" t="s">
        <v>849</v>
      </c>
      <c r="S1088" s="2" t="s">
        <v>167</v>
      </c>
      <c r="T1088" s="2" t="s">
        <v>167</v>
      </c>
      <c r="U1088" s="2" t="s">
        <v>12</v>
      </c>
      <c r="V1088" s="2" t="s">
        <v>4850</v>
      </c>
      <c r="W1088" s="2" t="s">
        <v>4982</v>
      </c>
      <c r="X1088" s="2" t="s">
        <v>4925</v>
      </c>
      <c r="Y1088" s="2" t="s">
        <v>895</v>
      </c>
      <c r="Z1088" s="2" t="s">
        <v>5860</v>
      </c>
      <c r="AA10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10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0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0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88" s="6" t="str">
        <f>IF(_xlfn.IFNA(INDEX(configuracoes!$A$2:$A$10,MATCH(base_tc_geral[[#This Row],[TIPO]],configuracoes!$A$2:$A$10,0)),"NÃO")="NÃO","NÃO","SIM")</f>
        <v>SIM</v>
      </c>
    </row>
    <row r="1089" spans="1:31" x14ac:dyDescent="0.25">
      <c r="A1089" s="2" t="s">
        <v>2658</v>
      </c>
      <c r="B1089" s="2">
        <v>109000340</v>
      </c>
      <c r="C1089" s="2" t="s">
        <v>15</v>
      </c>
      <c r="D1089" s="2" t="s">
        <v>4630</v>
      </c>
      <c r="E1089" s="2" t="s">
        <v>86</v>
      </c>
      <c r="F1089" s="2" t="s">
        <v>88</v>
      </c>
      <c r="G1089" s="2" t="s">
        <v>630</v>
      </c>
      <c r="H1089" s="2" t="s">
        <v>87</v>
      </c>
      <c r="I1089" s="2" t="s">
        <v>33</v>
      </c>
      <c r="J1089" s="2" t="s">
        <v>91</v>
      </c>
      <c r="K1089" s="2" t="s">
        <v>20</v>
      </c>
      <c r="L1089" s="2" t="s">
        <v>21</v>
      </c>
      <c r="M1089" s="2" t="s">
        <v>22</v>
      </c>
      <c r="N1089" s="2" t="s">
        <v>15</v>
      </c>
      <c r="O1089" s="2" t="s">
        <v>95</v>
      </c>
      <c r="P1089" s="2" t="s">
        <v>2660</v>
      </c>
      <c r="Q1089" s="2" t="s">
        <v>4926</v>
      </c>
      <c r="R1089" s="2" t="s">
        <v>90</v>
      </c>
      <c r="S1089" s="2" t="s">
        <v>93</v>
      </c>
      <c r="T1089" s="2" t="s">
        <v>4696</v>
      </c>
      <c r="U1089" s="2" t="s">
        <v>12</v>
      </c>
      <c r="V1089" s="2" t="s">
        <v>4796</v>
      </c>
      <c r="W1089" s="2" t="s">
        <v>4982</v>
      </c>
      <c r="X1089" s="2" t="s">
        <v>4925</v>
      </c>
      <c r="Y1089" s="2" t="s">
        <v>2659</v>
      </c>
      <c r="Z1089" s="2" t="s">
        <v>5861</v>
      </c>
      <c r="AA10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0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0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89" s="6" t="str">
        <f>IF(_xlfn.IFNA(INDEX(configuracoes!$A$2:$A$10,MATCH(base_tc_geral[[#This Row],[TIPO]],configuracoes!$A$2:$A$10,0)),"NÃO")="NÃO","NÃO","SIM")</f>
        <v>SIM</v>
      </c>
    </row>
    <row r="1090" spans="1:31" x14ac:dyDescent="0.25">
      <c r="A1090" s="2" t="s">
        <v>4841</v>
      </c>
      <c r="B1090" s="2">
        <v>101001670</v>
      </c>
      <c r="C1090" s="2" t="s">
        <v>15</v>
      </c>
      <c r="D1090" s="2" t="s">
        <v>4515</v>
      </c>
      <c r="E1090" s="2" t="s">
        <v>47</v>
      </c>
      <c r="F1090" s="2" t="s">
        <v>225</v>
      </c>
      <c r="G1090" s="2" t="s">
        <v>136</v>
      </c>
      <c r="H1090" s="2" t="s">
        <v>224</v>
      </c>
      <c r="I1090" s="2" t="s">
        <v>16</v>
      </c>
      <c r="J1090" s="2" t="s">
        <v>227</v>
      </c>
      <c r="K1090" s="2" t="s">
        <v>13</v>
      </c>
      <c r="L1090" s="2" t="s">
        <v>72</v>
      </c>
      <c r="M1090" s="2" t="s">
        <v>73</v>
      </c>
      <c r="N1090" s="2" t="s">
        <v>15</v>
      </c>
      <c r="O1090" s="2" t="s">
        <v>229</v>
      </c>
      <c r="P1090" s="2" t="s">
        <v>4843</v>
      </c>
      <c r="Q1090" s="2" t="s">
        <v>4926</v>
      </c>
      <c r="R1090" s="2" t="s">
        <v>226</v>
      </c>
      <c r="S1090" s="2" t="s">
        <v>4698</v>
      </c>
      <c r="T1090" s="2" t="s">
        <v>4697</v>
      </c>
      <c r="U1090" s="2" t="s">
        <v>39</v>
      </c>
      <c r="V1090" s="2" t="s">
        <v>4844</v>
      </c>
      <c r="W1090" s="2" t="s">
        <v>72</v>
      </c>
      <c r="X1090" s="2" t="s">
        <v>5011</v>
      </c>
      <c r="Y1090" s="2" t="s">
        <v>4842</v>
      </c>
      <c r="Z1090" s="2" t="s">
        <v>5862</v>
      </c>
      <c r="AA10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0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0" s="6" t="str">
        <f>IF(_xlfn.IFNA(INDEX(configuracoes!$A$2:$A$10,MATCH(base_tc_geral[[#This Row],[TIPO]],configuracoes!$A$2:$A$10,0)),"NÃO")="NÃO","NÃO","SIM")</f>
        <v>NÃO</v>
      </c>
    </row>
    <row r="1091" spans="1:31" x14ac:dyDescent="0.25">
      <c r="A1091" s="2" t="s">
        <v>4437</v>
      </c>
      <c r="B1091" s="2">
        <v>101003771</v>
      </c>
      <c r="C1091" s="2" t="s">
        <v>15</v>
      </c>
      <c r="D1091" s="2" t="s">
        <v>4484</v>
      </c>
      <c r="E1091" s="2" t="s">
        <v>47</v>
      </c>
      <c r="F1091" s="2" t="s">
        <v>398</v>
      </c>
      <c r="G1091" s="2" t="s">
        <v>172</v>
      </c>
      <c r="H1091" s="2" t="s">
        <v>60</v>
      </c>
      <c r="I1091" s="2" t="s">
        <v>16</v>
      </c>
      <c r="J1091" s="2" t="s">
        <v>60</v>
      </c>
      <c r="K1091" s="2" t="s">
        <v>13</v>
      </c>
      <c r="L1091" s="2" t="s">
        <v>17</v>
      </c>
      <c r="M1091" s="2" t="s">
        <v>18</v>
      </c>
      <c r="N1091" s="2" t="s">
        <v>15</v>
      </c>
      <c r="O1091" s="2" t="s">
        <v>161</v>
      </c>
      <c r="P1091" s="2" t="s">
        <v>4439</v>
      </c>
      <c r="Q1091" s="2" t="s">
        <v>4926</v>
      </c>
      <c r="R1091" s="2" t="s">
        <v>465</v>
      </c>
      <c r="S1091" s="2" t="s">
        <v>51</v>
      </c>
      <c r="T1091" s="2" t="s">
        <v>4697</v>
      </c>
      <c r="U1091" s="2" t="s">
        <v>39</v>
      </c>
      <c r="V1091" s="2" t="s">
        <v>4810</v>
      </c>
      <c r="W1091" s="2" t="s">
        <v>17</v>
      </c>
      <c r="X1091" s="2" t="s">
        <v>4998</v>
      </c>
      <c r="Y1091" s="2" t="s">
        <v>4438</v>
      </c>
      <c r="Z1091" s="2" t="s">
        <v>5863</v>
      </c>
      <c r="AA10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0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1" s="6" t="str">
        <f>IF(_xlfn.IFNA(INDEX(configuracoes!$A$2:$A$10,MATCH(base_tc_geral[[#This Row],[TIPO]],configuracoes!$A$2:$A$10,0)),"NÃO")="NÃO","NÃO","SIM")</f>
        <v>NÃO</v>
      </c>
    </row>
    <row r="1092" spans="1:31" x14ac:dyDescent="0.25">
      <c r="A1092" s="2" t="s">
        <v>3431</v>
      </c>
      <c r="B1092" s="2">
        <v>101001488</v>
      </c>
      <c r="C1092" s="2" t="s">
        <v>15</v>
      </c>
      <c r="D1092" s="2" t="s">
        <v>4656</v>
      </c>
      <c r="E1092" s="2" t="s">
        <v>47</v>
      </c>
      <c r="F1092" s="2" t="s">
        <v>251</v>
      </c>
      <c r="G1092" s="2" t="s">
        <v>648</v>
      </c>
      <c r="H1092" s="2" t="s">
        <v>224</v>
      </c>
      <c r="I1092" s="2" t="s">
        <v>16</v>
      </c>
      <c r="J1092" s="2" t="s">
        <v>227</v>
      </c>
      <c r="K1092" s="2" t="s">
        <v>20</v>
      </c>
      <c r="L1092" s="2" t="s">
        <v>25</v>
      </c>
      <c r="M1092" s="2" t="s">
        <v>22</v>
      </c>
      <c r="N1092" s="2" t="s">
        <v>15</v>
      </c>
      <c r="O1092" s="2" t="s">
        <v>229</v>
      </c>
      <c r="P1092" s="2" t="s">
        <v>3433</v>
      </c>
      <c r="Q1092" s="2" t="s">
        <v>4926</v>
      </c>
      <c r="R1092" s="2" t="s">
        <v>252</v>
      </c>
      <c r="S1092" s="2" t="s">
        <v>101</v>
      </c>
      <c r="T1092" s="2" t="s">
        <v>4697</v>
      </c>
      <c r="U1092" s="2" t="s">
        <v>12</v>
      </c>
      <c r="V1092" s="2" t="s">
        <v>4806</v>
      </c>
      <c r="W1092" s="2" t="s">
        <v>4931</v>
      </c>
      <c r="X1092" s="2" t="s">
        <v>4925</v>
      </c>
      <c r="Y1092" s="2" t="s">
        <v>3432</v>
      </c>
      <c r="Z1092" s="2" t="s">
        <v>5864</v>
      </c>
      <c r="AA10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0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2" s="6" t="str">
        <f>IF(_xlfn.IFNA(INDEX(configuracoes!$A$2:$A$10,MATCH(base_tc_geral[[#This Row],[TIPO]],configuracoes!$A$2:$A$10,0)),"NÃO")="NÃO","NÃO","SIM")</f>
        <v>SIM</v>
      </c>
    </row>
    <row r="1093" spans="1:31" x14ac:dyDescent="0.25">
      <c r="A1093" s="2" t="s">
        <v>377</v>
      </c>
      <c r="B1093" s="2">
        <v>101005241</v>
      </c>
      <c r="C1093" s="2" t="s">
        <v>15</v>
      </c>
      <c r="D1093" s="2" t="s">
        <v>4516</v>
      </c>
      <c r="E1093" s="2" t="s">
        <v>47</v>
      </c>
      <c r="F1093" s="2" t="s">
        <v>312</v>
      </c>
      <c r="G1093" s="2" t="s">
        <v>883</v>
      </c>
      <c r="H1093" s="2" t="s">
        <v>311</v>
      </c>
      <c r="I1093" s="2" t="s">
        <v>16</v>
      </c>
      <c r="J1093" s="2" t="s">
        <v>141</v>
      </c>
      <c r="K1093" s="2" t="s">
        <v>20</v>
      </c>
      <c r="L1093" s="2" t="s">
        <v>21</v>
      </c>
      <c r="M1093" s="2" t="s">
        <v>22</v>
      </c>
      <c r="N1093" s="2" t="s">
        <v>15</v>
      </c>
      <c r="O1093" s="2" t="s">
        <v>314</v>
      </c>
      <c r="P1093" s="2" t="s">
        <v>379</v>
      </c>
      <c r="Q1093" s="2" t="s">
        <v>4926</v>
      </c>
      <c r="R1093" s="2" t="s">
        <v>143</v>
      </c>
      <c r="S1093" s="2" t="s">
        <v>4698</v>
      </c>
      <c r="T1093" s="2" t="s">
        <v>4697</v>
      </c>
      <c r="U1093" s="2" t="s">
        <v>12</v>
      </c>
      <c r="V1093" s="2" t="s">
        <v>4845</v>
      </c>
      <c r="W1093" s="2" t="s">
        <v>4982</v>
      </c>
      <c r="X1093" s="2" t="s">
        <v>4925</v>
      </c>
      <c r="Y1093" s="2" t="s">
        <v>378</v>
      </c>
      <c r="Z1093" s="2" t="s">
        <v>5865</v>
      </c>
      <c r="AA10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0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3" s="6" t="str">
        <f>IF(_xlfn.IFNA(INDEX(configuracoes!$A$2:$A$10,MATCH(base_tc_geral[[#This Row],[TIPO]],configuracoes!$A$2:$A$10,0)),"NÃO")="NÃO","NÃO","SIM")</f>
        <v>SIM</v>
      </c>
    </row>
    <row r="1094" spans="1:31" x14ac:dyDescent="0.25">
      <c r="A1094" s="2" t="s">
        <v>4205</v>
      </c>
      <c r="B1094" s="2">
        <v>101004033</v>
      </c>
      <c r="C1094" s="2" t="s">
        <v>15</v>
      </c>
      <c r="D1094" s="2" t="s">
        <v>4489</v>
      </c>
      <c r="E1094" s="2" t="s">
        <v>47</v>
      </c>
      <c r="F1094" s="2" t="s">
        <v>398</v>
      </c>
      <c r="G1094" s="2" t="s">
        <v>245</v>
      </c>
      <c r="H1094" s="2" t="s">
        <v>60</v>
      </c>
      <c r="I1094" s="2" t="s">
        <v>16</v>
      </c>
      <c r="J1094" s="2" t="s">
        <v>60</v>
      </c>
      <c r="K1094" s="2" t="s">
        <v>20</v>
      </c>
      <c r="L1094" s="2" t="s">
        <v>21</v>
      </c>
      <c r="M1094" s="2" t="s">
        <v>22</v>
      </c>
      <c r="N1094" s="2" t="s">
        <v>15</v>
      </c>
      <c r="O1094" s="2" t="s">
        <v>161</v>
      </c>
      <c r="P1094" s="2" t="s">
        <v>4207</v>
      </c>
      <c r="Q1094" s="2" t="s">
        <v>4926</v>
      </c>
      <c r="R1094" s="2" t="s">
        <v>304</v>
      </c>
      <c r="S1094" s="2" t="s">
        <v>51</v>
      </c>
      <c r="T1094" s="2" t="s">
        <v>4697</v>
      </c>
      <c r="U1094" s="2" t="s">
        <v>12</v>
      </c>
      <c r="V1094" s="2" t="s">
        <v>4813</v>
      </c>
      <c r="W1094" s="2" t="s">
        <v>4982</v>
      </c>
      <c r="X1094" s="2" t="s">
        <v>4925</v>
      </c>
      <c r="Y1094" s="2" t="s">
        <v>4206</v>
      </c>
      <c r="Z1094" s="2" t="s">
        <v>5866</v>
      </c>
      <c r="AA10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0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0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4" s="6" t="str">
        <f>IF(_xlfn.IFNA(INDEX(configuracoes!$A$2:$A$10,MATCH(base_tc_geral[[#This Row],[TIPO]],configuracoes!$A$2:$A$10,0)),"NÃO")="NÃO","NÃO","SIM")</f>
        <v>SIM</v>
      </c>
    </row>
    <row r="1095" spans="1:31" x14ac:dyDescent="0.25">
      <c r="A1095" s="2" t="s">
        <v>4835</v>
      </c>
      <c r="B1095" s="2">
        <v>428271</v>
      </c>
      <c r="C1095" s="2" t="s">
        <v>15</v>
      </c>
      <c r="D1095" s="2" t="s">
        <v>4548</v>
      </c>
      <c r="E1095" s="2" t="s">
        <v>47</v>
      </c>
      <c r="F1095" s="2" t="s">
        <v>350</v>
      </c>
      <c r="G1095" s="2" t="s">
        <v>136</v>
      </c>
      <c r="H1095" s="2" t="s">
        <v>227</v>
      </c>
      <c r="I1095" s="2" t="s">
        <v>16</v>
      </c>
      <c r="J1095" s="2" t="s">
        <v>227</v>
      </c>
      <c r="K1095" s="2" t="s">
        <v>13</v>
      </c>
      <c r="L1095" s="2" t="s">
        <v>72</v>
      </c>
      <c r="M1095" s="2" t="s">
        <v>73</v>
      </c>
      <c r="N1095" s="2" t="s">
        <v>15</v>
      </c>
      <c r="O1095" s="2" t="s">
        <v>271</v>
      </c>
      <c r="P1095" s="2" t="s">
        <v>4837</v>
      </c>
      <c r="Q1095" s="2" t="s">
        <v>4926</v>
      </c>
      <c r="R1095" s="2" t="s">
        <v>4828</v>
      </c>
      <c r="S1095" s="2" t="s">
        <v>4698</v>
      </c>
      <c r="T1095" s="2" t="s">
        <v>4697</v>
      </c>
      <c r="U1095" s="2" t="s">
        <v>39</v>
      </c>
      <c r="V1095" s="2" t="s">
        <v>4829</v>
      </c>
      <c r="W1095" s="2" t="s">
        <v>72</v>
      </c>
      <c r="X1095" s="2" t="s">
        <v>5011</v>
      </c>
      <c r="Y1095" s="2" t="s">
        <v>4836</v>
      </c>
      <c r="Z1095" s="2" t="s">
        <v>5867</v>
      </c>
      <c r="AA10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0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0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5" s="6" t="str">
        <f>IF(_xlfn.IFNA(INDEX(configuracoes!$A$2:$A$10,MATCH(base_tc_geral[[#This Row],[TIPO]],configuracoes!$A$2:$A$10,0)),"NÃO")="NÃO","NÃO","SIM")</f>
        <v>NÃO</v>
      </c>
    </row>
    <row r="1096" spans="1:31" x14ac:dyDescent="0.25">
      <c r="A1096" s="2" t="s">
        <v>1593</v>
      </c>
      <c r="B1096" s="2">
        <v>101009889</v>
      </c>
      <c r="C1096" s="2" t="s">
        <v>15</v>
      </c>
      <c r="D1096" s="2" t="s">
        <v>4486</v>
      </c>
      <c r="E1096" s="2" t="s">
        <v>47</v>
      </c>
      <c r="F1096" s="2" t="s">
        <v>1112</v>
      </c>
      <c r="G1096" s="2" t="s">
        <v>135</v>
      </c>
      <c r="H1096" s="2" t="s">
        <v>224</v>
      </c>
      <c r="I1096" s="2" t="s">
        <v>16</v>
      </c>
      <c r="J1096" s="2" t="s">
        <v>227</v>
      </c>
      <c r="K1096" s="2" t="s">
        <v>13</v>
      </c>
      <c r="L1096" s="2" t="s">
        <v>61</v>
      </c>
      <c r="M1096" s="2" t="s">
        <v>338</v>
      </c>
      <c r="N1096" s="2" t="s">
        <v>15</v>
      </c>
      <c r="O1096" s="2" t="s">
        <v>229</v>
      </c>
      <c r="P1096" s="2" t="s">
        <v>1595</v>
      </c>
      <c r="Q1096" s="2" t="s">
        <v>4926</v>
      </c>
      <c r="R1096" s="2" t="s">
        <v>937</v>
      </c>
      <c r="S1096" s="2" t="s">
        <v>1925</v>
      </c>
      <c r="T1096" s="2" t="s">
        <v>110</v>
      </c>
      <c r="U1096" s="2" t="s">
        <v>39</v>
      </c>
      <c r="V1096" s="2" t="s">
        <v>4830</v>
      </c>
      <c r="W1096" s="2" t="s">
        <v>4993</v>
      </c>
      <c r="X1096" s="2" t="s">
        <v>338</v>
      </c>
      <c r="Y1096" s="2" t="s">
        <v>1594</v>
      </c>
      <c r="Z1096" s="2" t="s">
        <v>5868</v>
      </c>
      <c r="AA10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ROBERTO CLAUDIO </v>
      </c>
      <c r="AB10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ADOLFO </v>
      </c>
      <c r="AC10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10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6" s="6" t="str">
        <f>IF(_xlfn.IFNA(INDEX(configuracoes!$A$2:$A$10,MATCH(base_tc_geral[[#This Row],[TIPO]],configuracoes!$A$2:$A$10,0)),"NÃO")="NÃO","NÃO","SIM")</f>
        <v>NÃO</v>
      </c>
    </row>
    <row r="1097" spans="1:31" x14ac:dyDescent="0.25">
      <c r="A1097" s="2" t="s">
        <v>1894</v>
      </c>
      <c r="B1097" s="2">
        <v>109000926</v>
      </c>
      <c r="C1097" s="2" t="s">
        <v>15</v>
      </c>
      <c r="D1097" s="2" t="s">
        <v>4555</v>
      </c>
      <c r="E1097" s="2" t="s">
        <v>86</v>
      </c>
      <c r="F1097" s="2" t="s">
        <v>325</v>
      </c>
      <c r="G1097" s="2" t="s">
        <v>245</v>
      </c>
      <c r="H1097" s="2" t="s">
        <v>283</v>
      </c>
      <c r="I1097" s="2" t="s">
        <v>33</v>
      </c>
      <c r="J1097" s="2" t="s">
        <v>124</v>
      </c>
      <c r="K1097" s="2" t="s">
        <v>20</v>
      </c>
      <c r="L1097" s="2" t="s">
        <v>21</v>
      </c>
      <c r="M1097" s="2" t="s">
        <v>22</v>
      </c>
      <c r="N1097" s="2" t="s">
        <v>15</v>
      </c>
      <c r="O1097" s="2" t="s">
        <v>287</v>
      </c>
      <c r="P1097" s="2" t="s">
        <v>1896</v>
      </c>
      <c r="Q1097" s="2" t="s">
        <v>4926</v>
      </c>
      <c r="R1097" s="2" t="s">
        <v>285</v>
      </c>
      <c r="S1097" s="2" t="s">
        <v>125</v>
      </c>
      <c r="T1097" s="2" t="s">
        <v>4696</v>
      </c>
      <c r="U1097" s="2" t="s">
        <v>12</v>
      </c>
      <c r="V1097" s="2" t="s">
        <v>4777</v>
      </c>
      <c r="W1097" s="2" t="s">
        <v>4982</v>
      </c>
      <c r="X1097" s="2" t="s">
        <v>4925</v>
      </c>
      <c r="Y1097" s="2" t="s">
        <v>1895</v>
      </c>
      <c r="Z1097" s="2" t="s">
        <v>5875</v>
      </c>
      <c r="AA10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0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0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7" s="6" t="str">
        <f>IF(_xlfn.IFNA(INDEX(configuracoes!$A$2:$A$10,MATCH(base_tc_geral[[#This Row],[TIPO]],configuracoes!$A$2:$A$10,0)),"NÃO")="NÃO","NÃO","SIM")</f>
        <v>SIM</v>
      </c>
    </row>
    <row r="1098" spans="1:31" x14ac:dyDescent="0.25">
      <c r="A1098" s="2" t="s">
        <v>1315</v>
      </c>
      <c r="B1098" s="2">
        <v>109000427</v>
      </c>
      <c r="C1098" s="2" t="s">
        <v>24</v>
      </c>
      <c r="D1098" s="2" t="s">
        <v>4503</v>
      </c>
      <c r="E1098" s="2" t="s">
        <v>86</v>
      </c>
      <c r="F1098" s="2" t="s">
        <v>218</v>
      </c>
      <c r="G1098" s="2" t="s">
        <v>58</v>
      </c>
      <c r="H1098" s="2" t="s">
        <v>217</v>
      </c>
      <c r="I1098" s="2" t="s">
        <v>33</v>
      </c>
      <c r="J1098" s="2" t="s">
        <v>91</v>
      </c>
      <c r="K1098" s="2" t="s">
        <v>13</v>
      </c>
      <c r="L1098" s="2" t="s">
        <v>61</v>
      </c>
      <c r="M1098" s="2" t="s">
        <v>44</v>
      </c>
      <c r="N1098" s="2" t="s">
        <v>24</v>
      </c>
      <c r="O1098" s="2" t="s">
        <v>221</v>
      </c>
      <c r="P1098" s="2" t="s">
        <v>1317</v>
      </c>
      <c r="Q1098" s="2" t="s">
        <v>4926</v>
      </c>
      <c r="R1098" s="2" t="s">
        <v>259</v>
      </c>
      <c r="S1098" s="2" t="s">
        <v>4699</v>
      </c>
      <c r="T1098" s="2" t="s">
        <v>4696</v>
      </c>
      <c r="U1098" s="2" t="s">
        <v>39</v>
      </c>
      <c r="V1098" s="2" t="s">
        <v>4795</v>
      </c>
      <c r="W1098" s="2" t="s">
        <v>4984</v>
      </c>
      <c r="X1098" s="2" t="s">
        <v>44</v>
      </c>
      <c r="Y1098" s="2" t="s">
        <v>1316</v>
      </c>
      <c r="Z1098" s="2" t="s">
        <v>5876</v>
      </c>
      <c r="AA10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10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0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0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098" s="6" t="str">
        <f>IF(_xlfn.IFNA(INDEX(configuracoes!$A$2:$A$10,MATCH(base_tc_geral[[#This Row],[TIPO]],configuracoes!$A$2:$A$10,0)),"NÃO")="NÃO","NÃO","SIM")</f>
        <v>NÃO</v>
      </c>
    </row>
    <row r="1099" spans="1:31" x14ac:dyDescent="0.25">
      <c r="A1099" s="2" t="s">
        <v>3437</v>
      </c>
      <c r="B1099" s="2">
        <v>101001488</v>
      </c>
      <c r="C1099" s="2" t="s">
        <v>15</v>
      </c>
      <c r="D1099" s="2" t="s">
        <v>4499</v>
      </c>
      <c r="E1099" s="2" t="s">
        <v>47</v>
      </c>
      <c r="F1099" s="2" t="s">
        <v>251</v>
      </c>
      <c r="G1099" s="2" t="s">
        <v>648</v>
      </c>
      <c r="H1099" s="2" t="s">
        <v>224</v>
      </c>
      <c r="I1099" s="2" t="s">
        <v>16</v>
      </c>
      <c r="J1099" s="2" t="s">
        <v>227</v>
      </c>
      <c r="K1099" s="2" t="s">
        <v>20</v>
      </c>
      <c r="L1099" s="2" t="s">
        <v>25</v>
      </c>
      <c r="M1099" s="2" t="s">
        <v>22</v>
      </c>
      <c r="N1099" s="2" t="s">
        <v>15</v>
      </c>
      <c r="O1099" s="2" t="s">
        <v>229</v>
      </c>
      <c r="P1099" s="2" t="s">
        <v>3439</v>
      </c>
      <c r="Q1099" s="2" t="s">
        <v>4926</v>
      </c>
      <c r="R1099" s="2" t="s">
        <v>252</v>
      </c>
      <c r="S1099" s="2" t="s">
        <v>101</v>
      </c>
      <c r="T1099" s="2" t="s">
        <v>4697</v>
      </c>
      <c r="U1099" s="2" t="s">
        <v>12</v>
      </c>
      <c r="V1099" s="2" t="s">
        <v>4806</v>
      </c>
      <c r="W1099" s="2" t="s">
        <v>4931</v>
      </c>
      <c r="X1099" s="2" t="s">
        <v>4925</v>
      </c>
      <c r="Y1099" s="2" t="s">
        <v>3438</v>
      </c>
      <c r="Z1099" s="2" t="s">
        <v>5877</v>
      </c>
      <c r="AA10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0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0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0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099" s="6" t="str">
        <f>IF(_xlfn.IFNA(INDEX(configuracoes!$A$2:$A$10,MATCH(base_tc_geral[[#This Row],[TIPO]],configuracoes!$A$2:$A$10,0)),"NÃO")="NÃO","NÃO","SIM")</f>
        <v>SIM</v>
      </c>
    </row>
    <row r="1100" spans="1:31" x14ac:dyDescent="0.25">
      <c r="A1100" s="2" t="s">
        <v>2408</v>
      </c>
      <c r="B1100" s="2">
        <v>102101393</v>
      </c>
      <c r="C1100" s="2" t="s">
        <v>15</v>
      </c>
      <c r="D1100" s="2" t="s">
        <v>4483</v>
      </c>
      <c r="E1100" s="2" t="s">
        <v>106</v>
      </c>
      <c r="F1100" s="2" t="s">
        <v>405</v>
      </c>
      <c r="G1100" s="2" t="s">
        <v>172</v>
      </c>
      <c r="H1100" s="2" t="s">
        <v>130</v>
      </c>
      <c r="I1100" s="2" t="s">
        <v>33</v>
      </c>
      <c r="J1100" s="2" t="s">
        <v>109</v>
      </c>
      <c r="K1100" s="2" t="s">
        <v>13</v>
      </c>
      <c r="L1100" s="2" t="s">
        <v>17</v>
      </c>
      <c r="M1100" s="2" t="s">
        <v>23</v>
      </c>
      <c r="N1100" s="2" t="s">
        <v>15</v>
      </c>
      <c r="O1100" s="2" t="s">
        <v>132</v>
      </c>
      <c r="P1100" s="2" t="s">
        <v>2410</v>
      </c>
      <c r="Q1100" s="2" t="s">
        <v>4926</v>
      </c>
      <c r="R1100" s="2" t="s">
        <v>735</v>
      </c>
      <c r="S1100" s="2" t="s">
        <v>736</v>
      </c>
      <c r="T1100" s="2" t="s">
        <v>167</v>
      </c>
      <c r="U1100" s="2" t="s">
        <v>12</v>
      </c>
      <c r="V1100" s="2" t="s">
        <v>4886</v>
      </c>
      <c r="W1100" s="2" t="s">
        <v>17</v>
      </c>
      <c r="X1100" s="2" t="s">
        <v>4998</v>
      </c>
      <c r="Y1100" s="2" t="s">
        <v>2409</v>
      </c>
      <c r="Z1100" s="2" t="s">
        <v>5878</v>
      </c>
      <c r="AA11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1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1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0" s="6" t="str">
        <f>IF(_xlfn.IFNA(INDEX(configuracoes!$A$2:$A$10,MATCH(base_tc_geral[[#This Row],[TIPO]],configuracoes!$A$2:$A$10,0)),"NÃO")="NÃO","NÃO","SIM")</f>
        <v>NÃO</v>
      </c>
    </row>
    <row r="1101" spans="1:31" x14ac:dyDescent="0.25">
      <c r="A1101" s="2" t="s">
        <v>4296</v>
      </c>
      <c r="B1101" s="2">
        <v>101001782</v>
      </c>
      <c r="C1101" s="2" t="s">
        <v>24</v>
      </c>
      <c r="D1101" s="2" t="s">
        <v>4768</v>
      </c>
      <c r="E1101" s="2" t="s">
        <v>47</v>
      </c>
      <c r="F1101" s="2" t="s">
        <v>464</v>
      </c>
      <c r="G1101" s="2" t="s">
        <v>637</v>
      </c>
      <c r="H1101" s="2" t="s">
        <v>48</v>
      </c>
      <c r="I1101" s="2" t="s">
        <v>16</v>
      </c>
      <c r="J1101" s="2" t="s">
        <v>48</v>
      </c>
      <c r="K1101" s="2" t="s">
        <v>20</v>
      </c>
      <c r="L1101" s="2" t="s">
        <v>19</v>
      </c>
      <c r="M1101" s="2" t="s">
        <v>22</v>
      </c>
      <c r="N1101" s="2" t="s">
        <v>24</v>
      </c>
      <c r="O1101" s="2" t="s">
        <v>53</v>
      </c>
      <c r="P1101" s="2" t="s">
        <v>4298</v>
      </c>
      <c r="Q1101" s="2" t="s">
        <v>4926</v>
      </c>
      <c r="R1101" s="2" t="s">
        <v>512</v>
      </c>
      <c r="S1101" s="2" t="s">
        <v>51</v>
      </c>
      <c r="T1101" s="2" t="s">
        <v>4697</v>
      </c>
      <c r="U1101" s="2" t="s">
        <v>39</v>
      </c>
      <c r="V1101" s="2" t="s">
        <v>4861</v>
      </c>
      <c r="W1101" s="2" t="s">
        <v>4982</v>
      </c>
      <c r="X1101" s="2" t="s">
        <v>4925</v>
      </c>
      <c r="Y1101" s="2" t="s">
        <v>4297</v>
      </c>
      <c r="Z1101" s="2" t="s">
        <v>5879</v>
      </c>
      <c r="AA11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1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01" s="6" t="str">
        <f>IF(_xlfn.IFNA(INDEX(configuracoes!$A$2:$A$10,MATCH(base_tc_geral[[#This Row],[TIPO]],configuracoes!$A$2:$A$10,0)),"NÃO")="NÃO","NÃO","SIM")</f>
        <v>SIM</v>
      </c>
    </row>
    <row r="1102" spans="1:31" x14ac:dyDescent="0.25">
      <c r="A1102" s="2" t="s">
        <v>2857</v>
      </c>
      <c r="B1102" s="2">
        <v>101005241</v>
      </c>
      <c r="C1102" s="2" t="s">
        <v>15</v>
      </c>
      <c r="D1102" s="2" t="s">
        <v>4613</v>
      </c>
      <c r="E1102" s="2" t="s">
        <v>47</v>
      </c>
      <c r="F1102" s="2" t="s">
        <v>312</v>
      </c>
      <c r="G1102" s="2" t="s">
        <v>637</v>
      </c>
      <c r="H1102" s="2" t="s">
        <v>311</v>
      </c>
      <c r="I1102" s="2" t="s">
        <v>16</v>
      </c>
      <c r="J1102" s="2" t="s">
        <v>141</v>
      </c>
      <c r="K1102" s="2" t="s">
        <v>20</v>
      </c>
      <c r="L1102" s="2" t="s">
        <v>19</v>
      </c>
      <c r="M1102" s="2" t="s">
        <v>22</v>
      </c>
      <c r="N1102" s="2" t="s">
        <v>15</v>
      </c>
      <c r="O1102" s="2" t="s">
        <v>314</v>
      </c>
      <c r="P1102" s="2" t="s">
        <v>2859</v>
      </c>
      <c r="Q1102" s="2" t="s">
        <v>4926</v>
      </c>
      <c r="R1102" s="2" t="s">
        <v>143</v>
      </c>
      <c r="S1102" s="2" t="s">
        <v>4698</v>
      </c>
      <c r="T1102" s="2" t="s">
        <v>4697</v>
      </c>
      <c r="U1102" s="2" t="s">
        <v>12</v>
      </c>
      <c r="V1102" s="2" t="s">
        <v>4845</v>
      </c>
      <c r="W1102" s="2" t="s">
        <v>4982</v>
      </c>
      <c r="X1102" s="2" t="s">
        <v>4925</v>
      </c>
      <c r="Y1102" s="2" t="s">
        <v>2858</v>
      </c>
      <c r="Z1102" s="2" t="s">
        <v>5880</v>
      </c>
      <c r="AA11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1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2" s="6" t="str">
        <f>IF(_xlfn.IFNA(INDEX(configuracoes!$A$2:$A$10,MATCH(base_tc_geral[[#This Row],[TIPO]],configuracoes!$A$2:$A$10,0)),"NÃO")="NÃO","NÃO","SIM")</f>
        <v>SIM</v>
      </c>
    </row>
    <row r="1103" spans="1:31" x14ac:dyDescent="0.25">
      <c r="A1103" s="2" t="s">
        <v>357</v>
      </c>
      <c r="B1103" s="2">
        <v>101005456</v>
      </c>
      <c r="C1103" s="2" t="s">
        <v>15</v>
      </c>
      <c r="D1103" s="2" t="s">
        <v>4570</v>
      </c>
      <c r="E1103" s="2" t="s">
        <v>47</v>
      </c>
      <c r="F1103" s="2" t="s">
        <v>181</v>
      </c>
      <c r="G1103" s="2" t="s">
        <v>58</v>
      </c>
      <c r="H1103" s="2" t="s">
        <v>66</v>
      </c>
      <c r="I1103" s="2" t="s">
        <v>16</v>
      </c>
      <c r="J1103" s="2" t="s">
        <v>66</v>
      </c>
      <c r="K1103" s="2" t="s">
        <v>13</v>
      </c>
      <c r="L1103" s="2" t="s">
        <v>61</v>
      </c>
      <c r="M1103" s="2" t="s">
        <v>38</v>
      </c>
      <c r="N1103" s="2" t="s">
        <v>15</v>
      </c>
      <c r="O1103" s="2" t="s">
        <v>71</v>
      </c>
      <c r="P1103" s="2" t="s">
        <v>360</v>
      </c>
      <c r="Q1103" s="2" t="s">
        <v>4926</v>
      </c>
      <c r="R1103" s="2" t="s">
        <v>3187</v>
      </c>
      <c r="S1103" s="2" t="s">
        <v>359</v>
      </c>
      <c r="T1103" s="2" t="s">
        <v>4697</v>
      </c>
      <c r="U1103" s="2" t="s">
        <v>12</v>
      </c>
      <c r="V1103" s="2" t="s">
        <v>4906</v>
      </c>
      <c r="W1103" s="2" t="s">
        <v>4984</v>
      </c>
      <c r="X1103" s="2" t="s">
        <v>38</v>
      </c>
      <c r="Y1103" s="2" t="s">
        <v>358</v>
      </c>
      <c r="Z1103" s="2" t="s">
        <v>5888</v>
      </c>
      <c r="AA11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MARCOS ALBERTO </v>
      </c>
      <c r="AB11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1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3" s="6" t="str">
        <f>IF(_xlfn.IFNA(INDEX(configuracoes!$A$2:$A$10,MATCH(base_tc_geral[[#This Row],[TIPO]],configuracoes!$A$2:$A$10,0)),"NÃO")="NÃO","NÃO","SIM")</f>
        <v>NÃO</v>
      </c>
    </row>
    <row r="1104" spans="1:31" x14ac:dyDescent="0.25">
      <c r="A1104" s="2" t="s">
        <v>4226</v>
      </c>
      <c r="B1104" s="2">
        <v>101005241</v>
      </c>
      <c r="C1104" s="2" t="s">
        <v>15</v>
      </c>
      <c r="D1104" s="2" t="s">
        <v>4684</v>
      </c>
      <c r="E1104" s="2" t="s">
        <v>47</v>
      </c>
      <c r="F1104" s="2" t="s">
        <v>142</v>
      </c>
      <c r="G1104" s="2" t="s">
        <v>172</v>
      </c>
      <c r="H1104" s="2" t="s">
        <v>141</v>
      </c>
      <c r="I1104" s="2" t="s">
        <v>16</v>
      </c>
      <c r="J1104" s="2" t="s">
        <v>141</v>
      </c>
      <c r="K1104" s="2" t="s">
        <v>13</v>
      </c>
      <c r="L1104" s="2" t="s">
        <v>17</v>
      </c>
      <c r="M1104" s="2" t="s">
        <v>22</v>
      </c>
      <c r="N1104" s="2" t="s">
        <v>15</v>
      </c>
      <c r="O1104" s="2" t="s">
        <v>145</v>
      </c>
      <c r="P1104" s="2" t="s">
        <v>4228</v>
      </c>
      <c r="Q1104" s="2" t="s">
        <v>4926</v>
      </c>
      <c r="R1104" s="2" t="s">
        <v>143</v>
      </c>
      <c r="S1104" s="2" t="s">
        <v>4698</v>
      </c>
      <c r="T1104" s="2" t="s">
        <v>4697</v>
      </c>
      <c r="U1104" s="2" t="s">
        <v>12</v>
      </c>
      <c r="V1104" s="2" t="s">
        <v>4845</v>
      </c>
      <c r="W1104" s="2" t="s">
        <v>17</v>
      </c>
      <c r="X1104" s="2" t="s">
        <v>4925</v>
      </c>
      <c r="Y1104" s="2" t="s">
        <v>4227</v>
      </c>
      <c r="Z1104" s="2" t="s">
        <v>5889</v>
      </c>
      <c r="AA11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1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4" s="6" t="str">
        <f>IF(_xlfn.IFNA(INDEX(configuracoes!$A$2:$A$10,MATCH(base_tc_geral[[#This Row],[TIPO]],configuracoes!$A$2:$A$10,0)),"NÃO")="NÃO","NÃO","SIM")</f>
        <v>NÃO</v>
      </c>
    </row>
    <row r="1105" spans="1:31" x14ac:dyDescent="0.25">
      <c r="A1105" s="2" t="s">
        <v>3239</v>
      </c>
      <c r="B1105" s="2">
        <v>428271</v>
      </c>
      <c r="C1105" s="2" t="s">
        <v>15</v>
      </c>
      <c r="D1105" s="2" t="s">
        <v>4516</v>
      </c>
      <c r="E1105" s="2" t="s">
        <v>47</v>
      </c>
      <c r="F1105" s="2" t="s">
        <v>269</v>
      </c>
      <c r="G1105" s="2" t="s">
        <v>245</v>
      </c>
      <c r="H1105" s="2" t="s">
        <v>227</v>
      </c>
      <c r="I1105" s="2" t="s">
        <v>16</v>
      </c>
      <c r="J1105" s="2" t="s">
        <v>227</v>
      </c>
      <c r="K1105" s="2" t="s">
        <v>20</v>
      </c>
      <c r="L1105" s="2" t="s">
        <v>21</v>
      </c>
      <c r="M1105" s="2" t="s">
        <v>22</v>
      </c>
      <c r="N1105" s="2" t="s">
        <v>15</v>
      </c>
      <c r="O1105" s="2" t="s">
        <v>271</v>
      </c>
      <c r="P1105" s="2" t="s">
        <v>3241</v>
      </c>
      <c r="Q1105" s="2" t="s">
        <v>4926</v>
      </c>
      <c r="R1105" s="2" t="s">
        <v>4828</v>
      </c>
      <c r="S1105" s="2" t="s">
        <v>4698</v>
      </c>
      <c r="T1105" s="2" t="s">
        <v>4697</v>
      </c>
      <c r="U1105" s="2" t="s">
        <v>12</v>
      </c>
      <c r="V1105" s="2" t="s">
        <v>4829</v>
      </c>
      <c r="W1105" s="2" t="s">
        <v>4982</v>
      </c>
      <c r="X1105" s="2" t="s">
        <v>4925</v>
      </c>
      <c r="Y1105" s="2" t="s">
        <v>3240</v>
      </c>
      <c r="Z1105" s="2" t="s">
        <v>5890</v>
      </c>
      <c r="AA11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1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5" s="6" t="str">
        <f>IF(_xlfn.IFNA(INDEX(configuracoes!$A$2:$A$10,MATCH(base_tc_geral[[#This Row],[TIPO]],configuracoes!$A$2:$A$10,0)),"NÃO")="NÃO","NÃO","SIM")</f>
        <v>SIM</v>
      </c>
    </row>
    <row r="1106" spans="1:31" x14ac:dyDescent="0.25">
      <c r="A1106" s="2" t="s">
        <v>1572</v>
      </c>
      <c r="B1106" s="2">
        <v>109000017</v>
      </c>
      <c r="C1106" s="2" t="s">
        <v>15</v>
      </c>
      <c r="D1106" s="2" t="s">
        <v>4515</v>
      </c>
      <c r="E1106" s="2" t="s">
        <v>86</v>
      </c>
      <c r="F1106" s="2" t="s">
        <v>274</v>
      </c>
      <c r="G1106" s="2" t="s">
        <v>245</v>
      </c>
      <c r="H1106" s="2" t="s">
        <v>210</v>
      </c>
      <c r="I1106" s="2" t="s">
        <v>33</v>
      </c>
      <c r="J1106" s="2" t="s">
        <v>124</v>
      </c>
      <c r="K1106" s="2" t="s">
        <v>20</v>
      </c>
      <c r="L1106" s="2" t="s">
        <v>21</v>
      </c>
      <c r="M1106" s="2" t="s">
        <v>22</v>
      </c>
      <c r="N1106" s="2" t="s">
        <v>15</v>
      </c>
      <c r="O1106" s="2" t="s">
        <v>214</v>
      </c>
      <c r="P1106" s="2" t="s">
        <v>1574</v>
      </c>
      <c r="Q1106" s="2" t="s">
        <v>4926</v>
      </c>
      <c r="R1106" s="2" t="s">
        <v>212</v>
      </c>
      <c r="S1106" s="2" t="s">
        <v>93</v>
      </c>
      <c r="T1106" s="2" t="s">
        <v>4696</v>
      </c>
      <c r="U1106" s="2" t="s">
        <v>12</v>
      </c>
      <c r="V1106" s="2" t="s">
        <v>4846</v>
      </c>
      <c r="W1106" s="2" t="s">
        <v>4982</v>
      </c>
      <c r="X1106" s="2" t="s">
        <v>4925</v>
      </c>
      <c r="Y1106" s="2" t="s">
        <v>1573</v>
      </c>
      <c r="Z1106" s="2" t="s">
        <v>5891</v>
      </c>
      <c r="AA11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1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6" s="6" t="str">
        <f>IF(_xlfn.IFNA(INDEX(configuracoes!$A$2:$A$10,MATCH(base_tc_geral[[#This Row],[TIPO]],configuracoes!$A$2:$A$10,0)),"NÃO")="NÃO","NÃO","SIM")</f>
        <v>SIM</v>
      </c>
    </row>
    <row r="1107" spans="1:31" x14ac:dyDescent="0.25">
      <c r="A1107" s="2" t="s">
        <v>3881</v>
      </c>
      <c r="B1107" s="2">
        <v>101007665</v>
      </c>
      <c r="C1107" s="2" t="s">
        <v>15</v>
      </c>
      <c r="D1107" s="2" t="s">
        <v>4481</v>
      </c>
      <c r="E1107" s="2" t="s">
        <v>47</v>
      </c>
      <c r="F1107" s="2" t="s">
        <v>341</v>
      </c>
      <c r="G1107" s="2" t="s">
        <v>245</v>
      </c>
      <c r="H1107" s="2" t="s">
        <v>56</v>
      </c>
      <c r="I1107" s="2" t="s">
        <v>16</v>
      </c>
      <c r="J1107" s="2" t="s">
        <v>60</v>
      </c>
      <c r="K1107" s="2" t="s">
        <v>20</v>
      </c>
      <c r="L1107" s="2" t="s">
        <v>21</v>
      </c>
      <c r="M1107" s="2" t="s">
        <v>22</v>
      </c>
      <c r="N1107" s="2" t="s">
        <v>15</v>
      </c>
      <c r="O1107" s="2" t="s">
        <v>63</v>
      </c>
      <c r="P1107" s="2" t="s">
        <v>3883</v>
      </c>
      <c r="Q1107" s="2" t="s">
        <v>4926</v>
      </c>
      <c r="R1107" s="2" t="s">
        <v>342</v>
      </c>
      <c r="S1107" s="2" t="s">
        <v>51</v>
      </c>
      <c r="T1107" s="2" t="s">
        <v>4697</v>
      </c>
      <c r="U1107" s="2" t="s">
        <v>12</v>
      </c>
      <c r="V1107" s="2" t="s">
        <v>4866</v>
      </c>
      <c r="W1107" s="2" t="s">
        <v>4982</v>
      </c>
      <c r="X1107" s="2" t="s">
        <v>4925</v>
      </c>
      <c r="Y1107" s="2" t="s">
        <v>3882</v>
      </c>
      <c r="Z1107" s="2" t="s">
        <v>5892</v>
      </c>
      <c r="AA11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1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7" s="6" t="str">
        <f>IF(_xlfn.IFNA(INDEX(configuracoes!$A$2:$A$10,MATCH(base_tc_geral[[#This Row],[TIPO]],configuracoes!$A$2:$A$10,0)),"NÃO")="NÃO","NÃO","SIM")</f>
        <v>SIM</v>
      </c>
    </row>
    <row r="1108" spans="1:31" x14ac:dyDescent="0.25">
      <c r="A1108" s="2" t="s">
        <v>2027</v>
      </c>
      <c r="B1108" s="2">
        <v>109500315</v>
      </c>
      <c r="C1108" s="2" t="s">
        <v>15</v>
      </c>
      <c r="D1108" s="2" t="s">
        <v>4650</v>
      </c>
      <c r="E1108" s="2" t="s">
        <v>86</v>
      </c>
      <c r="F1108" s="2" t="s">
        <v>205</v>
      </c>
      <c r="G1108" s="2" t="s">
        <v>172</v>
      </c>
      <c r="H1108" s="2" t="s">
        <v>122</v>
      </c>
      <c r="I1108" s="2" t="s">
        <v>33</v>
      </c>
      <c r="J1108" s="2" t="s">
        <v>124</v>
      </c>
      <c r="K1108" s="2" t="s">
        <v>13</v>
      </c>
      <c r="L1108" s="2" t="s">
        <v>17</v>
      </c>
      <c r="M1108" s="2" t="s">
        <v>22</v>
      </c>
      <c r="N1108" s="2" t="s">
        <v>15</v>
      </c>
      <c r="O1108" s="2" t="s">
        <v>129</v>
      </c>
      <c r="P1108" s="2" t="s">
        <v>2029</v>
      </c>
      <c r="Q1108" s="2" t="s">
        <v>4926</v>
      </c>
      <c r="R1108" s="2" t="s">
        <v>173</v>
      </c>
      <c r="S1108" s="2" t="s">
        <v>93</v>
      </c>
      <c r="T1108" s="2" t="s">
        <v>4696</v>
      </c>
      <c r="U1108" s="2" t="s">
        <v>12</v>
      </c>
      <c r="V1108" s="2" t="s">
        <v>4887</v>
      </c>
      <c r="W1108" s="2" t="s">
        <v>17</v>
      </c>
      <c r="X1108" s="2" t="s">
        <v>4925</v>
      </c>
      <c r="Y1108" s="2" t="s">
        <v>2028</v>
      </c>
      <c r="Z1108" s="2" t="s">
        <v>5893</v>
      </c>
      <c r="AA11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1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8" s="6" t="str">
        <f>IF(_xlfn.IFNA(INDEX(configuracoes!$A$2:$A$10,MATCH(base_tc_geral[[#This Row],[TIPO]],configuracoes!$A$2:$A$10,0)),"NÃO")="NÃO","NÃO","SIM")</f>
        <v>NÃO</v>
      </c>
    </row>
    <row r="1109" spans="1:31" x14ac:dyDescent="0.25">
      <c r="A1109" s="2" t="s">
        <v>1608</v>
      </c>
      <c r="B1109" s="2">
        <v>101005376</v>
      </c>
      <c r="C1109" s="2" t="s">
        <v>15</v>
      </c>
      <c r="D1109" s="2" t="s">
        <v>4486</v>
      </c>
      <c r="E1109" s="2" t="s">
        <v>47</v>
      </c>
      <c r="F1109" s="2" t="s">
        <v>269</v>
      </c>
      <c r="G1109" s="2" t="s">
        <v>58</v>
      </c>
      <c r="H1109" s="2" t="s">
        <v>227</v>
      </c>
      <c r="I1109" s="2" t="s">
        <v>16</v>
      </c>
      <c r="J1109" s="2" t="s">
        <v>227</v>
      </c>
      <c r="K1109" s="2" t="s">
        <v>13</v>
      </c>
      <c r="L1109" s="2" t="s">
        <v>61</v>
      </c>
      <c r="M1109" s="2" t="s">
        <v>338</v>
      </c>
      <c r="N1109" s="2" t="s">
        <v>15</v>
      </c>
      <c r="O1109" s="2" t="s">
        <v>271</v>
      </c>
      <c r="P1109" s="2" t="s">
        <v>1610</v>
      </c>
      <c r="Q1109" s="2" t="s">
        <v>4926</v>
      </c>
      <c r="R1109" s="2" t="s">
        <v>959</v>
      </c>
      <c r="S1109" s="2" t="s">
        <v>359</v>
      </c>
      <c r="T1109" s="2" t="s">
        <v>4697</v>
      </c>
      <c r="U1109" s="2" t="s">
        <v>12</v>
      </c>
      <c r="V1109" s="2" t="s">
        <v>4855</v>
      </c>
      <c r="W1109" s="2" t="s">
        <v>5037</v>
      </c>
      <c r="X1109" s="2" t="s">
        <v>338</v>
      </c>
      <c r="Y1109" s="2" t="s">
        <v>1609</v>
      </c>
      <c r="Z1109" s="2" t="s">
        <v>5894</v>
      </c>
      <c r="AA11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VENILSON </v>
      </c>
      <c r="AB11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1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09" s="6" t="str">
        <f>IF(_xlfn.IFNA(INDEX(configuracoes!$A$2:$A$10,MATCH(base_tc_geral[[#This Row],[TIPO]],configuracoes!$A$2:$A$10,0)),"NÃO")="NÃO","NÃO","SIM")</f>
        <v>NÃO</v>
      </c>
    </row>
    <row r="1110" spans="1:31" x14ac:dyDescent="0.25">
      <c r="A1110" s="2" t="s">
        <v>4458</v>
      </c>
      <c r="B1110" s="2">
        <v>101008003</v>
      </c>
      <c r="C1110" s="2" t="s">
        <v>15</v>
      </c>
      <c r="D1110" s="2" t="s">
        <v>4487</v>
      </c>
      <c r="E1110" s="2" t="s">
        <v>47</v>
      </c>
      <c r="F1110" s="2" t="s">
        <v>98</v>
      </c>
      <c r="G1110" s="2" t="s">
        <v>648</v>
      </c>
      <c r="H1110" s="2" t="s">
        <v>56</v>
      </c>
      <c r="I1110" s="2" t="s">
        <v>16</v>
      </c>
      <c r="J1110" s="2" t="s">
        <v>60</v>
      </c>
      <c r="K1110" s="2" t="s">
        <v>13</v>
      </c>
      <c r="L1110" s="2" t="s">
        <v>25</v>
      </c>
      <c r="M1110" s="2" t="s">
        <v>22</v>
      </c>
      <c r="N1110" s="2" t="s">
        <v>15</v>
      </c>
      <c r="O1110" s="2" t="s">
        <v>63</v>
      </c>
      <c r="P1110" s="2" t="s">
        <v>4460</v>
      </c>
      <c r="Q1110" s="2" t="s">
        <v>4926</v>
      </c>
      <c r="R1110" s="2" t="s">
        <v>100</v>
      </c>
      <c r="S1110" s="2" t="s">
        <v>101</v>
      </c>
      <c r="T1110" s="2" t="s">
        <v>4697</v>
      </c>
      <c r="U1110" s="2" t="s">
        <v>12</v>
      </c>
      <c r="V1110" s="2" t="s">
        <v>4806</v>
      </c>
      <c r="W1110" s="2" t="s">
        <v>4931</v>
      </c>
      <c r="X1110" s="2" t="s">
        <v>4925</v>
      </c>
      <c r="Y1110" s="2" t="s">
        <v>4459</v>
      </c>
      <c r="Z1110" s="2" t="s">
        <v>5895</v>
      </c>
      <c r="AA11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1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10" s="6" t="str">
        <f>IF(_xlfn.IFNA(INDEX(configuracoes!$A$2:$A$10,MATCH(base_tc_geral[[#This Row],[TIPO]],configuracoes!$A$2:$A$10,0)),"NÃO")="NÃO","NÃO","SIM")</f>
        <v>SIM</v>
      </c>
    </row>
    <row r="1111" spans="1:31" x14ac:dyDescent="0.25">
      <c r="A1111" s="2" t="s">
        <v>822</v>
      </c>
      <c r="B1111" s="2">
        <v>109000427</v>
      </c>
      <c r="C1111" s="2" t="s">
        <v>15</v>
      </c>
      <c r="D1111" s="2" t="s">
        <v>4520</v>
      </c>
      <c r="E1111" s="2" t="s">
        <v>86</v>
      </c>
      <c r="F1111" s="2" t="s">
        <v>199</v>
      </c>
      <c r="G1111" s="2" t="s">
        <v>58</v>
      </c>
      <c r="H1111" s="2" t="s">
        <v>198</v>
      </c>
      <c r="I1111" s="2" t="s">
        <v>33</v>
      </c>
      <c r="J1111" s="2" t="s">
        <v>91</v>
      </c>
      <c r="K1111" s="2" t="s">
        <v>13</v>
      </c>
      <c r="L1111" s="2" t="s">
        <v>61</v>
      </c>
      <c r="M1111" s="2" t="s">
        <v>44</v>
      </c>
      <c r="N1111" s="2" t="s">
        <v>15</v>
      </c>
      <c r="O1111" s="2" t="s">
        <v>201</v>
      </c>
      <c r="P1111" s="2" t="s">
        <v>824</v>
      </c>
      <c r="Q1111" s="2" t="s">
        <v>4926</v>
      </c>
      <c r="R1111" s="2" t="s">
        <v>259</v>
      </c>
      <c r="S1111" s="2" t="s">
        <v>4699</v>
      </c>
      <c r="T1111" s="2" t="s">
        <v>4696</v>
      </c>
      <c r="U1111" s="2" t="s">
        <v>12</v>
      </c>
      <c r="V1111" s="2" t="s">
        <v>4795</v>
      </c>
      <c r="W1111" s="2" t="s">
        <v>4984</v>
      </c>
      <c r="X1111" s="2" t="s">
        <v>44</v>
      </c>
      <c r="Y1111" s="2" t="s">
        <v>823</v>
      </c>
      <c r="Z1111" s="2" t="s">
        <v>5896</v>
      </c>
      <c r="AA11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11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11" s="6" t="str">
        <f>IF(_xlfn.IFNA(INDEX(configuracoes!$A$2:$A$10,MATCH(base_tc_geral[[#This Row],[TIPO]],configuracoes!$A$2:$A$10,0)),"NÃO")="NÃO","NÃO","SIM")</f>
        <v>NÃO</v>
      </c>
    </row>
    <row r="1112" spans="1:31" x14ac:dyDescent="0.25">
      <c r="A1112" s="2" t="s">
        <v>2276</v>
      </c>
      <c r="B1112" s="2">
        <v>109000340</v>
      </c>
      <c r="C1112" s="2" t="s">
        <v>15</v>
      </c>
      <c r="D1112" s="2" t="s">
        <v>4601</v>
      </c>
      <c r="E1112" s="2" t="s">
        <v>86</v>
      </c>
      <c r="F1112" s="2" t="s">
        <v>88</v>
      </c>
      <c r="G1112" s="2" t="s">
        <v>58</v>
      </c>
      <c r="H1112" s="2" t="s">
        <v>87</v>
      </c>
      <c r="I1112" s="2" t="s">
        <v>33</v>
      </c>
      <c r="J1112" s="2" t="s">
        <v>91</v>
      </c>
      <c r="K1112" s="2" t="s">
        <v>13</v>
      </c>
      <c r="L1112" s="2" t="s">
        <v>61</v>
      </c>
      <c r="M1112" s="2" t="s">
        <v>18</v>
      </c>
      <c r="N1112" s="2" t="s">
        <v>15</v>
      </c>
      <c r="O1112" s="2" t="s">
        <v>95</v>
      </c>
      <c r="P1112" s="2" t="s">
        <v>2278</v>
      </c>
      <c r="Q1112" s="2" t="s">
        <v>4926</v>
      </c>
      <c r="R1112" s="2" t="s">
        <v>90</v>
      </c>
      <c r="S1112" s="2" t="s">
        <v>93</v>
      </c>
      <c r="T1112" s="2" t="s">
        <v>4696</v>
      </c>
      <c r="U1112" s="2" t="s">
        <v>12</v>
      </c>
      <c r="V1112" s="2" t="s">
        <v>4796</v>
      </c>
      <c r="W1112" s="2" t="s">
        <v>4999</v>
      </c>
      <c r="X1112" s="2" t="s">
        <v>4998</v>
      </c>
      <c r="Y1112" s="2" t="s">
        <v>2277</v>
      </c>
      <c r="Z1112" s="2" t="s">
        <v>5897</v>
      </c>
      <c r="AA11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1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12" s="6" t="str">
        <f>IF(_xlfn.IFNA(INDEX(configuracoes!$A$2:$A$10,MATCH(base_tc_geral[[#This Row],[TIPO]],configuracoes!$A$2:$A$10,0)),"NÃO")="NÃO","NÃO","SIM")</f>
        <v>NÃO</v>
      </c>
    </row>
    <row r="1113" spans="1:31" x14ac:dyDescent="0.25">
      <c r="A1113" s="2" t="s">
        <v>348</v>
      </c>
      <c r="B1113" s="2">
        <v>101008134</v>
      </c>
      <c r="C1113" s="2" t="s">
        <v>15</v>
      </c>
      <c r="D1113" s="2" t="s">
        <v>4486</v>
      </c>
      <c r="E1113" s="2" t="s">
        <v>47</v>
      </c>
      <c r="F1113" s="2" t="s">
        <v>350</v>
      </c>
      <c r="G1113" s="2" t="s">
        <v>149</v>
      </c>
      <c r="H1113" s="2" t="s">
        <v>227</v>
      </c>
      <c r="I1113" s="2" t="s">
        <v>16</v>
      </c>
      <c r="J1113" s="2" t="s">
        <v>227</v>
      </c>
      <c r="K1113" s="2" t="s">
        <v>13</v>
      </c>
      <c r="L1113" s="2" t="s">
        <v>61</v>
      </c>
      <c r="M1113" s="2" t="s">
        <v>74</v>
      </c>
      <c r="N1113" s="2" t="s">
        <v>15</v>
      </c>
      <c r="O1113" s="2" t="s">
        <v>271</v>
      </c>
      <c r="P1113" s="2" t="s">
        <v>352</v>
      </c>
      <c r="Q1113" s="2" t="s">
        <v>4926</v>
      </c>
      <c r="R1113" s="2" t="s">
        <v>351</v>
      </c>
      <c r="S1113" s="2" t="s">
        <v>101</v>
      </c>
      <c r="T1113" s="2" t="s">
        <v>4697</v>
      </c>
      <c r="U1113" s="2" t="s">
        <v>39</v>
      </c>
      <c r="V1113" s="2" t="s">
        <v>4834</v>
      </c>
      <c r="W1113" s="2" t="s">
        <v>4999</v>
      </c>
      <c r="X1113" s="2" t="s">
        <v>74</v>
      </c>
      <c r="Y1113" s="2" t="s">
        <v>349</v>
      </c>
      <c r="Z1113" s="2" t="s">
        <v>5898</v>
      </c>
      <c r="AA11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1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13" s="6" t="str">
        <f>IF(_xlfn.IFNA(INDEX(configuracoes!$A$2:$A$10,MATCH(base_tc_geral[[#This Row],[TIPO]],configuracoes!$A$2:$A$10,0)),"NÃO")="NÃO","NÃO","SIM")</f>
        <v>NÃO</v>
      </c>
    </row>
    <row r="1114" spans="1:31" x14ac:dyDescent="0.25">
      <c r="A1114" s="2" t="s">
        <v>1912</v>
      </c>
      <c r="B1114" s="2">
        <v>109000017</v>
      </c>
      <c r="C1114" s="2" t="s">
        <v>15</v>
      </c>
      <c r="D1114" s="2" t="s">
        <v>4515</v>
      </c>
      <c r="E1114" s="2" t="s">
        <v>86</v>
      </c>
      <c r="F1114" s="2" t="s">
        <v>298</v>
      </c>
      <c r="G1114" s="2" t="s">
        <v>58</v>
      </c>
      <c r="H1114" s="2" t="s">
        <v>210</v>
      </c>
      <c r="I1114" s="2" t="s">
        <v>33</v>
      </c>
      <c r="J1114" s="2" t="s">
        <v>124</v>
      </c>
      <c r="K1114" s="2" t="s">
        <v>13</v>
      </c>
      <c r="L1114" s="2" t="s">
        <v>61</v>
      </c>
      <c r="M1114" s="2" t="s">
        <v>44</v>
      </c>
      <c r="N1114" s="2" t="s">
        <v>15</v>
      </c>
      <c r="O1114" s="2" t="s">
        <v>214</v>
      </c>
      <c r="P1114" s="2" t="s">
        <v>1914</v>
      </c>
      <c r="Q1114" s="2" t="s">
        <v>4926</v>
      </c>
      <c r="R1114" s="2" t="s">
        <v>212</v>
      </c>
      <c r="S1114" s="2" t="s">
        <v>93</v>
      </c>
      <c r="T1114" s="2" t="s">
        <v>4696</v>
      </c>
      <c r="U1114" s="2" t="s">
        <v>12</v>
      </c>
      <c r="V1114" s="2" t="s">
        <v>4794</v>
      </c>
      <c r="W1114" s="2" t="s">
        <v>5013</v>
      </c>
      <c r="X1114" s="2" t="s">
        <v>44</v>
      </c>
      <c r="Y1114" s="2" t="s">
        <v>1913</v>
      </c>
      <c r="Z1114" s="2" t="s">
        <v>5899</v>
      </c>
      <c r="AA11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1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14" s="6" t="str">
        <f>IF(_xlfn.IFNA(INDEX(configuracoes!$A$2:$A$10,MATCH(base_tc_geral[[#This Row],[TIPO]],configuracoes!$A$2:$A$10,0)),"NÃO")="NÃO","NÃO","SIM")</f>
        <v>NÃO</v>
      </c>
    </row>
    <row r="1115" spans="1:31" x14ac:dyDescent="0.25">
      <c r="A1115" s="2" t="s">
        <v>4287</v>
      </c>
      <c r="B1115" s="2">
        <v>109504223</v>
      </c>
      <c r="C1115" s="2" t="s">
        <v>24</v>
      </c>
      <c r="D1115" s="2" t="s">
        <v>4482</v>
      </c>
      <c r="E1115" s="2" t="s">
        <v>86</v>
      </c>
      <c r="F1115" s="2" t="s">
        <v>123</v>
      </c>
      <c r="G1115" s="2" t="s">
        <v>58</v>
      </c>
      <c r="H1115" s="2" t="s">
        <v>122</v>
      </c>
      <c r="I1115" s="2" t="s">
        <v>33</v>
      </c>
      <c r="J1115" s="2" t="s">
        <v>124</v>
      </c>
      <c r="K1115" s="2" t="s">
        <v>13</v>
      </c>
      <c r="L1115" s="2" t="s">
        <v>61</v>
      </c>
      <c r="M1115" s="2" t="s">
        <v>338</v>
      </c>
      <c r="N1115" s="2" t="s">
        <v>24</v>
      </c>
      <c r="O1115" s="2" t="s">
        <v>129</v>
      </c>
      <c r="P1115" s="2" t="s">
        <v>4289</v>
      </c>
      <c r="Q1115" s="2" t="s">
        <v>4926</v>
      </c>
      <c r="R1115" s="2" t="s">
        <v>3258</v>
      </c>
      <c r="S1115" s="2" t="s">
        <v>4699</v>
      </c>
      <c r="T1115" s="2" t="s">
        <v>4696</v>
      </c>
      <c r="U1115" s="2" t="s">
        <v>39</v>
      </c>
      <c r="V1115" s="2" t="s">
        <v>4782</v>
      </c>
      <c r="W1115" s="2" t="s">
        <v>4984</v>
      </c>
      <c r="X1115" s="2" t="s">
        <v>338</v>
      </c>
      <c r="Y1115" s="2" t="s">
        <v>4288</v>
      </c>
      <c r="Z1115" s="2" t="s">
        <v>5900</v>
      </c>
      <c r="AA11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ADENILTON CORREIA </v>
      </c>
      <c r="AB11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15" s="6" t="str">
        <f>IF(_xlfn.IFNA(INDEX(configuracoes!$A$2:$A$10,MATCH(base_tc_geral[[#This Row],[TIPO]],configuracoes!$A$2:$A$10,0)),"NÃO")="NÃO","NÃO","SIM")</f>
        <v>NÃO</v>
      </c>
    </row>
    <row r="1116" spans="1:31" x14ac:dyDescent="0.25">
      <c r="A1116" s="2" t="s">
        <v>4232</v>
      </c>
      <c r="B1116" s="2">
        <v>101005241</v>
      </c>
      <c r="C1116" s="2" t="s">
        <v>15</v>
      </c>
      <c r="D1116" s="2" t="s">
        <v>4481</v>
      </c>
      <c r="E1116" s="2" t="s">
        <v>47</v>
      </c>
      <c r="F1116" s="2" t="s">
        <v>142</v>
      </c>
      <c r="G1116" s="2" t="s">
        <v>172</v>
      </c>
      <c r="H1116" s="2" t="s">
        <v>141</v>
      </c>
      <c r="I1116" s="2" t="s">
        <v>16</v>
      </c>
      <c r="J1116" s="2" t="s">
        <v>141</v>
      </c>
      <c r="K1116" s="2" t="s">
        <v>13</v>
      </c>
      <c r="L1116" s="2" t="s">
        <v>17</v>
      </c>
      <c r="M1116" s="2" t="s">
        <v>22</v>
      </c>
      <c r="N1116" s="2" t="s">
        <v>15</v>
      </c>
      <c r="O1116" s="2" t="s">
        <v>145</v>
      </c>
      <c r="P1116" s="2" t="s">
        <v>4234</v>
      </c>
      <c r="Q1116" s="2" t="s">
        <v>4926</v>
      </c>
      <c r="R1116" s="2" t="s">
        <v>143</v>
      </c>
      <c r="S1116" s="2" t="s">
        <v>4698</v>
      </c>
      <c r="T1116" s="2" t="s">
        <v>4697</v>
      </c>
      <c r="U1116" s="2" t="s">
        <v>39</v>
      </c>
      <c r="V1116" s="2" t="s">
        <v>4845</v>
      </c>
      <c r="W1116" s="2" t="s">
        <v>17</v>
      </c>
      <c r="X1116" s="2" t="s">
        <v>4925</v>
      </c>
      <c r="Y1116" s="2" t="s">
        <v>4233</v>
      </c>
      <c r="Z1116" s="2" t="s">
        <v>5901</v>
      </c>
      <c r="AA11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1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16" s="6" t="str">
        <f>IF(_xlfn.IFNA(INDEX(configuracoes!$A$2:$A$10,MATCH(base_tc_geral[[#This Row],[TIPO]],configuracoes!$A$2:$A$10,0)),"NÃO")="NÃO","NÃO","SIM")</f>
        <v>NÃO</v>
      </c>
    </row>
    <row r="1117" spans="1:31" x14ac:dyDescent="0.25">
      <c r="A1117" s="2" t="s">
        <v>1167</v>
      </c>
      <c r="B1117" s="2">
        <v>109000926</v>
      </c>
      <c r="C1117" s="2" t="s">
        <v>24</v>
      </c>
      <c r="D1117" s="2" t="s">
        <v>4768</v>
      </c>
      <c r="E1117" s="2" t="s">
        <v>86</v>
      </c>
      <c r="F1117" s="2" t="s">
        <v>1099</v>
      </c>
      <c r="G1117" s="2" t="s">
        <v>245</v>
      </c>
      <c r="H1117" s="2" t="s">
        <v>283</v>
      </c>
      <c r="I1117" s="2" t="s">
        <v>33</v>
      </c>
      <c r="J1117" s="2" t="s">
        <v>124</v>
      </c>
      <c r="K1117" s="2" t="s">
        <v>20</v>
      </c>
      <c r="L1117" s="2" t="s">
        <v>21</v>
      </c>
      <c r="M1117" s="2" t="s">
        <v>22</v>
      </c>
      <c r="N1117" s="2" t="s">
        <v>24</v>
      </c>
      <c r="O1117" s="2" t="s">
        <v>287</v>
      </c>
      <c r="P1117" s="2" t="s">
        <v>1169</v>
      </c>
      <c r="Q1117" s="2" t="s">
        <v>4926</v>
      </c>
      <c r="R1117" s="2" t="s">
        <v>285</v>
      </c>
      <c r="S1117" s="2" t="s">
        <v>125</v>
      </c>
      <c r="T1117" s="2" t="s">
        <v>4696</v>
      </c>
      <c r="U1117" s="2" t="s">
        <v>39</v>
      </c>
      <c r="V1117" s="2" t="s">
        <v>4777</v>
      </c>
      <c r="W1117" s="2" t="s">
        <v>4982</v>
      </c>
      <c r="X1117" s="2" t="s">
        <v>4925</v>
      </c>
      <c r="Y1117" s="2" t="s">
        <v>1168</v>
      </c>
      <c r="Z1117" s="2" t="s">
        <v>5902</v>
      </c>
      <c r="AA11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1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17" s="6" t="str">
        <f>IF(_xlfn.IFNA(INDEX(configuracoes!$A$2:$A$10,MATCH(base_tc_geral[[#This Row],[TIPO]],configuracoes!$A$2:$A$10,0)),"NÃO")="NÃO","NÃO","SIM")</f>
        <v>SIM</v>
      </c>
    </row>
    <row r="1118" spans="1:31" x14ac:dyDescent="0.25">
      <c r="A1118" s="2" t="s">
        <v>4422</v>
      </c>
      <c r="B1118" s="2">
        <v>109506172</v>
      </c>
      <c r="C1118" s="2" t="s">
        <v>15</v>
      </c>
      <c r="D1118" s="2" t="s">
        <v>4579</v>
      </c>
      <c r="E1118" s="2" t="s">
        <v>86</v>
      </c>
      <c r="F1118" s="2" t="s">
        <v>497</v>
      </c>
      <c r="G1118" s="2" t="s">
        <v>245</v>
      </c>
      <c r="H1118" s="2" t="s">
        <v>164</v>
      </c>
      <c r="I1118" s="2" t="s">
        <v>33</v>
      </c>
      <c r="J1118" s="2" t="s">
        <v>124</v>
      </c>
      <c r="K1118" s="2" t="s">
        <v>20</v>
      </c>
      <c r="L1118" s="2" t="s">
        <v>21</v>
      </c>
      <c r="M1118" s="2" t="s">
        <v>22</v>
      </c>
      <c r="N1118" s="2" t="s">
        <v>15</v>
      </c>
      <c r="O1118" s="2" t="s">
        <v>169</v>
      </c>
      <c r="P1118" s="2" t="s">
        <v>4424</v>
      </c>
      <c r="Q1118" s="2" t="s">
        <v>4926</v>
      </c>
      <c r="R1118" s="2" t="s">
        <v>3588</v>
      </c>
      <c r="S1118" s="2" t="s">
        <v>93</v>
      </c>
      <c r="T1118" s="2" t="s">
        <v>4696</v>
      </c>
      <c r="U1118" s="2" t="s">
        <v>12</v>
      </c>
      <c r="V1118" s="2" t="s">
        <v>4798</v>
      </c>
      <c r="W1118" s="2" t="s">
        <v>4982</v>
      </c>
      <c r="X1118" s="2" t="s">
        <v>4925</v>
      </c>
      <c r="Y1118" s="2" t="s">
        <v>4423</v>
      </c>
      <c r="Z1118" s="2" t="s">
        <v>5903</v>
      </c>
      <c r="AA11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1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18" s="6" t="str">
        <f>IF(_xlfn.IFNA(INDEX(configuracoes!$A$2:$A$10,MATCH(base_tc_geral[[#This Row],[TIPO]],configuracoes!$A$2:$A$10,0)),"NÃO")="NÃO","NÃO","SIM")</f>
        <v>SIM</v>
      </c>
    </row>
    <row r="1119" spans="1:31" x14ac:dyDescent="0.25">
      <c r="A1119" s="2" t="s">
        <v>1553</v>
      </c>
      <c r="B1119" s="2">
        <v>109505858</v>
      </c>
      <c r="C1119" s="2" t="s">
        <v>15</v>
      </c>
      <c r="D1119" s="2" t="s">
        <v>4484</v>
      </c>
      <c r="E1119" s="2" t="s">
        <v>86</v>
      </c>
      <c r="F1119" s="2" t="s">
        <v>559</v>
      </c>
      <c r="G1119" s="2" t="s">
        <v>172</v>
      </c>
      <c r="H1119" s="2" t="s">
        <v>558</v>
      </c>
      <c r="I1119" s="2" t="s">
        <v>33</v>
      </c>
      <c r="J1119" s="2" t="s">
        <v>91</v>
      </c>
      <c r="K1119" s="2" t="s">
        <v>13</v>
      </c>
      <c r="L1119" s="2" t="s">
        <v>17</v>
      </c>
      <c r="M1119" s="2" t="s">
        <v>18</v>
      </c>
      <c r="N1119" s="2" t="s">
        <v>15</v>
      </c>
      <c r="O1119" s="2" t="s">
        <v>561</v>
      </c>
      <c r="P1119" s="2" t="s">
        <v>1555</v>
      </c>
      <c r="Q1119" s="2" t="s">
        <v>4926</v>
      </c>
      <c r="R1119" s="2" t="s">
        <v>1466</v>
      </c>
      <c r="S1119" s="2" t="s">
        <v>93</v>
      </c>
      <c r="T1119" s="2" t="s">
        <v>4696</v>
      </c>
      <c r="U1119" s="2" t="s">
        <v>12</v>
      </c>
      <c r="V1119" s="2" t="s">
        <v>4802</v>
      </c>
      <c r="W1119" s="2" t="s">
        <v>17</v>
      </c>
      <c r="X1119" s="2" t="s">
        <v>4998</v>
      </c>
      <c r="Y1119" s="2" t="s">
        <v>1554</v>
      </c>
      <c r="Z1119" s="2" t="s">
        <v>5904</v>
      </c>
      <c r="AA11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1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19" s="6" t="str">
        <f>IF(_xlfn.IFNA(INDEX(configuracoes!$A$2:$A$10,MATCH(base_tc_geral[[#This Row],[TIPO]],configuracoes!$A$2:$A$10,0)),"NÃO")="NÃO","NÃO","SIM")</f>
        <v>NÃO</v>
      </c>
    </row>
    <row r="1120" spans="1:31" x14ac:dyDescent="0.25">
      <c r="A1120" s="2" t="s">
        <v>157</v>
      </c>
      <c r="B1120" s="2">
        <v>101008003</v>
      </c>
      <c r="C1120" s="2" t="s">
        <v>15</v>
      </c>
      <c r="D1120" s="2" t="s">
        <v>4487</v>
      </c>
      <c r="E1120" s="2" t="s">
        <v>47</v>
      </c>
      <c r="F1120" s="2" t="s">
        <v>159</v>
      </c>
      <c r="G1120" s="2" t="s">
        <v>99</v>
      </c>
      <c r="H1120" s="2" t="s">
        <v>60</v>
      </c>
      <c r="I1120" s="2" t="s">
        <v>16</v>
      </c>
      <c r="J1120" s="2" t="s">
        <v>60</v>
      </c>
      <c r="K1120" s="2" t="s">
        <v>13</v>
      </c>
      <c r="L1120" s="2" t="s">
        <v>25</v>
      </c>
      <c r="M1120" s="2" t="s">
        <v>22</v>
      </c>
      <c r="N1120" s="2" t="s">
        <v>15</v>
      </c>
      <c r="O1120" s="2" t="s">
        <v>161</v>
      </c>
      <c r="P1120" s="2" t="s">
        <v>160</v>
      </c>
      <c r="Q1120" s="2" t="s">
        <v>4926</v>
      </c>
      <c r="R1120" s="2" t="s">
        <v>100</v>
      </c>
      <c r="S1120" s="2" t="s">
        <v>101</v>
      </c>
      <c r="T1120" s="2" t="s">
        <v>4697</v>
      </c>
      <c r="U1120" s="2" t="s">
        <v>12</v>
      </c>
      <c r="V1120" s="2" t="s">
        <v>4806</v>
      </c>
      <c r="W1120" s="2" t="s">
        <v>4931</v>
      </c>
      <c r="X1120" s="2" t="s">
        <v>4925</v>
      </c>
      <c r="Y1120" s="2" t="s">
        <v>158</v>
      </c>
      <c r="Z1120" s="2" t="s">
        <v>5905</v>
      </c>
      <c r="AA11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1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20" s="6" t="str">
        <f>IF(_xlfn.IFNA(INDEX(configuracoes!$A$2:$A$10,MATCH(base_tc_geral[[#This Row],[TIPO]],configuracoes!$A$2:$A$10,0)),"NÃO")="NÃO","NÃO","SIM")</f>
        <v>SIM</v>
      </c>
    </row>
    <row r="1121" spans="1:31" x14ac:dyDescent="0.25">
      <c r="A1121" s="2" t="s">
        <v>2870</v>
      </c>
      <c r="B1121" s="2">
        <v>101004033</v>
      </c>
      <c r="C1121" s="2" t="s">
        <v>15</v>
      </c>
      <c r="D1121" s="2" t="s">
        <v>4499</v>
      </c>
      <c r="E1121" s="2" t="s">
        <v>47</v>
      </c>
      <c r="F1121" s="2" t="s">
        <v>398</v>
      </c>
      <c r="G1121" s="2" t="s">
        <v>245</v>
      </c>
      <c r="H1121" s="2" t="s">
        <v>60</v>
      </c>
      <c r="I1121" s="2" t="s">
        <v>16</v>
      </c>
      <c r="J1121" s="2" t="s">
        <v>60</v>
      </c>
      <c r="K1121" s="2" t="s">
        <v>20</v>
      </c>
      <c r="L1121" s="2" t="s">
        <v>21</v>
      </c>
      <c r="M1121" s="2" t="s">
        <v>22</v>
      </c>
      <c r="N1121" s="2" t="s">
        <v>15</v>
      </c>
      <c r="O1121" s="2" t="s">
        <v>161</v>
      </c>
      <c r="P1121" s="2" t="s">
        <v>2872</v>
      </c>
      <c r="Q1121" s="2" t="s">
        <v>4926</v>
      </c>
      <c r="R1121" s="2" t="s">
        <v>304</v>
      </c>
      <c r="S1121" s="2" t="s">
        <v>51</v>
      </c>
      <c r="T1121" s="2" t="s">
        <v>4697</v>
      </c>
      <c r="U1121" s="2" t="s">
        <v>12</v>
      </c>
      <c r="V1121" s="2" t="s">
        <v>4813</v>
      </c>
      <c r="W1121" s="2" t="s">
        <v>4982</v>
      </c>
      <c r="X1121" s="2" t="s">
        <v>4925</v>
      </c>
      <c r="Y1121" s="2" t="s">
        <v>2871</v>
      </c>
      <c r="Z1121" s="2" t="s">
        <v>5906</v>
      </c>
      <c r="AA11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1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21" s="6" t="str">
        <f>IF(_xlfn.IFNA(INDEX(configuracoes!$A$2:$A$10,MATCH(base_tc_geral[[#This Row],[TIPO]],configuracoes!$A$2:$A$10,0)),"NÃO")="NÃO","NÃO","SIM")</f>
        <v>SIM</v>
      </c>
    </row>
    <row r="1122" spans="1:31" x14ac:dyDescent="0.25">
      <c r="A1122" s="2" t="s">
        <v>3893</v>
      </c>
      <c r="B1122" s="2">
        <v>101007665</v>
      </c>
      <c r="C1122" s="2" t="s">
        <v>15</v>
      </c>
      <c r="D1122" s="2" t="s">
        <v>4484</v>
      </c>
      <c r="E1122" s="2" t="s">
        <v>47</v>
      </c>
      <c r="F1122" s="2" t="s">
        <v>2104</v>
      </c>
      <c r="G1122" s="2" t="s">
        <v>883</v>
      </c>
      <c r="H1122" s="2" t="s">
        <v>56</v>
      </c>
      <c r="I1122" s="2" t="s">
        <v>16</v>
      </c>
      <c r="J1122" s="2" t="s">
        <v>60</v>
      </c>
      <c r="K1122" s="2" t="s">
        <v>20</v>
      </c>
      <c r="L1122" s="2" t="s">
        <v>21</v>
      </c>
      <c r="M1122" s="2" t="s">
        <v>22</v>
      </c>
      <c r="N1122" s="2" t="s">
        <v>15</v>
      </c>
      <c r="O1122" s="2" t="s">
        <v>63</v>
      </c>
      <c r="P1122" s="2" t="s">
        <v>3895</v>
      </c>
      <c r="Q1122" s="2" t="s">
        <v>4926</v>
      </c>
      <c r="R1122" s="2" t="s">
        <v>342</v>
      </c>
      <c r="S1122" s="2" t="s">
        <v>51</v>
      </c>
      <c r="T1122" s="2" t="s">
        <v>4697</v>
      </c>
      <c r="U1122" s="2" t="s">
        <v>12</v>
      </c>
      <c r="V1122" s="2" t="s">
        <v>4866</v>
      </c>
      <c r="W1122" s="2" t="s">
        <v>4982</v>
      </c>
      <c r="X1122" s="2" t="s">
        <v>4925</v>
      </c>
      <c r="Y1122" s="2" t="s">
        <v>3894</v>
      </c>
      <c r="Z1122" s="2" t="s">
        <v>5907</v>
      </c>
      <c r="AA11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1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22" s="6" t="str">
        <f>IF(_xlfn.IFNA(INDEX(configuracoes!$A$2:$A$10,MATCH(base_tc_geral[[#This Row],[TIPO]],configuracoes!$A$2:$A$10,0)),"NÃO")="NÃO","NÃO","SIM")</f>
        <v>SIM</v>
      </c>
    </row>
    <row r="1123" spans="1:31" x14ac:dyDescent="0.25">
      <c r="A1123" s="2" t="s">
        <v>2206</v>
      </c>
      <c r="B1123" s="2">
        <v>109000017</v>
      </c>
      <c r="C1123" s="2" t="s">
        <v>15</v>
      </c>
      <c r="D1123" s="2" t="s">
        <v>4489</v>
      </c>
      <c r="E1123" s="2" t="s">
        <v>86</v>
      </c>
      <c r="F1123" s="2" t="s">
        <v>274</v>
      </c>
      <c r="G1123" s="2" t="s">
        <v>245</v>
      </c>
      <c r="H1123" s="2" t="s">
        <v>210</v>
      </c>
      <c r="I1123" s="2" t="s">
        <v>33</v>
      </c>
      <c r="J1123" s="2" t="s">
        <v>124</v>
      </c>
      <c r="K1123" s="2" t="s">
        <v>20</v>
      </c>
      <c r="L1123" s="2" t="s">
        <v>21</v>
      </c>
      <c r="M1123" s="2" t="s">
        <v>22</v>
      </c>
      <c r="N1123" s="2" t="s">
        <v>15</v>
      </c>
      <c r="O1123" s="2" t="s">
        <v>214</v>
      </c>
      <c r="P1123" s="2" t="s">
        <v>2208</v>
      </c>
      <c r="Q1123" s="2" t="s">
        <v>4926</v>
      </c>
      <c r="R1123" s="2" t="s">
        <v>212</v>
      </c>
      <c r="S1123" s="2" t="s">
        <v>93</v>
      </c>
      <c r="T1123" s="2" t="s">
        <v>4696</v>
      </c>
      <c r="U1123" s="2" t="s">
        <v>12</v>
      </c>
      <c r="V1123" s="2" t="s">
        <v>4820</v>
      </c>
      <c r="W1123" s="2" t="s">
        <v>4982</v>
      </c>
      <c r="X1123" s="2" t="s">
        <v>4925</v>
      </c>
      <c r="Y1123" s="2" t="s">
        <v>2207</v>
      </c>
      <c r="Z1123" s="2" t="s">
        <v>5908</v>
      </c>
      <c r="AA11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1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23" s="6" t="str">
        <f>IF(_xlfn.IFNA(INDEX(configuracoes!$A$2:$A$10,MATCH(base_tc_geral[[#This Row],[TIPO]],configuracoes!$A$2:$A$10,0)),"NÃO")="NÃO","NÃO","SIM")</f>
        <v>SIM</v>
      </c>
    </row>
    <row r="1124" spans="1:31" x14ac:dyDescent="0.25">
      <c r="A1124" s="2" t="s">
        <v>1403</v>
      </c>
      <c r="B1124" s="2">
        <v>101008134</v>
      </c>
      <c r="C1124" s="2" t="s">
        <v>15</v>
      </c>
      <c r="D1124" s="2" t="s">
        <v>4489</v>
      </c>
      <c r="E1124" s="2" t="s">
        <v>47</v>
      </c>
      <c r="F1124" s="2" t="s">
        <v>1405</v>
      </c>
      <c r="G1124" s="2" t="s">
        <v>245</v>
      </c>
      <c r="H1124" s="2" t="s">
        <v>227</v>
      </c>
      <c r="I1124" s="2" t="s">
        <v>16</v>
      </c>
      <c r="J1124" s="2" t="s">
        <v>227</v>
      </c>
      <c r="K1124" s="2" t="s">
        <v>20</v>
      </c>
      <c r="L1124" s="2" t="s">
        <v>21</v>
      </c>
      <c r="M1124" s="2" t="s">
        <v>22</v>
      </c>
      <c r="N1124" s="2" t="s">
        <v>15</v>
      </c>
      <c r="O1124" s="2" t="s">
        <v>271</v>
      </c>
      <c r="P1124" s="2" t="s">
        <v>1406</v>
      </c>
      <c r="Q1124" s="2" t="s">
        <v>4926</v>
      </c>
      <c r="R1124" s="2" t="s">
        <v>351</v>
      </c>
      <c r="S1124" s="2" t="s">
        <v>101</v>
      </c>
      <c r="T1124" s="2" t="s">
        <v>4697</v>
      </c>
      <c r="U1124" s="2" t="s">
        <v>12</v>
      </c>
      <c r="V1124" s="2" t="s">
        <v>4834</v>
      </c>
      <c r="W1124" s="2" t="s">
        <v>4982</v>
      </c>
      <c r="X1124" s="2" t="s">
        <v>4925</v>
      </c>
      <c r="Y1124" s="2" t="s">
        <v>1404</v>
      </c>
      <c r="Z1124" s="2" t="s">
        <v>5909</v>
      </c>
      <c r="AA11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1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24" s="6" t="str">
        <f>IF(_xlfn.IFNA(INDEX(configuracoes!$A$2:$A$10,MATCH(base_tc_geral[[#This Row],[TIPO]],configuracoes!$A$2:$A$10,0)),"NÃO")="NÃO","NÃO","SIM")</f>
        <v>SIM</v>
      </c>
    </row>
    <row r="1125" spans="1:31" x14ac:dyDescent="0.25">
      <c r="A1125" s="2" t="s">
        <v>3400</v>
      </c>
      <c r="B1125" s="2">
        <v>101006811</v>
      </c>
      <c r="C1125" s="2" t="s">
        <v>15</v>
      </c>
      <c r="D1125" s="2" t="s">
        <v>4484</v>
      </c>
      <c r="E1125" s="2" t="s">
        <v>47</v>
      </c>
      <c r="F1125" s="2" t="s">
        <v>49</v>
      </c>
      <c r="G1125" s="2" t="s">
        <v>630</v>
      </c>
      <c r="H1125" s="2" t="s">
        <v>48</v>
      </c>
      <c r="I1125" s="2" t="s">
        <v>16</v>
      </c>
      <c r="J1125" s="2" t="s">
        <v>48</v>
      </c>
      <c r="K1125" s="2" t="s">
        <v>20</v>
      </c>
      <c r="L1125" s="2" t="s">
        <v>21</v>
      </c>
      <c r="M1125" s="2" t="s">
        <v>22</v>
      </c>
      <c r="N1125" s="2" t="s">
        <v>15</v>
      </c>
      <c r="O1125" s="2" t="s">
        <v>53</v>
      </c>
      <c r="P1125" s="2" t="s">
        <v>3402</v>
      </c>
      <c r="Q1125" s="2" t="s">
        <v>4926</v>
      </c>
      <c r="R1125" s="2" t="s">
        <v>50</v>
      </c>
      <c r="S1125" s="2" t="s">
        <v>51</v>
      </c>
      <c r="T1125" s="2" t="s">
        <v>4697</v>
      </c>
      <c r="U1125" s="2" t="s">
        <v>12</v>
      </c>
      <c r="V1125" s="2" t="s">
        <v>4860</v>
      </c>
      <c r="W1125" s="2" t="s">
        <v>4982</v>
      </c>
      <c r="X1125" s="2" t="s">
        <v>4925</v>
      </c>
      <c r="Y1125" s="2" t="s">
        <v>3401</v>
      </c>
      <c r="Z1125" s="2" t="s">
        <v>5910</v>
      </c>
      <c r="AA11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1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25" s="6" t="str">
        <f>IF(_xlfn.IFNA(INDEX(configuracoes!$A$2:$A$10,MATCH(base_tc_geral[[#This Row],[TIPO]],configuracoes!$A$2:$A$10,0)),"NÃO")="NÃO","NÃO","SIM")</f>
        <v>SIM</v>
      </c>
    </row>
    <row r="1126" spans="1:31" x14ac:dyDescent="0.25">
      <c r="A1126" s="2" t="s">
        <v>77</v>
      </c>
      <c r="B1126" s="2">
        <v>105000986</v>
      </c>
      <c r="C1126" s="2" t="s">
        <v>24</v>
      </c>
      <c r="D1126" s="2" t="s">
        <v>4768</v>
      </c>
      <c r="E1126" s="2" t="s">
        <v>28</v>
      </c>
      <c r="F1126" s="2" t="s">
        <v>80</v>
      </c>
      <c r="G1126" s="2" t="s">
        <v>245</v>
      </c>
      <c r="H1126" s="2" t="s">
        <v>79</v>
      </c>
      <c r="I1126" s="2" t="s">
        <v>33</v>
      </c>
      <c r="J1126" s="2" t="s">
        <v>34</v>
      </c>
      <c r="K1126" s="2" t="s">
        <v>20</v>
      </c>
      <c r="L1126" s="2" t="s">
        <v>21</v>
      </c>
      <c r="M1126" s="2" t="s">
        <v>22</v>
      </c>
      <c r="N1126" s="2" t="s">
        <v>24</v>
      </c>
      <c r="O1126" s="2" t="s">
        <v>83</v>
      </c>
      <c r="P1126" s="2" t="s">
        <v>82</v>
      </c>
      <c r="Q1126" s="2" t="s">
        <v>4926</v>
      </c>
      <c r="R1126" s="2" t="s">
        <v>81</v>
      </c>
      <c r="S1126" s="2" t="s">
        <v>167</v>
      </c>
      <c r="T1126" s="2" t="s">
        <v>167</v>
      </c>
      <c r="U1126" s="2" t="s">
        <v>39</v>
      </c>
      <c r="V1126" s="2" t="s">
        <v>4767</v>
      </c>
      <c r="W1126" s="2" t="s">
        <v>4982</v>
      </c>
      <c r="X1126" s="2" t="s">
        <v>4925</v>
      </c>
      <c r="Y1126" s="2" t="s">
        <v>78</v>
      </c>
      <c r="Z1126" s="2" t="s">
        <v>5911</v>
      </c>
      <c r="AA11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1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1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26" s="6" t="str">
        <f>IF(_xlfn.IFNA(INDEX(configuracoes!$A$2:$A$10,MATCH(base_tc_geral[[#This Row],[TIPO]],configuracoes!$A$2:$A$10,0)),"NÃO")="NÃO","NÃO","SIM")</f>
        <v>SIM</v>
      </c>
    </row>
    <row r="1127" spans="1:31" x14ac:dyDescent="0.25">
      <c r="A1127" s="2" t="s">
        <v>2899</v>
      </c>
      <c r="B1127" s="2">
        <v>109000499</v>
      </c>
      <c r="C1127" s="2" t="s">
        <v>15</v>
      </c>
      <c r="D1127" s="2" t="s">
        <v>4493</v>
      </c>
      <c r="E1127" s="2" t="s">
        <v>86</v>
      </c>
      <c r="F1127" s="2" t="s">
        <v>284</v>
      </c>
      <c r="G1127" s="2" t="s">
        <v>136</v>
      </c>
      <c r="H1127" s="2" t="s">
        <v>283</v>
      </c>
      <c r="I1127" s="2" t="s">
        <v>33</v>
      </c>
      <c r="J1127" s="2" t="s">
        <v>124</v>
      </c>
      <c r="K1127" s="2" t="s">
        <v>13</v>
      </c>
      <c r="L1127" s="2" t="s">
        <v>72</v>
      </c>
      <c r="M1127" s="2" t="s">
        <v>73</v>
      </c>
      <c r="N1127" s="2" t="s">
        <v>15</v>
      </c>
      <c r="O1127" s="2" t="s">
        <v>287</v>
      </c>
      <c r="P1127" s="2" t="s">
        <v>2901</v>
      </c>
      <c r="Q1127" s="2" t="s">
        <v>4926</v>
      </c>
      <c r="R1127" s="2" t="s">
        <v>321</v>
      </c>
      <c r="S1127" s="2" t="s">
        <v>93</v>
      </c>
      <c r="T1127" s="2" t="s">
        <v>4696</v>
      </c>
      <c r="U1127" s="2" t="s">
        <v>12</v>
      </c>
      <c r="V1127" s="2" t="s">
        <v>4783</v>
      </c>
      <c r="W1127" s="2" t="s">
        <v>72</v>
      </c>
      <c r="X1127" s="2" t="s">
        <v>5011</v>
      </c>
      <c r="Y1127" s="2" t="s">
        <v>2900</v>
      </c>
      <c r="Z1127" s="2" t="s">
        <v>5912</v>
      </c>
      <c r="AA11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1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27" s="6" t="str">
        <f>IF(_xlfn.IFNA(INDEX(configuracoes!$A$2:$A$10,MATCH(base_tc_geral[[#This Row],[TIPO]],configuracoes!$A$2:$A$10,0)),"NÃO")="NÃO","NÃO","SIM")</f>
        <v>NÃO</v>
      </c>
    </row>
    <row r="1128" spans="1:31" x14ac:dyDescent="0.25">
      <c r="A1128" s="2" t="s">
        <v>1170</v>
      </c>
      <c r="B1128" s="2">
        <v>109000926</v>
      </c>
      <c r="C1128" s="2" t="s">
        <v>24</v>
      </c>
      <c r="D1128" s="2" t="s">
        <v>4482</v>
      </c>
      <c r="E1128" s="2" t="s">
        <v>86</v>
      </c>
      <c r="F1128" s="2" t="s">
        <v>325</v>
      </c>
      <c r="G1128" s="2" t="s">
        <v>245</v>
      </c>
      <c r="H1128" s="2" t="s">
        <v>283</v>
      </c>
      <c r="I1128" s="2" t="s">
        <v>33</v>
      </c>
      <c r="J1128" s="2" t="s">
        <v>124</v>
      </c>
      <c r="K1128" s="2" t="s">
        <v>20</v>
      </c>
      <c r="L1128" s="2" t="s">
        <v>21</v>
      </c>
      <c r="M1128" s="2" t="s">
        <v>22</v>
      </c>
      <c r="N1128" s="2" t="s">
        <v>24</v>
      </c>
      <c r="O1128" s="2" t="s">
        <v>287</v>
      </c>
      <c r="P1128" s="2" t="s">
        <v>1172</v>
      </c>
      <c r="Q1128" s="2" t="s">
        <v>4926</v>
      </c>
      <c r="R1128" s="2" t="s">
        <v>285</v>
      </c>
      <c r="S1128" s="2" t="s">
        <v>125</v>
      </c>
      <c r="T1128" s="2" t="s">
        <v>4696</v>
      </c>
      <c r="U1128" s="2" t="s">
        <v>39</v>
      </c>
      <c r="V1128" s="2" t="s">
        <v>4777</v>
      </c>
      <c r="W1128" s="2" t="s">
        <v>4982</v>
      </c>
      <c r="X1128" s="2" t="s">
        <v>4925</v>
      </c>
      <c r="Y1128" s="2" t="s">
        <v>1171</v>
      </c>
      <c r="Z1128" s="2" t="s">
        <v>5913</v>
      </c>
      <c r="AA11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1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28" s="6" t="str">
        <f>IF(_xlfn.IFNA(INDEX(configuracoes!$A$2:$A$10,MATCH(base_tc_geral[[#This Row],[TIPO]],configuracoes!$A$2:$A$10,0)),"NÃO")="NÃO","NÃO","SIM")</f>
        <v>SIM</v>
      </c>
    </row>
    <row r="1129" spans="1:31" x14ac:dyDescent="0.25">
      <c r="A1129" s="2" t="s">
        <v>2731</v>
      </c>
      <c r="B1129" s="2">
        <v>101010062</v>
      </c>
      <c r="C1129" s="2" t="s">
        <v>24</v>
      </c>
      <c r="D1129" s="2" t="s">
        <v>4768</v>
      </c>
      <c r="E1129" s="2" t="s">
        <v>47</v>
      </c>
      <c r="F1129" s="2" t="s">
        <v>181</v>
      </c>
      <c r="G1129" s="2" t="s">
        <v>172</v>
      </c>
      <c r="H1129" s="2" t="s">
        <v>66</v>
      </c>
      <c r="I1129" s="2" t="s">
        <v>16</v>
      </c>
      <c r="J1129" s="2" t="s">
        <v>66</v>
      </c>
      <c r="K1129" s="2" t="s">
        <v>13</v>
      </c>
      <c r="L1129" s="2" t="s">
        <v>17</v>
      </c>
      <c r="M1129" s="2" t="s">
        <v>23</v>
      </c>
      <c r="N1129" s="2" t="s">
        <v>24</v>
      </c>
      <c r="O1129" s="2" t="s">
        <v>71</v>
      </c>
      <c r="P1129" s="2" t="s">
        <v>2733</v>
      </c>
      <c r="Q1129" s="2" t="s">
        <v>4926</v>
      </c>
      <c r="R1129" s="2" t="s">
        <v>1699</v>
      </c>
      <c r="S1129" s="2" t="s">
        <v>4698</v>
      </c>
      <c r="T1129" s="2" t="s">
        <v>4697</v>
      </c>
      <c r="U1129" s="2" t="s">
        <v>39</v>
      </c>
      <c r="V1129" s="2" t="s">
        <v>4792</v>
      </c>
      <c r="W1129" s="2" t="s">
        <v>17</v>
      </c>
      <c r="X1129" s="2" t="s">
        <v>4998</v>
      </c>
      <c r="Y1129" s="2" t="s">
        <v>2732</v>
      </c>
      <c r="Z1129" s="2" t="s">
        <v>5914</v>
      </c>
      <c r="AA11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1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29" s="6" t="str">
        <f>IF(_xlfn.IFNA(INDEX(configuracoes!$A$2:$A$10,MATCH(base_tc_geral[[#This Row],[TIPO]],configuracoes!$A$2:$A$10,0)),"NÃO")="NÃO","NÃO","SIM")</f>
        <v>NÃO</v>
      </c>
    </row>
    <row r="1130" spans="1:31" x14ac:dyDescent="0.25">
      <c r="A1130" s="2" t="s">
        <v>3224</v>
      </c>
      <c r="B1130" s="2">
        <v>109505858</v>
      </c>
      <c r="C1130" s="2" t="s">
        <v>15</v>
      </c>
      <c r="D1130" s="2" t="s">
        <v>4481</v>
      </c>
      <c r="E1130" s="2" t="s">
        <v>86</v>
      </c>
      <c r="F1130" s="2" t="s">
        <v>817</v>
      </c>
      <c r="G1130" s="2" t="s">
        <v>245</v>
      </c>
      <c r="H1130" s="2" t="s">
        <v>217</v>
      </c>
      <c r="I1130" s="2" t="s">
        <v>33</v>
      </c>
      <c r="J1130" s="2" t="s">
        <v>91</v>
      </c>
      <c r="K1130" s="2" t="s">
        <v>20</v>
      </c>
      <c r="L1130" s="2" t="s">
        <v>21</v>
      </c>
      <c r="M1130" s="2" t="s">
        <v>22</v>
      </c>
      <c r="N1130" s="2" t="s">
        <v>15</v>
      </c>
      <c r="O1130" s="2" t="s">
        <v>221</v>
      </c>
      <c r="P1130" s="2" t="s">
        <v>3226</v>
      </c>
      <c r="Q1130" s="2" t="s">
        <v>4926</v>
      </c>
      <c r="R1130" s="2" t="s">
        <v>1466</v>
      </c>
      <c r="S1130" s="2" t="s">
        <v>93</v>
      </c>
      <c r="T1130" s="2" t="s">
        <v>4696</v>
      </c>
      <c r="U1130" s="2" t="s">
        <v>12</v>
      </c>
      <c r="V1130" s="2" t="s">
        <v>4802</v>
      </c>
      <c r="W1130" s="2" t="s">
        <v>4982</v>
      </c>
      <c r="X1130" s="2" t="s">
        <v>4925</v>
      </c>
      <c r="Y1130" s="2" t="s">
        <v>3225</v>
      </c>
      <c r="Z1130" s="2" t="s">
        <v>5915</v>
      </c>
      <c r="AA11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1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0" s="6" t="str">
        <f>IF(_xlfn.IFNA(INDEX(configuracoes!$A$2:$A$10,MATCH(base_tc_geral[[#This Row],[TIPO]],configuracoes!$A$2:$A$10,0)),"NÃO")="NÃO","NÃO","SIM")</f>
        <v>SIM</v>
      </c>
    </row>
    <row r="1131" spans="1:31" x14ac:dyDescent="0.25">
      <c r="A1131" s="2" t="s">
        <v>1475</v>
      </c>
      <c r="B1131" s="2">
        <v>428271</v>
      </c>
      <c r="C1131" s="2" t="s">
        <v>15</v>
      </c>
      <c r="D1131" s="2" t="s">
        <v>4481</v>
      </c>
      <c r="E1131" s="2" t="s">
        <v>47</v>
      </c>
      <c r="F1131" s="2" t="s">
        <v>350</v>
      </c>
      <c r="G1131" s="2" t="s">
        <v>364</v>
      </c>
      <c r="H1131" s="2" t="s">
        <v>227</v>
      </c>
      <c r="I1131" s="2" t="s">
        <v>16</v>
      </c>
      <c r="J1131" s="2" t="s">
        <v>227</v>
      </c>
      <c r="K1131" s="2" t="s">
        <v>13</v>
      </c>
      <c r="L1131" s="2" t="s">
        <v>37</v>
      </c>
      <c r="M1131" s="2" t="s">
        <v>44</v>
      </c>
      <c r="N1131" s="2" t="s">
        <v>15</v>
      </c>
      <c r="O1131" s="2" t="s">
        <v>271</v>
      </c>
      <c r="P1131" s="2" t="s">
        <v>1477</v>
      </c>
      <c r="Q1131" s="2" t="s">
        <v>4926</v>
      </c>
      <c r="R1131" s="2" t="s">
        <v>4828</v>
      </c>
      <c r="S1131" s="2" t="s">
        <v>4698</v>
      </c>
      <c r="T1131" s="2" t="s">
        <v>4697</v>
      </c>
      <c r="U1131" s="2" t="s">
        <v>12</v>
      </c>
      <c r="V1131" s="2" t="s">
        <v>4829</v>
      </c>
      <c r="W1131" s="2" t="s">
        <v>4999</v>
      </c>
      <c r="X1131" s="2" t="s">
        <v>44</v>
      </c>
      <c r="Y1131" s="2" t="s">
        <v>1476</v>
      </c>
      <c r="Z1131" s="2" t="s">
        <v>5916</v>
      </c>
      <c r="AA11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1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1" s="6" t="str">
        <f>IF(_xlfn.IFNA(INDEX(configuracoes!$A$2:$A$10,MATCH(base_tc_geral[[#This Row],[TIPO]],configuracoes!$A$2:$A$10,0)),"NÃO")="NÃO","NÃO","SIM")</f>
        <v>NÃO</v>
      </c>
    </row>
    <row r="1132" spans="1:31" x14ac:dyDescent="0.25">
      <c r="A1132" s="2" t="s">
        <v>2965</v>
      </c>
      <c r="B1132" s="2">
        <v>109506032</v>
      </c>
      <c r="C1132" s="2" t="s">
        <v>15</v>
      </c>
      <c r="D1132" s="2" t="s">
        <v>4481</v>
      </c>
      <c r="E1132" s="2" t="s">
        <v>86</v>
      </c>
      <c r="F1132" s="2" t="s">
        <v>505</v>
      </c>
      <c r="G1132" s="2" t="s">
        <v>245</v>
      </c>
      <c r="H1132" s="2" t="s">
        <v>164</v>
      </c>
      <c r="I1132" s="2" t="s">
        <v>33</v>
      </c>
      <c r="J1132" s="2" t="s">
        <v>124</v>
      </c>
      <c r="K1132" s="2" t="s">
        <v>20</v>
      </c>
      <c r="L1132" s="2" t="s">
        <v>21</v>
      </c>
      <c r="M1132" s="2" t="s">
        <v>22</v>
      </c>
      <c r="N1132" s="2" t="s">
        <v>15</v>
      </c>
      <c r="O1132" s="2" t="s">
        <v>169</v>
      </c>
      <c r="P1132" s="2" t="s">
        <v>2967</v>
      </c>
      <c r="Q1132" s="2" t="s">
        <v>4926</v>
      </c>
      <c r="R1132" s="2" t="s">
        <v>2892</v>
      </c>
      <c r="S1132" s="2" t="s">
        <v>93</v>
      </c>
      <c r="T1132" s="2" t="s">
        <v>4696</v>
      </c>
      <c r="U1132" s="2" t="s">
        <v>12</v>
      </c>
      <c r="V1132" s="2" t="s">
        <v>4785</v>
      </c>
      <c r="W1132" s="2" t="s">
        <v>4982</v>
      </c>
      <c r="X1132" s="2" t="s">
        <v>4925</v>
      </c>
      <c r="Y1132" s="2" t="s">
        <v>2966</v>
      </c>
      <c r="Z1132" s="2" t="s">
        <v>5917</v>
      </c>
      <c r="AA11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1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2" s="6" t="str">
        <f>IF(_xlfn.IFNA(INDEX(configuracoes!$A$2:$A$10,MATCH(base_tc_geral[[#This Row],[TIPO]],configuracoes!$A$2:$A$10,0)),"NÃO")="NÃO","NÃO","SIM")</f>
        <v>SIM</v>
      </c>
    </row>
    <row r="1133" spans="1:31" x14ac:dyDescent="0.25">
      <c r="A1133" s="2" t="s">
        <v>1734</v>
      </c>
      <c r="B1133" s="2">
        <v>109505049</v>
      </c>
      <c r="C1133" s="2" t="s">
        <v>15</v>
      </c>
      <c r="D1133" s="2" t="s">
        <v>4515</v>
      </c>
      <c r="E1133" s="2" t="s">
        <v>86</v>
      </c>
      <c r="F1133" s="2" t="s">
        <v>540</v>
      </c>
      <c r="G1133" s="2" t="s">
        <v>99</v>
      </c>
      <c r="H1133" s="2" t="s">
        <v>283</v>
      </c>
      <c r="I1133" s="2" t="s">
        <v>33</v>
      </c>
      <c r="J1133" s="2" t="s">
        <v>124</v>
      </c>
      <c r="K1133" s="2" t="s">
        <v>20</v>
      </c>
      <c r="L1133" s="2" t="s">
        <v>25</v>
      </c>
      <c r="M1133" s="2" t="s">
        <v>22</v>
      </c>
      <c r="N1133" s="2" t="s">
        <v>15</v>
      </c>
      <c r="O1133" s="2" t="s">
        <v>287</v>
      </c>
      <c r="P1133" s="2" t="s">
        <v>1736</v>
      </c>
      <c r="Q1133" s="2" t="s">
        <v>4926</v>
      </c>
      <c r="R1133" s="2" t="s">
        <v>541</v>
      </c>
      <c r="S1133" s="2" t="s">
        <v>125</v>
      </c>
      <c r="T1133" s="2" t="s">
        <v>4696</v>
      </c>
      <c r="U1133" s="2" t="s">
        <v>12</v>
      </c>
      <c r="V1133" s="2" t="s">
        <v>4765</v>
      </c>
      <c r="W1133" s="2" t="s">
        <v>4931</v>
      </c>
      <c r="X1133" s="2" t="s">
        <v>4925</v>
      </c>
      <c r="Y1133" s="2" t="s">
        <v>1735</v>
      </c>
      <c r="Z1133" s="2" t="s">
        <v>6373</v>
      </c>
      <c r="AA11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1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3" s="6" t="str">
        <f>IF(_xlfn.IFNA(INDEX(configuracoes!$A$2:$A$10,MATCH(base_tc_geral[[#This Row],[TIPO]],configuracoes!$A$2:$A$10,0)),"NÃO")="NÃO","NÃO","SIM")</f>
        <v>SIM</v>
      </c>
    </row>
    <row r="1134" spans="1:31" x14ac:dyDescent="0.25">
      <c r="A1134" s="2" t="s">
        <v>3679</v>
      </c>
      <c r="B1134" s="2">
        <v>109505819</v>
      </c>
      <c r="C1134" s="2" t="s">
        <v>15</v>
      </c>
      <c r="D1134" s="2" t="s">
        <v>4507</v>
      </c>
      <c r="E1134" s="2" t="s">
        <v>86</v>
      </c>
      <c r="F1134" s="2" t="s">
        <v>165</v>
      </c>
      <c r="G1134" s="2" t="s">
        <v>89</v>
      </c>
      <c r="H1134" s="2" t="s">
        <v>164</v>
      </c>
      <c r="I1134" s="2" t="s">
        <v>33</v>
      </c>
      <c r="J1134" s="2" t="s">
        <v>124</v>
      </c>
      <c r="K1134" s="2" t="s">
        <v>13</v>
      </c>
      <c r="L1134" s="2" t="s">
        <v>37</v>
      </c>
      <c r="M1134" s="2" t="s">
        <v>38</v>
      </c>
      <c r="N1134" s="2" t="s">
        <v>15</v>
      </c>
      <c r="O1134" s="2" t="s">
        <v>169</v>
      </c>
      <c r="P1134" s="2" t="s">
        <v>3681</v>
      </c>
      <c r="Q1134" s="2" t="s">
        <v>4926</v>
      </c>
      <c r="R1134" s="2" t="s">
        <v>3459</v>
      </c>
      <c r="S1134" s="2" t="s">
        <v>93</v>
      </c>
      <c r="T1134" s="2" t="s">
        <v>4696</v>
      </c>
      <c r="U1134" s="2" t="s">
        <v>12</v>
      </c>
      <c r="V1134" s="2" t="s">
        <v>4785</v>
      </c>
      <c r="W1134" s="2" t="s">
        <v>4999</v>
      </c>
      <c r="X1134" s="2" t="s">
        <v>38</v>
      </c>
      <c r="Y1134" s="2" t="s">
        <v>3680</v>
      </c>
      <c r="Z1134" s="2" t="s">
        <v>6374</v>
      </c>
      <c r="AA11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11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4" s="6" t="str">
        <f>IF(_xlfn.IFNA(INDEX(configuracoes!$A$2:$A$10,MATCH(base_tc_geral[[#This Row],[TIPO]],configuracoes!$A$2:$A$10,0)),"NÃO")="NÃO","NÃO","SIM")</f>
        <v>NÃO</v>
      </c>
    </row>
    <row r="1135" spans="1:31" x14ac:dyDescent="0.25">
      <c r="A1135" s="2" t="s">
        <v>3054</v>
      </c>
      <c r="B1135" s="2">
        <v>109505049</v>
      </c>
      <c r="C1135" s="2" t="s">
        <v>15</v>
      </c>
      <c r="D1135" s="2" t="s">
        <v>4484</v>
      </c>
      <c r="E1135" s="2" t="s">
        <v>86</v>
      </c>
      <c r="F1135" s="2" t="s">
        <v>540</v>
      </c>
      <c r="G1135" s="2" t="s">
        <v>99</v>
      </c>
      <c r="H1135" s="2" t="s">
        <v>283</v>
      </c>
      <c r="I1135" s="2" t="s">
        <v>33</v>
      </c>
      <c r="J1135" s="2" t="s">
        <v>124</v>
      </c>
      <c r="K1135" s="2" t="s">
        <v>20</v>
      </c>
      <c r="L1135" s="2" t="s">
        <v>25</v>
      </c>
      <c r="M1135" s="2" t="s">
        <v>22</v>
      </c>
      <c r="N1135" s="2" t="s">
        <v>15</v>
      </c>
      <c r="O1135" s="2" t="s">
        <v>287</v>
      </c>
      <c r="P1135" s="2" t="s">
        <v>3056</v>
      </c>
      <c r="Q1135" s="2" t="s">
        <v>4926</v>
      </c>
      <c r="R1135" s="2" t="s">
        <v>541</v>
      </c>
      <c r="S1135" s="2" t="s">
        <v>125</v>
      </c>
      <c r="T1135" s="2" t="s">
        <v>4696</v>
      </c>
      <c r="U1135" s="2" t="s">
        <v>12</v>
      </c>
      <c r="V1135" s="2" t="s">
        <v>4765</v>
      </c>
      <c r="W1135" s="2" t="s">
        <v>4931</v>
      </c>
      <c r="X1135" s="2" t="s">
        <v>4925</v>
      </c>
      <c r="Y1135" s="2" t="s">
        <v>3055</v>
      </c>
      <c r="Z1135" s="2" t="s">
        <v>6375</v>
      </c>
      <c r="AA11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1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5" s="6" t="str">
        <f>IF(_xlfn.IFNA(INDEX(configuracoes!$A$2:$A$10,MATCH(base_tc_geral[[#This Row],[TIPO]],configuracoes!$A$2:$A$10,0)),"NÃO")="NÃO","NÃO","SIM")</f>
        <v>SIM</v>
      </c>
    </row>
    <row r="1136" spans="1:31" x14ac:dyDescent="0.25">
      <c r="A1136" s="2" t="s">
        <v>1947</v>
      </c>
      <c r="B1136" s="2">
        <v>109000943</v>
      </c>
      <c r="C1136" s="2" t="s">
        <v>40</v>
      </c>
      <c r="D1136" s="2" t="s">
        <v>4649</v>
      </c>
      <c r="E1136" s="2" t="s">
        <v>86</v>
      </c>
      <c r="F1136" s="2" t="s">
        <v>205</v>
      </c>
      <c r="G1136" s="2" t="s">
        <v>245</v>
      </c>
      <c r="H1136" s="2" t="s">
        <v>122</v>
      </c>
      <c r="I1136" s="2" t="s">
        <v>33</v>
      </c>
      <c r="J1136" s="2" t="s">
        <v>124</v>
      </c>
      <c r="K1136" s="2" t="s">
        <v>20</v>
      </c>
      <c r="L1136" s="2" t="s">
        <v>21</v>
      </c>
      <c r="M1136" s="2" t="s">
        <v>22</v>
      </c>
      <c r="N1136" s="2" t="s">
        <v>40</v>
      </c>
      <c r="O1136" s="2" t="s">
        <v>129</v>
      </c>
      <c r="P1136" s="2" t="s">
        <v>1949</v>
      </c>
      <c r="Q1136" s="2" t="s">
        <v>4926</v>
      </c>
      <c r="R1136" s="2" t="s">
        <v>206</v>
      </c>
      <c r="S1136" s="2" t="s">
        <v>125</v>
      </c>
      <c r="T1136" s="2" t="s">
        <v>4696</v>
      </c>
      <c r="U1136" s="2" t="s">
        <v>39</v>
      </c>
      <c r="V1136" s="2" t="s">
        <v>4771</v>
      </c>
      <c r="W1136" s="2" t="s">
        <v>4982</v>
      </c>
      <c r="X1136" s="2" t="s">
        <v>4925</v>
      </c>
      <c r="Y1136" s="2" t="s">
        <v>1948</v>
      </c>
      <c r="Z1136" s="2" t="s">
        <v>6376</v>
      </c>
      <c r="AA11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1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1136" s="6" t="str">
        <f>IF(_xlfn.IFNA(INDEX(configuracoes!$A$2:$A$10,MATCH(base_tc_geral[[#This Row],[TIPO]],configuracoes!$A$2:$A$10,0)),"NÃO")="NÃO","NÃO","SIM")</f>
        <v>SIM</v>
      </c>
    </row>
    <row r="1137" spans="1:31" x14ac:dyDescent="0.25">
      <c r="A1137" s="2" t="s">
        <v>2800</v>
      </c>
      <c r="B1137" s="2">
        <v>109506174</v>
      </c>
      <c r="C1137" s="2" t="s">
        <v>24</v>
      </c>
      <c r="D1137" s="2" t="s">
        <v>4503</v>
      </c>
      <c r="E1137" s="2" t="s">
        <v>86</v>
      </c>
      <c r="F1137" s="2" t="s">
        <v>840</v>
      </c>
      <c r="G1137" s="2" t="s">
        <v>89</v>
      </c>
      <c r="H1137" s="2" t="s">
        <v>198</v>
      </c>
      <c r="I1137" s="2" t="s">
        <v>33</v>
      </c>
      <c r="J1137" s="2" t="s">
        <v>91</v>
      </c>
      <c r="K1137" s="2" t="s">
        <v>13</v>
      </c>
      <c r="L1137" s="2" t="s">
        <v>37</v>
      </c>
      <c r="M1137" s="2" t="s">
        <v>74</v>
      </c>
      <c r="N1137" s="2" t="s">
        <v>24</v>
      </c>
      <c r="O1137" s="2" t="s">
        <v>201</v>
      </c>
      <c r="P1137" s="2" t="s">
        <v>2802</v>
      </c>
      <c r="Q1137" s="2" t="s">
        <v>4926</v>
      </c>
      <c r="R1137" s="2" t="s">
        <v>2782</v>
      </c>
      <c r="S1137" s="2" t="s">
        <v>93</v>
      </c>
      <c r="T1137" s="2" t="s">
        <v>4696</v>
      </c>
      <c r="U1137" s="2" t="s">
        <v>39</v>
      </c>
      <c r="V1137" s="2" t="s">
        <v>4796</v>
      </c>
      <c r="W1137" s="2" t="s">
        <v>4999</v>
      </c>
      <c r="X1137" s="2" t="s">
        <v>74</v>
      </c>
      <c r="Y1137" s="2" t="s">
        <v>2801</v>
      </c>
      <c r="Z1137" s="2" t="s">
        <v>6213</v>
      </c>
      <c r="AA11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11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37" s="6" t="str">
        <f>IF(_xlfn.IFNA(INDEX(configuracoes!$A$2:$A$10,MATCH(base_tc_geral[[#This Row],[TIPO]],configuracoes!$A$2:$A$10,0)),"NÃO")="NÃO","NÃO","SIM")</f>
        <v>NÃO</v>
      </c>
    </row>
    <row r="1138" spans="1:31" x14ac:dyDescent="0.25">
      <c r="A1138" s="2" t="s">
        <v>1997</v>
      </c>
      <c r="B1138" s="2">
        <v>109504534</v>
      </c>
      <c r="C1138" s="2" t="s">
        <v>15</v>
      </c>
      <c r="D1138" s="2" t="s">
        <v>4489</v>
      </c>
      <c r="E1138" s="2" t="s">
        <v>86</v>
      </c>
      <c r="F1138" s="2" t="s">
        <v>505</v>
      </c>
      <c r="G1138" s="2" t="s">
        <v>58</v>
      </c>
      <c r="H1138" s="2" t="s">
        <v>164</v>
      </c>
      <c r="I1138" s="2" t="s">
        <v>33</v>
      </c>
      <c r="J1138" s="2" t="s">
        <v>124</v>
      </c>
      <c r="K1138" s="2" t="s">
        <v>13</v>
      </c>
      <c r="L1138" s="2" t="s">
        <v>61</v>
      </c>
      <c r="M1138" s="2" t="s">
        <v>44</v>
      </c>
      <c r="N1138" s="2" t="s">
        <v>15</v>
      </c>
      <c r="O1138" s="2" t="s">
        <v>169</v>
      </c>
      <c r="P1138" s="2" t="s">
        <v>1999</v>
      </c>
      <c r="Q1138" s="2" t="s">
        <v>4926</v>
      </c>
      <c r="R1138" s="2" t="s">
        <v>1957</v>
      </c>
      <c r="S1138" s="2" t="s">
        <v>4699</v>
      </c>
      <c r="T1138" s="2" t="s">
        <v>4696</v>
      </c>
      <c r="U1138" s="2" t="s">
        <v>12</v>
      </c>
      <c r="V1138" s="2" t="s">
        <v>4797</v>
      </c>
      <c r="W1138" s="2" t="s">
        <v>4984</v>
      </c>
      <c r="X1138" s="2" t="s">
        <v>44</v>
      </c>
      <c r="Y1138" s="2" t="s">
        <v>1998</v>
      </c>
      <c r="Z1138" s="2" t="s">
        <v>6214</v>
      </c>
      <c r="AA11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EDSON CARLOS </v>
      </c>
      <c r="AB11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8" s="6" t="str">
        <f>IF(_xlfn.IFNA(INDEX(configuracoes!$A$2:$A$10,MATCH(base_tc_geral[[#This Row],[TIPO]],configuracoes!$A$2:$A$10,0)),"NÃO")="NÃO","NÃO","SIM")</f>
        <v>NÃO</v>
      </c>
    </row>
    <row r="1139" spans="1:31" x14ac:dyDescent="0.25">
      <c r="A1139" s="2" t="s">
        <v>4335</v>
      </c>
      <c r="B1139" s="2">
        <v>109000499</v>
      </c>
      <c r="C1139" s="2" t="s">
        <v>15</v>
      </c>
      <c r="D1139" s="2" t="s">
        <v>4527</v>
      </c>
      <c r="E1139" s="2" t="s">
        <v>86</v>
      </c>
      <c r="F1139" s="2" t="s">
        <v>274</v>
      </c>
      <c r="G1139" s="2" t="s">
        <v>136</v>
      </c>
      <c r="H1139" s="2" t="s">
        <v>210</v>
      </c>
      <c r="I1139" s="2" t="s">
        <v>33</v>
      </c>
      <c r="J1139" s="2" t="s">
        <v>124</v>
      </c>
      <c r="K1139" s="2" t="s">
        <v>13</v>
      </c>
      <c r="L1139" s="2" t="s">
        <v>72</v>
      </c>
      <c r="M1139" s="2" t="s">
        <v>73</v>
      </c>
      <c r="N1139" s="2" t="s">
        <v>15</v>
      </c>
      <c r="O1139" s="2" t="s">
        <v>214</v>
      </c>
      <c r="P1139" s="2" t="s">
        <v>4337</v>
      </c>
      <c r="Q1139" s="2" t="s">
        <v>4926</v>
      </c>
      <c r="R1139" s="2" t="s">
        <v>321</v>
      </c>
      <c r="S1139" s="2" t="s">
        <v>93</v>
      </c>
      <c r="T1139" s="2" t="s">
        <v>4696</v>
      </c>
      <c r="U1139" s="2" t="s">
        <v>12</v>
      </c>
      <c r="V1139" s="2" t="s">
        <v>4783</v>
      </c>
      <c r="W1139" s="2" t="s">
        <v>72</v>
      </c>
      <c r="X1139" s="2" t="s">
        <v>5011</v>
      </c>
      <c r="Y1139" s="2" t="s">
        <v>4336</v>
      </c>
      <c r="Z1139" s="2" t="s">
        <v>5918</v>
      </c>
      <c r="AA11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1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39" s="6" t="str">
        <f>IF(_xlfn.IFNA(INDEX(configuracoes!$A$2:$A$10,MATCH(base_tc_geral[[#This Row],[TIPO]],configuracoes!$A$2:$A$10,0)),"NÃO")="NÃO","NÃO","SIM")</f>
        <v>NÃO</v>
      </c>
    </row>
    <row r="1140" spans="1:31" x14ac:dyDescent="0.25">
      <c r="A1140" s="2" t="s">
        <v>276</v>
      </c>
      <c r="B1140" s="2">
        <v>101010209</v>
      </c>
      <c r="C1140" s="2" t="s">
        <v>15</v>
      </c>
      <c r="D1140" s="2" t="s">
        <v>4584</v>
      </c>
      <c r="E1140" s="2" t="s">
        <v>47</v>
      </c>
      <c r="F1140" s="2" t="s">
        <v>278</v>
      </c>
      <c r="G1140" s="2" t="s">
        <v>58</v>
      </c>
      <c r="H1140" s="2" t="s">
        <v>60</v>
      </c>
      <c r="I1140" s="2" t="s">
        <v>16</v>
      </c>
      <c r="J1140" s="2" t="s">
        <v>60</v>
      </c>
      <c r="K1140" s="2" t="s">
        <v>92</v>
      </c>
      <c r="L1140" s="2" t="s">
        <v>61</v>
      </c>
      <c r="M1140" s="2" t="s">
        <v>44</v>
      </c>
      <c r="N1140" s="2" t="s">
        <v>15</v>
      </c>
      <c r="O1140" s="2" t="s">
        <v>161</v>
      </c>
      <c r="P1140" s="2" t="s">
        <v>280</v>
      </c>
      <c r="Q1140" s="2" t="s">
        <v>4926</v>
      </c>
      <c r="R1140" s="2" t="s">
        <v>279</v>
      </c>
      <c r="S1140" s="2" t="s">
        <v>51</v>
      </c>
      <c r="T1140" s="2" t="s">
        <v>4697</v>
      </c>
      <c r="U1140" s="2" t="s">
        <v>12</v>
      </c>
      <c r="V1140" s="2" t="s">
        <v>4821</v>
      </c>
      <c r="W1140" s="2" t="s">
        <v>5013</v>
      </c>
      <c r="X1140" s="2" t="s">
        <v>44</v>
      </c>
      <c r="Y1140" s="2" t="s">
        <v>277</v>
      </c>
      <c r="Z1140" s="2" t="s">
        <v>5391</v>
      </c>
      <c r="AA11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11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40" s="6" t="str">
        <f>IF(_xlfn.IFNA(INDEX(configuracoes!$A$2:$A$10,MATCH(base_tc_geral[[#This Row],[TIPO]],configuracoes!$A$2:$A$10,0)),"NÃO")="NÃO","NÃO","SIM")</f>
        <v>NÃO</v>
      </c>
    </row>
    <row r="1141" spans="1:31" x14ac:dyDescent="0.25">
      <c r="A1141" s="2" t="s">
        <v>3902</v>
      </c>
      <c r="B1141" s="2">
        <v>101007963</v>
      </c>
      <c r="C1141" s="2" t="s">
        <v>24</v>
      </c>
      <c r="D1141" s="2" t="s">
        <v>4482</v>
      </c>
      <c r="E1141" s="2" t="s">
        <v>47</v>
      </c>
      <c r="F1141" s="2" t="s">
        <v>244</v>
      </c>
      <c r="G1141" s="2" t="s">
        <v>4780</v>
      </c>
      <c r="H1141" s="2" t="s">
        <v>60</v>
      </c>
      <c r="I1141" s="2" t="s">
        <v>16</v>
      </c>
      <c r="J1141" s="2" t="s">
        <v>60</v>
      </c>
      <c r="K1141" s="2" t="s">
        <v>20</v>
      </c>
      <c r="L1141" s="2" t="s">
        <v>21</v>
      </c>
      <c r="M1141" s="2" t="s">
        <v>22</v>
      </c>
      <c r="N1141" s="2" t="s">
        <v>24</v>
      </c>
      <c r="O1141" s="2" t="s">
        <v>161</v>
      </c>
      <c r="P1141" s="2" t="s">
        <v>3904</v>
      </c>
      <c r="Q1141" s="2" t="s">
        <v>4926</v>
      </c>
      <c r="R1141" s="2" t="s">
        <v>246</v>
      </c>
      <c r="S1141" s="2" t="s">
        <v>51</v>
      </c>
      <c r="T1141" s="2" t="s">
        <v>4697</v>
      </c>
      <c r="U1141" s="2" t="s">
        <v>39</v>
      </c>
      <c r="V1141" s="2" t="s">
        <v>4778</v>
      </c>
      <c r="W1141" s="2" t="s">
        <v>4982</v>
      </c>
      <c r="X1141" s="2" t="s">
        <v>4925</v>
      </c>
      <c r="Y1141" s="2" t="s">
        <v>3903</v>
      </c>
      <c r="Z1141" s="2" t="s">
        <v>5392</v>
      </c>
      <c r="AA11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1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41" s="6" t="str">
        <f>IF(_xlfn.IFNA(INDEX(configuracoes!$A$2:$A$10,MATCH(base_tc_geral[[#This Row],[TIPO]],configuracoes!$A$2:$A$10,0)),"NÃO")="NÃO","NÃO","SIM")</f>
        <v>SIM</v>
      </c>
    </row>
    <row r="1142" spans="1:31" x14ac:dyDescent="0.25">
      <c r="A1142" s="2" t="s">
        <v>1711</v>
      </c>
      <c r="B1142" s="2">
        <v>101010062</v>
      </c>
      <c r="C1142" s="2" t="s">
        <v>15</v>
      </c>
      <c r="D1142" s="2" t="s">
        <v>4481</v>
      </c>
      <c r="E1142" s="2" t="s">
        <v>47</v>
      </c>
      <c r="F1142" s="2" t="s">
        <v>181</v>
      </c>
      <c r="G1142" s="2" t="s">
        <v>883</v>
      </c>
      <c r="H1142" s="2" t="s">
        <v>66</v>
      </c>
      <c r="I1142" s="2" t="s">
        <v>16</v>
      </c>
      <c r="J1142" s="2" t="s">
        <v>66</v>
      </c>
      <c r="K1142" s="2" t="s">
        <v>20</v>
      </c>
      <c r="L1142" s="2" t="s">
        <v>21</v>
      </c>
      <c r="M1142" s="2" t="s">
        <v>22</v>
      </c>
      <c r="N1142" s="2" t="s">
        <v>15</v>
      </c>
      <c r="O1142" s="2" t="s">
        <v>71</v>
      </c>
      <c r="P1142" s="2" t="s">
        <v>1713</v>
      </c>
      <c r="Q1142" s="2" t="s">
        <v>4926</v>
      </c>
      <c r="R1142" s="2" t="s">
        <v>1699</v>
      </c>
      <c r="S1142" s="2" t="s">
        <v>4698</v>
      </c>
      <c r="T1142" s="2" t="s">
        <v>4697</v>
      </c>
      <c r="U1142" s="2" t="s">
        <v>12</v>
      </c>
      <c r="V1142" s="2" t="s">
        <v>4792</v>
      </c>
      <c r="W1142" s="2" t="s">
        <v>17</v>
      </c>
      <c r="X1142" s="2" t="s">
        <v>4925</v>
      </c>
      <c r="Y1142" s="2" t="s">
        <v>1712</v>
      </c>
      <c r="Z1142" s="2" t="s">
        <v>5393</v>
      </c>
      <c r="AA11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1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42" s="6" t="str">
        <f>IF(_xlfn.IFNA(INDEX(configuracoes!$A$2:$A$10,MATCH(base_tc_geral[[#This Row],[TIPO]],configuracoes!$A$2:$A$10,0)),"NÃO")="NÃO","NÃO","SIM")</f>
        <v>SIM</v>
      </c>
    </row>
    <row r="1143" spans="1:31" x14ac:dyDescent="0.25">
      <c r="A1143" s="2" t="s">
        <v>431</v>
      </c>
      <c r="B1143" s="2">
        <v>101005989</v>
      </c>
      <c r="C1143" s="2" t="s">
        <v>24</v>
      </c>
      <c r="D1143" s="2" t="s">
        <v>4482</v>
      </c>
      <c r="E1143" s="2" t="s">
        <v>47</v>
      </c>
      <c r="F1143" s="2" t="s">
        <v>433</v>
      </c>
      <c r="G1143" s="2" t="s">
        <v>4780</v>
      </c>
      <c r="H1143" s="2" t="s">
        <v>56</v>
      </c>
      <c r="I1143" s="2" t="s">
        <v>16</v>
      </c>
      <c r="J1143" s="2" t="s">
        <v>60</v>
      </c>
      <c r="K1143" s="2" t="s">
        <v>20</v>
      </c>
      <c r="L1143" s="2" t="s">
        <v>21</v>
      </c>
      <c r="M1143" s="2" t="s">
        <v>22</v>
      </c>
      <c r="N1143" s="2" t="s">
        <v>24</v>
      </c>
      <c r="O1143" s="2" t="s">
        <v>63</v>
      </c>
      <c r="P1143" s="2" t="s">
        <v>434</v>
      </c>
      <c r="Q1143" s="2" t="s">
        <v>4926</v>
      </c>
      <c r="R1143" s="2" t="s">
        <v>59</v>
      </c>
      <c r="S1143" s="2" t="s">
        <v>51</v>
      </c>
      <c r="T1143" s="2" t="s">
        <v>4697</v>
      </c>
      <c r="U1143" s="2" t="s">
        <v>39</v>
      </c>
      <c r="V1143" s="2" t="s">
        <v>4779</v>
      </c>
      <c r="W1143" s="2" t="s">
        <v>4982</v>
      </c>
      <c r="X1143" s="2" t="s">
        <v>4925</v>
      </c>
      <c r="Y1143" s="2" t="s">
        <v>432</v>
      </c>
      <c r="Z1143" s="2" t="s">
        <v>5394</v>
      </c>
      <c r="AA11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1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43" s="6" t="str">
        <f>IF(_xlfn.IFNA(INDEX(configuracoes!$A$2:$A$10,MATCH(base_tc_geral[[#This Row],[TIPO]],configuracoes!$A$2:$A$10,0)),"NÃO")="NÃO","NÃO","SIM")</f>
        <v>SIM</v>
      </c>
    </row>
    <row r="1144" spans="1:31" x14ac:dyDescent="0.25">
      <c r="A1144" s="2" t="s">
        <v>3033</v>
      </c>
      <c r="B1144" s="2">
        <v>101010062</v>
      </c>
      <c r="C1144" s="2" t="s">
        <v>24</v>
      </c>
      <c r="D1144" s="2" t="s">
        <v>4768</v>
      </c>
      <c r="E1144" s="2" t="s">
        <v>47</v>
      </c>
      <c r="F1144" s="2" t="s">
        <v>181</v>
      </c>
      <c r="G1144" s="2" t="s">
        <v>172</v>
      </c>
      <c r="H1144" s="2" t="s">
        <v>66</v>
      </c>
      <c r="I1144" s="2" t="s">
        <v>16</v>
      </c>
      <c r="J1144" s="2" t="s">
        <v>66</v>
      </c>
      <c r="K1144" s="2" t="s">
        <v>13</v>
      </c>
      <c r="L1144" s="2" t="s">
        <v>17</v>
      </c>
      <c r="M1144" s="2" t="s">
        <v>18</v>
      </c>
      <c r="N1144" s="2" t="s">
        <v>24</v>
      </c>
      <c r="O1144" s="2" t="s">
        <v>71</v>
      </c>
      <c r="P1144" s="2" t="s">
        <v>3035</v>
      </c>
      <c r="Q1144" s="2" t="s">
        <v>4926</v>
      </c>
      <c r="R1144" s="2" t="s">
        <v>1699</v>
      </c>
      <c r="S1144" s="2" t="s">
        <v>4698</v>
      </c>
      <c r="T1144" s="2" t="s">
        <v>4697</v>
      </c>
      <c r="U1144" s="2" t="s">
        <v>39</v>
      </c>
      <c r="V1144" s="2" t="s">
        <v>4792</v>
      </c>
      <c r="W1144" s="2" t="s">
        <v>17</v>
      </c>
      <c r="X1144" s="2" t="s">
        <v>4998</v>
      </c>
      <c r="Y1144" s="2" t="s">
        <v>3034</v>
      </c>
      <c r="Z1144" s="2" t="s">
        <v>5395</v>
      </c>
      <c r="AA11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1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44" s="6" t="str">
        <f>IF(_xlfn.IFNA(INDEX(configuracoes!$A$2:$A$10,MATCH(base_tc_geral[[#This Row],[TIPO]],configuracoes!$A$2:$A$10,0)),"NÃO")="NÃO","NÃO","SIM")</f>
        <v>NÃO</v>
      </c>
    </row>
    <row r="1145" spans="1:31" x14ac:dyDescent="0.25">
      <c r="A1145" s="2" t="s">
        <v>685</v>
      </c>
      <c r="B1145" s="2">
        <v>101001670</v>
      </c>
      <c r="C1145" s="2" t="s">
        <v>24</v>
      </c>
      <c r="D1145" s="2" t="s">
        <v>4768</v>
      </c>
      <c r="E1145" s="2" t="s">
        <v>47</v>
      </c>
      <c r="F1145" s="2" t="s">
        <v>225</v>
      </c>
      <c r="G1145" s="2" t="s">
        <v>245</v>
      </c>
      <c r="H1145" s="2" t="s">
        <v>224</v>
      </c>
      <c r="I1145" s="2" t="s">
        <v>16</v>
      </c>
      <c r="J1145" s="2" t="s">
        <v>227</v>
      </c>
      <c r="K1145" s="2" t="s">
        <v>20</v>
      </c>
      <c r="L1145" s="2" t="s">
        <v>21</v>
      </c>
      <c r="M1145" s="2" t="s">
        <v>22</v>
      </c>
      <c r="N1145" s="2" t="s">
        <v>24</v>
      </c>
      <c r="O1145" s="2" t="s">
        <v>229</v>
      </c>
      <c r="P1145" s="2" t="s">
        <v>687</v>
      </c>
      <c r="Q1145" s="2" t="s">
        <v>4926</v>
      </c>
      <c r="R1145" s="2" t="s">
        <v>226</v>
      </c>
      <c r="S1145" s="2" t="s">
        <v>4698</v>
      </c>
      <c r="T1145" s="2" t="s">
        <v>4697</v>
      </c>
      <c r="U1145" s="2" t="s">
        <v>39</v>
      </c>
      <c r="V1145" s="2" t="s">
        <v>4834</v>
      </c>
      <c r="W1145" s="2" t="s">
        <v>4982</v>
      </c>
      <c r="X1145" s="2" t="s">
        <v>4925</v>
      </c>
      <c r="Y1145" s="2" t="s">
        <v>686</v>
      </c>
      <c r="Z1145" s="2" t="s">
        <v>5396</v>
      </c>
      <c r="AA11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1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45" s="6" t="str">
        <f>IF(_xlfn.IFNA(INDEX(configuracoes!$A$2:$A$10,MATCH(base_tc_geral[[#This Row],[TIPO]],configuracoes!$A$2:$A$10,0)),"NÃO")="NÃO","NÃO","SIM")</f>
        <v>SIM</v>
      </c>
    </row>
    <row r="1146" spans="1:31" x14ac:dyDescent="0.25">
      <c r="A1146" s="2" t="s">
        <v>3251</v>
      </c>
      <c r="B1146" s="2">
        <v>109500038</v>
      </c>
      <c r="C1146" s="2" t="s">
        <v>15</v>
      </c>
      <c r="D1146" s="2" t="s">
        <v>4553</v>
      </c>
      <c r="E1146" s="2" t="s">
        <v>86</v>
      </c>
      <c r="F1146" s="2" t="s">
        <v>205</v>
      </c>
      <c r="G1146" s="2" t="s">
        <v>58</v>
      </c>
      <c r="H1146" s="2" t="s">
        <v>122</v>
      </c>
      <c r="I1146" s="2" t="s">
        <v>33</v>
      </c>
      <c r="J1146" s="2" t="s">
        <v>124</v>
      </c>
      <c r="K1146" s="2" t="s">
        <v>13</v>
      </c>
      <c r="L1146" s="2" t="s">
        <v>61</v>
      </c>
      <c r="M1146" s="2" t="s">
        <v>38</v>
      </c>
      <c r="N1146" s="2" t="s">
        <v>15</v>
      </c>
      <c r="O1146" s="2" t="s">
        <v>129</v>
      </c>
      <c r="P1146" s="2" t="s">
        <v>3253</v>
      </c>
      <c r="Q1146" s="2" t="s">
        <v>4926</v>
      </c>
      <c r="R1146" s="2" t="s">
        <v>3212</v>
      </c>
      <c r="S1146" s="2" t="s">
        <v>4699</v>
      </c>
      <c r="T1146" s="2" t="s">
        <v>4696</v>
      </c>
      <c r="U1146" s="2" t="s">
        <v>12</v>
      </c>
      <c r="V1146" s="2" t="s">
        <v>4782</v>
      </c>
      <c r="W1146" s="2" t="s">
        <v>4984</v>
      </c>
      <c r="X1146" s="2" t="s">
        <v>38</v>
      </c>
      <c r="Y1146" s="2" t="s">
        <v>3252</v>
      </c>
      <c r="Z1146" s="2" t="s">
        <v>5397</v>
      </c>
      <c r="AA11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PATRICIO MARTINS </v>
      </c>
      <c r="AB11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46" s="6" t="str">
        <f>IF(_xlfn.IFNA(INDEX(configuracoes!$A$2:$A$10,MATCH(base_tc_geral[[#This Row],[TIPO]],configuracoes!$A$2:$A$10,0)),"NÃO")="NÃO","NÃO","SIM")</f>
        <v>NÃO</v>
      </c>
    </row>
    <row r="1147" spans="1:31" x14ac:dyDescent="0.25">
      <c r="A1147" s="2" t="s">
        <v>4862</v>
      </c>
      <c r="B1147" s="2">
        <v>101006811</v>
      </c>
      <c r="C1147" s="2" t="s">
        <v>15</v>
      </c>
      <c r="D1147" s="2" t="s">
        <v>4648</v>
      </c>
      <c r="E1147" s="2" t="s">
        <v>47</v>
      </c>
      <c r="F1147" s="2" t="s">
        <v>49</v>
      </c>
      <c r="G1147" s="2" t="s">
        <v>136</v>
      </c>
      <c r="H1147" s="2" t="s">
        <v>48</v>
      </c>
      <c r="I1147" s="2" t="s">
        <v>16</v>
      </c>
      <c r="J1147" s="2" t="s">
        <v>48</v>
      </c>
      <c r="K1147" s="2" t="s">
        <v>13</v>
      </c>
      <c r="L1147" s="2" t="s">
        <v>72</v>
      </c>
      <c r="M1147" s="2" t="s">
        <v>73</v>
      </c>
      <c r="N1147" s="2" t="s">
        <v>15</v>
      </c>
      <c r="O1147" s="2" t="s">
        <v>53</v>
      </c>
      <c r="P1147" s="2" t="s">
        <v>4864</v>
      </c>
      <c r="Q1147" s="2" t="s">
        <v>4926</v>
      </c>
      <c r="R1147" s="2" t="s">
        <v>50</v>
      </c>
      <c r="S1147" s="2" t="s">
        <v>51</v>
      </c>
      <c r="T1147" s="2" t="s">
        <v>4697</v>
      </c>
      <c r="U1147" s="2" t="s">
        <v>39</v>
      </c>
      <c r="V1147" s="2" t="s">
        <v>4860</v>
      </c>
      <c r="W1147" s="2" t="s">
        <v>72</v>
      </c>
      <c r="X1147" s="2" t="s">
        <v>5011</v>
      </c>
      <c r="Y1147" s="2" t="s">
        <v>4863</v>
      </c>
      <c r="Z1147" s="2" t="s">
        <v>5398</v>
      </c>
      <c r="AA11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1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47" s="6" t="str">
        <f>IF(_xlfn.IFNA(INDEX(configuracoes!$A$2:$A$10,MATCH(base_tc_geral[[#This Row],[TIPO]],configuracoes!$A$2:$A$10,0)),"NÃO")="NÃO","NÃO","SIM")</f>
        <v>NÃO</v>
      </c>
    </row>
    <row r="1148" spans="1:31" x14ac:dyDescent="0.25">
      <c r="A1148" s="2" t="s">
        <v>2562</v>
      </c>
      <c r="B1148" s="2">
        <v>428271</v>
      </c>
      <c r="C1148" s="2" t="s">
        <v>15</v>
      </c>
      <c r="D1148" s="2" t="s">
        <v>4541</v>
      </c>
      <c r="E1148" s="2" t="s">
        <v>47</v>
      </c>
      <c r="F1148" s="2" t="s">
        <v>350</v>
      </c>
      <c r="G1148" s="2" t="s">
        <v>245</v>
      </c>
      <c r="H1148" s="2" t="s">
        <v>227</v>
      </c>
      <c r="I1148" s="2" t="s">
        <v>16</v>
      </c>
      <c r="J1148" s="2" t="s">
        <v>227</v>
      </c>
      <c r="K1148" s="2" t="s">
        <v>20</v>
      </c>
      <c r="L1148" s="2" t="s">
        <v>21</v>
      </c>
      <c r="M1148" s="2" t="s">
        <v>22</v>
      </c>
      <c r="N1148" s="2" t="s">
        <v>15</v>
      </c>
      <c r="O1148" s="2" t="s">
        <v>271</v>
      </c>
      <c r="P1148" s="2" t="s">
        <v>2564</v>
      </c>
      <c r="Q1148" s="2" t="s">
        <v>4926</v>
      </c>
      <c r="R1148" s="2" t="s">
        <v>4828</v>
      </c>
      <c r="S1148" s="2" t="s">
        <v>4698</v>
      </c>
      <c r="T1148" s="2" t="s">
        <v>4697</v>
      </c>
      <c r="U1148" s="2" t="s">
        <v>12</v>
      </c>
      <c r="V1148" s="2" t="s">
        <v>4829</v>
      </c>
      <c r="W1148" s="2" t="s">
        <v>4982</v>
      </c>
      <c r="X1148" s="2" t="s">
        <v>4925</v>
      </c>
      <c r="Y1148" s="2" t="s">
        <v>2563</v>
      </c>
      <c r="Z1148" s="2" t="s">
        <v>5399</v>
      </c>
      <c r="AA11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1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48" s="6" t="str">
        <f>IF(_xlfn.IFNA(INDEX(configuracoes!$A$2:$A$10,MATCH(base_tc_geral[[#This Row],[TIPO]],configuracoes!$A$2:$A$10,0)),"NÃO")="NÃO","NÃO","SIM")</f>
        <v>SIM</v>
      </c>
    </row>
    <row r="1149" spans="1:31" x14ac:dyDescent="0.25">
      <c r="A1149" s="2" t="s">
        <v>2526</v>
      </c>
      <c r="B1149" s="2">
        <v>101008134</v>
      </c>
      <c r="C1149" s="2" t="s">
        <v>15</v>
      </c>
      <c r="D1149" s="2" t="s">
        <v>4589</v>
      </c>
      <c r="E1149" s="2" t="s">
        <v>47</v>
      </c>
      <c r="F1149" s="2" t="s">
        <v>159</v>
      </c>
      <c r="G1149" s="2" t="s">
        <v>99</v>
      </c>
      <c r="H1149" s="2" t="s">
        <v>60</v>
      </c>
      <c r="I1149" s="2" t="s">
        <v>16</v>
      </c>
      <c r="J1149" s="2" t="s">
        <v>60</v>
      </c>
      <c r="K1149" s="2" t="s">
        <v>20</v>
      </c>
      <c r="L1149" s="2" t="s">
        <v>25</v>
      </c>
      <c r="M1149" s="2" t="s">
        <v>22</v>
      </c>
      <c r="N1149" s="2" t="s">
        <v>15</v>
      </c>
      <c r="O1149" s="2" t="s">
        <v>161</v>
      </c>
      <c r="P1149" s="2" t="s">
        <v>2528</v>
      </c>
      <c r="Q1149" s="2" t="s">
        <v>4926</v>
      </c>
      <c r="R1149" s="2" t="s">
        <v>351</v>
      </c>
      <c r="S1149" s="2" t="s">
        <v>101</v>
      </c>
      <c r="T1149" s="2" t="s">
        <v>4697</v>
      </c>
      <c r="U1149" s="2" t="s">
        <v>12</v>
      </c>
      <c r="V1149" s="2" t="s">
        <v>4834</v>
      </c>
      <c r="W1149" s="2" t="s">
        <v>4931</v>
      </c>
      <c r="X1149" s="2" t="s">
        <v>4925</v>
      </c>
      <c r="Y1149" s="2" t="s">
        <v>2527</v>
      </c>
      <c r="Z1149" s="2" t="s">
        <v>5400</v>
      </c>
      <c r="AA11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1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49" s="6" t="str">
        <f>IF(_xlfn.IFNA(INDEX(configuracoes!$A$2:$A$10,MATCH(base_tc_geral[[#This Row],[TIPO]],configuracoes!$A$2:$A$10,0)),"NÃO")="NÃO","NÃO","SIM")</f>
        <v>SIM</v>
      </c>
    </row>
    <row r="1150" spans="1:31" x14ac:dyDescent="0.25">
      <c r="A1150" s="2" t="s">
        <v>2118</v>
      </c>
      <c r="B1150" s="2">
        <v>101007665</v>
      </c>
      <c r="C1150" s="2" t="s">
        <v>24</v>
      </c>
      <c r="D1150" s="2" t="s">
        <v>4768</v>
      </c>
      <c r="E1150" s="2" t="s">
        <v>47</v>
      </c>
      <c r="F1150" s="2" t="s">
        <v>341</v>
      </c>
      <c r="G1150" s="2" t="s">
        <v>245</v>
      </c>
      <c r="H1150" s="2" t="s">
        <v>56</v>
      </c>
      <c r="I1150" s="2" t="s">
        <v>16</v>
      </c>
      <c r="J1150" s="2" t="s">
        <v>60</v>
      </c>
      <c r="K1150" s="2" t="s">
        <v>20</v>
      </c>
      <c r="L1150" s="2" t="s">
        <v>21</v>
      </c>
      <c r="M1150" s="2" t="s">
        <v>22</v>
      </c>
      <c r="N1150" s="2" t="s">
        <v>24</v>
      </c>
      <c r="O1150" s="2" t="s">
        <v>63</v>
      </c>
      <c r="P1150" s="2" t="s">
        <v>2120</v>
      </c>
      <c r="Q1150" s="2" t="s">
        <v>4926</v>
      </c>
      <c r="R1150" s="2" t="s">
        <v>342</v>
      </c>
      <c r="S1150" s="2" t="s">
        <v>51</v>
      </c>
      <c r="T1150" s="2" t="s">
        <v>4697</v>
      </c>
      <c r="U1150" s="2" t="s">
        <v>39</v>
      </c>
      <c r="V1150" s="2" t="s">
        <v>4866</v>
      </c>
      <c r="W1150" s="2" t="s">
        <v>4982</v>
      </c>
      <c r="X1150" s="2" t="s">
        <v>4925</v>
      </c>
      <c r="Y1150" s="2" t="s">
        <v>2119</v>
      </c>
      <c r="Z1150" s="2" t="s">
        <v>5401</v>
      </c>
      <c r="AA11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1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50" s="6" t="str">
        <f>IF(_xlfn.IFNA(INDEX(configuracoes!$A$2:$A$10,MATCH(base_tc_geral[[#This Row],[TIPO]],configuracoes!$A$2:$A$10,0)),"NÃO")="NÃO","NÃO","SIM")</f>
        <v>SIM</v>
      </c>
    </row>
    <row r="1151" spans="1:31" x14ac:dyDescent="0.25">
      <c r="A1151" s="2" t="s">
        <v>912</v>
      </c>
      <c r="B1151" s="2">
        <v>102002917</v>
      </c>
      <c r="C1151" s="2" t="s">
        <v>15</v>
      </c>
      <c r="D1151" s="2" t="s">
        <v>4575</v>
      </c>
      <c r="E1151" s="2" t="s">
        <v>106</v>
      </c>
      <c r="F1151" s="2" t="s">
        <v>863</v>
      </c>
      <c r="G1151" s="2" t="s">
        <v>630</v>
      </c>
      <c r="H1151" s="2" t="s">
        <v>427</v>
      </c>
      <c r="I1151" s="2" t="s">
        <v>33</v>
      </c>
      <c r="J1151" s="2" t="s">
        <v>109</v>
      </c>
      <c r="K1151" s="2" t="s">
        <v>20</v>
      </c>
      <c r="L1151" s="2" t="s">
        <v>21</v>
      </c>
      <c r="M1151" s="2" t="s">
        <v>22</v>
      </c>
      <c r="N1151" s="2" t="s">
        <v>15</v>
      </c>
      <c r="O1151" s="2" t="s">
        <v>430</v>
      </c>
      <c r="P1151" s="2" t="s">
        <v>914</v>
      </c>
      <c r="Q1151" s="2" t="s">
        <v>4926</v>
      </c>
      <c r="R1151" s="2" t="s">
        <v>5069</v>
      </c>
      <c r="S1151" s="2" t="s">
        <v>736</v>
      </c>
      <c r="T1151" s="2" t="s">
        <v>167</v>
      </c>
      <c r="U1151" s="2" t="s">
        <v>12</v>
      </c>
      <c r="V1151" s="2" t="s">
        <v>4773</v>
      </c>
      <c r="W1151" s="2" t="s">
        <v>4982</v>
      </c>
      <c r="X1151" s="2" t="s">
        <v>4925</v>
      </c>
      <c r="Y1151" s="2" t="s">
        <v>913</v>
      </c>
      <c r="Z1151" s="2" t="s">
        <v>6215</v>
      </c>
      <c r="AA11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11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1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1" s="6" t="str">
        <f>IF(_xlfn.IFNA(INDEX(configuracoes!$A$2:$A$10,MATCH(base_tc_geral[[#This Row],[TIPO]],configuracoes!$A$2:$A$10,0)),"NÃO")="NÃO","NÃO","SIM")</f>
        <v>SIM</v>
      </c>
    </row>
    <row r="1152" spans="1:31" x14ac:dyDescent="0.25">
      <c r="A1152" s="2" t="s">
        <v>2535</v>
      </c>
      <c r="B1152" s="2">
        <v>101008134</v>
      </c>
      <c r="C1152" s="2" t="s">
        <v>15</v>
      </c>
      <c r="D1152" s="2" t="s">
        <v>4489</v>
      </c>
      <c r="E1152" s="2" t="s">
        <v>47</v>
      </c>
      <c r="F1152" s="2" t="s">
        <v>159</v>
      </c>
      <c r="G1152" s="2" t="s">
        <v>99</v>
      </c>
      <c r="H1152" s="2" t="s">
        <v>60</v>
      </c>
      <c r="I1152" s="2" t="s">
        <v>16</v>
      </c>
      <c r="J1152" s="2" t="s">
        <v>60</v>
      </c>
      <c r="K1152" s="2" t="s">
        <v>20</v>
      </c>
      <c r="L1152" s="2" t="s">
        <v>25</v>
      </c>
      <c r="M1152" s="2" t="s">
        <v>22</v>
      </c>
      <c r="N1152" s="2" t="s">
        <v>15</v>
      </c>
      <c r="O1152" s="2" t="s">
        <v>161</v>
      </c>
      <c r="P1152" s="2" t="s">
        <v>2537</v>
      </c>
      <c r="Q1152" s="2" t="s">
        <v>4926</v>
      </c>
      <c r="R1152" s="2" t="s">
        <v>351</v>
      </c>
      <c r="S1152" s="2" t="s">
        <v>101</v>
      </c>
      <c r="T1152" s="2" t="s">
        <v>4697</v>
      </c>
      <c r="U1152" s="2" t="s">
        <v>12</v>
      </c>
      <c r="V1152" s="2" t="s">
        <v>4834</v>
      </c>
      <c r="W1152" s="2" t="s">
        <v>4931</v>
      </c>
      <c r="X1152" s="2" t="s">
        <v>4925</v>
      </c>
      <c r="Y1152" s="2" t="s">
        <v>2536</v>
      </c>
      <c r="Z1152" s="2" t="s">
        <v>6216</v>
      </c>
      <c r="AA11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1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2" s="6" t="str">
        <f>IF(_xlfn.IFNA(INDEX(configuracoes!$A$2:$A$10,MATCH(base_tc_geral[[#This Row],[TIPO]],configuracoes!$A$2:$A$10,0)),"NÃO")="NÃO","NÃO","SIM")</f>
        <v>SIM</v>
      </c>
    </row>
    <row r="1153" spans="1:31" x14ac:dyDescent="0.25">
      <c r="A1153" s="2" t="s">
        <v>3021</v>
      </c>
      <c r="B1153" s="2">
        <v>109000499</v>
      </c>
      <c r="C1153" s="2" t="s">
        <v>15</v>
      </c>
      <c r="D1153" s="2" t="s">
        <v>4781</v>
      </c>
      <c r="E1153" s="2" t="s">
        <v>86</v>
      </c>
      <c r="F1153" s="2" t="s">
        <v>505</v>
      </c>
      <c r="G1153" s="2" t="s">
        <v>136</v>
      </c>
      <c r="H1153" s="2" t="s">
        <v>164</v>
      </c>
      <c r="I1153" s="2" t="s">
        <v>33</v>
      </c>
      <c r="J1153" s="2" t="s">
        <v>124</v>
      </c>
      <c r="K1153" s="2" t="s">
        <v>13</v>
      </c>
      <c r="L1153" s="2" t="s">
        <v>72</v>
      </c>
      <c r="M1153" s="2" t="s">
        <v>73</v>
      </c>
      <c r="N1153" s="2" t="s">
        <v>15</v>
      </c>
      <c r="O1153" s="2" t="s">
        <v>169</v>
      </c>
      <c r="P1153" s="2" t="s">
        <v>3023</v>
      </c>
      <c r="Q1153" s="2" t="s">
        <v>4926</v>
      </c>
      <c r="R1153" s="2" t="s">
        <v>321</v>
      </c>
      <c r="S1153" s="2" t="s">
        <v>93</v>
      </c>
      <c r="T1153" s="2" t="s">
        <v>4696</v>
      </c>
      <c r="U1153" s="2" t="s">
        <v>12</v>
      </c>
      <c r="V1153" s="2" t="s">
        <v>4783</v>
      </c>
      <c r="W1153" s="2" t="s">
        <v>72</v>
      </c>
      <c r="X1153" s="2" t="s">
        <v>5011</v>
      </c>
      <c r="Y1153" s="2" t="s">
        <v>3022</v>
      </c>
      <c r="Z1153" s="2" t="s">
        <v>6217</v>
      </c>
      <c r="AA11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1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3" s="6" t="str">
        <f>IF(_xlfn.IFNA(INDEX(configuracoes!$A$2:$A$10,MATCH(base_tc_geral[[#This Row],[TIPO]],configuracoes!$A$2:$A$10,0)),"NÃO")="NÃO","NÃO","SIM")</f>
        <v>NÃO</v>
      </c>
    </row>
    <row r="1154" spans="1:31" x14ac:dyDescent="0.25">
      <c r="A1154" s="2" t="s">
        <v>2670</v>
      </c>
      <c r="B1154" s="2">
        <v>109000340</v>
      </c>
      <c r="C1154" s="2" t="s">
        <v>15</v>
      </c>
      <c r="D1154" s="2" t="s">
        <v>4684</v>
      </c>
      <c r="E1154" s="2" t="s">
        <v>86</v>
      </c>
      <c r="F1154" s="2" t="s">
        <v>88</v>
      </c>
      <c r="G1154" s="2" t="s">
        <v>637</v>
      </c>
      <c r="H1154" s="2" t="s">
        <v>87</v>
      </c>
      <c r="I1154" s="2" t="s">
        <v>33</v>
      </c>
      <c r="J1154" s="2" t="s">
        <v>91</v>
      </c>
      <c r="K1154" s="2" t="s">
        <v>20</v>
      </c>
      <c r="L1154" s="2" t="s">
        <v>19</v>
      </c>
      <c r="M1154" s="2" t="s">
        <v>22</v>
      </c>
      <c r="N1154" s="2" t="s">
        <v>15</v>
      </c>
      <c r="O1154" s="2" t="s">
        <v>95</v>
      </c>
      <c r="P1154" s="2" t="s">
        <v>2672</v>
      </c>
      <c r="Q1154" s="2" t="s">
        <v>4926</v>
      </c>
      <c r="R1154" s="2" t="s">
        <v>90</v>
      </c>
      <c r="S1154" s="2" t="s">
        <v>93</v>
      </c>
      <c r="T1154" s="2" t="s">
        <v>4696</v>
      </c>
      <c r="U1154" s="2" t="s">
        <v>12</v>
      </c>
      <c r="V1154" s="2" t="s">
        <v>4796</v>
      </c>
      <c r="W1154" s="2" t="s">
        <v>4982</v>
      </c>
      <c r="X1154" s="2" t="s">
        <v>4925</v>
      </c>
      <c r="Y1154" s="2" t="s">
        <v>2671</v>
      </c>
      <c r="Z1154" s="2" t="s">
        <v>6218</v>
      </c>
      <c r="AA11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1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4" s="6" t="str">
        <f>IF(_xlfn.IFNA(INDEX(configuracoes!$A$2:$A$10,MATCH(base_tc_geral[[#This Row],[TIPO]],configuracoes!$A$2:$A$10,0)),"NÃO")="NÃO","NÃO","SIM")</f>
        <v>SIM</v>
      </c>
    </row>
    <row r="1155" spans="1:31" x14ac:dyDescent="0.25">
      <c r="A1155" s="2" t="s">
        <v>120</v>
      </c>
      <c r="B1155" s="2">
        <v>109506091</v>
      </c>
      <c r="C1155" s="2" t="s">
        <v>15</v>
      </c>
      <c r="D1155" s="2" t="s">
        <v>4781</v>
      </c>
      <c r="E1155" s="2" t="s">
        <v>86</v>
      </c>
      <c r="F1155" s="2" t="s">
        <v>123</v>
      </c>
      <c r="G1155" s="2" t="s">
        <v>711</v>
      </c>
      <c r="H1155" s="2" t="s">
        <v>122</v>
      </c>
      <c r="I1155" s="2" t="s">
        <v>33</v>
      </c>
      <c r="J1155" s="2" t="s">
        <v>124</v>
      </c>
      <c r="K1155" s="2" t="s">
        <v>13</v>
      </c>
      <c r="L1155" s="2" t="s">
        <v>126</v>
      </c>
      <c r="M1155" s="2" t="s">
        <v>128</v>
      </c>
      <c r="N1155" s="2" t="s">
        <v>15</v>
      </c>
      <c r="O1155" s="2" t="s">
        <v>129</v>
      </c>
      <c r="P1155" s="2" t="s">
        <v>127</v>
      </c>
      <c r="Q1155" s="2" t="s">
        <v>4926</v>
      </c>
      <c r="R1155" s="2" t="s">
        <v>2683</v>
      </c>
      <c r="S1155" s="2" t="s">
        <v>125</v>
      </c>
      <c r="T1155" s="2" t="s">
        <v>4696</v>
      </c>
      <c r="U1155" s="2" t="s">
        <v>39</v>
      </c>
      <c r="V1155" s="2" t="s">
        <v>4784</v>
      </c>
      <c r="W1155" s="2" t="s">
        <v>4987</v>
      </c>
      <c r="X1155" s="2" t="s">
        <v>4989</v>
      </c>
      <c r="Y1155" s="2" t="s">
        <v>121</v>
      </c>
      <c r="Z1155" s="2" t="s">
        <v>6219</v>
      </c>
      <c r="AA11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1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5" s="6" t="str">
        <f>IF(_xlfn.IFNA(INDEX(configuracoes!$A$2:$A$10,MATCH(base_tc_geral[[#This Row],[TIPO]],configuracoes!$A$2:$A$10,0)),"NÃO")="NÃO","NÃO","SIM")</f>
        <v>SIM</v>
      </c>
    </row>
    <row r="1156" spans="1:31" x14ac:dyDescent="0.25">
      <c r="A1156" s="2" t="s">
        <v>2063</v>
      </c>
      <c r="B1156" s="2">
        <v>101006255</v>
      </c>
      <c r="C1156" s="2" t="s">
        <v>15</v>
      </c>
      <c r="D1156" s="2" t="s">
        <v>4489</v>
      </c>
      <c r="E1156" s="2" t="s">
        <v>47</v>
      </c>
      <c r="F1156" s="2" t="s">
        <v>1112</v>
      </c>
      <c r="G1156" s="2" t="s">
        <v>245</v>
      </c>
      <c r="H1156" s="2" t="s">
        <v>224</v>
      </c>
      <c r="I1156" s="2" t="s">
        <v>16</v>
      </c>
      <c r="J1156" s="2" t="s">
        <v>227</v>
      </c>
      <c r="K1156" s="2" t="s">
        <v>20</v>
      </c>
      <c r="L1156" s="2" t="s">
        <v>21</v>
      </c>
      <c r="M1156" s="2" t="s">
        <v>22</v>
      </c>
      <c r="N1156" s="2" t="s">
        <v>15</v>
      </c>
      <c r="O1156" s="2" t="s">
        <v>229</v>
      </c>
      <c r="P1156" s="2" t="s">
        <v>2065</v>
      </c>
      <c r="Q1156" s="2" t="s">
        <v>4926</v>
      </c>
      <c r="R1156" s="2" t="s">
        <v>369</v>
      </c>
      <c r="S1156" s="2" t="s">
        <v>4698</v>
      </c>
      <c r="T1156" s="2" t="s">
        <v>4697</v>
      </c>
      <c r="U1156" s="2" t="s">
        <v>12</v>
      </c>
      <c r="V1156" s="2" t="s">
        <v>4817</v>
      </c>
      <c r="W1156" s="2" t="s">
        <v>4982</v>
      </c>
      <c r="X1156" s="2" t="s">
        <v>4925</v>
      </c>
      <c r="Y1156" s="2" t="s">
        <v>2064</v>
      </c>
      <c r="Z1156" s="2" t="s">
        <v>6220</v>
      </c>
      <c r="AA11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11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6" s="6" t="str">
        <f>IF(_xlfn.IFNA(INDEX(configuracoes!$A$2:$A$10,MATCH(base_tc_geral[[#This Row],[TIPO]],configuracoes!$A$2:$A$10,0)),"NÃO")="NÃO","NÃO","SIM")</f>
        <v>SIM</v>
      </c>
    </row>
    <row r="1157" spans="1:31" x14ac:dyDescent="0.25">
      <c r="A1157" s="2" t="s">
        <v>525</v>
      </c>
      <c r="B1157" s="2">
        <v>102101187</v>
      </c>
      <c r="C1157" s="2" t="s">
        <v>15</v>
      </c>
      <c r="D1157" s="2" t="s">
        <v>4507</v>
      </c>
      <c r="E1157" s="2" t="s">
        <v>106</v>
      </c>
      <c r="F1157" s="2" t="s">
        <v>131</v>
      </c>
      <c r="G1157" s="2" t="s">
        <v>58</v>
      </c>
      <c r="H1157" s="2" t="s">
        <v>130</v>
      </c>
      <c r="I1157" s="2" t="s">
        <v>33</v>
      </c>
      <c r="J1157" s="2" t="s">
        <v>109</v>
      </c>
      <c r="K1157" s="2" t="s">
        <v>13</v>
      </c>
      <c r="L1157" s="2" t="s">
        <v>61</v>
      </c>
      <c r="M1157" s="2" t="s">
        <v>44</v>
      </c>
      <c r="N1157" s="2" t="s">
        <v>15</v>
      </c>
      <c r="O1157" s="2" t="s">
        <v>132</v>
      </c>
      <c r="P1157" s="2" t="s">
        <v>528</v>
      </c>
      <c r="Q1157" s="2" t="s">
        <v>4926</v>
      </c>
      <c r="R1157" s="2" t="s">
        <v>527</v>
      </c>
      <c r="S1157" s="2" t="s">
        <v>260</v>
      </c>
      <c r="T1157" s="2" t="s">
        <v>167</v>
      </c>
      <c r="U1157" s="2" t="s">
        <v>12</v>
      </c>
      <c r="V1157" s="2" t="s">
        <v>4888</v>
      </c>
      <c r="W1157" s="2" t="s">
        <v>4984</v>
      </c>
      <c r="X1157" s="2" t="s">
        <v>44</v>
      </c>
      <c r="Y1157" s="2" t="s">
        <v>526</v>
      </c>
      <c r="Z1157" s="2" t="s">
        <v>5402</v>
      </c>
      <c r="AA11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ONASSIS </v>
      </c>
      <c r="AB11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11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7" s="6" t="str">
        <f>IF(_xlfn.IFNA(INDEX(configuracoes!$A$2:$A$10,MATCH(base_tc_geral[[#This Row],[TIPO]],configuracoes!$A$2:$A$10,0)),"NÃO")="NÃO","NÃO","SIM")</f>
        <v>NÃO</v>
      </c>
    </row>
    <row r="1158" spans="1:31" x14ac:dyDescent="0.25">
      <c r="A1158" s="2" t="s">
        <v>3551</v>
      </c>
      <c r="B1158" s="2">
        <v>101005380</v>
      </c>
      <c r="C1158" s="2" t="s">
        <v>24</v>
      </c>
      <c r="D1158" s="2" t="s">
        <v>4768</v>
      </c>
      <c r="E1158" s="2" t="s">
        <v>47</v>
      </c>
      <c r="F1158" s="2" t="s">
        <v>181</v>
      </c>
      <c r="G1158" s="2" t="s">
        <v>637</v>
      </c>
      <c r="H1158" s="2" t="s">
        <v>66</v>
      </c>
      <c r="I1158" s="2" t="s">
        <v>16</v>
      </c>
      <c r="J1158" s="2" t="s">
        <v>66</v>
      </c>
      <c r="K1158" s="2" t="s">
        <v>20</v>
      </c>
      <c r="L1158" s="2" t="s">
        <v>19</v>
      </c>
      <c r="M1158" s="2" t="s">
        <v>22</v>
      </c>
      <c r="N1158" s="2" t="s">
        <v>24</v>
      </c>
      <c r="O1158" s="2" t="s">
        <v>71</v>
      </c>
      <c r="P1158" s="2" t="s">
        <v>3553</v>
      </c>
      <c r="Q1158" s="2" t="s">
        <v>4926</v>
      </c>
      <c r="R1158" s="2" t="s">
        <v>69</v>
      </c>
      <c r="S1158" s="2" t="s">
        <v>4698</v>
      </c>
      <c r="T1158" s="2" t="s">
        <v>4697</v>
      </c>
      <c r="U1158" s="2" t="s">
        <v>39</v>
      </c>
      <c r="V1158" s="2" t="s">
        <v>4793</v>
      </c>
      <c r="W1158" s="2" t="s">
        <v>4982</v>
      </c>
      <c r="X1158" s="2" t="s">
        <v>4925</v>
      </c>
      <c r="Y1158" s="2" t="s">
        <v>3552</v>
      </c>
      <c r="Z1158" s="2" t="s">
        <v>5403</v>
      </c>
      <c r="AA11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11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58" s="6" t="str">
        <f>IF(_xlfn.IFNA(INDEX(configuracoes!$A$2:$A$10,MATCH(base_tc_geral[[#This Row],[TIPO]],configuracoes!$A$2:$A$10,0)),"NÃO")="NÃO","NÃO","SIM")</f>
        <v>SIM</v>
      </c>
    </row>
    <row r="1159" spans="1:31" x14ac:dyDescent="0.25">
      <c r="A1159" s="2" t="s">
        <v>2115</v>
      </c>
      <c r="B1159" s="2">
        <v>101007665</v>
      </c>
      <c r="C1159" s="2" t="s">
        <v>15</v>
      </c>
      <c r="D1159" s="2" t="s">
        <v>4666</v>
      </c>
      <c r="E1159" s="2" t="s">
        <v>47</v>
      </c>
      <c r="F1159" s="2" t="s">
        <v>341</v>
      </c>
      <c r="G1159" s="2" t="s">
        <v>136</v>
      </c>
      <c r="H1159" s="2" t="s">
        <v>56</v>
      </c>
      <c r="I1159" s="2" t="s">
        <v>16</v>
      </c>
      <c r="J1159" s="2" t="s">
        <v>60</v>
      </c>
      <c r="K1159" s="2" t="s">
        <v>13</v>
      </c>
      <c r="L1159" s="2" t="s">
        <v>72</v>
      </c>
      <c r="M1159" s="2" t="s">
        <v>73</v>
      </c>
      <c r="N1159" s="2" t="s">
        <v>15</v>
      </c>
      <c r="O1159" s="2" t="s">
        <v>63</v>
      </c>
      <c r="P1159" s="2" t="s">
        <v>2117</v>
      </c>
      <c r="Q1159" s="2" t="s">
        <v>4926</v>
      </c>
      <c r="R1159" s="2" t="s">
        <v>342</v>
      </c>
      <c r="S1159" s="2" t="s">
        <v>51</v>
      </c>
      <c r="T1159" s="2" t="s">
        <v>4697</v>
      </c>
      <c r="U1159" s="2" t="s">
        <v>39</v>
      </c>
      <c r="V1159" s="2" t="s">
        <v>4866</v>
      </c>
      <c r="W1159" s="2" t="s">
        <v>72</v>
      </c>
      <c r="X1159" s="2" t="s">
        <v>5011</v>
      </c>
      <c r="Y1159" s="2" t="s">
        <v>2116</v>
      </c>
      <c r="Z1159" s="2" t="s">
        <v>5404</v>
      </c>
      <c r="AA11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1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59" s="6" t="str">
        <f>IF(_xlfn.IFNA(INDEX(configuracoes!$A$2:$A$10,MATCH(base_tc_geral[[#This Row],[TIPO]],configuracoes!$A$2:$A$10,0)),"NÃO")="NÃO","NÃO","SIM")</f>
        <v>NÃO</v>
      </c>
    </row>
    <row r="1160" spans="1:31" x14ac:dyDescent="0.25">
      <c r="A1160" s="2" t="s">
        <v>2330</v>
      </c>
      <c r="B1160" s="2">
        <v>101005989</v>
      </c>
      <c r="C1160" s="2" t="s">
        <v>24</v>
      </c>
      <c r="D1160" s="2" t="s">
        <v>4768</v>
      </c>
      <c r="E1160" s="2" t="s">
        <v>47</v>
      </c>
      <c r="F1160" s="2" t="s">
        <v>433</v>
      </c>
      <c r="G1160" s="2" t="s">
        <v>4780</v>
      </c>
      <c r="H1160" s="2" t="s">
        <v>56</v>
      </c>
      <c r="I1160" s="2" t="s">
        <v>16</v>
      </c>
      <c r="J1160" s="2" t="s">
        <v>60</v>
      </c>
      <c r="K1160" s="2" t="s">
        <v>20</v>
      </c>
      <c r="L1160" s="2" t="s">
        <v>21</v>
      </c>
      <c r="M1160" s="2" t="s">
        <v>22</v>
      </c>
      <c r="N1160" s="2" t="s">
        <v>24</v>
      </c>
      <c r="O1160" s="2" t="s">
        <v>63</v>
      </c>
      <c r="P1160" s="2" t="s">
        <v>2332</v>
      </c>
      <c r="Q1160" s="2" t="s">
        <v>4926</v>
      </c>
      <c r="R1160" s="2" t="s">
        <v>59</v>
      </c>
      <c r="S1160" s="2" t="s">
        <v>51</v>
      </c>
      <c r="T1160" s="2" t="s">
        <v>4697</v>
      </c>
      <c r="U1160" s="2" t="s">
        <v>39</v>
      </c>
      <c r="V1160" s="2" t="s">
        <v>4779</v>
      </c>
      <c r="W1160" s="2" t="s">
        <v>4982</v>
      </c>
      <c r="X1160" s="2" t="s">
        <v>4925</v>
      </c>
      <c r="Y1160" s="2" t="s">
        <v>2331</v>
      </c>
      <c r="Z1160" s="2" t="s">
        <v>5405</v>
      </c>
      <c r="AA11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1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60" s="6" t="str">
        <f>IF(_xlfn.IFNA(INDEX(configuracoes!$A$2:$A$10,MATCH(base_tc_geral[[#This Row],[TIPO]],configuracoes!$A$2:$A$10,0)),"NÃO")="NÃO","NÃO","SIM")</f>
        <v>SIM</v>
      </c>
    </row>
    <row r="1161" spans="1:31" x14ac:dyDescent="0.25">
      <c r="A1161" s="2" t="s">
        <v>2505</v>
      </c>
      <c r="B1161" s="2">
        <v>105000985</v>
      </c>
      <c r="C1161" s="2" t="s">
        <v>389</v>
      </c>
      <c r="D1161" s="2" t="s">
        <v>4482</v>
      </c>
      <c r="E1161" s="2" t="s">
        <v>28</v>
      </c>
      <c r="F1161" s="2" t="s">
        <v>30</v>
      </c>
      <c r="G1161" s="2" t="s">
        <v>630</v>
      </c>
      <c r="H1161" s="2" t="s">
        <v>29</v>
      </c>
      <c r="I1161" s="2" t="s">
        <v>33</v>
      </c>
      <c r="J1161" s="2" t="s">
        <v>34</v>
      </c>
      <c r="K1161" s="2" t="s">
        <v>20</v>
      </c>
      <c r="L1161" s="2" t="s">
        <v>21</v>
      </c>
      <c r="M1161" s="2" t="s">
        <v>22</v>
      </c>
      <c r="N1161" s="2" t="s">
        <v>389</v>
      </c>
      <c r="O1161" s="2" t="s">
        <v>36</v>
      </c>
      <c r="P1161" s="2" t="s">
        <v>2507</v>
      </c>
      <c r="Q1161" s="2" t="s">
        <v>4926</v>
      </c>
      <c r="R1161" s="2" t="s">
        <v>32</v>
      </c>
      <c r="S1161" s="2" t="s">
        <v>167</v>
      </c>
      <c r="T1161" s="2" t="s">
        <v>167</v>
      </c>
      <c r="U1161" s="2" t="s">
        <v>39</v>
      </c>
      <c r="V1161" s="2" t="s">
        <v>4851</v>
      </c>
      <c r="W1161" s="2" t="s">
        <v>4982</v>
      </c>
      <c r="X1161" s="2" t="s">
        <v>4925</v>
      </c>
      <c r="Y1161" s="2" t="s">
        <v>2506</v>
      </c>
      <c r="Z1161" s="2" t="s">
        <v>5406</v>
      </c>
      <c r="AA11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STANLEY MEDEIROS </v>
      </c>
      <c r="AB11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1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61" s="6" t="str">
        <f>IF(_xlfn.IFNA(INDEX(configuracoes!$A$2:$A$10,MATCH(base_tc_geral[[#This Row],[TIPO]],configuracoes!$A$2:$A$10,0)),"NÃO")="NÃO","NÃO","SIM")</f>
        <v>SIM</v>
      </c>
    </row>
    <row r="1162" spans="1:31" x14ac:dyDescent="0.25">
      <c r="A1162" s="2" t="s">
        <v>1599</v>
      </c>
      <c r="B1162" s="2">
        <v>101005376</v>
      </c>
      <c r="C1162" s="2" t="s">
        <v>15</v>
      </c>
      <c r="D1162" s="2" t="s">
        <v>4781</v>
      </c>
      <c r="E1162" s="2" t="s">
        <v>47</v>
      </c>
      <c r="F1162" s="2" t="s">
        <v>341</v>
      </c>
      <c r="G1162" s="2" t="s">
        <v>58</v>
      </c>
      <c r="H1162" s="2" t="s">
        <v>56</v>
      </c>
      <c r="I1162" s="2" t="s">
        <v>16</v>
      </c>
      <c r="J1162" s="2" t="s">
        <v>60</v>
      </c>
      <c r="K1162" s="2" t="s">
        <v>13</v>
      </c>
      <c r="L1162" s="2" t="s">
        <v>61</v>
      </c>
      <c r="M1162" s="2" t="s">
        <v>22</v>
      </c>
      <c r="N1162" s="2" t="s">
        <v>15</v>
      </c>
      <c r="O1162" s="2" t="s">
        <v>63</v>
      </c>
      <c r="P1162" s="2" t="s">
        <v>1601</v>
      </c>
      <c r="Q1162" s="2" t="s">
        <v>4926</v>
      </c>
      <c r="R1162" s="2" t="s">
        <v>959</v>
      </c>
      <c r="S1162" s="2" t="s">
        <v>359</v>
      </c>
      <c r="T1162" s="2" t="s">
        <v>4697</v>
      </c>
      <c r="U1162" s="2" t="s">
        <v>12</v>
      </c>
      <c r="V1162" s="2" t="s">
        <v>4812</v>
      </c>
      <c r="W1162" s="2" t="s">
        <v>5037</v>
      </c>
      <c r="X1162" s="2" t="s">
        <v>4925</v>
      </c>
      <c r="Y1162" s="2" t="s">
        <v>1600</v>
      </c>
      <c r="Z1162" s="2" t="s">
        <v>5407</v>
      </c>
      <c r="AA11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VENILSON </v>
      </c>
      <c r="AB11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1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2" s="6" t="str">
        <f>IF(_xlfn.IFNA(INDEX(configuracoes!$A$2:$A$10,MATCH(base_tc_geral[[#This Row],[TIPO]],configuracoes!$A$2:$A$10,0)),"NÃO")="NÃO","NÃO","SIM")</f>
        <v>NÃO</v>
      </c>
    </row>
    <row r="1163" spans="1:31" x14ac:dyDescent="0.25">
      <c r="A1163" s="2" t="s">
        <v>3563</v>
      </c>
      <c r="B1163" s="2">
        <v>101005380</v>
      </c>
      <c r="C1163" s="2" t="s">
        <v>15</v>
      </c>
      <c r="D1163" s="2" t="s">
        <v>4881</v>
      </c>
      <c r="E1163" s="2" t="s">
        <v>47</v>
      </c>
      <c r="F1163" s="2" t="s">
        <v>67</v>
      </c>
      <c r="G1163" s="2" t="s">
        <v>883</v>
      </c>
      <c r="H1163" s="2" t="s">
        <v>66</v>
      </c>
      <c r="I1163" s="2" t="s">
        <v>16</v>
      </c>
      <c r="J1163" s="2" t="s">
        <v>66</v>
      </c>
      <c r="K1163" s="2" t="s">
        <v>20</v>
      </c>
      <c r="L1163" s="2" t="s">
        <v>21</v>
      </c>
      <c r="M1163" s="2" t="s">
        <v>22</v>
      </c>
      <c r="N1163" s="2" t="s">
        <v>15</v>
      </c>
      <c r="O1163" s="2" t="s">
        <v>71</v>
      </c>
      <c r="P1163" s="2" t="s">
        <v>3565</v>
      </c>
      <c r="Q1163" s="2" t="s">
        <v>4926</v>
      </c>
      <c r="R1163" s="2" t="s">
        <v>69</v>
      </c>
      <c r="S1163" s="2" t="s">
        <v>4698</v>
      </c>
      <c r="T1163" s="2" t="s">
        <v>4697</v>
      </c>
      <c r="U1163" s="2" t="s">
        <v>12</v>
      </c>
      <c r="V1163" s="2" t="s">
        <v>4787</v>
      </c>
      <c r="W1163" s="2" t="s">
        <v>4982</v>
      </c>
      <c r="X1163" s="2" t="s">
        <v>4925</v>
      </c>
      <c r="Y1163" s="2" t="s">
        <v>3564</v>
      </c>
      <c r="Z1163" s="2" t="s">
        <v>5408</v>
      </c>
      <c r="AA11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11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3" s="6" t="str">
        <f>IF(_xlfn.IFNA(INDEX(configuracoes!$A$2:$A$10,MATCH(base_tc_geral[[#This Row],[TIPO]],configuracoes!$A$2:$A$10,0)),"NÃO")="NÃO","NÃO","SIM")</f>
        <v>SIM</v>
      </c>
    </row>
    <row r="1164" spans="1:31" x14ac:dyDescent="0.25">
      <c r="A1164" s="2" t="s">
        <v>3301</v>
      </c>
      <c r="B1164" s="2">
        <v>101008003</v>
      </c>
      <c r="C1164" s="2" t="s">
        <v>15</v>
      </c>
      <c r="D1164" s="2" t="s">
        <v>4493</v>
      </c>
      <c r="E1164" s="2" t="s">
        <v>47</v>
      </c>
      <c r="F1164" s="2" t="s">
        <v>264</v>
      </c>
      <c r="G1164" s="2" t="s">
        <v>648</v>
      </c>
      <c r="H1164" s="2" t="s">
        <v>227</v>
      </c>
      <c r="I1164" s="2" t="s">
        <v>16</v>
      </c>
      <c r="J1164" s="2" t="s">
        <v>227</v>
      </c>
      <c r="K1164" s="2" t="s">
        <v>13</v>
      </c>
      <c r="L1164" s="2" t="s">
        <v>25</v>
      </c>
      <c r="M1164" s="2" t="s">
        <v>22</v>
      </c>
      <c r="N1164" s="2" t="s">
        <v>15</v>
      </c>
      <c r="O1164" s="2" t="s">
        <v>266</v>
      </c>
      <c r="P1164" s="2" t="s">
        <v>3303</v>
      </c>
      <c r="Q1164" s="2" t="s">
        <v>4926</v>
      </c>
      <c r="R1164" s="2" t="s">
        <v>100</v>
      </c>
      <c r="S1164" s="2" t="s">
        <v>101</v>
      </c>
      <c r="T1164" s="2" t="s">
        <v>4697</v>
      </c>
      <c r="U1164" s="2" t="s">
        <v>12</v>
      </c>
      <c r="V1164" s="2" t="s">
        <v>4807</v>
      </c>
      <c r="W1164" s="2" t="s">
        <v>4931</v>
      </c>
      <c r="X1164" s="2" t="s">
        <v>4925</v>
      </c>
      <c r="Y1164" s="2" t="s">
        <v>3302</v>
      </c>
      <c r="Z1164" s="2" t="s">
        <v>5409</v>
      </c>
      <c r="AA11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1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4" s="6" t="str">
        <f>IF(_xlfn.IFNA(INDEX(configuracoes!$A$2:$A$10,MATCH(base_tc_geral[[#This Row],[TIPO]],configuracoes!$A$2:$A$10,0)),"NÃO")="NÃO","NÃO","SIM")</f>
        <v>SIM</v>
      </c>
    </row>
    <row r="1165" spans="1:31" x14ac:dyDescent="0.25">
      <c r="A1165" s="2" t="s">
        <v>2454</v>
      </c>
      <c r="B1165" s="2">
        <v>109500177</v>
      </c>
      <c r="C1165" s="2" t="s">
        <v>15</v>
      </c>
      <c r="D1165" s="2" t="s">
        <v>4584</v>
      </c>
      <c r="E1165" s="2" t="s">
        <v>86</v>
      </c>
      <c r="F1165" s="2" t="s">
        <v>590</v>
      </c>
      <c r="G1165" s="2" t="s">
        <v>58</v>
      </c>
      <c r="H1165" s="2" t="s">
        <v>122</v>
      </c>
      <c r="I1165" s="2" t="s">
        <v>33</v>
      </c>
      <c r="J1165" s="2" t="s">
        <v>124</v>
      </c>
      <c r="K1165" s="2" t="s">
        <v>13</v>
      </c>
      <c r="L1165" s="2" t="s">
        <v>61</v>
      </c>
      <c r="M1165" s="2" t="s">
        <v>22</v>
      </c>
      <c r="N1165" s="2" t="s">
        <v>15</v>
      </c>
      <c r="O1165" s="2" t="s">
        <v>129</v>
      </c>
      <c r="P1165" s="2" t="s">
        <v>2456</v>
      </c>
      <c r="Q1165" s="2" t="s">
        <v>4926</v>
      </c>
      <c r="R1165" s="2" t="s">
        <v>447</v>
      </c>
      <c r="S1165" s="2" t="s">
        <v>125</v>
      </c>
      <c r="T1165" s="2" t="s">
        <v>4696</v>
      </c>
      <c r="U1165" s="2" t="s">
        <v>12</v>
      </c>
      <c r="V1165" s="2" t="s">
        <v>4799</v>
      </c>
      <c r="W1165" s="2" t="s">
        <v>5024</v>
      </c>
      <c r="X1165" s="2" t="s">
        <v>4925</v>
      </c>
      <c r="Y1165" s="2" t="s">
        <v>2455</v>
      </c>
      <c r="Z1165" s="2" t="s">
        <v>5410</v>
      </c>
      <c r="AA11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11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5" s="6" t="str">
        <f>IF(_xlfn.IFNA(INDEX(configuracoes!$A$2:$A$10,MATCH(base_tc_geral[[#This Row],[TIPO]],configuracoes!$A$2:$A$10,0)),"NÃO")="NÃO","NÃO","SIM")</f>
        <v>NÃO</v>
      </c>
    </row>
    <row r="1166" spans="1:31" x14ac:dyDescent="0.25">
      <c r="A1166" s="2" t="s">
        <v>3236</v>
      </c>
      <c r="B1166" s="2">
        <v>428271</v>
      </c>
      <c r="C1166" s="2" t="s">
        <v>15</v>
      </c>
      <c r="D1166" s="2" t="s">
        <v>4548</v>
      </c>
      <c r="E1166" s="2" t="s">
        <v>47</v>
      </c>
      <c r="F1166" s="2" t="s">
        <v>269</v>
      </c>
      <c r="G1166" s="2" t="s">
        <v>89</v>
      </c>
      <c r="H1166" s="2" t="s">
        <v>227</v>
      </c>
      <c r="I1166" s="2" t="s">
        <v>16</v>
      </c>
      <c r="J1166" s="2" t="s">
        <v>227</v>
      </c>
      <c r="K1166" s="2" t="s">
        <v>13</v>
      </c>
      <c r="L1166" s="2" t="s">
        <v>37</v>
      </c>
      <c r="M1166" s="2" t="s">
        <v>74</v>
      </c>
      <c r="N1166" s="2" t="s">
        <v>15</v>
      </c>
      <c r="O1166" s="2" t="s">
        <v>271</v>
      </c>
      <c r="P1166" s="2" t="s">
        <v>3238</v>
      </c>
      <c r="Q1166" s="2" t="s">
        <v>4926</v>
      </c>
      <c r="R1166" s="2" t="s">
        <v>4828</v>
      </c>
      <c r="S1166" s="2" t="s">
        <v>4698</v>
      </c>
      <c r="T1166" s="2" t="s">
        <v>4697</v>
      </c>
      <c r="U1166" s="2" t="s">
        <v>12</v>
      </c>
      <c r="V1166" s="2" t="s">
        <v>4829</v>
      </c>
      <c r="W1166" s="2" t="s">
        <v>4999</v>
      </c>
      <c r="X1166" s="2" t="s">
        <v>74</v>
      </c>
      <c r="Y1166" s="2" t="s">
        <v>3237</v>
      </c>
      <c r="Z1166" s="2" t="s">
        <v>5411</v>
      </c>
      <c r="AA11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1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6" s="6" t="str">
        <f>IF(_xlfn.IFNA(INDEX(configuracoes!$A$2:$A$10,MATCH(base_tc_geral[[#This Row],[TIPO]],configuracoes!$A$2:$A$10,0)),"NÃO")="NÃO","NÃO","SIM")</f>
        <v>NÃO</v>
      </c>
    </row>
    <row r="1167" spans="1:31" x14ac:dyDescent="0.25">
      <c r="A1167" s="2" t="s">
        <v>1590</v>
      </c>
      <c r="B1167" s="2">
        <v>101009889</v>
      </c>
      <c r="C1167" s="2" t="s">
        <v>15</v>
      </c>
      <c r="D1167" s="2" t="s">
        <v>4540</v>
      </c>
      <c r="E1167" s="2" t="s">
        <v>47</v>
      </c>
      <c r="F1167" s="2" t="s">
        <v>1112</v>
      </c>
      <c r="G1167" s="2" t="s">
        <v>135</v>
      </c>
      <c r="H1167" s="2" t="s">
        <v>224</v>
      </c>
      <c r="I1167" s="2" t="s">
        <v>16</v>
      </c>
      <c r="J1167" s="2" t="s">
        <v>227</v>
      </c>
      <c r="K1167" s="2" t="s">
        <v>13</v>
      </c>
      <c r="L1167" s="2" t="s">
        <v>61</v>
      </c>
      <c r="M1167" s="2" t="s">
        <v>338</v>
      </c>
      <c r="N1167" s="2" t="s">
        <v>15</v>
      </c>
      <c r="O1167" s="2" t="s">
        <v>229</v>
      </c>
      <c r="P1167" s="2" t="s">
        <v>1592</v>
      </c>
      <c r="Q1167" s="2" t="s">
        <v>4926</v>
      </c>
      <c r="R1167" s="2" t="s">
        <v>937</v>
      </c>
      <c r="S1167" s="2" t="s">
        <v>1925</v>
      </c>
      <c r="T1167" s="2" t="s">
        <v>110</v>
      </c>
      <c r="U1167" s="2" t="s">
        <v>39</v>
      </c>
      <c r="V1167" s="2" t="s">
        <v>4830</v>
      </c>
      <c r="W1167" s="2" t="s">
        <v>4993</v>
      </c>
      <c r="X1167" s="2" t="s">
        <v>338</v>
      </c>
      <c r="Y1167" s="2" t="s">
        <v>1591</v>
      </c>
      <c r="Z1167" s="2" t="s">
        <v>5412</v>
      </c>
      <c r="AA11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ROBERTO CLAUDIO </v>
      </c>
      <c r="AB11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ADOLFO </v>
      </c>
      <c r="AC11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11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7" s="6" t="str">
        <f>IF(_xlfn.IFNA(INDEX(configuracoes!$A$2:$A$10,MATCH(base_tc_geral[[#This Row],[TIPO]],configuracoes!$A$2:$A$10,0)),"NÃO")="NÃO","NÃO","SIM")</f>
        <v>NÃO</v>
      </c>
    </row>
    <row r="1168" spans="1:31" x14ac:dyDescent="0.25">
      <c r="A1168" s="2" t="s">
        <v>3174</v>
      </c>
      <c r="B1168" s="2">
        <v>109506248</v>
      </c>
      <c r="C1168" s="2" t="s">
        <v>15</v>
      </c>
      <c r="D1168" s="2" t="s">
        <v>4515</v>
      </c>
      <c r="E1168" s="2" t="s">
        <v>86</v>
      </c>
      <c r="F1168" s="2" t="s">
        <v>274</v>
      </c>
      <c r="G1168" s="2" t="s">
        <v>58</v>
      </c>
      <c r="H1168" s="2" t="s">
        <v>210</v>
      </c>
      <c r="I1168" s="2" t="s">
        <v>33</v>
      </c>
      <c r="J1168" s="2" t="s">
        <v>124</v>
      </c>
      <c r="K1168" s="2" t="s">
        <v>13</v>
      </c>
      <c r="L1168" s="2" t="s">
        <v>61</v>
      </c>
      <c r="M1168" s="2" t="s">
        <v>128</v>
      </c>
      <c r="N1168" s="2" t="s">
        <v>15</v>
      </c>
      <c r="O1168" s="2" t="s">
        <v>214</v>
      </c>
      <c r="P1168" s="2" t="s">
        <v>3176</v>
      </c>
      <c r="Q1168" s="2" t="s">
        <v>4926</v>
      </c>
      <c r="R1168" s="2" t="s">
        <v>1417</v>
      </c>
      <c r="S1168" s="2" t="s">
        <v>4699</v>
      </c>
      <c r="T1168" s="2" t="s">
        <v>4696</v>
      </c>
      <c r="U1168" s="2" t="s">
        <v>12</v>
      </c>
      <c r="V1168" s="2" t="s">
        <v>4794</v>
      </c>
      <c r="W1168" s="2" t="s">
        <v>4987</v>
      </c>
      <c r="X1168" s="2" t="s">
        <v>4989</v>
      </c>
      <c r="Y1168" s="2" t="s">
        <v>3175</v>
      </c>
      <c r="Z1168" s="2" t="s">
        <v>5413</v>
      </c>
      <c r="AA11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GUSTAVO </v>
      </c>
      <c r="AB11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8" s="6" t="str">
        <f>IF(_xlfn.IFNA(INDEX(configuracoes!$A$2:$A$10,MATCH(base_tc_geral[[#This Row],[TIPO]],configuracoes!$A$2:$A$10,0)),"NÃO")="NÃO","NÃO","SIM")</f>
        <v>NÃO</v>
      </c>
    </row>
    <row r="1169" spans="1:31" x14ac:dyDescent="0.25">
      <c r="A1169" s="2" t="s">
        <v>2926</v>
      </c>
      <c r="B1169" s="2">
        <v>101001782</v>
      </c>
      <c r="C1169" s="2" t="s">
        <v>15</v>
      </c>
      <c r="D1169" s="2" t="s">
        <v>4495</v>
      </c>
      <c r="E1169" s="2" t="s">
        <v>47</v>
      </c>
      <c r="F1169" s="2" t="s">
        <v>464</v>
      </c>
      <c r="G1169" s="2" t="s">
        <v>1570</v>
      </c>
      <c r="H1169" s="2" t="s">
        <v>48</v>
      </c>
      <c r="I1169" s="2" t="s">
        <v>16</v>
      </c>
      <c r="J1169" s="2" t="s">
        <v>48</v>
      </c>
      <c r="K1169" s="2" t="s">
        <v>20</v>
      </c>
      <c r="L1169" s="2" t="s">
        <v>21</v>
      </c>
      <c r="M1169" s="2" t="s">
        <v>22</v>
      </c>
      <c r="N1169" s="2" t="s">
        <v>15</v>
      </c>
      <c r="O1169" s="2" t="s">
        <v>53</v>
      </c>
      <c r="P1169" s="2" t="s">
        <v>2928</v>
      </c>
      <c r="Q1169" s="2" t="s">
        <v>4926</v>
      </c>
      <c r="R1169" s="2" t="s">
        <v>512</v>
      </c>
      <c r="S1169" s="2" t="s">
        <v>51</v>
      </c>
      <c r="T1169" s="2" t="s">
        <v>4697</v>
      </c>
      <c r="U1169" s="2" t="s">
        <v>12</v>
      </c>
      <c r="V1169" s="2" t="s">
        <v>4861</v>
      </c>
      <c r="W1169" s="2" t="s">
        <v>4982</v>
      </c>
      <c r="X1169" s="2" t="s">
        <v>4925</v>
      </c>
      <c r="Y1169" s="2" t="s">
        <v>2927</v>
      </c>
      <c r="Z1169" s="2" t="s">
        <v>6221</v>
      </c>
      <c r="AA11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1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69" s="6" t="str">
        <f>IF(_xlfn.IFNA(INDEX(configuracoes!$A$2:$A$10,MATCH(base_tc_geral[[#This Row],[TIPO]],configuracoes!$A$2:$A$10,0)),"NÃO")="NÃO","NÃO","SIM")</f>
        <v>SIM</v>
      </c>
    </row>
    <row r="1170" spans="1:31" x14ac:dyDescent="0.25">
      <c r="A1170" s="2" t="s">
        <v>1956</v>
      </c>
      <c r="B1170" s="2">
        <v>109504534</v>
      </c>
      <c r="C1170" s="2" t="s">
        <v>15</v>
      </c>
      <c r="D1170" s="2" t="s">
        <v>4527</v>
      </c>
      <c r="E1170" s="2" t="s">
        <v>86</v>
      </c>
      <c r="F1170" s="2" t="s">
        <v>123</v>
      </c>
      <c r="G1170" s="2" t="s">
        <v>58</v>
      </c>
      <c r="H1170" s="2" t="s">
        <v>122</v>
      </c>
      <c r="I1170" s="2" t="s">
        <v>33</v>
      </c>
      <c r="J1170" s="2" t="s">
        <v>124</v>
      </c>
      <c r="K1170" s="2" t="s">
        <v>13</v>
      </c>
      <c r="L1170" s="2" t="s">
        <v>61</v>
      </c>
      <c r="M1170" s="2" t="s">
        <v>38</v>
      </c>
      <c r="N1170" s="2" t="s">
        <v>15</v>
      </c>
      <c r="O1170" s="2" t="s">
        <v>129</v>
      </c>
      <c r="P1170" s="2" t="s">
        <v>1959</v>
      </c>
      <c r="Q1170" s="2" t="s">
        <v>4926</v>
      </c>
      <c r="R1170" s="2" t="s">
        <v>1957</v>
      </c>
      <c r="S1170" s="2" t="s">
        <v>4699</v>
      </c>
      <c r="T1170" s="2" t="s">
        <v>4696</v>
      </c>
      <c r="U1170" s="2" t="s">
        <v>12</v>
      </c>
      <c r="V1170" s="2" t="s">
        <v>4797</v>
      </c>
      <c r="W1170" s="2" t="s">
        <v>4984</v>
      </c>
      <c r="X1170" s="2" t="s">
        <v>38</v>
      </c>
      <c r="Y1170" s="2" t="s">
        <v>1958</v>
      </c>
      <c r="Z1170" s="2" t="s">
        <v>6222</v>
      </c>
      <c r="AA11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EDSON CARLOS </v>
      </c>
      <c r="AB11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0" s="6" t="str">
        <f>IF(_xlfn.IFNA(INDEX(configuracoes!$A$2:$A$10,MATCH(base_tc_geral[[#This Row],[TIPO]],configuracoes!$A$2:$A$10,0)),"NÃO")="NÃO","NÃO","SIM")</f>
        <v>NÃO</v>
      </c>
    </row>
    <row r="1171" spans="1:31" x14ac:dyDescent="0.25">
      <c r="A1171" s="2" t="s">
        <v>1717</v>
      </c>
      <c r="B1171" s="2">
        <v>101010062</v>
      </c>
      <c r="C1171" s="2" t="s">
        <v>24</v>
      </c>
      <c r="D1171" s="2" t="s">
        <v>4482</v>
      </c>
      <c r="E1171" s="2" t="s">
        <v>47</v>
      </c>
      <c r="F1171" s="2" t="s">
        <v>181</v>
      </c>
      <c r="G1171" s="2" t="s">
        <v>883</v>
      </c>
      <c r="H1171" s="2" t="s">
        <v>66</v>
      </c>
      <c r="I1171" s="2" t="s">
        <v>16</v>
      </c>
      <c r="J1171" s="2" t="s">
        <v>66</v>
      </c>
      <c r="K1171" s="2" t="s">
        <v>20</v>
      </c>
      <c r="L1171" s="2" t="s">
        <v>21</v>
      </c>
      <c r="M1171" s="2" t="s">
        <v>22</v>
      </c>
      <c r="N1171" s="2" t="s">
        <v>24</v>
      </c>
      <c r="O1171" s="2" t="s">
        <v>71</v>
      </c>
      <c r="P1171" s="2" t="s">
        <v>1719</v>
      </c>
      <c r="Q1171" s="2" t="s">
        <v>4926</v>
      </c>
      <c r="R1171" s="2" t="s">
        <v>1699</v>
      </c>
      <c r="S1171" s="2" t="s">
        <v>4698</v>
      </c>
      <c r="T1171" s="2" t="s">
        <v>4697</v>
      </c>
      <c r="U1171" s="2" t="s">
        <v>39</v>
      </c>
      <c r="V1171" s="2" t="s">
        <v>4792</v>
      </c>
      <c r="W1171" s="2" t="s">
        <v>4982</v>
      </c>
      <c r="X1171" s="2" t="s">
        <v>4925</v>
      </c>
      <c r="Y1171" s="2" t="s">
        <v>1718</v>
      </c>
      <c r="Z1171" s="2" t="s">
        <v>6223</v>
      </c>
      <c r="AA11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1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71" s="6" t="str">
        <f>IF(_xlfn.IFNA(INDEX(configuracoes!$A$2:$A$10,MATCH(base_tc_geral[[#This Row],[TIPO]],configuracoes!$A$2:$A$10,0)),"NÃO")="NÃO","NÃO","SIM")</f>
        <v>SIM</v>
      </c>
    </row>
    <row r="1172" spans="1:31" x14ac:dyDescent="0.25">
      <c r="A1172" s="2" t="s">
        <v>990</v>
      </c>
      <c r="B1172" s="2">
        <v>102101393</v>
      </c>
      <c r="C1172" s="2" t="s">
        <v>15</v>
      </c>
      <c r="D1172" s="2" t="s">
        <v>4588</v>
      </c>
      <c r="E1172" s="2" t="s">
        <v>106</v>
      </c>
      <c r="F1172" s="2" t="s">
        <v>509</v>
      </c>
      <c r="G1172" s="2" t="s">
        <v>58</v>
      </c>
      <c r="H1172" s="2" t="s">
        <v>130</v>
      </c>
      <c r="I1172" s="2" t="s">
        <v>33</v>
      </c>
      <c r="J1172" s="2" t="s">
        <v>109</v>
      </c>
      <c r="K1172" s="2" t="s">
        <v>13</v>
      </c>
      <c r="L1172" s="2" t="s">
        <v>61</v>
      </c>
      <c r="M1172" s="2" t="s">
        <v>44</v>
      </c>
      <c r="N1172" s="2" t="s">
        <v>15</v>
      </c>
      <c r="O1172" s="2" t="s">
        <v>132</v>
      </c>
      <c r="P1172" s="2" t="s">
        <v>992</v>
      </c>
      <c r="Q1172" s="2" t="s">
        <v>4926</v>
      </c>
      <c r="R1172" s="2" t="s">
        <v>735</v>
      </c>
      <c r="S1172" s="2" t="s">
        <v>736</v>
      </c>
      <c r="T1172" s="2" t="s">
        <v>167</v>
      </c>
      <c r="U1172" s="2" t="s">
        <v>12</v>
      </c>
      <c r="V1172" s="2" t="s">
        <v>4886</v>
      </c>
      <c r="W1172" s="2" t="s">
        <v>5013</v>
      </c>
      <c r="X1172" s="2" t="s">
        <v>44</v>
      </c>
      <c r="Y1172" s="2" t="s">
        <v>991</v>
      </c>
      <c r="Z1172" s="2" t="s">
        <v>6224</v>
      </c>
      <c r="AA11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1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1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2" s="6" t="str">
        <f>IF(_xlfn.IFNA(INDEX(configuracoes!$A$2:$A$10,MATCH(base_tc_geral[[#This Row],[TIPO]],configuracoes!$A$2:$A$10,0)),"NÃO")="NÃO","NÃO","SIM")</f>
        <v>NÃO</v>
      </c>
    </row>
    <row r="1173" spans="1:31" x14ac:dyDescent="0.25">
      <c r="A1173" s="2" t="s">
        <v>2411</v>
      </c>
      <c r="B1173" s="2">
        <v>102101393</v>
      </c>
      <c r="C1173" s="2" t="s">
        <v>15</v>
      </c>
      <c r="D1173" s="2" t="s">
        <v>4489</v>
      </c>
      <c r="E1173" s="2" t="s">
        <v>106</v>
      </c>
      <c r="F1173" s="2" t="s">
        <v>509</v>
      </c>
      <c r="G1173" s="2" t="s">
        <v>58</v>
      </c>
      <c r="H1173" s="2" t="s">
        <v>130</v>
      </c>
      <c r="I1173" s="2" t="s">
        <v>33</v>
      </c>
      <c r="J1173" s="2" t="s">
        <v>109</v>
      </c>
      <c r="K1173" s="2" t="s">
        <v>13</v>
      </c>
      <c r="L1173" s="2" t="s">
        <v>61</v>
      </c>
      <c r="M1173" s="2" t="s">
        <v>44</v>
      </c>
      <c r="N1173" s="2" t="s">
        <v>15</v>
      </c>
      <c r="O1173" s="2" t="s">
        <v>132</v>
      </c>
      <c r="P1173" s="2" t="s">
        <v>2413</v>
      </c>
      <c r="Q1173" s="2" t="s">
        <v>4926</v>
      </c>
      <c r="R1173" s="2" t="s">
        <v>735</v>
      </c>
      <c r="S1173" s="2" t="s">
        <v>736</v>
      </c>
      <c r="T1173" s="2" t="s">
        <v>167</v>
      </c>
      <c r="U1173" s="2" t="s">
        <v>12</v>
      </c>
      <c r="V1173" s="2" t="s">
        <v>4886</v>
      </c>
      <c r="W1173" s="2" t="s">
        <v>5013</v>
      </c>
      <c r="X1173" s="2" t="s">
        <v>44</v>
      </c>
      <c r="Y1173" s="2" t="s">
        <v>2412</v>
      </c>
      <c r="Z1173" s="2" t="s">
        <v>6225</v>
      </c>
      <c r="AA11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1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1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3" s="6" t="str">
        <f>IF(_xlfn.IFNA(INDEX(configuracoes!$A$2:$A$10,MATCH(base_tc_geral[[#This Row],[TIPO]],configuracoes!$A$2:$A$10,0)),"NÃO")="NÃO","NÃO","SIM")</f>
        <v>NÃO</v>
      </c>
    </row>
    <row r="1174" spans="1:31" x14ac:dyDescent="0.25">
      <c r="A1174" s="2" t="s">
        <v>2896</v>
      </c>
      <c r="B1174" s="2">
        <v>109506032</v>
      </c>
      <c r="C1174" s="2" t="s">
        <v>15</v>
      </c>
      <c r="D1174" s="2" t="s">
        <v>4551</v>
      </c>
      <c r="E1174" s="2" t="s">
        <v>86</v>
      </c>
      <c r="F1174" s="2" t="s">
        <v>505</v>
      </c>
      <c r="G1174" s="2" t="s">
        <v>89</v>
      </c>
      <c r="H1174" s="2" t="s">
        <v>164</v>
      </c>
      <c r="I1174" s="2" t="s">
        <v>33</v>
      </c>
      <c r="J1174" s="2" t="s">
        <v>124</v>
      </c>
      <c r="K1174" s="2" t="s">
        <v>92</v>
      </c>
      <c r="L1174" s="2" t="s">
        <v>37</v>
      </c>
      <c r="M1174" s="2" t="s">
        <v>44</v>
      </c>
      <c r="N1174" s="2" t="s">
        <v>15</v>
      </c>
      <c r="O1174" s="2" t="s">
        <v>169</v>
      </c>
      <c r="P1174" s="2" t="s">
        <v>2898</v>
      </c>
      <c r="Q1174" s="2" t="s">
        <v>4926</v>
      </c>
      <c r="R1174" s="2" t="s">
        <v>2892</v>
      </c>
      <c r="S1174" s="2" t="s">
        <v>93</v>
      </c>
      <c r="T1174" s="2" t="s">
        <v>4696</v>
      </c>
      <c r="U1174" s="2" t="s">
        <v>12</v>
      </c>
      <c r="V1174" s="2" t="s">
        <v>4785</v>
      </c>
      <c r="W1174" s="2" t="s">
        <v>5013</v>
      </c>
      <c r="X1174" s="2" t="s">
        <v>44</v>
      </c>
      <c r="Y1174" s="2" t="s">
        <v>2897</v>
      </c>
      <c r="Z1174" s="2" t="s">
        <v>6226</v>
      </c>
      <c r="AA11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1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4" s="6" t="str">
        <f>IF(_xlfn.IFNA(INDEX(configuracoes!$A$2:$A$10,MATCH(base_tc_geral[[#This Row],[TIPO]],configuracoes!$A$2:$A$10,0)),"NÃO")="NÃO","NÃO","SIM")</f>
        <v>NÃO</v>
      </c>
    </row>
    <row r="1175" spans="1:31" x14ac:dyDescent="0.25">
      <c r="A1175" s="2" t="s">
        <v>2445</v>
      </c>
      <c r="B1175" s="2">
        <v>102100390</v>
      </c>
      <c r="C1175" s="2" t="s">
        <v>15</v>
      </c>
      <c r="D1175" s="2" t="s">
        <v>4484</v>
      </c>
      <c r="E1175" s="2" t="s">
        <v>106</v>
      </c>
      <c r="F1175" s="2" t="s">
        <v>131</v>
      </c>
      <c r="G1175" s="2" t="s">
        <v>245</v>
      </c>
      <c r="H1175" s="2" t="s">
        <v>130</v>
      </c>
      <c r="I1175" s="2" t="s">
        <v>33</v>
      </c>
      <c r="J1175" s="2" t="s">
        <v>109</v>
      </c>
      <c r="K1175" s="2" t="s">
        <v>20</v>
      </c>
      <c r="L1175" s="2" t="s">
        <v>21</v>
      </c>
      <c r="M1175" s="2" t="s">
        <v>22</v>
      </c>
      <c r="N1175" s="2" t="s">
        <v>15</v>
      </c>
      <c r="O1175" s="2" t="s">
        <v>132</v>
      </c>
      <c r="P1175" s="2" t="s">
        <v>2447</v>
      </c>
      <c r="Q1175" s="2" t="s">
        <v>4926</v>
      </c>
      <c r="R1175" s="2" t="s">
        <v>1092</v>
      </c>
      <c r="S1175" s="2" t="s">
        <v>736</v>
      </c>
      <c r="T1175" s="2" t="s">
        <v>167</v>
      </c>
      <c r="U1175" s="2" t="s">
        <v>12</v>
      </c>
      <c r="V1175" s="2" t="s">
        <v>4901</v>
      </c>
      <c r="W1175" s="2" t="s">
        <v>4982</v>
      </c>
      <c r="X1175" s="2" t="s">
        <v>4925</v>
      </c>
      <c r="Y1175" s="2" t="s">
        <v>2446</v>
      </c>
      <c r="Z1175" s="2" t="s">
        <v>6227</v>
      </c>
      <c r="AA11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11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1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5" s="6" t="str">
        <f>IF(_xlfn.IFNA(INDEX(configuracoes!$A$2:$A$10,MATCH(base_tc_geral[[#This Row],[TIPO]],configuracoes!$A$2:$A$10,0)),"NÃO")="NÃO","NÃO","SIM")</f>
        <v>SIM</v>
      </c>
    </row>
    <row r="1176" spans="1:31" x14ac:dyDescent="0.25">
      <c r="A1176" s="2" t="s">
        <v>1935</v>
      </c>
      <c r="B1176" s="2">
        <v>109000943</v>
      </c>
      <c r="C1176" s="2" t="s">
        <v>15</v>
      </c>
      <c r="D1176" s="2" t="s">
        <v>4487</v>
      </c>
      <c r="E1176" s="2" t="s">
        <v>86</v>
      </c>
      <c r="F1176" s="2" t="s">
        <v>205</v>
      </c>
      <c r="G1176" s="2" t="s">
        <v>149</v>
      </c>
      <c r="H1176" s="2" t="s">
        <v>122</v>
      </c>
      <c r="I1176" s="2" t="s">
        <v>33</v>
      </c>
      <c r="J1176" s="2" t="s">
        <v>124</v>
      </c>
      <c r="K1176" s="2" t="s">
        <v>13</v>
      </c>
      <c r="L1176" s="2" t="s">
        <v>61</v>
      </c>
      <c r="M1176" s="2" t="s">
        <v>22</v>
      </c>
      <c r="N1176" s="2" t="s">
        <v>15</v>
      </c>
      <c r="O1176" s="2" t="s">
        <v>129</v>
      </c>
      <c r="P1176" s="2" t="s">
        <v>1937</v>
      </c>
      <c r="Q1176" s="2" t="s">
        <v>4926</v>
      </c>
      <c r="R1176" s="2" t="s">
        <v>206</v>
      </c>
      <c r="S1176" s="2" t="s">
        <v>125</v>
      </c>
      <c r="T1176" s="2" t="s">
        <v>4696</v>
      </c>
      <c r="U1176" s="2" t="s">
        <v>12</v>
      </c>
      <c r="V1176" s="2" t="s">
        <v>4770</v>
      </c>
      <c r="W1176" s="2" t="s">
        <v>4982</v>
      </c>
      <c r="X1176" s="2" t="s">
        <v>4925</v>
      </c>
      <c r="Y1176" s="2" t="s">
        <v>1936</v>
      </c>
      <c r="Z1176" s="2" t="s">
        <v>6228</v>
      </c>
      <c r="AA11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1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6" s="6" t="str">
        <f>IF(_xlfn.IFNA(INDEX(configuracoes!$A$2:$A$10,MATCH(base_tc_geral[[#This Row],[TIPO]],configuracoes!$A$2:$A$10,0)),"NÃO")="NÃO","NÃO","SIM")</f>
        <v>NÃO</v>
      </c>
    </row>
    <row r="1177" spans="1:31" x14ac:dyDescent="0.25">
      <c r="A1177" s="2" t="s">
        <v>592</v>
      </c>
      <c r="B1177" s="2">
        <v>109505049</v>
      </c>
      <c r="C1177" s="2" t="s">
        <v>15</v>
      </c>
      <c r="D1177" s="2" t="s">
        <v>4616</v>
      </c>
      <c r="E1177" s="2" t="s">
        <v>86</v>
      </c>
      <c r="F1177" s="2" t="s">
        <v>594</v>
      </c>
      <c r="G1177" s="2" t="s">
        <v>99</v>
      </c>
      <c r="H1177" s="2" t="s">
        <v>122</v>
      </c>
      <c r="I1177" s="2" t="s">
        <v>33</v>
      </c>
      <c r="J1177" s="2" t="s">
        <v>124</v>
      </c>
      <c r="K1177" s="2" t="s">
        <v>13</v>
      </c>
      <c r="L1177" s="2" t="s">
        <v>25</v>
      </c>
      <c r="M1177" s="2" t="s">
        <v>22</v>
      </c>
      <c r="N1177" s="2" t="s">
        <v>15</v>
      </c>
      <c r="O1177" s="2" t="s">
        <v>129</v>
      </c>
      <c r="P1177" s="2" t="s">
        <v>595</v>
      </c>
      <c r="Q1177" s="2" t="s">
        <v>4926</v>
      </c>
      <c r="R1177" s="2" t="s">
        <v>541</v>
      </c>
      <c r="S1177" s="2" t="s">
        <v>125</v>
      </c>
      <c r="T1177" s="2" t="s">
        <v>4696</v>
      </c>
      <c r="U1177" s="2" t="s">
        <v>12</v>
      </c>
      <c r="V1177" s="2" t="s">
        <v>4765</v>
      </c>
      <c r="W1177" s="2" t="s">
        <v>4931</v>
      </c>
      <c r="X1177" s="2" t="s">
        <v>4925</v>
      </c>
      <c r="Y1177" s="2" t="s">
        <v>593</v>
      </c>
      <c r="Z1177" s="2" t="s">
        <v>6229</v>
      </c>
      <c r="AA11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1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7" s="6" t="str">
        <f>IF(_xlfn.IFNA(INDEX(configuracoes!$A$2:$A$10,MATCH(base_tc_geral[[#This Row],[TIPO]],configuracoes!$A$2:$A$10,0)),"NÃO")="NÃO","NÃO","SIM")</f>
        <v>SIM</v>
      </c>
    </row>
    <row r="1178" spans="1:31" x14ac:dyDescent="0.25">
      <c r="A1178" s="2" t="s">
        <v>3664</v>
      </c>
      <c r="B1178" s="2">
        <v>109500315</v>
      </c>
      <c r="C1178" s="2" t="s">
        <v>15</v>
      </c>
      <c r="D1178" s="2" t="s">
        <v>4481</v>
      </c>
      <c r="E1178" s="2" t="s">
        <v>86</v>
      </c>
      <c r="F1178" s="2" t="s">
        <v>284</v>
      </c>
      <c r="G1178" s="2" t="s">
        <v>172</v>
      </c>
      <c r="H1178" s="2" t="s">
        <v>283</v>
      </c>
      <c r="I1178" s="2" t="s">
        <v>33</v>
      </c>
      <c r="J1178" s="2" t="s">
        <v>124</v>
      </c>
      <c r="K1178" s="2" t="s">
        <v>13</v>
      </c>
      <c r="L1178" s="2" t="s">
        <v>17</v>
      </c>
      <c r="M1178" s="2" t="s">
        <v>23</v>
      </c>
      <c r="N1178" s="2" t="s">
        <v>15</v>
      </c>
      <c r="O1178" s="2" t="s">
        <v>287</v>
      </c>
      <c r="P1178" s="2" t="s">
        <v>3666</v>
      </c>
      <c r="Q1178" s="2" t="s">
        <v>4926</v>
      </c>
      <c r="R1178" s="2" t="s">
        <v>173</v>
      </c>
      <c r="S1178" s="2" t="s">
        <v>93</v>
      </c>
      <c r="T1178" s="2" t="s">
        <v>4696</v>
      </c>
      <c r="U1178" s="2" t="s">
        <v>12</v>
      </c>
      <c r="V1178" s="2" t="s">
        <v>4887</v>
      </c>
      <c r="W1178" s="2" t="s">
        <v>17</v>
      </c>
      <c r="X1178" s="2" t="s">
        <v>4998</v>
      </c>
      <c r="Y1178" s="2" t="s">
        <v>3665</v>
      </c>
      <c r="Z1178" s="2" t="s">
        <v>6230</v>
      </c>
      <c r="AA11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1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78" s="6" t="str">
        <f>IF(_xlfn.IFNA(INDEX(configuracoes!$A$2:$A$10,MATCH(base_tc_geral[[#This Row],[TIPO]],configuracoes!$A$2:$A$10,0)),"NÃO")="NÃO","NÃO","SIM")</f>
        <v>NÃO</v>
      </c>
    </row>
    <row r="1179" spans="1:31" x14ac:dyDescent="0.25">
      <c r="A1179" s="2" t="s">
        <v>2879</v>
      </c>
      <c r="B1179" s="2">
        <v>101001782</v>
      </c>
      <c r="C1179" s="2" t="s">
        <v>24</v>
      </c>
      <c r="D1179" s="2" t="s">
        <v>4482</v>
      </c>
      <c r="E1179" s="2" t="s">
        <v>47</v>
      </c>
      <c r="F1179" s="2" t="s">
        <v>464</v>
      </c>
      <c r="G1179" s="2" t="s">
        <v>630</v>
      </c>
      <c r="H1179" s="2" t="s">
        <v>48</v>
      </c>
      <c r="I1179" s="2" t="s">
        <v>16</v>
      </c>
      <c r="J1179" s="2" t="s">
        <v>48</v>
      </c>
      <c r="K1179" s="2" t="s">
        <v>20</v>
      </c>
      <c r="L1179" s="2" t="s">
        <v>21</v>
      </c>
      <c r="M1179" s="2" t="s">
        <v>22</v>
      </c>
      <c r="N1179" s="2" t="s">
        <v>24</v>
      </c>
      <c r="O1179" s="2" t="s">
        <v>53</v>
      </c>
      <c r="P1179" s="2" t="s">
        <v>2881</v>
      </c>
      <c r="Q1179" s="2" t="s">
        <v>4926</v>
      </c>
      <c r="R1179" s="2" t="s">
        <v>512</v>
      </c>
      <c r="S1179" s="2" t="s">
        <v>51</v>
      </c>
      <c r="T1179" s="2" t="s">
        <v>4697</v>
      </c>
      <c r="U1179" s="2" t="s">
        <v>39</v>
      </c>
      <c r="V1179" s="2" t="s">
        <v>4861</v>
      </c>
      <c r="W1179" s="2" t="s">
        <v>4982</v>
      </c>
      <c r="X1179" s="2" t="s">
        <v>4925</v>
      </c>
      <c r="Y1179" s="2" t="s">
        <v>2880</v>
      </c>
      <c r="Z1179" s="2" t="s">
        <v>6231</v>
      </c>
      <c r="AA11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1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79" s="6" t="str">
        <f>IF(_xlfn.IFNA(INDEX(configuracoes!$A$2:$A$10,MATCH(base_tc_geral[[#This Row],[TIPO]],configuracoes!$A$2:$A$10,0)),"NÃO")="NÃO","NÃO","SIM")</f>
        <v>SIM</v>
      </c>
    </row>
    <row r="1180" spans="1:31" x14ac:dyDescent="0.25">
      <c r="A1180" s="2" t="s">
        <v>3808</v>
      </c>
      <c r="B1180" s="2">
        <v>109504534</v>
      </c>
      <c r="C1180" s="2" t="s">
        <v>15</v>
      </c>
      <c r="D1180" s="2" t="s">
        <v>4481</v>
      </c>
      <c r="E1180" s="2" t="s">
        <v>86</v>
      </c>
      <c r="F1180" s="2" t="s">
        <v>165</v>
      </c>
      <c r="G1180" s="2" t="s">
        <v>58</v>
      </c>
      <c r="H1180" s="2" t="s">
        <v>164</v>
      </c>
      <c r="I1180" s="2" t="s">
        <v>33</v>
      </c>
      <c r="J1180" s="2" t="s">
        <v>124</v>
      </c>
      <c r="K1180" s="2" t="s">
        <v>13</v>
      </c>
      <c r="L1180" s="2" t="s">
        <v>61</v>
      </c>
      <c r="M1180" s="2" t="s">
        <v>38</v>
      </c>
      <c r="N1180" s="2" t="s">
        <v>15</v>
      </c>
      <c r="O1180" s="2" t="s">
        <v>169</v>
      </c>
      <c r="P1180" s="2" t="s">
        <v>3810</v>
      </c>
      <c r="Q1180" s="2" t="s">
        <v>4926</v>
      </c>
      <c r="R1180" s="2" t="s">
        <v>1957</v>
      </c>
      <c r="S1180" s="2" t="s">
        <v>4699</v>
      </c>
      <c r="T1180" s="2" t="s">
        <v>4696</v>
      </c>
      <c r="U1180" s="2" t="s">
        <v>12</v>
      </c>
      <c r="V1180" s="2" t="s">
        <v>4797</v>
      </c>
      <c r="W1180" s="2" t="s">
        <v>4984</v>
      </c>
      <c r="X1180" s="2" t="s">
        <v>38</v>
      </c>
      <c r="Y1180" s="2" t="s">
        <v>3809</v>
      </c>
      <c r="Z1180" s="2" t="s">
        <v>6232</v>
      </c>
      <c r="AA11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EDSON CARLOS </v>
      </c>
      <c r="AB11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0" s="6" t="str">
        <f>IF(_xlfn.IFNA(INDEX(configuracoes!$A$2:$A$10,MATCH(base_tc_geral[[#This Row],[TIPO]],configuracoes!$A$2:$A$10,0)),"NÃO")="NÃO","NÃO","SIM")</f>
        <v>NÃO</v>
      </c>
    </row>
    <row r="1181" spans="1:31" x14ac:dyDescent="0.25">
      <c r="A1181" s="2" t="s">
        <v>3144</v>
      </c>
      <c r="B1181" s="2">
        <v>101003771</v>
      </c>
      <c r="C1181" s="2" t="s">
        <v>15</v>
      </c>
      <c r="D1181" s="2" t="s">
        <v>4557</v>
      </c>
      <c r="E1181" s="2" t="s">
        <v>47</v>
      </c>
      <c r="F1181" s="2" t="s">
        <v>511</v>
      </c>
      <c r="G1181" s="2" t="s">
        <v>172</v>
      </c>
      <c r="H1181" s="2" t="s">
        <v>48</v>
      </c>
      <c r="I1181" s="2" t="s">
        <v>16</v>
      </c>
      <c r="J1181" s="2" t="s">
        <v>48</v>
      </c>
      <c r="K1181" s="2" t="s">
        <v>13</v>
      </c>
      <c r="L1181" s="2" t="s">
        <v>17</v>
      </c>
      <c r="M1181" s="2" t="s">
        <v>22</v>
      </c>
      <c r="N1181" s="2" t="s">
        <v>15</v>
      </c>
      <c r="O1181" s="2" t="s">
        <v>53</v>
      </c>
      <c r="P1181" s="2" t="s">
        <v>3146</v>
      </c>
      <c r="Q1181" s="2" t="s">
        <v>4926</v>
      </c>
      <c r="R1181" s="2" t="s">
        <v>465</v>
      </c>
      <c r="S1181" s="2" t="s">
        <v>51</v>
      </c>
      <c r="T1181" s="2" t="s">
        <v>4697</v>
      </c>
      <c r="U1181" s="2" t="s">
        <v>12</v>
      </c>
      <c r="V1181" s="2" t="s">
        <v>4810</v>
      </c>
      <c r="W1181" s="2" t="s">
        <v>17</v>
      </c>
      <c r="X1181" s="2" t="s">
        <v>4925</v>
      </c>
      <c r="Y1181" s="2" t="s">
        <v>3145</v>
      </c>
      <c r="Z1181" s="2" t="s">
        <v>6233</v>
      </c>
      <c r="AA11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1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1" s="6" t="str">
        <f>IF(_xlfn.IFNA(INDEX(configuracoes!$A$2:$A$10,MATCH(base_tc_geral[[#This Row],[TIPO]],configuracoes!$A$2:$A$10,0)),"NÃO")="NÃO","NÃO","SIM")</f>
        <v>NÃO</v>
      </c>
    </row>
    <row r="1182" spans="1:31" x14ac:dyDescent="0.25">
      <c r="A1182" s="2" t="s">
        <v>4874</v>
      </c>
      <c r="B1182" s="2">
        <v>101006255</v>
      </c>
      <c r="C1182" s="2" t="s">
        <v>15</v>
      </c>
      <c r="D1182" s="2" t="s">
        <v>4586</v>
      </c>
      <c r="E1182" s="2" t="s">
        <v>47</v>
      </c>
      <c r="F1182" s="2" t="s">
        <v>1112</v>
      </c>
      <c r="G1182" s="2" t="s">
        <v>136</v>
      </c>
      <c r="H1182" s="2" t="s">
        <v>224</v>
      </c>
      <c r="I1182" s="2" t="s">
        <v>16</v>
      </c>
      <c r="J1182" s="2" t="s">
        <v>227</v>
      </c>
      <c r="K1182" s="2" t="s">
        <v>13</v>
      </c>
      <c r="L1182" s="2" t="s">
        <v>72</v>
      </c>
      <c r="M1182" s="2" t="s">
        <v>73</v>
      </c>
      <c r="N1182" s="2" t="s">
        <v>15</v>
      </c>
      <c r="O1182" s="2" t="s">
        <v>229</v>
      </c>
      <c r="P1182" s="2" t="s">
        <v>4876</v>
      </c>
      <c r="Q1182" s="2" t="s">
        <v>4926</v>
      </c>
      <c r="R1182" s="2" t="s">
        <v>369</v>
      </c>
      <c r="S1182" s="2" t="s">
        <v>4698</v>
      </c>
      <c r="T1182" s="2" t="s">
        <v>4697</v>
      </c>
      <c r="U1182" s="2" t="s">
        <v>39</v>
      </c>
      <c r="V1182" s="2" t="s">
        <v>4817</v>
      </c>
      <c r="W1182" s="2" t="s">
        <v>72</v>
      </c>
      <c r="X1182" s="2" t="s">
        <v>5011</v>
      </c>
      <c r="Y1182" s="2" t="s">
        <v>4875</v>
      </c>
      <c r="Z1182" s="2" t="s">
        <v>6234</v>
      </c>
      <c r="AA11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11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2" s="6" t="str">
        <f>IF(_xlfn.IFNA(INDEX(configuracoes!$A$2:$A$10,MATCH(base_tc_geral[[#This Row],[TIPO]],configuracoes!$A$2:$A$10,0)),"NÃO")="NÃO","NÃO","SIM")</f>
        <v>NÃO</v>
      </c>
    </row>
    <row r="1183" spans="1:31" x14ac:dyDescent="0.25">
      <c r="A1183" s="2" t="s">
        <v>492</v>
      </c>
      <c r="B1183" s="2">
        <v>428271</v>
      </c>
      <c r="C1183" s="2" t="s">
        <v>15</v>
      </c>
      <c r="D1183" s="2" t="s">
        <v>4619</v>
      </c>
      <c r="E1183" s="2" t="s">
        <v>47</v>
      </c>
      <c r="F1183" s="2" t="s">
        <v>350</v>
      </c>
      <c r="G1183" s="2" t="s">
        <v>245</v>
      </c>
      <c r="H1183" s="2" t="s">
        <v>227</v>
      </c>
      <c r="I1183" s="2" t="s">
        <v>16</v>
      </c>
      <c r="J1183" s="2" t="s">
        <v>227</v>
      </c>
      <c r="K1183" s="2" t="s">
        <v>20</v>
      </c>
      <c r="L1183" s="2" t="s">
        <v>21</v>
      </c>
      <c r="M1183" s="2" t="s">
        <v>22</v>
      </c>
      <c r="N1183" s="2" t="s">
        <v>15</v>
      </c>
      <c r="O1183" s="2" t="s">
        <v>271</v>
      </c>
      <c r="P1183" s="2" t="s">
        <v>494</v>
      </c>
      <c r="Q1183" s="2" t="s">
        <v>4926</v>
      </c>
      <c r="R1183" s="2" t="s">
        <v>4828</v>
      </c>
      <c r="S1183" s="2" t="s">
        <v>4698</v>
      </c>
      <c r="T1183" s="2" t="s">
        <v>4697</v>
      </c>
      <c r="U1183" s="2" t="s">
        <v>12</v>
      </c>
      <c r="V1183" s="2" t="s">
        <v>4829</v>
      </c>
      <c r="W1183" s="2" t="s">
        <v>4982</v>
      </c>
      <c r="X1183" s="2" t="s">
        <v>4925</v>
      </c>
      <c r="Y1183" s="2" t="s">
        <v>493</v>
      </c>
      <c r="Z1183" s="2" t="s">
        <v>5414</v>
      </c>
      <c r="AA11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1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3" s="6" t="str">
        <f>IF(_xlfn.IFNA(INDEX(configuracoes!$A$2:$A$10,MATCH(base_tc_geral[[#This Row],[TIPO]],configuracoes!$A$2:$A$10,0)),"NÃO")="NÃO","NÃO","SIM")</f>
        <v>SIM</v>
      </c>
    </row>
    <row r="1184" spans="1:31" x14ac:dyDescent="0.25">
      <c r="A1184" s="2" t="s">
        <v>764</v>
      </c>
      <c r="B1184" s="2">
        <v>102101220</v>
      </c>
      <c r="C1184" s="2" t="s">
        <v>15</v>
      </c>
      <c r="D1184" s="2" t="s">
        <v>4515</v>
      </c>
      <c r="E1184" s="2" t="s">
        <v>106</v>
      </c>
      <c r="F1184" s="2" t="s">
        <v>428</v>
      </c>
      <c r="G1184" s="2" t="s">
        <v>245</v>
      </c>
      <c r="H1184" s="2" t="s">
        <v>427</v>
      </c>
      <c r="I1184" s="2" t="s">
        <v>33</v>
      </c>
      <c r="J1184" s="2" t="s">
        <v>109</v>
      </c>
      <c r="K1184" s="2" t="s">
        <v>20</v>
      </c>
      <c r="L1184" s="2" t="s">
        <v>21</v>
      </c>
      <c r="M1184" s="2" t="s">
        <v>22</v>
      </c>
      <c r="N1184" s="2" t="s">
        <v>15</v>
      </c>
      <c r="O1184" s="2" t="s">
        <v>430</v>
      </c>
      <c r="P1184" s="2" t="s">
        <v>766</v>
      </c>
      <c r="Q1184" s="2" t="s">
        <v>4926</v>
      </c>
      <c r="R1184" s="2" t="s">
        <v>625</v>
      </c>
      <c r="S1184" s="2" t="s">
        <v>736</v>
      </c>
      <c r="T1184" s="2" t="s">
        <v>167</v>
      </c>
      <c r="U1184" s="2" t="s">
        <v>12</v>
      </c>
      <c r="V1184" s="2" t="s">
        <v>4895</v>
      </c>
      <c r="W1184" s="2" t="s">
        <v>4982</v>
      </c>
      <c r="X1184" s="2" t="s">
        <v>4925</v>
      </c>
      <c r="Y1184" s="2" t="s">
        <v>765</v>
      </c>
      <c r="Z1184" s="2" t="s">
        <v>5415</v>
      </c>
      <c r="AA11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11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1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4" s="6" t="str">
        <f>IF(_xlfn.IFNA(INDEX(configuracoes!$A$2:$A$10,MATCH(base_tc_geral[[#This Row],[TIPO]],configuracoes!$A$2:$A$10,0)),"NÃO")="NÃO","NÃO","SIM")</f>
        <v>SIM</v>
      </c>
    </row>
    <row r="1185" spans="1:31" x14ac:dyDescent="0.25">
      <c r="A1185" s="2" t="s">
        <v>215</v>
      </c>
      <c r="B1185" s="2">
        <v>109505858</v>
      </c>
      <c r="C1185" s="2" t="s">
        <v>15</v>
      </c>
      <c r="D1185" s="2" t="s">
        <v>4496</v>
      </c>
      <c r="E1185" s="2" t="s">
        <v>86</v>
      </c>
      <c r="F1185" s="2" t="s">
        <v>218</v>
      </c>
      <c r="G1185" s="2" t="s">
        <v>172</v>
      </c>
      <c r="H1185" s="2" t="s">
        <v>217</v>
      </c>
      <c r="I1185" s="2" t="s">
        <v>33</v>
      </c>
      <c r="J1185" s="2" t="s">
        <v>91</v>
      </c>
      <c r="K1185" s="2" t="s">
        <v>13</v>
      </c>
      <c r="L1185" s="2" t="s">
        <v>17</v>
      </c>
      <c r="M1185" s="2" t="s">
        <v>23</v>
      </c>
      <c r="N1185" s="2" t="s">
        <v>15</v>
      </c>
      <c r="O1185" s="2" t="s">
        <v>221</v>
      </c>
      <c r="P1185" s="2" t="s">
        <v>220</v>
      </c>
      <c r="Q1185" s="2" t="s">
        <v>4926</v>
      </c>
      <c r="R1185" s="2" t="s">
        <v>1466</v>
      </c>
      <c r="S1185" s="2" t="s">
        <v>93</v>
      </c>
      <c r="T1185" s="2" t="s">
        <v>4696</v>
      </c>
      <c r="U1185" s="2" t="s">
        <v>12</v>
      </c>
      <c r="V1185" s="2" t="s">
        <v>4802</v>
      </c>
      <c r="W1185" s="2" t="s">
        <v>17</v>
      </c>
      <c r="X1185" s="2" t="s">
        <v>4998</v>
      </c>
      <c r="Y1185" s="2" t="s">
        <v>216</v>
      </c>
      <c r="Z1185" s="2" t="s">
        <v>5416</v>
      </c>
      <c r="AA11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1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5" s="6" t="str">
        <f>IF(_xlfn.IFNA(INDEX(configuracoes!$A$2:$A$10,MATCH(base_tc_geral[[#This Row],[TIPO]],configuracoes!$A$2:$A$10,0)),"NÃO")="NÃO","NÃO","SIM")</f>
        <v>NÃO</v>
      </c>
    </row>
    <row r="1186" spans="1:31" x14ac:dyDescent="0.25">
      <c r="A1186" s="2" t="s">
        <v>4376</v>
      </c>
      <c r="B1186" s="2">
        <v>101005380</v>
      </c>
      <c r="C1186" s="2" t="s">
        <v>15</v>
      </c>
      <c r="D1186" s="2" t="s">
        <v>4781</v>
      </c>
      <c r="E1186" s="2" t="s">
        <v>47</v>
      </c>
      <c r="F1186" s="2" t="s">
        <v>67</v>
      </c>
      <c r="G1186" s="2" t="s">
        <v>172</v>
      </c>
      <c r="H1186" s="2" t="s">
        <v>66</v>
      </c>
      <c r="I1186" s="2" t="s">
        <v>16</v>
      </c>
      <c r="J1186" s="2" t="s">
        <v>66</v>
      </c>
      <c r="K1186" s="2" t="s">
        <v>13</v>
      </c>
      <c r="L1186" s="2" t="s">
        <v>17</v>
      </c>
      <c r="M1186" s="2" t="s">
        <v>18</v>
      </c>
      <c r="N1186" s="2" t="s">
        <v>15</v>
      </c>
      <c r="O1186" s="2" t="s">
        <v>71</v>
      </c>
      <c r="P1186" s="2" t="s">
        <v>4378</v>
      </c>
      <c r="Q1186" s="2" t="s">
        <v>4926</v>
      </c>
      <c r="R1186" s="2" t="s">
        <v>69</v>
      </c>
      <c r="S1186" s="2" t="s">
        <v>4698</v>
      </c>
      <c r="T1186" s="2" t="s">
        <v>4697</v>
      </c>
      <c r="U1186" s="2" t="s">
        <v>39</v>
      </c>
      <c r="V1186" s="2" t="s">
        <v>4787</v>
      </c>
      <c r="W1186" s="2" t="s">
        <v>17</v>
      </c>
      <c r="X1186" s="2" t="s">
        <v>4998</v>
      </c>
      <c r="Y1186" s="2" t="s">
        <v>4377</v>
      </c>
      <c r="Z1186" s="2" t="s">
        <v>5417</v>
      </c>
      <c r="AA11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11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6" s="6" t="str">
        <f>IF(_xlfn.IFNA(INDEX(configuracoes!$A$2:$A$10,MATCH(base_tc_geral[[#This Row],[TIPO]],configuracoes!$A$2:$A$10,0)),"NÃO")="NÃO","NÃO","SIM")</f>
        <v>NÃO</v>
      </c>
    </row>
    <row r="1187" spans="1:31" x14ac:dyDescent="0.25">
      <c r="A1187" s="2" t="s">
        <v>1110</v>
      </c>
      <c r="B1187" s="2">
        <v>101006255</v>
      </c>
      <c r="C1187" s="2" t="s">
        <v>15</v>
      </c>
      <c r="D1187" s="2" t="s">
        <v>4594</v>
      </c>
      <c r="E1187" s="2" t="s">
        <v>47</v>
      </c>
      <c r="F1187" s="2" t="s">
        <v>1112</v>
      </c>
      <c r="G1187" s="2" t="s">
        <v>58</v>
      </c>
      <c r="H1187" s="2" t="s">
        <v>224</v>
      </c>
      <c r="I1187" s="2" t="s">
        <v>16</v>
      </c>
      <c r="J1187" s="2" t="s">
        <v>227</v>
      </c>
      <c r="K1187" s="2" t="s">
        <v>92</v>
      </c>
      <c r="L1187" s="2" t="s">
        <v>61</v>
      </c>
      <c r="M1187" s="2" t="s">
        <v>44</v>
      </c>
      <c r="N1187" s="2" t="s">
        <v>15</v>
      </c>
      <c r="O1187" s="2" t="s">
        <v>229</v>
      </c>
      <c r="P1187" s="2" t="s">
        <v>1113</v>
      </c>
      <c r="Q1187" s="2" t="s">
        <v>4926</v>
      </c>
      <c r="R1187" s="2" t="s">
        <v>369</v>
      </c>
      <c r="S1187" s="2" t="s">
        <v>4698</v>
      </c>
      <c r="T1187" s="2" t="s">
        <v>4697</v>
      </c>
      <c r="U1187" s="2" t="s">
        <v>12</v>
      </c>
      <c r="V1187" s="2" t="s">
        <v>4817</v>
      </c>
      <c r="W1187" s="2" t="s">
        <v>5013</v>
      </c>
      <c r="X1187" s="2" t="s">
        <v>44</v>
      </c>
      <c r="Y1187" s="2" t="s">
        <v>1111</v>
      </c>
      <c r="Z1187" s="2" t="s">
        <v>5418</v>
      </c>
      <c r="AA11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11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7" s="6" t="str">
        <f>IF(_xlfn.IFNA(INDEX(configuracoes!$A$2:$A$10,MATCH(base_tc_geral[[#This Row],[TIPO]],configuracoes!$A$2:$A$10,0)),"NÃO")="NÃO","NÃO","SIM")</f>
        <v>NÃO</v>
      </c>
    </row>
    <row r="1188" spans="1:31" x14ac:dyDescent="0.25">
      <c r="A1188" s="2" t="s">
        <v>1456</v>
      </c>
      <c r="B1188" s="2">
        <v>109501286</v>
      </c>
      <c r="C1188" s="2" t="s">
        <v>15</v>
      </c>
      <c r="D1188" s="2" t="s">
        <v>4489</v>
      </c>
      <c r="E1188" s="2" t="s">
        <v>86</v>
      </c>
      <c r="F1188" s="2" t="s">
        <v>497</v>
      </c>
      <c r="G1188" s="2" t="s">
        <v>41</v>
      </c>
      <c r="H1188" s="2" t="s">
        <v>164</v>
      </c>
      <c r="I1188" s="2" t="s">
        <v>33</v>
      </c>
      <c r="J1188" s="2" t="s">
        <v>124</v>
      </c>
      <c r="K1188" s="2" t="s">
        <v>13</v>
      </c>
      <c r="L1188" s="2" t="s">
        <v>42</v>
      </c>
      <c r="M1188" s="2" t="s">
        <v>75</v>
      </c>
      <c r="N1188" s="2" t="s">
        <v>15</v>
      </c>
      <c r="O1188" s="2" t="s">
        <v>169</v>
      </c>
      <c r="P1188" s="2" t="s">
        <v>1458</v>
      </c>
      <c r="Q1188" s="2" t="s">
        <v>4926</v>
      </c>
      <c r="R1188" s="2" t="s">
        <v>498</v>
      </c>
      <c r="S1188" s="2" t="s">
        <v>93</v>
      </c>
      <c r="T1188" s="2" t="s">
        <v>4696</v>
      </c>
      <c r="U1188" s="2" t="s">
        <v>12</v>
      </c>
      <c r="V1188" s="2" t="s">
        <v>4766</v>
      </c>
      <c r="W1188" s="2" t="s">
        <v>42</v>
      </c>
      <c r="X1188" s="2" t="s">
        <v>75</v>
      </c>
      <c r="Y1188" s="2" t="s">
        <v>1457</v>
      </c>
      <c r="Z1188" s="2" t="s">
        <v>5419</v>
      </c>
      <c r="AA11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11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8" s="6" t="str">
        <f>IF(_xlfn.IFNA(INDEX(configuracoes!$A$2:$A$10,MATCH(base_tc_geral[[#This Row],[TIPO]],configuracoes!$A$2:$A$10,0)),"NÃO")="NÃO","NÃO","SIM")</f>
        <v>SIM</v>
      </c>
    </row>
    <row r="1189" spans="1:31" x14ac:dyDescent="0.25">
      <c r="A1189" s="2" t="s">
        <v>2264</v>
      </c>
      <c r="B1189" s="2">
        <v>109000340</v>
      </c>
      <c r="C1189" s="2" t="s">
        <v>15</v>
      </c>
      <c r="D1189" s="2" t="s">
        <v>4523</v>
      </c>
      <c r="E1189" s="2" t="s">
        <v>86</v>
      </c>
      <c r="F1189" s="2" t="s">
        <v>88</v>
      </c>
      <c r="G1189" s="2" t="s">
        <v>1350</v>
      </c>
      <c r="H1189" s="2" t="s">
        <v>87</v>
      </c>
      <c r="I1189" s="2" t="s">
        <v>33</v>
      </c>
      <c r="J1189" s="2" t="s">
        <v>91</v>
      </c>
      <c r="K1189" s="2" t="s">
        <v>20</v>
      </c>
      <c r="L1189" s="2" t="s">
        <v>126</v>
      </c>
      <c r="M1189" s="2" t="s">
        <v>22</v>
      </c>
      <c r="N1189" s="2" t="s">
        <v>15</v>
      </c>
      <c r="O1189" s="2" t="s">
        <v>95</v>
      </c>
      <c r="P1189" s="2" t="s">
        <v>2266</v>
      </c>
      <c r="Q1189" s="2" t="s">
        <v>4926</v>
      </c>
      <c r="R1189" s="2" t="s">
        <v>90</v>
      </c>
      <c r="S1189" s="2" t="s">
        <v>93</v>
      </c>
      <c r="T1189" s="2" t="s">
        <v>4696</v>
      </c>
      <c r="U1189" s="2" t="s">
        <v>12</v>
      </c>
      <c r="V1189" s="2" t="s">
        <v>4796</v>
      </c>
      <c r="W1189" s="2" t="s">
        <v>4982</v>
      </c>
      <c r="X1189" s="2" t="s">
        <v>4925</v>
      </c>
      <c r="Y1189" s="2" t="s">
        <v>2265</v>
      </c>
      <c r="Z1189" s="2" t="s">
        <v>6235</v>
      </c>
      <c r="AA11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1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89" s="6" t="str">
        <f>IF(_xlfn.IFNA(INDEX(configuracoes!$A$2:$A$10,MATCH(base_tc_geral[[#This Row],[TIPO]],configuracoes!$A$2:$A$10,0)),"NÃO")="NÃO","NÃO","SIM")</f>
        <v>SIM</v>
      </c>
    </row>
    <row r="1190" spans="1:31" x14ac:dyDescent="0.25">
      <c r="A1190" s="2" t="s">
        <v>3518</v>
      </c>
      <c r="B1190" s="2">
        <v>102101634</v>
      </c>
      <c r="C1190" s="2" t="s">
        <v>15</v>
      </c>
      <c r="D1190" s="2" t="s">
        <v>4526</v>
      </c>
      <c r="E1190" s="2" t="s">
        <v>106</v>
      </c>
      <c r="F1190" s="2" t="s">
        <v>108</v>
      </c>
      <c r="G1190" s="2" t="s">
        <v>245</v>
      </c>
      <c r="H1190" s="2" t="s">
        <v>107</v>
      </c>
      <c r="I1190" s="2" t="s">
        <v>33</v>
      </c>
      <c r="J1190" s="2" t="s">
        <v>109</v>
      </c>
      <c r="K1190" s="2" t="s">
        <v>13</v>
      </c>
      <c r="L1190" s="2" t="s">
        <v>21</v>
      </c>
      <c r="M1190" s="2" t="s">
        <v>22</v>
      </c>
      <c r="N1190" s="2" t="s">
        <v>15</v>
      </c>
      <c r="O1190" s="2" t="s">
        <v>112</v>
      </c>
      <c r="P1190" s="2" t="s">
        <v>3520</v>
      </c>
      <c r="Q1190" s="2" t="s">
        <v>4926</v>
      </c>
      <c r="R1190" s="2" t="s">
        <v>406</v>
      </c>
      <c r="S1190" s="2" t="s">
        <v>736</v>
      </c>
      <c r="T1190" s="2" t="s">
        <v>167</v>
      </c>
      <c r="U1190" s="2" t="s">
        <v>12</v>
      </c>
      <c r="V1190" s="2" t="s">
        <v>4853</v>
      </c>
      <c r="W1190" s="2" t="s">
        <v>4982</v>
      </c>
      <c r="X1190" s="2" t="s">
        <v>4925</v>
      </c>
      <c r="Y1190" s="2" t="s">
        <v>3519</v>
      </c>
      <c r="Z1190" s="2" t="s">
        <v>6236</v>
      </c>
      <c r="AA11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11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1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1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0" s="6" t="str">
        <f>IF(_xlfn.IFNA(INDEX(configuracoes!$A$2:$A$10,MATCH(base_tc_geral[[#This Row],[TIPO]],configuracoes!$A$2:$A$10,0)),"NÃO")="NÃO","NÃO","SIM")</f>
        <v>SIM</v>
      </c>
    </row>
    <row r="1191" spans="1:31" x14ac:dyDescent="0.25">
      <c r="A1191" s="2" t="s">
        <v>1900</v>
      </c>
      <c r="B1191" s="2">
        <v>101006255</v>
      </c>
      <c r="C1191" s="2" t="s">
        <v>15</v>
      </c>
      <c r="D1191" s="2" t="s">
        <v>4556</v>
      </c>
      <c r="E1191" s="2" t="s">
        <v>47</v>
      </c>
      <c r="F1191" s="2" t="s">
        <v>1112</v>
      </c>
      <c r="G1191" s="2" t="s">
        <v>245</v>
      </c>
      <c r="H1191" s="2" t="s">
        <v>224</v>
      </c>
      <c r="I1191" s="2" t="s">
        <v>16</v>
      </c>
      <c r="J1191" s="2" t="s">
        <v>227</v>
      </c>
      <c r="K1191" s="2" t="s">
        <v>20</v>
      </c>
      <c r="L1191" s="2" t="s">
        <v>21</v>
      </c>
      <c r="M1191" s="2" t="s">
        <v>22</v>
      </c>
      <c r="N1191" s="2" t="s">
        <v>15</v>
      </c>
      <c r="O1191" s="2" t="s">
        <v>229</v>
      </c>
      <c r="P1191" s="2" t="s">
        <v>1902</v>
      </c>
      <c r="Q1191" s="2" t="s">
        <v>4926</v>
      </c>
      <c r="R1191" s="2" t="s">
        <v>369</v>
      </c>
      <c r="S1191" s="2" t="s">
        <v>4698</v>
      </c>
      <c r="T1191" s="2" t="s">
        <v>4697</v>
      </c>
      <c r="U1191" s="2" t="s">
        <v>12</v>
      </c>
      <c r="V1191" s="2" t="s">
        <v>4817</v>
      </c>
      <c r="W1191" s="2" t="s">
        <v>4982</v>
      </c>
      <c r="X1191" s="2" t="s">
        <v>4925</v>
      </c>
      <c r="Y1191" s="2" t="s">
        <v>1901</v>
      </c>
      <c r="Z1191" s="2" t="s">
        <v>6237</v>
      </c>
      <c r="AA11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11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1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1" s="6" t="str">
        <f>IF(_xlfn.IFNA(INDEX(configuracoes!$A$2:$A$10,MATCH(base_tc_geral[[#This Row],[TIPO]],configuracoes!$A$2:$A$10,0)),"NÃO")="NÃO","NÃO","SIM")</f>
        <v>SIM</v>
      </c>
    </row>
    <row r="1192" spans="1:31" x14ac:dyDescent="0.25">
      <c r="A1192" s="2" t="s">
        <v>2947</v>
      </c>
      <c r="B1192" s="2">
        <v>101001782</v>
      </c>
      <c r="C1192" s="2" t="s">
        <v>24</v>
      </c>
      <c r="D1192" s="2" t="s">
        <v>4768</v>
      </c>
      <c r="E1192" s="2" t="s">
        <v>47</v>
      </c>
      <c r="F1192" s="2" t="s">
        <v>511</v>
      </c>
      <c r="G1192" s="2" t="s">
        <v>883</v>
      </c>
      <c r="H1192" s="2" t="s">
        <v>48</v>
      </c>
      <c r="I1192" s="2" t="s">
        <v>16</v>
      </c>
      <c r="J1192" s="2" t="s">
        <v>48</v>
      </c>
      <c r="K1192" s="2" t="s">
        <v>20</v>
      </c>
      <c r="L1192" s="2" t="s">
        <v>21</v>
      </c>
      <c r="M1192" s="2" t="s">
        <v>22</v>
      </c>
      <c r="N1192" s="2" t="s">
        <v>24</v>
      </c>
      <c r="O1192" s="2" t="s">
        <v>53</v>
      </c>
      <c r="P1192" s="2" t="s">
        <v>2949</v>
      </c>
      <c r="Q1192" s="2" t="s">
        <v>4926</v>
      </c>
      <c r="R1192" s="2" t="s">
        <v>512</v>
      </c>
      <c r="S1192" s="2" t="s">
        <v>51</v>
      </c>
      <c r="T1192" s="2" t="s">
        <v>4697</v>
      </c>
      <c r="U1192" s="2" t="s">
        <v>39</v>
      </c>
      <c r="V1192" s="2" t="s">
        <v>4861</v>
      </c>
      <c r="W1192" s="2" t="s">
        <v>4987</v>
      </c>
      <c r="X1192" s="2" t="s">
        <v>4925</v>
      </c>
      <c r="Y1192" s="2" t="s">
        <v>2948</v>
      </c>
      <c r="Z1192" s="2" t="s">
        <v>6238</v>
      </c>
      <c r="AA11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1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192" s="6" t="str">
        <f>IF(_xlfn.IFNA(INDEX(configuracoes!$A$2:$A$10,MATCH(base_tc_geral[[#This Row],[TIPO]],configuracoes!$A$2:$A$10,0)),"NÃO")="NÃO","NÃO","SIM")</f>
        <v>SIM</v>
      </c>
    </row>
    <row r="1193" spans="1:31" x14ac:dyDescent="0.25">
      <c r="A1193" s="2" t="s">
        <v>1450</v>
      </c>
      <c r="B1193" s="2">
        <v>109506248</v>
      </c>
      <c r="C1193" s="2" t="s">
        <v>15</v>
      </c>
      <c r="D1193" s="2" t="s">
        <v>4527</v>
      </c>
      <c r="E1193" s="2" t="s">
        <v>86</v>
      </c>
      <c r="F1193" s="2" t="s">
        <v>590</v>
      </c>
      <c r="G1193" s="2" t="s">
        <v>58</v>
      </c>
      <c r="H1193" s="2" t="s">
        <v>122</v>
      </c>
      <c r="I1193" s="2" t="s">
        <v>33</v>
      </c>
      <c r="J1193" s="2" t="s">
        <v>124</v>
      </c>
      <c r="K1193" s="2" t="s">
        <v>13</v>
      </c>
      <c r="L1193" s="2" t="s">
        <v>61</v>
      </c>
      <c r="M1193" s="2" t="s">
        <v>44</v>
      </c>
      <c r="N1193" s="2" t="s">
        <v>15</v>
      </c>
      <c r="O1193" s="2" t="s">
        <v>129</v>
      </c>
      <c r="P1193" s="2" t="s">
        <v>1452</v>
      </c>
      <c r="Q1193" s="2" t="s">
        <v>4926</v>
      </c>
      <c r="R1193" s="2" t="s">
        <v>1417</v>
      </c>
      <c r="S1193" s="2" t="s">
        <v>4699</v>
      </c>
      <c r="T1193" s="2" t="s">
        <v>4696</v>
      </c>
      <c r="U1193" s="2" t="s">
        <v>12</v>
      </c>
      <c r="V1193" s="2" t="s">
        <v>4849</v>
      </c>
      <c r="W1193" s="2" t="s">
        <v>5037</v>
      </c>
      <c r="X1193" s="2" t="s">
        <v>44</v>
      </c>
      <c r="Y1193" s="2" t="s">
        <v>1451</v>
      </c>
      <c r="Z1193" s="2" t="s">
        <v>6239</v>
      </c>
      <c r="AA11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GUSTAVO </v>
      </c>
      <c r="AB11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1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3" s="6" t="str">
        <f>IF(_xlfn.IFNA(INDEX(configuracoes!$A$2:$A$10,MATCH(base_tc_geral[[#This Row],[TIPO]],configuracoes!$A$2:$A$10,0)),"NÃO")="NÃO","NÃO","SIM")</f>
        <v>NÃO</v>
      </c>
    </row>
    <row r="1194" spans="1:31" x14ac:dyDescent="0.25">
      <c r="A1194" s="2" t="s">
        <v>800</v>
      </c>
      <c r="B1194" s="2">
        <v>101010210</v>
      </c>
      <c r="C1194" s="2" t="s">
        <v>15</v>
      </c>
      <c r="D1194" s="2" t="s">
        <v>4492</v>
      </c>
      <c r="E1194" s="2" t="s">
        <v>47</v>
      </c>
      <c r="F1194" s="2" t="s">
        <v>264</v>
      </c>
      <c r="G1194" s="2" t="s">
        <v>648</v>
      </c>
      <c r="H1194" s="2" t="s">
        <v>227</v>
      </c>
      <c r="I1194" s="2" t="s">
        <v>16</v>
      </c>
      <c r="J1194" s="2" t="s">
        <v>227</v>
      </c>
      <c r="K1194" s="2" t="s">
        <v>13</v>
      </c>
      <c r="L1194" s="2" t="s">
        <v>25</v>
      </c>
      <c r="M1194" s="2" t="s">
        <v>22</v>
      </c>
      <c r="N1194" s="2" t="s">
        <v>15</v>
      </c>
      <c r="O1194" s="2" t="s">
        <v>266</v>
      </c>
      <c r="P1194" s="2" t="s">
        <v>802</v>
      </c>
      <c r="Q1194" s="2" t="s">
        <v>4926</v>
      </c>
      <c r="R1194" s="2" t="s">
        <v>294</v>
      </c>
      <c r="S1194" s="2" t="s">
        <v>101</v>
      </c>
      <c r="T1194" s="2" t="s">
        <v>4697</v>
      </c>
      <c r="U1194" s="2" t="s">
        <v>12</v>
      </c>
      <c r="V1194" s="2" t="s">
        <v>4809</v>
      </c>
      <c r="W1194" s="2" t="s">
        <v>4931</v>
      </c>
      <c r="X1194" s="2" t="s">
        <v>4925</v>
      </c>
      <c r="Y1194" s="2" t="s">
        <v>801</v>
      </c>
      <c r="Z1194" s="2" t="s">
        <v>6240</v>
      </c>
      <c r="AA11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1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1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4" s="6" t="str">
        <f>IF(_xlfn.IFNA(INDEX(configuracoes!$A$2:$A$10,MATCH(base_tc_geral[[#This Row],[TIPO]],configuracoes!$A$2:$A$10,0)),"NÃO")="NÃO","NÃO","SIM")</f>
        <v>SIM</v>
      </c>
    </row>
    <row r="1195" spans="1:31" x14ac:dyDescent="0.25">
      <c r="A1195" s="2" t="s">
        <v>2066</v>
      </c>
      <c r="B1195" s="2">
        <v>109000926</v>
      </c>
      <c r="C1195" s="2" t="s">
        <v>15</v>
      </c>
      <c r="D1195" s="2" t="s">
        <v>4484</v>
      </c>
      <c r="E1195" s="2" t="s">
        <v>86</v>
      </c>
      <c r="F1195" s="2" t="s">
        <v>325</v>
      </c>
      <c r="G1195" s="2" t="s">
        <v>711</v>
      </c>
      <c r="H1195" s="2" t="s">
        <v>283</v>
      </c>
      <c r="I1195" s="2" t="s">
        <v>33</v>
      </c>
      <c r="J1195" s="2" t="s">
        <v>124</v>
      </c>
      <c r="K1195" s="2" t="s">
        <v>13</v>
      </c>
      <c r="L1195" s="2" t="s">
        <v>126</v>
      </c>
      <c r="M1195" s="2" t="s">
        <v>128</v>
      </c>
      <c r="N1195" s="2" t="s">
        <v>15</v>
      </c>
      <c r="O1195" s="2" t="s">
        <v>287</v>
      </c>
      <c r="P1195" s="2" t="s">
        <v>2068</v>
      </c>
      <c r="Q1195" s="2" t="s">
        <v>4926</v>
      </c>
      <c r="R1195" s="2" t="s">
        <v>285</v>
      </c>
      <c r="S1195" s="2" t="s">
        <v>125</v>
      </c>
      <c r="T1195" s="2" t="s">
        <v>4696</v>
      </c>
      <c r="U1195" s="2" t="s">
        <v>12</v>
      </c>
      <c r="V1195" s="2" t="s">
        <v>4777</v>
      </c>
      <c r="W1195" s="2" t="s">
        <v>4987</v>
      </c>
      <c r="X1195" s="2" t="s">
        <v>4989</v>
      </c>
      <c r="Y1195" s="2" t="s">
        <v>2067</v>
      </c>
      <c r="Z1195" s="2" t="s">
        <v>5420</v>
      </c>
      <c r="AA11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1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1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5" s="6" t="str">
        <f>IF(_xlfn.IFNA(INDEX(configuracoes!$A$2:$A$10,MATCH(base_tc_geral[[#This Row],[TIPO]],configuracoes!$A$2:$A$10,0)),"NÃO")="NÃO","NÃO","SIM")</f>
        <v>SIM</v>
      </c>
    </row>
    <row r="1196" spans="1:31" x14ac:dyDescent="0.25">
      <c r="A1196" s="2" t="s">
        <v>4284</v>
      </c>
      <c r="B1196" s="2">
        <v>109000499</v>
      </c>
      <c r="C1196" s="2" t="s">
        <v>15</v>
      </c>
      <c r="D1196" s="2" t="s">
        <v>4509</v>
      </c>
      <c r="E1196" s="2" t="s">
        <v>86</v>
      </c>
      <c r="F1196" s="2" t="s">
        <v>325</v>
      </c>
      <c r="G1196" s="2" t="s">
        <v>136</v>
      </c>
      <c r="H1196" s="2" t="s">
        <v>283</v>
      </c>
      <c r="I1196" s="2" t="s">
        <v>33</v>
      </c>
      <c r="J1196" s="2" t="s">
        <v>124</v>
      </c>
      <c r="K1196" s="2" t="s">
        <v>13</v>
      </c>
      <c r="L1196" s="2" t="s">
        <v>72</v>
      </c>
      <c r="M1196" s="2" t="s">
        <v>73</v>
      </c>
      <c r="N1196" s="2" t="s">
        <v>15</v>
      </c>
      <c r="O1196" s="2" t="s">
        <v>287</v>
      </c>
      <c r="P1196" s="2" t="s">
        <v>4286</v>
      </c>
      <c r="Q1196" s="2" t="s">
        <v>4926</v>
      </c>
      <c r="R1196" s="2" t="s">
        <v>321</v>
      </c>
      <c r="S1196" s="2" t="s">
        <v>93</v>
      </c>
      <c r="T1196" s="2" t="s">
        <v>4696</v>
      </c>
      <c r="U1196" s="2" t="s">
        <v>12</v>
      </c>
      <c r="V1196" s="2" t="s">
        <v>4783</v>
      </c>
      <c r="W1196" s="2" t="s">
        <v>72</v>
      </c>
      <c r="X1196" s="2" t="s">
        <v>5011</v>
      </c>
      <c r="Y1196" s="2" t="s">
        <v>4285</v>
      </c>
      <c r="Z1196" s="2" t="s">
        <v>5421</v>
      </c>
      <c r="AA11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1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6" s="6" t="str">
        <f>IF(_xlfn.IFNA(INDEX(configuracoes!$A$2:$A$10,MATCH(base_tc_geral[[#This Row],[TIPO]],configuracoes!$A$2:$A$10,0)),"NÃO")="NÃO","NÃO","SIM")</f>
        <v>NÃO</v>
      </c>
    </row>
    <row r="1197" spans="1:31" x14ac:dyDescent="0.25">
      <c r="A1197" s="2" t="s">
        <v>2163</v>
      </c>
      <c r="B1197" s="2">
        <v>101007963</v>
      </c>
      <c r="C1197" s="2" t="s">
        <v>15</v>
      </c>
      <c r="D1197" s="2" t="s">
        <v>4528</v>
      </c>
      <c r="E1197" s="2" t="s">
        <v>47</v>
      </c>
      <c r="F1197" s="2" t="s">
        <v>601</v>
      </c>
      <c r="G1197" s="2" t="s">
        <v>58</v>
      </c>
      <c r="H1197" s="2" t="s">
        <v>60</v>
      </c>
      <c r="I1197" s="2" t="s">
        <v>16</v>
      </c>
      <c r="J1197" s="2" t="s">
        <v>60</v>
      </c>
      <c r="K1197" s="2" t="s">
        <v>13</v>
      </c>
      <c r="L1197" s="2" t="s">
        <v>61</v>
      </c>
      <c r="M1197" s="2" t="s">
        <v>18</v>
      </c>
      <c r="N1197" s="2" t="s">
        <v>15</v>
      </c>
      <c r="O1197" s="2" t="s">
        <v>161</v>
      </c>
      <c r="P1197" s="2" t="s">
        <v>2165</v>
      </c>
      <c r="Q1197" s="2" t="s">
        <v>4926</v>
      </c>
      <c r="R1197" s="2" t="s">
        <v>246</v>
      </c>
      <c r="S1197" s="2" t="s">
        <v>51</v>
      </c>
      <c r="T1197" s="2" t="s">
        <v>4697</v>
      </c>
      <c r="U1197" s="2" t="s">
        <v>12</v>
      </c>
      <c r="V1197" s="2" t="s">
        <v>4778</v>
      </c>
      <c r="W1197" s="2" t="s">
        <v>4999</v>
      </c>
      <c r="X1197" s="2" t="s">
        <v>4998</v>
      </c>
      <c r="Y1197" s="2" t="s">
        <v>2164</v>
      </c>
      <c r="Z1197" s="2" t="s">
        <v>5422</v>
      </c>
      <c r="AA11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1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1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1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7" s="6" t="str">
        <f>IF(_xlfn.IFNA(INDEX(configuracoes!$A$2:$A$10,MATCH(base_tc_geral[[#This Row],[TIPO]],configuracoes!$A$2:$A$10,0)),"NÃO")="NÃO","NÃO","SIM")</f>
        <v>NÃO</v>
      </c>
    </row>
    <row r="1198" spans="1:31" x14ac:dyDescent="0.25">
      <c r="A1198" s="2" t="s">
        <v>2321</v>
      </c>
      <c r="B1198" s="2">
        <v>109000340</v>
      </c>
      <c r="C1198" s="2" t="s">
        <v>15</v>
      </c>
      <c r="D1198" s="2" t="s">
        <v>4680</v>
      </c>
      <c r="E1198" s="2" t="s">
        <v>86</v>
      </c>
      <c r="F1198" s="2" t="s">
        <v>1320</v>
      </c>
      <c r="G1198" s="2" t="s">
        <v>172</v>
      </c>
      <c r="H1198" s="2" t="s">
        <v>1321</v>
      </c>
      <c r="I1198" s="2" t="s">
        <v>33</v>
      </c>
      <c r="J1198" s="2" t="s">
        <v>91</v>
      </c>
      <c r="K1198" s="2" t="s">
        <v>13</v>
      </c>
      <c r="L1198" s="2" t="s">
        <v>17</v>
      </c>
      <c r="M1198" s="2" t="s">
        <v>18</v>
      </c>
      <c r="N1198" s="2" t="s">
        <v>15</v>
      </c>
      <c r="O1198" s="2" t="s">
        <v>1322</v>
      </c>
      <c r="P1198" s="2" t="s">
        <v>2323</v>
      </c>
      <c r="Q1198" s="2" t="s">
        <v>4926</v>
      </c>
      <c r="R1198" s="2" t="s">
        <v>90</v>
      </c>
      <c r="S1198" s="2" t="s">
        <v>93</v>
      </c>
      <c r="T1198" s="2" t="s">
        <v>4696</v>
      </c>
      <c r="U1198" s="2" t="s">
        <v>12</v>
      </c>
      <c r="V1198" s="2" t="s">
        <v>4898</v>
      </c>
      <c r="W1198" s="2" t="s">
        <v>17</v>
      </c>
      <c r="X1198" s="2" t="s">
        <v>4998</v>
      </c>
      <c r="Y1198" s="2" t="s">
        <v>2322</v>
      </c>
      <c r="Z1198" s="2" t="s">
        <v>5423</v>
      </c>
      <c r="AA11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1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8" s="6" t="str">
        <f>IF(_xlfn.IFNA(INDEX(configuracoes!$A$2:$A$10,MATCH(base_tc_geral[[#This Row],[TIPO]],configuracoes!$A$2:$A$10,0)),"NÃO")="NÃO","NÃO","SIM")</f>
        <v>NÃO</v>
      </c>
    </row>
    <row r="1199" spans="1:31" x14ac:dyDescent="0.25">
      <c r="A1199" s="2" t="s">
        <v>4338</v>
      </c>
      <c r="B1199" s="2">
        <v>109000499</v>
      </c>
      <c r="C1199" s="2" t="s">
        <v>15</v>
      </c>
      <c r="D1199" s="2" t="s">
        <v>4481</v>
      </c>
      <c r="E1199" s="2" t="s">
        <v>86</v>
      </c>
      <c r="F1199" s="2" t="s">
        <v>123</v>
      </c>
      <c r="G1199" s="2" t="s">
        <v>136</v>
      </c>
      <c r="H1199" s="2" t="s">
        <v>122</v>
      </c>
      <c r="I1199" s="2" t="s">
        <v>33</v>
      </c>
      <c r="J1199" s="2" t="s">
        <v>124</v>
      </c>
      <c r="K1199" s="2" t="s">
        <v>13</v>
      </c>
      <c r="L1199" s="2" t="s">
        <v>72</v>
      </c>
      <c r="M1199" s="2" t="s">
        <v>73</v>
      </c>
      <c r="N1199" s="2" t="s">
        <v>15</v>
      </c>
      <c r="O1199" s="2" t="s">
        <v>129</v>
      </c>
      <c r="P1199" s="2" t="s">
        <v>4340</v>
      </c>
      <c r="Q1199" s="2" t="s">
        <v>4926</v>
      </c>
      <c r="R1199" s="2" t="s">
        <v>321</v>
      </c>
      <c r="S1199" s="2" t="s">
        <v>93</v>
      </c>
      <c r="T1199" s="2" t="s">
        <v>4696</v>
      </c>
      <c r="U1199" s="2" t="s">
        <v>12</v>
      </c>
      <c r="V1199" s="2" t="s">
        <v>4783</v>
      </c>
      <c r="W1199" s="2" t="s">
        <v>72</v>
      </c>
      <c r="X1199" s="2" t="s">
        <v>5011</v>
      </c>
      <c r="Y1199" s="2" t="s">
        <v>4339</v>
      </c>
      <c r="Z1199" s="2" t="s">
        <v>5424</v>
      </c>
      <c r="AA11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1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1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1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199" s="6" t="str">
        <f>IF(_xlfn.IFNA(INDEX(configuracoes!$A$2:$A$10,MATCH(base_tc_geral[[#This Row],[TIPO]],configuracoes!$A$2:$A$10,0)),"NÃO")="NÃO","NÃO","SIM")</f>
        <v>NÃO</v>
      </c>
    </row>
    <row r="1200" spans="1:31" x14ac:dyDescent="0.25">
      <c r="A1200" s="2" t="s">
        <v>139</v>
      </c>
      <c r="B1200" s="2">
        <v>101005241</v>
      </c>
      <c r="C1200" s="2" t="s">
        <v>40</v>
      </c>
      <c r="D1200" s="2" t="s">
        <v>4682</v>
      </c>
      <c r="E1200" s="2" t="s">
        <v>47</v>
      </c>
      <c r="F1200" s="2" t="s">
        <v>142</v>
      </c>
      <c r="G1200" s="2" t="s">
        <v>58</v>
      </c>
      <c r="H1200" s="2" t="s">
        <v>141</v>
      </c>
      <c r="I1200" s="2" t="s">
        <v>16</v>
      </c>
      <c r="J1200" s="2" t="s">
        <v>141</v>
      </c>
      <c r="K1200" s="2" t="s">
        <v>13</v>
      </c>
      <c r="L1200" s="2" t="s">
        <v>61</v>
      </c>
      <c r="M1200" s="2" t="s">
        <v>44</v>
      </c>
      <c r="N1200" s="2" t="s">
        <v>40</v>
      </c>
      <c r="O1200" s="2" t="s">
        <v>145</v>
      </c>
      <c r="P1200" s="2" t="s">
        <v>144</v>
      </c>
      <c r="Q1200" s="2" t="s">
        <v>4926</v>
      </c>
      <c r="R1200" s="2" t="s">
        <v>143</v>
      </c>
      <c r="S1200" s="2" t="s">
        <v>4698</v>
      </c>
      <c r="T1200" s="2" t="s">
        <v>4697</v>
      </c>
      <c r="U1200" s="2" t="s">
        <v>39</v>
      </c>
      <c r="V1200" s="2" t="s">
        <v>4845</v>
      </c>
      <c r="W1200" s="2" t="s">
        <v>4982</v>
      </c>
      <c r="X1200" s="2" t="s">
        <v>44</v>
      </c>
      <c r="Y1200" s="2" t="s">
        <v>140</v>
      </c>
      <c r="Z1200" s="2" t="s">
        <v>5425</v>
      </c>
      <c r="AA12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2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1200" s="6" t="str">
        <f>IF(_xlfn.IFNA(INDEX(configuracoes!$A$2:$A$10,MATCH(base_tc_geral[[#This Row],[TIPO]],configuracoes!$A$2:$A$10,0)),"NÃO")="NÃO","NÃO","SIM")</f>
        <v>NÃO</v>
      </c>
    </row>
    <row r="1201" spans="1:31" x14ac:dyDescent="0.25">
      <c r="A1201" s="2" t="s">
        <v>2399</v>
      </c>
      <c r="B1201" s="2">
        <v>105000986</v>
      </c>
      <c r="C1201" s="2" t="s">
        <v>15</v>
      </c>
      <c r="D1201" s="2" t="s">
        <v>4515</v>
      </c>
      <c r="E1201" s="2" t="s">
        <v>28</v>
      </c>
      <c r="F1201" s="2" t="s">
        <v>586</v>
      </c>
      <c r="G1201" s="2" t="s">
        <v>637</v>
      </c>
      <c r="H1201" s="2" t="s">
        <v>79</v>
      </c>
      <c r="I1201" s="2" t="s">
        <v>33</v>
      </c>
      <c r="J1201" s="2" t="s">
        <v>34</v>
      </c>
      <c r="K1201" s="2" t="s">
        <v>20</v>
      </c>
      <c r="L1201" s="2" t="s">
        <v>19</v>
      </c>
      <c r="M1201" s="2" t="s">
        <v>22</v>
      </c>
      <c r="N1201" s="2" t="s">
        <v>15</v>
      </c>
      <c r="O1201" s="2" t="s">
        <v>83</v>
      </c>
      <c r="P1201" s="2" t="s">
        <v>2401</v>
      </c>
      <c r="Q1201" s="2" t="s">
        <v>4926</v>
      </c>
      <c r="R1201" s="2" t="s">
        <v>81</v>
      </c>
      <c r="S1201" s="2" t="s">
        <v>167</v>
      </c>
      <c r="T1201" s="2" t="s">
        <v>167</v>
      </c>
      <c r="U1201" s="2" t="s">
        <v>12</v>
      </c>
      <c r="V1201" s="2" t="s">
        <v>4767</v>
      </c>
      <c r="W1201" s="2" t="s">
        <v>4982</v>
      </c>
      <c r="X1201" s="2" t="s">
        <v>4925</v>
      </c>
      <c r="Y1201" s="2" t="s">
        <v>2400</v>
      </c>
      <c r="Z1201" s="2" t="s">
        <v>5426</v>
      </c>
      <c r="AA12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2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2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01" s="6" t="str">
        <f>IF(_xlfn.IFNA(INDEX(configuracoes!$A$2:$A$10,MATCH(base_tc_geral[[#This Row],[TIPO]],configuracoes!$A$2:$A$10,0)),"NÃO")="NÃO","NÃO","SIM")</f>
        <v>SIM</v>
      </c>
    </row>
    <row r="1202" spans="1:31" x14ac:dyDescent="0.25">
      <c r="A1202" s="2" t="s">
        <v>2953</v>
      </c>
      <c r="B1202" s="2">
        <v>101001782</v>
      </c>
      <c r="C1202" s="2" t="s">
        <v>15</v>
      </c>
      <c r="D1202" s="2" t="s">
        <v>4516</v>
      </c>
      <c r="E1202" s="2" t="s">
        <v>47</v>
      </c>
      <c r="F1202" s="2" t="s">
        <v>464</v>
      </c>
      <c r="G1202" s="2" t="s">
        <v>630</v>
      </c>
      <c r="H1202" s="2" t="s">
        <v>48</v>
      </c>
      <c r="I1202" s="2" t="s">
        <v>16</v>
      </c>
      <c r="J1202" s="2" t="s">
        <v>48</v>
      </c>
      <c r="K1202" s="2" t="s">
        <v>20</v>
      </c>
      <c r="L1202" s="2" t="s">
        <v>21</v>
      </c>
      <c r="M1202" s="2" t="s">
        <v>22</v>
      </c>
      <c r="N1202" s="2" t="s">
        <v>15</v>
      </c>
      <c r="O1202" s="2" t="s">
        <v>53</v>
      </c>
      <c r="P1202" s="2" t="s">
        <v>2955</v>
      </c>
      <c r="Q1202" s="2" t="s">
        <v>4926</v>
      </c>
      <c r="R1202" s="2" t="s">
        <v>512</v>
      </c>
      <c r="S1202" s="2" t="s">
        <v>51</v>
      </c>
      <c r="T1202" s="2" t="s">
        <v>4697</v>
      </c>
      <c r="U1202" s="2" t="s">
        <v>12</v>
      </c>
      <c r="V1202" s="2" t="s">
        <v>4861</v>
      </c>
      <c r="W1202" s="2" t="s">
        <v>4982</v>
      </c>
      <c r="X1202" s="2" t="s">
        <v>4925</v>
      </c>
      <c r="Y1202" s="2" t="s">
        <v>2954</v>
      </c>
      <c r="Z1202" s="2" t="s">
        <v>6241</v>
      </c>
      <c r="AA12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2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02" s="6" t="str">
        <f>IF(_xlfn.IFNA(INDEX(configuracoes!$A$2:$A$10,MATCH(base_tc_geral[[#This Row],[TIPO]],configuracoes!$A$2:$A$10,0)),"NÃO")="NÃO","NÃO","SIM")</f>
        <v>SIM</v>
      </c>
    </row>
    <row r="1203" spans="1:31" x14ac:dyDescent="0.25">
      <c r="A1203" s="2" t="s">
        <v>3409</v>
      </c>
      <c r="B1203" s="2">
        <v>101006811</v>
      </c>
      <c r="C1203" s="2" t="s">
        <v>15</v>
      </c>
      <c r="D1203" s="2" t="s">
        <v>4654</v>
      </c>
      <c r="E1203" s="2" t="s">
        <v>47</v>
      </c>
      <c r="F1203" s="2" t="s">
        <v>49</v>
      </c>
      <c r="G1203" s="2" t="s">
        <v>364</v>
      </c>
      <c r="H1203" s="2" t="s">
        <v>48</v>
      </c>
      <c r="I1203" s="2" t="s">
        <v>16</v>
      </c>
      <c r="J1203" s="2" t="s">
        <v>48</v>
      </c>
      <c r="K1203" s="2" t="s">
        <v>13</v>
      </c>
      <c r="L1203" s="2" t="s">
        <v>37</v>
      </c>
      <c r="M1203" s="2" t="s">
        <v>38</v>
      </c>
      <c r="N1203" s="2" t="s">
        <v>15</v>
      </c>
      <c r="O1203" s="2" t="s">
        <v>53</v>
      </c>
      <c r="P1203" s="2" t="s">
        <v>3411</v>
      </c>
      <c r="Q1203" s="2" t="s">
        <v>4926</v>
      </c>
      <c r="R1203" s="2" t="s">
        <v>50</v>
      </c>
      <c r="S1203" s="2" t="s">
        <v>51</v>
      </c>
      <c r="T1203" s="2" t="s">
        <v>4697</v>
      </c>
      <c r="U1203" s="2" t="s">
        <v>12</v>
      </c>
      <c r="V1203" s="2" t="s">
        <v>4860</v>
      </c>
      <c r="W1203" s="2" t="s">
        <v>4999</v>
      </c>
      <c r="X1203" s="2" t="s">
        <v>38</v>
      </c>
      <c r="Y1203" s="2" t="s">
        <v>3410</v>
      </c>
      <c r="Z1203" s="2" t="s">
        <v>6242</v>
      </c>
      <c r="AA12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2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03" s="6" t="str">
        <f>IF(_xlfn.IFNA(INDEX(configuracoes!$A$2:$A$10,MATCH(base_tc_geral[[#This Row],[TIPO]],configuracoes!$A$2:$A$10,0)),"NÃO")="NÃO","NÃO","SIM")</f>
        <v>NÃO</v>
      </c>
    </row>
    <row r="1204" spans="1:31" x14ac:dyDescent="0.25">
      <c r="A1204" s="2" t="s">
        <v>3245</v>
      </c>
      <c r="B1204" s="2">
        <v>101008003</v>
      </c>
      <c r="C1204" s="2" t="s">
        <v>15</v>
      </c>
      <c r="D1204" s="2" t="s">
        <v>4487</v>
      </c>
      <c r="E1204" s="2" t="s">
        <v>47</v>
      </c>
      <c r="F1204" s="2" t="s">
        <v>264</v>
      </c>
      <c r="G1204" s="2" t="s">
        <v>648</v>
      </c>
      <c r="H1204" s="2" t="s">
        <v>227</v>
      </c>
      <c r="I1204" s="2" t="s">
        <v>16</v>
      </c>
      <c r="J1204" s="2" t="s">
        <v>227</v>
      </c>
      <c r="K1204" s="2" t="s">
        <v>13</v>
      </c>
      <c r="L1204" s="2" t="s">
        <v>25</v>
      </c>
      <c r="M1204" s="2" t="s">
        <v>22</v>
      </c>
      <c r="N1204" s="2" t="s">
        <v>15</v>
      </c>
      <c r="O1204" s="2" t="s">
        <v>266</v>
      </c>
      <c r="P1204" s="2" t="s">
        <v>3247</v>
      </c>
      <c r="Q1204" s="2" t="s">
        <v>4926</v>
      </c>
      <c r="R1204" s="2" t="s">
        <v>100</v>
      </c>
      <c r="S1204" s="2" t="s">
        <v>101</v>
      </c>
      <c r="T1204" s="2" t="s">
        <v>4697</v>
      </c>
      <c r="U1204" s="2" t="s">
        <v>12</v>
      </c>
      <c r="V1204" s="2" t="s">
        <v>4806</v>
      </c>
      <c r="W1204" s="2" t="s">
        <v>4931</v>
      </c>
      <c r="X1204" s="2" t="s">
        <v>4925</v>
      </c>
      <c r="Y1204" s="2" t="s">
        <v>3246</v>
      </c>
      <c r="Z1204" s="2" t="s">
        <v>6243</v>
      </c>
      <c r="AA12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2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04" s="6" t="str">
        <f>IF(_xlfn.IFNA(INDEX(configuracoes!$A$2:$A$10,MATCH(base_tc_geral[[#This Row],[TIPO]],configuracoes!$A$2:$A$10,0)),"NÃO")="NÃO","NÃO","SIM")</f>
        <v>SIM</v>
      </c>
    </row>
    <row r="1205" spans="1:31" x14ac:dyDescent="0.25">
      <c r="A1205" s="2" t="s">
        <v>267</v>
      </c>
      <c r="B1205" s="2">
        <v>428271</v>
      </c>
      <c r="C1205" s="2" t="s">
        <v>24</v>
      </c>
      <c r="D1205" s="2" t="s">
        <v>4768</v>
      </c>
      <c r="E1205" s="2" t="s">
        <v>47</v>
      </c>
      <c r="F1205" s="2" t="s">
        <v>269</v>
      </c>
      <c r="G1205" s="2" t="s">
        <v>245</v>
      </c>
      <c r="H1205" s="2" t="s">
        <v>227</v>
      </c>
      <c r="I1205" s="2" t="s">
        <v>16</v>
      </c>
      <c r="J1205" s="2" t="s">
        <v>227</v>
      </c>
      <c r="K1205" s="2" t="s">
        <v>20</v>
      </c>
      <c r="L1205" s="2" t="s">
        <v>21</v>
      </c>
      <c r="M1205" s="2" t="s">
        <v>22</v>
      </c>
      <c r="N1205" s="2" t="s">
        <v>24</v>
      </c>
      <c r="O1205" s="2" t="s">
        <v>271</v>
      </c>
      <c r="P1205" s="2" t="s">
        <v>270</v>
      </c>
      <c r="Q1205" s="2" t="s">
        <v>4926</v>
      </c>
      <c r="R1205" s="2" t="s">
        <v>4828</v>
      </c>
      <c r="S1205" s="2" t="s">
        <v>4698</v>
      </c>
      <c r="T1205" s="2" t="s">
        <v>4697</v>
      </c>
      <c r="U1205" s="2" t="s">
        <v>39</v>
      </c>
      <c r="V1205" s="2" t="s">
        <v>4829</v>
      </c>
      <c r="W1205" s="2" t="s">
        <v>4982</v>
      </c>
      <c r="X1205" s="2" t="s">
        <v>4925</v>
      </c>
      <c r="Y1205" s="2" t="s">
        <v>268</v>
      </c>
      <c r="Z1205" s="2" t="s">
        <v>6244</v>
      </c>
      <c r="AA12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2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05" s="6" t="str">
        <f>IF(_xlfn.IFNA(INDEX(configuracoes!$A$2:$A$10,MATCH(base_tc_geral[[#This Row],[TIPO]],configuracoes!$A$2:$A$10,0)),"NÃO")="NÃO","NÃO","SIM")</f>
        <v>SIM</v>
      </c>
    </row>
    <row r="1206" spans="1:31" x14ac:dyDescent="0.25">
      <c r="A1206" s="2" t="s">
        <v>2992</v>
      </c>
      <c r="B1206" s="2">
        <v>101010062</v>
      </c>
      <c r="C1206" s="2" t="s">
        <v>15</v>
      </c>
      <c r="D1206" s="2" t="s">
        <v>4481</v>
      </c>
      <c r="E1206" s="2" t="s">
        <v>47</v>
      </c>
      <c r="F1206" s="2" t="s">
        <v>181</v>
      </c>
      <c r="G1206" s="2" t="s">
        <v>883</v>
      </c>
      <c r="H1206" s="2" t="s">
        <v>66</v>
      </c>
      <c r="I1206" s="2" t="s">
        <v>16</v>
      </c>
      <c r="J1206" s="2" t="s">
        <v>66</v>
      </c>
      <c r="K1206" s="2" t="s">
        <v>20</v>
      </c>
      <c r="L1206" s="2" t="s">
        <v>21</v>
      </c>
      <c r="M1206" s="2" t="s">
        <v>22</v>
      </c>
      <c r="N1206" s="2" t="s">
        <v>15</v>
      </c>
      <c r="O1206" s="2" t="s">
        <v>71</v>
      </c>
      <c r="P1206" s="2" t="s">
        <v>2994</v>
      </c>
      <c r="Q1206" s="2" t="s">
        <v>4926</v>
      </c>
      <c r="R1206" s="2" t="s">
        <v>1699</v>
      </c>
      <c r="S1206" s="2" t="s">
        <v>4698</v>
      </c>
      <c r="T1206" s="2" t="s">
        <v>4697</v>
      </c>
      <c r="U1206" s="2" t="s">
        <v>12</v>
      </c>
      <c r="V1206" s="2" t="s">
        <v>4792</v>
      </c>
      <c r="W1206" s="2" t="s">
        <v>4982</v>
      </c>
      <c r="X1206" s="2" t="s">
        <v>4925</v>
      </c>
      <c r="Y1206" s="2" t="s">
        <v>2993</v>
      </c>
      <c r="Z1206" s="2" t="s">
        <v>6245</v>
      </c>
      <c r="AA12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2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06" s="6" t="str">
        <f>IF(_xlfn.IFNA(INDEX(configuracoes!$A$2:$A$10,MATCH(base_tc_geral[[#This Row],[TIPO]],configuracoes!$A$2:$A$10,0)),"NÃO")="NÃO","NÃO","SIM")</f>
        <v>SIM</v>
      </c>
    </row>
    <row r="1207" spans="1:31" x14ac:dyDescent="0.25">
      <c r="A1207" s="2" t="s">
        <v>3896</v>
      </c>
      <c r="B1207" s="2">
        <v>101007665</v>
      </c>
      <c r="C1207" s="2" t="s">
        <v>15</v>
      </c>
      <c r="D1207" s="2" t="s">
        <v>4499</v>
      </c>
      <c r="E1207" s="2" t="s">
        <v>47</v>
      </c>
      <c r="F1207" s="2" t="s">
        <v>2104</v>
      </c>
      <c r="G1207" s="2" t="s">
        <v>136</v>
      </c>
      <c r="H1207" s="2" t="s">
        <v>56</v>
      </c>
      <c r="I1207" s="2" t="s">
        <v>16</v>
      </c>
      <c r="J1207" s="2" t="s">
        <v>60</v>
      </c>
      <c r="K1207" s="2" t="s">
        <v>13</v>
      </c>
      <c r="L1207" s="2" t="s">
        <v>72</v>
      </c>
      <c r="M1207" s="2" t="s">
        <v>73</v>
      </c>
      <c r="N1207" s="2" t="s">
        <v>15</v>
      </c>
      <c r="O1207" s="2" t="s">
        <v>63</v>
      </c>
      <c r="P1207" s="2" t="s">
        <v>3898</v>
      </c>
      <c r="Q1207" s="2" t="s">
        <v>4926</v>
      </c>
      <c r="R1207" s="2" t="s">
        <v>342</v>
      </c>
      <c r="S1207" s="2" t="s">
        <v>51</v>
      </c>
      <c r="T1207" s="2" t="s">
        <v>4697</v>
      </c>
      <c r="U1207" s="2" t="s">
        <v>39</v>
      </c>
      <c r="V1207" s="2" t="s">
        <v>4866</v>
      </c>
      <c r="W1207" s="2" t="s">
        <v>72</v>
      </c>
      <c r="X1207" s="2" t="s">
        <v>5011</v>
      </c>
      <c r="Y1207" s="2" t="s">
        <v>3897</v>
      </c>
      <c r="Z1207" s="2" t="s">
        <v>6246</v>
      </c>
      <c r="AA12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2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07" s="6" t="str">
        <f>IF(_xlfn.IFNA(INDEX(configuracoes!$A$2:$A$10,MATCH(base_tc_geral[[#This Row],[TIPO]],configuracoes!$A$2:$A$10,0)),"NÃO")="NÃO","NÃO","SIM")</f>
        <v>NÃO</v>
      </c>
    </row>
    <row r="1208" spans="1:31" x14ac:dyDescent="0.25">
      <c r="A1208" s="2" t="s">
        <v>2821</v>
      </c>
      <c r="B1208" s="2">
        <v>101004033</v>
      </c>
      <c r="C1208" s="2" t="s">
        <v>24</v>
      </c>
      <c r="D1208" s="2" t="s">
        <v>4768</v>
      </c>
      <c r="E1208" s="2" t="s">
        <v>47</v>
      </c>
      <c r="F1208" s="2" t="s">
        <v>341</v>
      </c>
      <c r="G1208" s="2" t="s">
        <v>245</v>
      </c>
      <c r="H1208" s="2" t="s">
        <v>56</v>
      </c>
      <c r="I1208" s="2" t="s">
        <v>16</v>
      </c>
      <c r="J1208" s="2" t="s">
        <v>60</v>
      </c>
      <c r="K1208" s="2" t="s">
        <v>20</v>
      </c>
      <c r="L1208" s="2" t="s">
        <v>21</v>
      </c>
      <c r="M1208" s="2" t="s">
        <v>22</v>
      </c>
      <c r="N1208" s="2" t="s">
        <v>24</v>
      </c>
      <c r="O1208" s="2" t="s">
        <v>63</v>
      </c>
      <c r="P1208" s="2" t="s">
        <v>2823</v>
      </c>
      <c r="Q1208" s="2" t="s">
        <v>4926</v>
      </c>
      <c r="R1208" s="2" t="s">
        <v>304</v>
      </c>
      <c r="S1208" s="2" t="s">
        <v>51</v>
      </c>
      <c r="T1208" s="2" t="s">
        <v>4697</v>
      </c>
      <c r="U1208" s="2" t="s">
        <v>39</v>
      </c>
      <c r="V1208" s="2" t="s">
        <v>4813</v>
      </c>
      <c r="W1208" s="2" t="s">
        <v>4982</v>
      </c>
      <c r="X1208" s="2" t="s">
        <v>4925</v>
      </c>
      <c r="Y1208" s="2" t="s">
        <v>2822</v>
      </c>
      <c r="Z1208" s="2" t="s">
        <v>6247</v>
      </c>
      <c r="AA12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2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08" s="6" t="str">
        <f>IF(_xlfn.IFNA(INDEX(configuracoes!$A$2:$A$10,MATCH(base_tc_geral[[#This Row],[TIPO]],configuracoes!$A$2:$A$10,0)),"NÃO")="NÃO","NÃO","SIM")</f>
        <v>SIM</v>
      </c>
    </row>
    <row r="1209" spans="1:31" x14ac:dyDescent="0.25">
      <c r="A1209" s="2" t="s">
        <v>2698</v>
      </c>
      <c r="B1209" s="2">
        <v>109506091</v>
      </c>
      <c r="C1209" s="2" t="s">
        <v>15</v>
      </c>
      <c r="D1209" s="2" t="s">
        <v>4689</v>
      </c>
      <c r="E1209" s="2" t="s">
        <v>86</v>
      </c>
      <c r="F1209" s="2" t="s">
        <v>123</v>
      </c>
      <c r="G1209" s="2" t="s">
        <v>245</v>
      </c>
      <c r="H1209" s="2" t="s">
        <v>122</v>
      </c>
      <c r="I1209" s="2" t="s">
        <v>33</v>
      </c>
      <c r="J1209" s="2" t="s">
        <v>124</v>
      </c>
      <c r="K1209" s="2" t="s">
        <v>20</v>
      </c>
      <c r="L1209" s="2" t="s">
        <v>21</v>
      </c>
      <c r="M1209" s="2" t="s">
        <v>22</v>
      </c>
      <c r="N1209" s="2" t="s">
        <v>15</v>
      </c>
      <c r="O1209" s="2" t="s">
        <v>129</v>
      </c>
      <c r="P1209" s="2" t="s">
        <v>2700</v>
      </c>
      <c r="Q1209" s="2" t="s">
        <v>4926</v>
      </c>
      <c r="R1209" s="2" t="s">
        <v>2683</v>
      </c>
      <c r="S1209" s="2" t="s">
        <v>125</v>
      </c>
      <c r="T1209" s="2" t="s">
        <v>4696</v>
      </c>
      <c r="U1209" s="2" t="s">
        <v>12</v>
      </c>
      <c r="V1209" s="2" t="s">
        <v>4771</v>
      </c>
      <c r="W1209" s="2" t="s">
        <v>4982</v>
      </c>
      <c r="X1209" s="2" t="s">
        <v>4925</v>
      </c>
      <c r="Y1209" s="2" t="s">
        <v>2699</v>
      </c>
      <c r="Z1209" s="2" t="s">
        <v>6248</v>
      </c>
      <c r="AA12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2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09" s="6" t="str">
        <f>IF(_xlfn.IFNA(INDEX(configuracoes!$A$2:$A$10,MATCH(base_tc_geral[[#This Row],[TIPO]],configuracoes!$A$2:$A$10,0)),"NÃO")="NÃO","NÃO","SIM")</f>
        <v>SIM</v>
      </c>
    </row>
    <row r="1210" spans="1:31" x14ac:dyDescent="0.25">
      <c r="A1210" s="2" t="s">
        <v>3444</v>
      </c>
      <c r="B1210" s="2">
        <v>109500315</v>
      </c>
      <c r="C1210" s="2" t="s">
        <v>15</v>
      </c>
      <c r="D1210" s="2" t="s">
        <v>4781</v>
      </c>
      <c r="E1210" s="2" t="s">
        <v>86</v>
      </c>
      <c r="F1210" s="2" t="s">
        <v>165</v>
      </c>
      <c r="G1210" s="2" t="s">
        <v>172</v>
      </c>
      <c r="H1210" s="2" t="s">
        <v>164</v>
      </c>
      <c r="I1210" s="2" t="s">
        <v>33</v>
      </c>
      <c r="J1210" s="2" t="s">
        <v>124</v>
      </c>
      <c r="K1210" s="2" t="s">
        <v>92</v>
      </c>
      <c r="L1210" s="2" t="s">
        <v>17</v>
      </c>
      <c r="M1210" s="2" t="s">
        <v>23</v>
      </c>
      <c r="N1210" s="2" t="s">
        <v>15</v>
      </c>
      <c r="O1210" s="2" t="s">
        <v>169</v>
      </c>
      <c r="P1210" s="2" t="s">
        <v>3446</v>
      </c>
      <c r="Q1210" s="2" t="s">
        <v>4926</v>
      </c>
      <c r="R1210" s="2" t="s">
        <v>173</v>
      </c>
      <c r="S1210" s="2" t="s">
        <v>93</v>
      </c>
      <c r="T1210" s="2" t="s">
        <v>4696</v>
      </c>
      <c r="U1210" s="2" t="s">
        <v>12</v>
      </c>
      <c r="V1210" s="2" t="s">
        <v>4887</v>
      </c>
      <c r="W1210" s="2" t="s">
        <v>17</v>
      </c>
      <c r="X1210" s="2" t="s">
        <v>4998</v>
      </c>
      <c r="Y1210" s="2" t="s">
        <v>3445</v>
      </c>
      <c r="Z1210" s="2" t="s">
        <v>6249</v>
      </c>
      <c r="AA12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2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0" s="6" t="str">
        <f>IF(_xlfn.IFNA(INDEX(configuracoes!$A$2:$A$10,MATCH(base_tc_geral[[#This Row],[TIPO]],configuracoes!$A$2:$A$10,0)),"NÃO")="NÃO","NÃO","SIM")</f>
        <v>NÃO</v>
      </c>
    </row>
    <row r="1211" spans="1:31" x14ac:dyDescent="0.25">
      <c r="A1211" s="2" t="s">
        <v>412</v>
      </c>
      <c r="B1211" s="2">
        <v>109000017</v>
      </c>
      <c r="C1211" s="2" t="s">
        <v>15</v>
      </c>
      <c r="D1211" s="2" t="s">
        <v>4540</v>
      </c>
      <c r="E1211" s="2" t="s">
        <v>86</v>
      </c>
      <c r="F1211" s="2" t="s">
        <v>211</v>
      </c>
      <c r="G1211" s="2" t="s">
        <v>89</v>
      </c>
      <c r="H1211" s="2" t="s">
        <v>210</v>
      </c>
      <c r="I1211" s="2" t="s">
        <v>33</v>
      </c>
      <c r="J1211" s="2" t="s">
        <v>124</v>
      </c>
      <c r="K1211" s="2" t="s">
        <v>92</v>
      </c>
      <c r="L1211" s="2" t="s">
        <v>37</v>
      </c>
      <c r="M1211" s="2" t="s">
        <v>44</v>
      </c>
      <c r="N1211" s="2" t="s">
        <v>15</v>
      </c>
      <c r="O1211" s="2" t="s">
        <v>214</v>
      </c>
      <c r="P1211" s="2" t="s">
        <v>414</v>
      </c>
      <c r="Q1211" s="2" t="s">
        <v>4926</v>
      </c>
      <c r="R1211" s="2" t="s">
        <v>212</v>
      </c>
      <c r="S1211" s="2" t="s">
        <v>93</v>
      </c>
      <c r="T1211" s="2" t="s">
        <v>4696</v>
      </c>
      <c r="U1211" s="2" t="s">
        <v>12</v>
      </c>
      <c r="V1211" s="2" t="s">
        <v>4820</v>
      </c>
      <c r="W1211" s="2" t="s">
        <v>5013</v>
      </c>
      <c r="X1211" s="2" t="s">
        <v>44</v>
      </c>
      <c r="Y1211" s="2" t="s">
        <v>413</v>
      </c>
      <c r="Z1211" s="2" t="s">
        <v>6250</v>
      </c>
      <c r="AA12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2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1" s="6" t="str">
        <f>IF(_xlfn.IFNA(INDEX(configuracoes!$A$2:$A$10,MATCH(base_tc_geral[[#This Row],[TIPO]],configuracoes!$A$2:$A$10,0)),"NÃO")="NÃO","NÃO","SIM")</f>
        <v>NÃO</v>
      </c>
    </row>
    <row r="1212" spans="1:31" x14ac:dyDescent="0.25">
      <c r="A1212" s="2" t="s">
        <v>1867</v>
      </c>
      <c r="B1212" s="2">
        <v>109000017</v>
      </c>
      <c r="C1212" s="2" t="s">
        <v>15</v>
      </c>
      <c r="D1212" s="2" t="s">
        <v>4527</v>
      </c>
      <c r="E1212" s="2" t="s">
        <v>86</v>
      </c>
      <c r="F1212" s="2" t="s">
        <v>298</v>
      </c>
      <c r="G1212" s="2" t="s">
        <v>245</v>
      </c>
      <c r="H1212" s="2" t="s">
        <v>210</v>
      </c>
      <c r="I1212" s="2" t="s">
        <v>33</v>
      </c>
      <c r="J1212" s="2" t="s">
        <v>124</v>
      </c>
      <c r="K1212" s="2" t="s">
        <v>20</v>
      </c>
      <c r="L1212" s="2" t="s">
        <v>21</v>
      </c>
      <c r="M1212" s="2" t="s">
        <v>22</v>
      </c>
      <c r="N1212" s="2" t="s">
        <v>15</v>
      </c>
      <c r="O1212" s="2" t="s">
        <v>214</v>
      </c>
      <c r="P1212" s="2" t="s">
        <v>1869</v>
      </c>
      <c r="Q1212" s="2" t="s">
        <v>4926</v>
      </c>
      <c r="R1212" s="2" t="s">
        <v>212</v>
      </c>
      <c r="S1212" s="2" t="s">
        <v>93</v>
      </c>
      <c r="T1212" s="2" t="s">
        <v>4696</v>
      </c>
      <c r="U1212" s="2" t="s">
        <v>12</v>
      </c>
      <c r="V1212" s="2" t="s">
        <v>4794</v>
      </c>
      <c r="W1212" s="2" t="s">
        <v>4982</v>
      </c>
      <c r="X1212" s="2" t="s">
        <v>4925</v>
      </c>
      <c r="Y1212" s="2" t="s">
        <v>1868</v>
      </c>
      <c r="Z1212" s="2" t="s">
        <v>6251</v>
      </c>
      <c r="AA12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2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2" s="6" t="str">
        <f>IF(_xlfn.IFNA(INDEX(configuracoes!$A$2:$A$10,MATCH(base_tc_geral[[#This Row],[TIPO]],configuracoes!$A$2:$A$10,0)),"NÃO")="NÃO","NÃO","SIM")</f>
        <v>SIM</v>
      </c>
    </row>
    <row r="1213" spans="1:31" x14ac:dyDescent="0.25">
      <c r="A1213" s="2" t="s">
        <v>2166</v>
      </c>
      <c r="B1213" s="2">
        <v>101007963</v>
      </c>
      <c r="C1213" s="2" t="s">
        <v>15</v>
      </c>
      <c r="D1213" s="2" t="s">
        <v>4499</v>
      </c>
      <c r="E1213" s="2" t="s">
        <v>47</v>
      </c>
      <c r="F1213" s="2" t="s">
        <v>601</v>
      </c>
      <c r="G1213" s="2" t="s">
        <v>245</v>
      </c>
      <c r="H1213" s="2" t="s">
        <v>60</v>
      </c>
      <c r="I1213" s="2" t="s">
        <v>16</v>
      </c>
      <c r="J1213" s="2" t="s">
        <v>60</v>
      </c>
      <c r="K1213" s="2" t="s">
        <v>20</v>
      </c>
      <c r="L1213" s="2" t="s">
        <v>21</v>
      </c>
      <c r="M1213" s="2" t="s">
        <v>22</v>
      </c>
      <c r="N1213" s="2" t="s">
        <v>15</v>
      </c>
      <c r="O1213" s="2" t="s">
        <v>161</v>
      </c>
      <c r="P1213" s="2" t="s">
        <v>2168</v>
      </c>
      <c r="Q1213" s="2" t="s">
        <v>4926</v>
      </c>
      <c r="R1213" s="2" t="s">
        <v>246</v>
      </c>
      <c r="S1213" s="2" t="s">
        <v>51</v>
      </c>
      <c r="T1213" s="2" t="s">
        <v>4697</v>
      </c>
      <c r="U1213" s="2" t="s">
        <v>12</v>
      </c>
      <c r="V1213" s="2" t="s">
        <v>4778</v>
      </c>
      <c r="W1213" s="2" t="s">
        <v>4982</v>
      </c>
      <c r="X1213" s="2" t="s">
        <v>4925</v>
      </c>
      <c r="Y1213" s="2" t="s">
        <v>2167</v>
      </c>
      <c r="Z1213" s="2" t="s">
        <v>6252</v>
      </c>
      <c r="AA12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2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3" s="6" t="str">
        <f>IF(_xlfn.IFNA(INDEX(configuracoes!$A$2:$A$10,MATCH(base_tc_geral[[#This Row],[TIPO]],configuracoes!$A$2:$A$10,0)),"NÃO")="NÃO","NÃO","SIM")</f>
        <v>SIM</v>
      </c>
    </row>
    <row r="1214" spans="1:31" x14ac:dyDescent="0.25">
      <c r="A1214" s="2" t="s">
        <v>3469</v>
      </c>
      <c r="B1214" s="2">
        <v>109505819</v>
      </c>
      <c r="C1214" s="2" t="s">
        <v>15</v>
      </c>
      <c r="D1214" s="2" t="s">
        <v>4527</v>
      </c>
      <c r="E1214" s="2" t="s">
        <v>86</v>
      </c>
      <c r="F1214" s="2" t="s">
        <v>165</v>
      </c>
      <c r="G1214" s="2" t="s">
        <v>245</v>
      </c>
      <c r="H1214" s="2" t="s">
        <v>164</v>
      </c>
      <c r="I1214" s="2" t="s">
        <v>33</v>
      </c>
      <c r="J1214" s="2" t="s">
        <v>124</v>
      </c>
      <c r="K1214" s="2" t="s">
        <v>20</v>
      </c>
      <c r="L1214" s="2" t="s">
        <v>21</v>
      </c>
      <c r="M1214" s="2" t="s">
        <v>22</v>
      </c>
      <c r="N1214" s="2" t="s">
        <v>15</v>
      </c>
      <c r="O1214" s="2" t="s">
        <v>169</v>
      </c>
      <c r="P1214" s="2" t="s">
        <v>3471</v>
      </c>
      <c r="Q1214" s="2" t="s">
        <v>4926</v>
      </c>
      <c r="R1214" s="2" t="s">
        <v>3459</v>
      </c>
      <c r="S1214" s="2" t="s">
        <v>93</v>
      </c>
      <c r="T1214" s="2" t="s">
        <v>4696</v>
      </c>
      <c r="U1214" s="2" t="s">
        <v>12</v>
      </c>
      <c r="V1214" s="2" t="s">
        <v>4785</v>
      </c>
      <c r="W1214" s="2" t="s">
        <v>4982</v>
      </c>
      <c r="X1214" s="2" t="s">
        <v>4925</v>
      </c>
      <c r="Y1214" s="2" t="s">
        <v>3470</v>
      </c>
      <c r="Z1214" s="2" t="s">
        <v>5427</v>
      </c>
      <c r="AA12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12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4" s="6" t="str">
        <f>IF(_xlfn.IFNA(INDEX(configuracoes!$A$2:$A$10,MATCH(base_tc_geral[[#This Row],[TIPO]],configuracoes!$A$2:$A$10,0)),"NÃO")="NÃO","NÃO","SIM")</f>
        <v>SIM</v>
      </c>
    </row>
    <row r="1215" spans="1:31" x14ac:dyDescent="0.25">
      <c r="A1215" s="2" t="s">
        <v>3456</v>
      </c>
      <c r="B1215" s="2">
        <v>109500315</v>
      </c>
      <c r="C1215" s="2" t="s">
        <v>15</v>
      </c>
      <c r="D1215" s="2" t="s">
        <v>4781</v>
      </c>
      <c r="E1215" s="2" t="s">
        <v>86</v>
      </c>
      <c r="F1215" s="2" t="s">
        <v>211</v>
      </c>
      <c r="G1215" s="2" t="s">
        <v>172</v>
      </c>
      <c r="H1215" s="2" t="s">
        <v>210</v>
      </c>
      <c r="I1215" s="2" t="s">
        <v>33</v>
      </c>
      <c r="J1215" s="2" t="s">
        <v>124</v>
      </c>
      <c r="K1215" s="2" t="s">
        <v>13</v>
      </c>
      <c r="L1215" s="2" t="s">
        <v>17</v>
      </c>
      <c r="M1215" s="2" t="s">
        <v>23</v>
      </c>
      <c r="N1215" s="2" t="s">
        <v>15</v>
      </c>
      <c r="O1215" s="2" t="s">
        <v>214</v>
      </c>
      <c r="P1215" s="2" t="s">
        <v>3458</v>
      </c>
      <c r="Q1215" s="2" t="s">
        <v>4926</v>
      </c>
      <c r="R1215" s="2" t="s">
        <v>173</v>
      </c>
      <c r="S1215" s="2" t="s">
        <v>93</v>
      </c>
      <c r="T1215" s="2" t="s">
        <v>4696</v>
      </c>
      <c r="U1215" s="2" t="s">
        <v>12</v>
      </c>
      <c r="V1215" s="2" t="s">
        <v>4887</v>
      </c>
      <c r="W1215" s="2" t="s">
        <v>17</v>
      </c>
      <c r="X1215" s="2" t="s">
        <v>4998</v>
      </c>
      <c r="Y1215" s="2" t="s">
        <v>3457</v>
      </c>
      <c r="Z1215" s="2" t="s">
        <v>5428</v>
      </c>
      <c r="AA12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2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5" s="6" t="str">
        <f>IF(_xlfn.IFNA(INDEX(configuracoes!$A$2:$A$10,MATCH(base_tc_geral[[#This Row],[TIPO]],configuracoes!$A$2:$A$10,0)),"NÃO")="NÃO","NÃO","SIM")</f>
        <v>NÃO</v>
      </c>
    </row>
    <row r="1216" spans="1:31" x14ac:dyDescent="0.25">
      <c r="A1216" s="2" t="s">
        <v>835</v>
      </c>
      <c r="B1216" s="2">
        <v>109504369</v>
      </c>
      <c r="C1216" s="2" t="s">
        <v>15</v>
      </c>
      <c r="D1216" s="2" t="s">
        <v>4522</v>
      </c>
      <c r="E1216" s="2" t="s">
        <v>86</v>
      </c>
      <c r="F1216" s="2" t="s">
        <v>211</v>
      </c>
      <c r="G1216" s="2" t="s">
        <v>58</v>
      </c>
      <c r="H1216" s="2" t="s">
        <v>210</v>
      </c>
      <c r="I1216" s="2" t="s">
        <v>33</v>
      </c>
      <c r="J1216" s="2" t="s">
        <v>124</v>
      </c>
      <c r="K1216" s="2" t="s">
        <v>13</v>
      </c>
      <c r="L1216" s="2" t="s">
        <v>61</v>
      </c>
      <c r="M1216" s="2" t="s">
        <v>18</v>
      </c>
      <c r="N1216" s="2" t="s">
        <v>15</v>
      </c>
      <c r="O1216" s="2" t="s">
        <v>214</v>
      </c>
      <c r="P1216" s="2" t="s">
        <v>837</v>
      </c>
      <c r="Q1216" s="2" t="s">
        <v>4926</v>
      </c>
      <c r="R1216" s="2" t="s">
        <v>829</v>
      </c>
      <c r="S1216" s="2" t="s">
        <v>4699</v>
      </c>
      <c r="T1216" s="2" t="s">
        <v>4696</v>
      </c>
      <c r="U1216" s="2" t="s">
        <v>12</v>
      </c>
      <c r="V1216" s="2" t="s">
        <v>4904</v>
      </c>
      <c r="W1216" s="2" t="s">
        <v>4984</v>
      </c>
      <c r="X1216" s="2" t="s">
        <v>4998</v>
      </c>
      <c r="Y1216" s="2" t="s">
        <v>836</v>
      </c>
      <c r="Z1216" s="2" t="s">
        <v>5429</v>
      </c>
      <c r="AA12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HAILTON </v>
      </c>
      <c r="AB12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2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6" s="6" t="str">
        <f>IF(_xlfn.IFNA(INDEX(configuracoes!$A$2:$A$10,MATCH(base_tc_geral[[#This Row],[TIPO]],configuracoes!$A$2:$A$10,0)),"NÃO")="NÃO","NÃO","SIM")</f>
        <v>NÃO</v>
      </c>
    </row>
    <row r="1217" spans="1:31" x14ac:dyDescent="0.25">
      <c r="A1217" s="2" t="s">
        <v>2695</v>
      </c>
      <c r="B1217" s="2">
        <v>109506091</v>
      </c>
      <c r="C1217" s="2" t="s">
        <v>24</v>
      </c>
      <c r="D1217" s="2" t="s">
        <v>4482</v>
      </c>
      <c r="E1217" s="2" t="s">
        <v>86</v>
      </c>
      <c r="F1217" s="2" t="s">
        <v>123</v>
      </c>
      <c r="G1217" s="2" t="s">
        <v>245</v>
      </c>
      <c r="H1217" s="2" t="s">
        <v>122</v>
      </c>
      <c r="I1217" s="2" t="s">
        <v>33</v>
      </c>
      <c r="J1217" s="2" t="s">
        <v>124</v>
      </c>
      <c r="K1217" s="2" t="s">
        <v>20</v>
      </c>
      <c r="L1217" s="2" t="s">
        <v>21</v>
      </c>
      <c r="M1217" s="2" t="s">
        <v>22</v>
      </c>
      <c r="N1217" s="2" t="s">
        <v>24</v>
      </c>
      <c r="O1217" s="2" t="s">
        <v>129</v>
      </c>
      <c r="P1217" s="2" t="s">
        <v>2697</v>
      </c>
      <c r="Q1217" s="2" t="s">
        <v>4926</v>
      </c>
      <c r="R1217" s="2" t="s">
        <v>2683</v>
      </c>
      <c r="S1217" s="2" t="s">
        <v>125</v>
      </c>
      <c r="T1217" s="2" t="s">
        <v>4696</v>
      </c>
      <c r="U1217" s="2" t="s">
        <v>39</v>
      </c>
      <c r="V1217" s="2" t="s">
        <v>4771</v>
      </c>
      <c r="W1217" s="2" t="s">
        <v>4982</v>
      </c>
      <c r="X1217" s="2" t="s">
        <v>4925</v>
      </c>
      <c r="Y1217" s="2" t="s">
        <v>2696</v>
      </c>
      <c r="Z1217" s="2" t="s">
        <v>5430</v>
      </c>
      <c r="AA12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2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17" s="6" t="str">
        <f>IF(_xlfn.IFNA(INDEX(configuracoes!$A$2:$A$10,MATCH(base_tc_geral[[#This Row],[TIPO]],configuracoes!$A$2:$A$10,0)),"NÃO")="NÃO","NÃO","SIM")</f>
        <v>SIM</v>
      </c>
    </row>
    <row r="1218" spans="1:31" x14ac:dyDescent="0.25">
      <c r="A1218" s="2" t="s">
        <v>4056</v>
      </c>
      <c r="B1218" s="2">
        <v>109000340</v>
      </c>
      <c r="C1218" s="2" t="s">
        <v>15</v>
      </c>
      <c r="D1218" s="2" t="s">
        <v>4484</v>
      </c>
      <c r="E1218" s="2" t="s">
        <v>86</v>
      </c>
      <c r="F1218" s="2" t="s">
        <v>88</v>
      </c>
      <c r="G1218" s="2" t="s">
        <v>172</v>
      </c>
      <c r="H1218" s="2" t="s">
        <v>87</v>
      </c>
      <c r="I1218" s="2" t="s">
        <v>33</v>
      </c>
      <c r="J1218" s="2" t="s">
        <v>91</v>
      </c>
      <c r="K1218" s="2" t="s">
        <v>13</v>
      </c>
      <c r="L1218" s="2" t="s">
        <v>17</v>
      </c>
      <c r="M1218" s="2" t="s">
        <v>18</v>
      </c>
      <c r="N1218" s="2" t="s">
        <v>15</v>
      </c>
      <c r="O1218" s="2" t="s">
        <v>95</v>
      </c>
      <c r="P1218" s="2" t="s">
        <v>4058</v>
      </c>
      <c r="Q1218" s="2" t="s">
        <v>4926</v>
      </c>
      <c r="R1218" s="2" t="s">
        <v>90</v>
      </c>
      <c r="S1218" s="2" t="s">
        <v>93</v>
      </c>
      <c r="T1218" s="2" t="s">
        <v>4696</v>
      </c>
      <c r="U1218" s="2" t="s">
        <v>12</v>
      </c>
      <c r="V1218" s="2" t="s">
        <v>4796</v>
      </c>
      <c r="W1218" s="2" t="s">
        <v>17</v>
      </c>
      <c r="X1218" s="2" t="s">
        <v>4998</v>
      </c>
      <c r="Y1218" s="2" t="s">
        <v>4057</v>
      </c>
      <c r="Z1218" s="2" t="s">
        <v>5431</v>
      </c>
      <c r="AA12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2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8" s="6" t="str">
        <f>IF(_xlfn.IFNA(INDEX(configuracoes!$A$2:$A$10,MATCH(base_tc_geral[[#This Row],[TIPO]],configuracoes!$A$2:$A$10,0)),"NÃO")="NÃO","NÃO","SIM")</f>
        <v>NÃO</v>
      </c>
    </row>
    <row r="1219" spans="1:31" x14ac:dyDescent="0.25">
      <c r="A1219" s="2" t="s">
        <v>1231</v>
      </c>
      <c r="B1219" s="2">
        <v>101005989</v>
      </c>
      <c r="C1219" s="2" t="s">
        <v>15</v>
      </c>
      <c r="D1219" s="2" t="s">
        <v>4564</v>
      </c>
      <c r="E1219" s="2" t="s">
        <v>47</v>
      </c>
      <c r="F1219" s="2" t="s">
        <v>57</v>
      </c>
      <c r="G1219" s="2" t="s">
        <v>245</v>
      </c>
      <c r="H1219" s="2" t="s">
        <v>56</v>
      </c>
      <c r="I1219" s="2" t="s">
        <v>16</v>
      </c>
      <c r="J1219" s="2" t="s">
        <v>60</v>
      </c>
      <c r="K1219" s="2" t="s">
        <v>20</v>
      </c>
      <c r="L1219" s="2" t="s">
        <v>21</v>
      </c>
      <c r="M1219" s="2" t="s">
        <v>22</v>
      </c>
      <c r="N1219" s="2" t="s">
        <v>15</v>
      </c>
      <c r="O1219" s="2" t="s">
        <v>63</v>
      </c>
      <c r="P1219" s="2" t="s">
        <v>1233</v>
      </c>
      <c r="Q1219" s="2" t="s">
        <v>4926</v>
      </c>
      <c r="R1219" s="2" t="s">
        <v>59</v>
      </c>
      <c r="S1219" s="2" t="s">
        <v>51</v>
      </c>
      <c r="T1219" s="2" t="s">
        <v>4697</v>
      </c>
      <c r="U1219" s="2" t="s">
        <v>12</v>
      </c>
      <c r="V1219" s="2" t="s">
        <v>4779</v>
      </c>
      <c r="W1219" s="2" t="s">
        <v>4982</v>
      </c>
      <c r="X1219" s="2" t="s">
        <v>4925</v>
      </c>
      <c r="Y1219" s="2" t="s">
        <v>1232</v>
      </c>
      <c r="Z1219" s="2" t="s">
        <v>5432</v>
      </c>
      <c r="AA12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2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19" s="6" t="str">
        <f>IF(_xlfn.IFNA(INDEX(configuracoes!$A$2:$A$10,MATCH(base_tc_geral[[#This Row],[TIPO]],configuracoes!$A$2:$A$10,0)),"NÃO")="NÃO","NÃO","SIM")</f>
        <v>SIM</v>
      </c>
    </row>
    <row r="1220" spans="1:31" x14ac:dyDescent="0.25">
      <c r="A1220" s="2" t="s">
        <v>716</v>
      </c>
      <c r="B1220" s="2">
        <v>109000427</v>
      </c>
      <c r="C1220" s="2" t="s">
        <v>15</v>
      </c>
      <c r="D1220" s="2" t="s">
        <v>4502</v>
      </c>
      <c r="E1220" s="2" t="s">
        <v>86</v>
      </c>
      <c r="F1220" s="2" t="s">
        <v>123</v>
      </c>
      <c r="G1220" s="2" t="s">
        <v>58</v>
      </c>
      <c r="H1220" s="2" t="s">
        <v>122</v>
      </c>
      <c r="I1220" s="2" t="s">
        <v>33</v>
      </c>
      <c r="J1220" s="2" t="s">
        <v>124</v>
      </c>
      <c r="K1220" s="2" t="s">
        <v>13</v>
      </c>
      <c r="L1220" s="2" t="s">
        <v>61</v>
      </c>
      <c r="M1220" s="2" t="s">
        <v>718</v>
      </c>
      <c r="N1220" s="2" t="s">
        <v>15</v>
      </c>
      <c r="O1220" s="2" t="s">
        <v>129</v>
      </c>
      <c r="P1220" s="2" t="s">
        <v>719</v>
      </c>
      <c r="Q1220" s="2" t="s">
        <v>4926</v>
      </c>
      <c r="R1220" s="2" t="s">
        <v>259</v>
      </c>
      <c r="S1220" s="2" t="s">
        <v>4699</v>
      </c>
      <c r="T1220" s="2" t="s">
        <v>4696</v>
      </c>
      <c r="U1220" s="2" t="s">
        <v>12</v>
      </c>
      <c r="V1220" s="2" t="s">
        <v>4795</v>
      </c>
      <c r="W1220" s="2" t="s">
        <v>4984</v>
      </c>
      <c r="X1220" s="2" t="s">
        <v>6254</v>
      </c>
      <c r="Y1220" s="2" t="s">
        <v>717</v>
      </c>
      <c r="Z1220" s="2" t="s">
        <v>6253</v>
      </c>
      <c r="AA12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12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2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20" s="6" t="str">
        <f>IF(_xlfn.IFNA(INDEX(configuracoes!$A$2:$A$10,MATCH(base_tc_geral[[#This Row],[TIPO]],configuracoes!$A$2:$A$10,0)),"NÃO")="NÃO","NÃO","SIM")</f>
        <v>NÃO</v>
      </c>
    </row>
    <row r="1221" spans="1:31" x14ac:dyDescent="0.25">
      <c r="A1221" s="2" t="s">
        <v>2315</v>
      </c>
      <c r="B1221" s="2">
        <v>109000340</v>
      </c>
      <c r="C1221" s="2" t="s">
        <v>15</v>
      </c>
      <c r="D1221" s="2" t="s">
        <v>4881</v>
      </c>
      <c r="E1221" s="2" t="s">
        <v>86</v>
      </c>
      <c r="F1221" s="2" t="s">
        <v>88</v>
      </c>
      <c r="G1221" s="2" t="s">
        <v>99</v>
      </c>
      <c r="H1221" s="2" t="s">
        <v>87</v>
      </c>
      <c r="I1221" s="2" t="s">
        <v>33</v>
      </c>
      <c r="J1221" s="2" t="s">
        <v>91</v>
      </c>
      <c r="K1221" s="2" t="s">
        <v>20</v>
      </c>
      <c r="L1221" s="2" t="s">
        <v>25</v>
      </c>
      <c r="M1221" s="2" t="s">
        <v>22</v>
      </c>
      <c r="N1221" s="2" t="s">
        <v>15</v>
      </c>
      <c r="O1221" s="2" t="s">
        <v>95</v>
      </c>
      <c r="P1221" s="2" t="s">
        <v>2317</v>
      </c>
      <c r="Q1221" s="2" t="s">
        <v>4926</v>
      </c>
      <c r="R1221" s="2" t="s">
        <v>90</v>
      </c>
      <c r="S1221" s="2" t="s">
        <v>93</v>
      </c>
      <c r="T1221" s="2" t="s">
        <v>4696</v>
      </c>
      <c r="U1221" s="2" t="s">
        <v>12</v>
      </c>
      <c r="V1221" s="2" t="s">
        <v>4796</v>
      </c>
      <c r="W1221" s="2" t="s">
        <v>4982</v>
      </c>
      <c r="X1221" s="2" t="s">
        <v>4925</v>
      </c>
      <c r="Y1221" s="2" t="s">
        <v>2316</v>
      </c>
      <c r="Z1221" s="2" t="s">
        <v>6255</v>
      </c>
      <c r="AA12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2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21" s="6" t="str">
        <f>IF(_xlfn.IFNA(INDEX(configuracoes!$A$2:$A$10,MATCH(base_tc_geral[[#This Row],[TIPO]],configuracoes!$A$2:$A$10,0)),"NÃO")="NÃO","NÃO","SIM")</f>
        <v>SIM</v>
      </c>
    </row>
    <row r="1222" spans="1:31" x14ac:dyDescent="0.25">
      <c r="A1222" s="2" t="s">
        <v>3343</v>
      </c>
      <c r="B1222" s="2">
        <v>101001488</v>
      </c>
      <c r="C1222" s="2" t="s">
        <v>15</v>
      </c>
      <c r="D1222" s="2" t="s">
        <v>4490</v>
      </c>
      <c r="E1222" s="2" t="s">
        <v>47</v>
      </c>
      <c r="F1222" s="2" t="s">
        <v>251</v>
      </c>
      <c r="G1222" s="2" t="s">
        <v>613</v>
      </c>
      <c r="H1222" s="2" t="s">
        <v>224</v>
      </c>
      <c r="I1222" s="2" t="s">
        <v>16</v>
      </c>
      <c r="J1222" s="2" t="s">
        <v>227</v>
      </c>
      <c r="K1222" s="2" t="s">
        <v>20</v>
      </c>
      <c r="L1222" s="2" t="s">
        <v>25</v>
      </c>
      <c r="M1222" s="2" t="s">
        <v>22</v>
      </c>
      <c r="N1222" s="2" t="s">
        <v>15</v>
      </c>
      <c r="O1222" s="2" t="s">
        <v>229</v>
      </c>
      <c r="P1222" s="2" t="s">
        <v>3345</v>
      </c>
      <c r="Q1222" s="2" t="s">
        <v>4926</v>
      </c>
      <c r="R1222" s="2" t="s">
        <v>252</v>
      </c>
      <c r="S1222" s="2" t="s">
        <v>101</v>
      </c>
      <c r="T1222" s="2" t="s">
        <v>4697</v>
      </c>
      <c r="U1222" s="2" t="s">
        <v>12</v>
      </c>
      <c r="V1222" s="2" t="s">
        <v>4811</v>
      </c>
      <c r="W1222" s="2" t="s">
        <v>4931</v>
      </c>
      <c r="X1222" s="2" t="s">
        <v>4925</v>
      </c>
      <c r="Y1222" s="2" t="s">
        <v>3344</v>
      </c>
      <c r="Z1222" s="2" t="s">
        <v>6256</v>
      </c>
      <c r="AA12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2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22" s="6" t="str">
        <f>IF(_xlfn.IFNA(INDEX(configuracoes!$A$2:$A$10,MATCH(base_tc_geral[[#This Row],[TIPO]],configuracoes!$A$2:$A$10,0)),"NÃO")="NÃO","NÃO","SIM")</f>
        <v>SIM</v>
      </c>
    </row>
    <row r="1223" spans="1:31" x14ac:dyDescent="0.25">
      <c r="A1223" s="2" t="s">
        <v>1120</v>
      </c>
      <c r="B1223" s="2">
        <v>109000926</v>
      </c>
      <c r="C1223" s="2" t="s">
        <v>24</v>
      </c>
      <c r="D1223" s="2" t="s">
        <v>4482</v>
      </c>
      <c r="E1223" s="2" t="s">
        <v>86</v>
      </c>
      <c r="F1223" s="2" t="s">
        <v>325</v>
      </c>
      <c r="G1223" s="2" t="s">
        <v>245</v>
      </c>
      <c r="H1223" s="2" t="s">
        <v>283</v>
      </c>
      <c r="I1223" s="2" t="s">
        <v>33</v>
      </c>
      <c r="J1223" s="2" t="s">
        <v>124</v>
      </c>
      <c r="K1223" s="2" t="s">
        <v>20</v>
      </c>
      <c r="L1223" s="2" t="s">
        <v>21</v>
      </c>
      <c r="M1223" s="2" t="s">
        <v>22</v>
      </c>
      <c r="N1223" s="2" t="s">
        <v>24</v>
      </c>
      <c r="O1223" s="2" t="s">
        <v>287</v>
      </c>
      <c r="P1223" s="2" t="s">
        <v>1122</v>
      </c>
      <c r="Q1223" s="2" t="s">
        <v>4926</v>
      </c>
      <c r="R1223" s="2" t="s">
        <v>285</v>
      </c>
      <c r="S1223" s="2" t="s">
        <v>125</v>
      </c>
      <c r="T1223" s="2" t="s">
        <v>4696</v>
      </c>
      <c r="U1223" s="2" t="s">
        <v>39</v>
      </c>
      <c r="V1223" s="2" t="s">
        <v>4777</v>
      </c>
      <c r="W1223" s="2" t="s">
        <v>4982</v>
      </c>
      <c r="X1223" s="2" t="s">
        <v>4925</v>
      </c>
      <c r="Y1223" s="2" t="s">
        <v>1121</v>
      </c>
      <c r="Z1223" s="2" t="s">
        <v>6257</v>
      </c>
      <c r="AA12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2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23" s="6" t="str">
        <f>IF(_xlfn.IFNA(INDEX(configuracoes!$A$2:$A$10,MATCH(base_tc_geral[[#This Row],[TIPO]],configuracoes!$A$2:$A$10,0)),"NÃO")="NÃO","NÃO","SIM")</f>
        <v>SIM</v>
      </c>
    </row>
    <row r="1224" spans="1:31" x14ac:dyDescent="0.25">
      <c r="A1224" s="2" t="s">
        <v>3254</v>
      </c>
      <c r="B1224" s="2">
        <v>109500038</v>
      </c>
      <c r="C1224" s="2" t="s">
        <v>15</v>
      </c>
      <c r="D1224" s="2" t="s">
        <v>4781</v>
      </c>
      <c r="E1224" s="2" t="s">
        <v>86</v>
      </c>
      <c r="F1224" s="2" t="s">
        <v>123</v>
      </c>
      <c r="G1224" s="2" t="s">
        <v>58</v>
      </c>
      <c r="H1224" s="2" t="s">
        <v>122</v>
      </c>
      <c r="I1224" s="2" t="s">
        <v>33</v>
      </c>
      <c r="J1224" s="2" t="s">
        <v>124</v>
      </c>
      <c r="K1224" s="2" t="s">
        <v>13</v>
      </c>
      <c r="L1224" s="2" t="s">
        <v>61</v>
      </c>
      <c r="M1224" s="2" t="s">
        <v>38</v>
      </c>
      <c r="N1224" s="2" t="s">
        <v>15</v>
      </c>
      <c r="O1224" s="2" t="s">
        <v>129</v>
      </c>
      <c r="P1224" s="2" t="s">
        <v>3256</v>
      </c>
      <c r="Q1224" s="2" t="s">
        <v>4926</v>
      </c>
      <c r="R1224" s="2" t="s">
        <v>3212</v>
      </c>
      <c r="S1224" s="2" t="s">
        <v>4699</v>
      </c>
      <c r="T1224" s="2" t="s">
        <v>4696</v>
      </c>
      <c r="U1224" s="2" t="s">
        <v>12</v>
      </c>
      <c r="V1224" s="2" t="s">
        <v>4782</v>
      </c>
      <c r="W1224" s="2" t="s">
        <v>5006</v>
      </c>
      <c r="X1224" s="2" t="s">
        <v>38</v>
      </c>
      <c r="Y1224" s="2" t="s">
        <v>3255</v>
      </c>
      <c r="Z1224" s="2" t="s">
        <v>6258</v>
      </c>
      <c r="AA12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PATRICIO MARTINS </v>
      </c>
      <c r="AB12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2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24" s="6" t="str">
        <f>IF(_xlfn.IFNA(INDEX(configuracoes!$A$2:$A$10,MATCH(base_tc_geral[[#This Row],[TIPO]],configuracoes!$A$2:$A$10,0)),"NÃO")="NÃO","NÃO","SIM")</f>
        <v>NÃO</v>
      </c>
    </row>
    <row r="1225" spans="1:31" x14ac:dyDescent="0.25">
      <c r="A1225" s="2" t="s">
        <v>3733</v>
      </c>
      <c r="B1225" s="2">
        <v>102100917</v>
      </c>
      <c r="C1225" s="2" t="s">
        <v>15</v>
      </c>
      <c r="D1225" s="2" t="s">
        <v>4629</v>
      </c>
      <c r="E1225" s="2" t="s">
        <v>106</v>
      </c>
      <c r="F1225" s="2" t="s">
        <v>116</v>
      </c>
      <c r="G1225" s="2" t="s">
        <v>637</v>
      </c>
      <c r="H1225" s="2" t="s">
        <v>115</v>
      </c>
      <c r="I1225" s="2" t="s">
        <v>33</v>
      </c>
      <c r="J1225" s="2" t="s">
        <v>109</v>
      </c>
      <c r="K1225" s="2" t="s">
        <v>20</v>
      </c>
      <c r="L1225" s="2" t="s">
        <v>19</v>
      </c>
      <c r="M1225" s="2" t="s">
        <v>22</v>
      </c>
      <c r="N1225" s="2" t="s">
        <v>15</v>
      </c>
      <c r="O1225" s="2" t="s">
        <v>119</v>
      </c>
      <c r="P1225" s="2" t="s">
        <v>3735</v>
      </c>
      <c r="Q1225" s="2" t="s">
        <v>4926</v>
      </c>
      <c r="R1225" s="2" t="s">
        <v>117</v>
      </c>
      <c r="S1225" s="2" t="s">
        <v>736</v>
      </c>
      <c r="T1225" s="2" t="s">
        <v>167</v>
      </c>
      <c r="U1225" s="2" t="s">
        <v>12</v>
      </c>
      <c r="V1225" s="2" t="s">
        <v>4902</v>
      </c>
      <c r="W1225" s="2" t="s">
        <v>4982</v>
      </c>
      <c r="X1225" s="2" t="s">
        <v>4925</v>
      </c>
      <c r="Y1225" s="2" t="s">
        <v>3734</v>
      </c>
      <c r="Z1225" s="2" t="s">
        <v>6259</v>
      </c>
      <c r="AA12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12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25" s="6" t="str">
        <f>IF(_xlfn.IFNA(INDEX(configuracoes!$A$2:$A$10,MATCH(base_tc_geral[[#This Row],[TIPO]],configuracoes!$A$2:$A$10,0)),"NÃO")="NÃO","NÃO","SIM")</f>
        <v>SIM</v>
      </c>
    </row>
    <row r="1226" spans="1:31" x14ac:dyDescent="0.25">
      <c r="A1226" s="2" t="s">
        <v>3394</v>
      </c>
      <c r="B1226" s="2">
        <v>101006811</v>
      </c>
      <c r="C1226" s="2" t="s">
        <v>24</v>
      </c>
      <c r="D1226" s="2" t="s">
        <v>4768</v>
      </c>
      <c r="E1226" s="2" t="s">
        <v>47</v>
      </c>
      <c r="F1226" s="2" t="s">
        <v>49</v>
      </c>
      <c r="G1226" s="2" t="s">
        <v>883</v>
      </c>
      <c r="H1226" s="2" t="s">
        <v>48</v>
      </c>
      <c r="I1226" s="2" t="s">
        <v>16</v>
      </c>
      <c r="J1226" s="2" t="s">
        <v>48</v>
      </c>
      <c r="K1226" s="2" t="s">
        <v>20</v>
      </c>
      <c r="L1226" s="2" t="s">
        <v>21</v>
      </c>
      <c r="M1226" s="2" t="s">
        <v>22</v>
      </c>
      <c r="N1226" s="2" t="s">
        <v>24</v>
      </c>
      <c r="O1226" s="2" t="s">
        <v>53</v>
      </c>
      <c r="P1226" s="2" t="s">
        <v>3396</v>
      </c>
      <c r="Q1226" s="2" t="s">
        <v>4926</v>
      </c>
      <c r="R1226" s="2" t="s">
        <v>50</v>
      </c>
      <c r="S1226" s="2" t="s">
        <v>51</v>
      </c>
      <c r="T1226" s="2" t="s">
        <v>4697</v>
      </c>
      <c r="U1226" s="2" t="s">
        <v>39</v>
      </c>
      <c r="V1226" s="2" t="s">
        <v>4860</v>
      </c>
      <c r="W1226" s="2" t="s">
        <v>4982</v>
      </c>
      <c r="X1226" s="2" t="s">
        <v>4925</v>
      </c>
      <c r="Y1226" s="2" t="s">
        <v>3395</v>
      </c>
      <c r="Z1226" s="2" t="s">
        <v>6260</v>
      </c>
      <c r="AA12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2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26" s="6" t="str">
        <f>IF(_xlfn.IFNA(INDEX(configuracoes!$A$2:$A$10,MATCH(base_tc_geral[[#This Row],[TIPO]],configuracoes!$A$2:$A$10,0)),"NÃO")="NÃO","NÃO","SIM")</f>
        <v>SIM</v>
      </c>
    </row>
    <row r="1227" spans="1:31" x14ac:dyDescent="0.25">
      <c r="A1227" s="2" t="s">
        <v>3643</v>
      </c>
      <c r="B1227" s="2">
        <v>101003771</v>
      </c>
      <c r="C1227" s="2" t="s">
        <v>15</v>
      </c>
      <c r="D1227" s="2" t="s">
        <v>4481</v>
      </c>
      <c r="E1227" s="2" t="s">
        <v>47</v>
      </c>
      <c r="F1227" s="2" t="s">
        <v>350</v>
      </c>
      <c r="G1227" s="2" t="s">
        <v>172</v>
      </c>
      <c r="H1227" s="2" t="s">
        <v>227</v>
      </c>
      <c r="I1227" s="2" t="s">
        <v>16</v>
      </c>
      <c r="J1227" s="2" t="s">
        <v>227</v>
      </c>
      <c r="K1227" s="2" t="s">
        <v>92</v>
      </c>
      <c r="L1227" s="2" t="s">
        <v>17</v>
      </c>
      <c r="M1227" s="2" t="s">
        <v>23</v>
      </c>
      <c r="N1227" s="2" t="s">
        <v>15</v>
      </c>
      <c r="O1227" s="2" t="s">
        <v>271</v>
      </c>
      <c r="P1227" s="2" t="s">
        <v>3645</v>
      </c>
      <c r="Q1227" s="2" t="s">
        <v>4926</v>
      </c>
      <c r="R1227" s="2" t="s">
        <v>465</v>
      </c>
      <c r="S1227" s="2" t="s">
        <v>51</v>
      </c>
      <c r="T1227" s="2" t="s">
        <v>4697</v>
      </c>
      <c r="U1227" s="2" t="s">
        <v>12</v>
      </c>
      <c r="V1227" s="2" t="s">
        <v>4810</v>
      </c>
      <c r="W1227" s="2" t="s">
        <v>17</v>
      </c>
      <c r="X1227" s="2" t="s">
        <v>4998</v>
      </c>
      <c r="Y1227" s="2" t="s">
        <v>3644</v>
      </c>
      <c r="Z1227" s="2" t="s">
        <v>6261</v>
      </c>
      <c r="AA12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2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27" s="6" t="str">
        <f>IF(_xlfn.IFNA(INDEX(configuracoes!$A$2:$A$10,MATCH(base_tc_geral[[#This Row],[TIPO]],configuracoes!$A$2:$A$10,0)),"NÃO")="NÃO","NÃO","SIM")</f>
        <v>NÃO</v>
      </c>
    </row>
    <row r="1228" spans="1:31" x14ac:dyDescent="0.25">
      <c r="A1228" s="2" t="s">
        <v>1117</v>
      </c>
      <c r="B1228" s="2">
        <v>109000926</v>
      </c>
      <c r="C1228" s="2" t="s">
        <v>15</v>
      </c>
      <c r="D1228" s="2" t="s">
        <v>4553</v>
      </c>
      <c r="E1228" s="2" t="s">
        <v>86</v>
      </c>
      <c r="F1228" s="2" t="s">
        <v>325</v>
      </c>
      <c r="G1228" s="2" t="s">
        <v>245</v>
      </c>
      <c r="H1228" s="2" t="s">
        <v>283</v>
      </c>
      <c r="I1228" s="2" t="s">
        <v>33</v>
      </c>
      <c r="J1228" s="2" t="s">
        <v>124</v>
      </c>
      <c r="K1228" s="2" t="s">
        <v>20</v>
      </c>
      <c r="L1228" s="2" t="s">
        <v>21</v>
      </c>
      <c r="M1228" s="2" t="s">
        <v>22</v>
      </c>
      <c r="N1228" s="2" t="s">
        <v>15</v>
      </c>
      <c r="O1228" s="2" t="s">
        <v>287</v>
      </c>
      <c r="P1228" s="2" t="s">
        <v>1119</v>
      </c>
      <c r="Q1228" s="2" t="s">
        <v>4926</v>
      </c>
      <c r="R1228" s="2" t="s">
        <v>285</v>
      </c>
      <c r="S1228" s="2" t="s">
        <v>125</v>
      </c>
      <c r="T1228" s="2" t="s">
        <v>4696</v>
      </c>
      <c r="U1228" s="2" t="s">
        <v>12</v>
      </c>
      <c r="V1228" s="2" t="s">
        <v>4777</v>
      </c>
      <c r="W1228" s="2" t="s">
        <v>4982</v>
      </c>
      <c r="X1228" s="2" t="s">
        <v>4925</v>
      </c>
      <c r="Y1228" s="2" t="s">
        <v>1118</v>
      </c>
      <c r="Z1228" s="2" t="s">
        <v>6262</v>
      </c>
      <c r="AA12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2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28" s="6" t="str">
        <f>IF(_xlfn.IFNA(INDEX(configuracoes!$A$2:$A$10,MATCH(base_tc_geral[[#This Row],[TIPO]],configuracoes!$A$2:$A$10,0)),"NÃO")="NÃO","NÃO","SIM")</f>
        <v>SIM</v>
      </c>
    </row>
    <row r="1229" spans="1:31" x14ac:dyDescent="0.25">
      <c r="A1229" s="2" t="s">
        <v>1388</v>
      </c>
      <c r="B1229" s="2">
        <v>101010209</v>
      </c>
      <c r="C1229" s="2" t="s">
        <v>24</v>
      </c>
      <c r="D1229" s="2" t="s">
        <v>4482</v>
      </c>
      <c r="E1229" s="2" t="s">
        <v>47</v>
      </c>
      <c r="F1229" s="2" t="s">
        <v>278</v>
      </c>
      <c r="G1229" s="2" t="s">
        <v>245</v>
      </c>
      <c r="H1229" s="2" t="s">
        <v>60</v>
      </c>
      <c r="I1229" s="2" t="s">
        <v>16</v>
      </c>
      <c r="J1229" s="2" t="s">
        <v>60</v>
      </c>
      <c r="K1229" s="2" t="s">
        <v>20</v>
      </c>
      <c r="L1229" s="2" t="s">
        <v>21</v>
      </c>
      <c r="M1229" s="2" t="s">
        <v>22</v>
      </c>
      <c r="N1229" s="2" t="s">
        <v>24</v>
      </c>
      <c r="O1229" s="2" t="s">
        <v>161</v>
      </c>
      <c r="P1229" s="2" t="s">
        <v>1390</v>
      </c>
      <c r="Q1229" s="2" t="s">
        <v>4926</v>
      </c>
      <c r="R1229" s="2" t="s">
        <v>279</v>
      </c>
      <c r="S1229" s="2" t="s">
        <v>51</v>
      </c>
      <c r="T1229" s="2" t="s">
        <v>4697</v>
      </c>
      <c r="U1229" s="2" t="s">
        <v>39</v>
      </c>
      <c r="V1229" s="2" t="s">
        <v>4821</v>
      </c>
      <c r="W1229" s="2" t="s">
        <v>4982</v>
      </c>
      <c r="X1229" s="2" t="s">
        <v>4925</v>
      </c>
      <c r="Y1229" s="2" t="s">
        <v>1389</v>
      </c>
      <c r="Z1229" s="2" t="s">
        <v>6263</v>
      </c>
      <c r="AA12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12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29" s="6" t="str">
        <f>IF(_xlfn.IFNA(INDEX(configuracoes!$A$2:$A$10,MATCH(base_tc_geral[[#This Row],[TIPO]],configuracoes!$A$2:$A$10,0)),"NÃO")="NÃO","NÃO","SIM")</f>
        <v>SIM</v>
      </c>
    </row>
    <row r="1230" spans="1:31" x14ac:dyDescent="0.25">
      <c r="A1230" s="2" t="s">
        <v>815</v>
      </c>
      <c r="B1230" s="2">
        <v>109000427</v>
      </c>
      <c r="C1230" s="2" t="s">
        <v>15</v>
      </c>
      <c r="D1230" s="2" t="s">
        <v>4519</v>
      </c>
      <c r="E1230" s="2" t="s">
        <v>86</v>
      </c>
      <c r="F1230" s="2" t="s">
        <v>817</v>
      </c>
      <c r="G1230" s="2" t="s">
        <v>58</v>
      </c>
      <c r="H1230" s="2" t="s">
        <v>217</v>
      </c>
      <c r="I1230" s="2" t="s">
        <v>33</v>
      </c>
      <c r="J1230" s="2" t="s">
        <v>91</v>
      </c>
      <c r="K1230" s="2" t="s">
        <v>13</v>
      </c>
      <c r="L1230" s="2" t="s">
        <v>61</v>
      </c>
      <c r="M1230" s="2" t="s">
        <v>74</v>
      </c>
      <c r="N1230" s="2" t="s">
        <v>15</v>
      </c>
      <c r="O1230" s="2" t="s">
        <v>221</v>
      </c>
      <c r="P1230" s="2" t="s">
        <v>818</v>
      </c>
      <c r="Q1230" s="2" t="s">
        <v>4926</v>
      </c>
      <c r="R1230" s="2" t="s">
        <v>259</v>
      </c>
      <c r="S1230" s="2" t="s">
        <v>4699</v>
      </c>
      <c r="T1230" s="2" t="s">
        <v>4696</v>
      </c>
      <c r="U1230" s="2" t="s">
        <v>12</v>
      </c>
      <c r="V1230" s="2" t="s">
        <v>4795</v>
      </c>
      <c r="W1230" s="2" t="s">
        <v>4984</v>
      </c>
      <c r="X1230" s="2" t="s">
        <v>74</v>
      </c>
      <c r="Y1230" s="2" t="s">
        <v>816</v>
      </c>
      <c r="Z1230" s="2" t="s">
        <v>6264</v>
      </c>
      <c r="AA12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12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2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0" s="6" t="str">
        <f>IF(_xlfn.IFNA(INDEX(configuracoes!$A$2:$A$10,MATCH(base_tc_geral[[#This Row],[TIPO]],configuracoes!$A$2:$A$10,0)),"NÃO")="NÃO","NÃO","SIM")</f>
        <v>NÃO</v>
      </c>
    </row>
    <row r="1231" spans="1:31" x14ac:dyDescent="0.25">
      <c r="A1231" s="2" t="s">
        <v>3932</v>
      </c>
      <c r="B1231" s="2">
        <v>105303134</v>
      </c>
      <c r="C1231" s="2" t="s">
        <v>15</v>
      </c>
      <c r="D1231" s="2" t="s">
        <v>4634</v>
      </c>
      <c r="E1231" s="2" t="s">
        <v>28</v>
      </c>
      <c r="F1231" s="2" t="s">
        <v>290</v>
      </c>
      <c r="G1231" s="2" t="s">
        <v>245</v>
      </c>
      <c r="H1231" s="2" t="s">
        <v>34</v>
      </c>
      <c r="I1231" s="2" t="s">
        <v>33</v>
      </c>
      <c r="J1231" s="2" t="s">
        <v>34</v>
      </c>
      <c r="K1231" s="2" t="s">
        <v>20</v>
      </c>
      <c r="L1231" s="2" t="s">
        <v>21</v>
      </c>
      <c r="M1231" s="2" t="s">
        <v>22</v>
      </c>
      <c r="N1231" s="2" t="s">
        <v>15</v>
      </c>
      <c r="O1231" s="2" t="s">
        <v>156</v>
      </c>
      <c r="P1231" s="2" t="s">
        <v>3934</v>
      </c>
      <c r="Q1231" s="2" t="s">
        <v>4926</v>
      </c>
      <c r="R1231" s="2" t="s">
        <v>442</v>
      </c>
      <c r="S1231" s="2" t="s">
        <v>167</v>
      </c>
      <c r="T1231" s="2" t="s">
        <v>167</v>
      </c>
      <c r="U1231" s="2" t="s">
        <v>12</v>
      </c>
      <c r="V1231" s="2" t="s">
        <v>4763</v>
      </c>
      <c r="W1231" s="2" t="s">
        <v>4982</v>
      </c>
      <c r="X1231" s="2" t="s">
        <v>4925</v>
      </c>
      <c r="Y1231" s="2" t="s">
        <v>3933</v>
      </c>
      <c r="Z1231" s="2" t="s">
        <v>6265</v>
      </c>
      <c r="AA12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12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2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1" s="6" t="str">
        <f>IF(_xlfn.IFNA(INDEX(configuracoes!$A$2:$A$10,MATCH(base_tc_geral[[#This Row],[TIPO]],configuracoes!$A$2:$A$10,0)),"NÃO")="NÃO","NÃO","SIM")</f>
        <v>SIM</v>
      </c>
    </row>
    <row r="1232" spans="1:31" x14ac:dyDescent="0.25">
      <c r="A1232" s="2" t="s">
        <v>740</v>
      </c>
      <c r="B1232" s="2">
        <v>102101220</v>
      </c>
      <c r="C1232" s="2" t="s">
        <v>15</v>
      </c>
      <c r="D1232" s="2" t="s">
        <v>4509</v>
      </c>
      <c r="E1232" s="2" t="s">
        <v>106</v>
      </c>
      <c r="F1232" s="2" t="s">
        <v>428</v>
      </c>
      <c r="G1232" s="2" t="s">
        <v>149</v>
      </c>
      <c r="H1232" s="2" t="s">
        <v>427</v>
      </c>
      <c r="I1232" s="2" t="s">
        <v>33</v>
      </c>
      <c r="J1232" s="2" t="s">
        <v>109</v>
      </c>
      <c r="K1232" s="2" t="s">
        <v>13</v>
      </c>
      <c r="L1232" s="2" t="s">
        <v>61</v>
      </c>
      <c r="M1232" s="2" t="s">
        <v>22</v>
      </c>
      <c r="N1232" s="2" t="s">
        <v>15</v>
      </c>
      <c r="O1232" s="2" t="s">
        <v>430</v>
      </c>
      <c r="P1232" s="2" t="s">
        <v>742</v>
      </c>
      <c r="Q1232" s="2" t="s">
        <v>4926</v>
      </c>
      <c r="R1232" s="2" t="s">
        <v>625</v>
      </c>
      <c r="S1232" s="2" t="s">
        <v>736</v>
      </c>
      <c r="T1232" s="2" t="s">
        <v>167</v>
      </c>
      <c r="U1232" s="2" t="s">
        <v>12</v>
      </c>
      <c r="V1232" s="2" t="s">
        <v>4895</v>
      </c>
      <c r="W1232" s="2" t="s">
        <v>4982</v>
      </c>
      <c r="X1232" s="2" t="s">
        <v>4925</v>
      </c>
      <c r="Y1232" s="2" t="s">
        <v>741</v>
      </c>
      <c r="Z1232" s="2" t="s">
        <v>6266</v>
      </c>
      <c r="AA12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12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2" s="6" t="str">
        <f>IF(_xlfn.IFNA(INDEX(configuracoes!$A$2:$A$10,MATCH(base_tc_geral[[#This Row],[TIPO]],configuracoes!$A$2:$A$10,0)),"NÃO")="NÃO","NÃO","SIM")</f>
        <v>NÃO</v>
      </c>
    </row>
    <row r="1233" spans="1:31" x14ac:dyDescent="0.25">
      <c r="A1233" s="2" t="s">
        <v>624</v>
      </c>
      <c r="B1233" s="2">
        <v>102101220</v>
      </c>
      <c r="C1233" s="2" t="s">
        <v>15</v>
      </c>
      <c r="D1233" s="2" t="s">
        <v>4481</v>
      </c>
      <c r="E1233" s="2" t="s">
        <v>106</v>
      </c>
      <c r="F1233" s="2" t="s">
        <v>428</v>
      </c>
      <c r="G1233" s="2" t="s">
        <v>58</v>
      </c>
      <c r="H1233" s="2" t="s">
        <v>427</v>
      </c>
      <c r="I1233" s="2" t="s">
        <v>33</v>
      </c>
      <c r="J1233" s="2" t="s">
        <v>109</v>
      </c>
      <c r="K1233" s="2" t="s">
        <v>13</v>
      </c>
      <c r="L1233" s="2" t="s">
        <v>61</v>
      </c>
      <c r="M1233" s="2" t="s">
        <v>38</v>
      </c>
      <c r="N1233" s="2" t="s">
        <v>15</v>
      </c>
      <c r="O1233" s="2" t="s">
        <v>430</v>
      </c>
      <c r="P1233" s="2" t="s">
        <v>627</v>
      </c>
      <c r="Q1233" s="2" t="s">
        <v>4926</v>
      </c>
      <c r="R1233" s="2" t="s">
        <v>625</v>
      </c>
      <c r="S1233" s="2" t="s">
        <v>736</v>
      </c>
      <c r="T1233" s="2" t="s">
        <v>167</v>
      </c>
      <c r="U1233" s="2" t="s">
        <v>12</v>
      </c>
      <c r="V1233" s="2" t="s">
        <v>4896</v>
      </c>
      <c r="W1233" s="2" t="s">
        <v>4999</v>
      </c>
      <c r="X1233" s="2" t="s">
        <v>38</v>
      </c>
      <c r="Y1233" s="2" t="s">
        <v>626</v>
      </c>
      <c r="Z1233" s="2" t="s">
        <v>6267</v>
      </c>
      <c r="AA12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12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3" s="6" t="str">
        <f>IF(_xlfn.IFNA(INDEX(configuracoes!$A$2:$A$10,MATCH(base_tc_geral[[#This Row],[TIPO]],configuracoes!$A$2:$A$10,0)),"NÃO")="NÃO","NÃO","SIM")</f>
        <v>NÃO</v>
      </c>
    </row>
    <row r="1234" spans="1:31" x14ac:dyDescent="0.25">
      <c r="A1234" s="2" t="s">
        <v>3890</v>
      </c>
      <c r="B1234" s="2">
        <v>101007665</v>
      </c>
      <c r="C1234" s="2" t="s">
        <v>40</v>
      </c>
      <c r="D1234" s="2" t="s">
        <v>4632</v>
      </c>
      <c r="E1234" s="2" t="s">
        <v>47</v>
      </c>
      <c r="F1234" s="2" t="s">
        <v>341</v>
      </c>
      <c r="G1234" s="2" t="s">
        <v>883</v>
      </c>
      <c r="H1234" s="2" t="s">
        <v>56</v>
      </c>
      <c r="I1234" s="2" t="s">
        <v>16</v>
      </c>
      <c r="J1234" s="2" t="s">
        <v>60</v>
      </c>
      <c r="K1234" s="2" t="s">
        <v>20</v>
      </c>
      <c r="L1234" s="2" t="s">
        <v>21</v>
      </c>
      <c r="M1234" s="2" t="s">
        <v>22</v>
      </c>
      <c r="N1234" s="2" t="s">
        <v>40</v>
      </c>
      <c r="O1234" s="2" t="s">
        <v>63</v>
      </c>
      <c r="P1234" s="2" t="s">
        <v>3892</v>
      </c>
      <c r="Q1234" s="2" t="s">
        <v>4926</v>
      </c>
      <c r="R1234" s="2" t="s">
        <v>342</v>
      </c>
      <c r="S1234" s="2" t="s">
        <v>51</v>
      </c>
      <c r="T1234" s="2" t="s">
        <v>4697</v>
      </c>
      <c r="U1234" s="2" t="s">
        <v>39</v>
      </c>
      <c r="V1234" s="2" t="s">
        <v>4866</v>
      </c>
      <c r="W1234" s="2" t="s">
        <v>4982</v>
      </c>
      <c r="X1234" s="2" t="s">
        <v>4925</v>
      </c>
      <c r="Y1234" s="2" t="s">
        <v>3891</v>
      </c>
      <c r="Z1234" s="2" t="s">
        <v>6268</v>
      </c>
      <c r="AA12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2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1234" s="6" t="str">
        <f>IF(_xlfn.IFNA(INDEX(configuracoes!$A$2:$A$10,MATCH(base_tc_geral[[#This Row],[TIPO]],configuracoes!$A$2:$A$10,0)),"NÃO")="NÃO","NÃO","SIM")</f>
        <v>SIM</v>
      </c>
    </row>
    <row r="1235" spans="1:31" x14ac:dyDescent="0.25">
      <c r="A1235" s="2" t="s">
        <v>918</v>
      </c>
      <c r="B1235" s="2">
        <v>102002917</v>
      </c>
      <c r="C1235" s="2" t="s">
        <v>15</v>
      </c>
      <c r="D1235" s="2" t="s">
        <v>4526</v>
      </c>
      <c r="E1235" s="2" t="s">
        <v>106</v>
      </c>
      <c r="F1235" s="2" t="s">
        <v>863</v>
      </c>
      <c r="G1235" s="2" t="s">
        <v>870</v>
      </c>
      <c r="H1235" s="2" t="s">
        <v>427</v>
      </c>
      <c r="I1235" s="2" t="s">
        <v>33</v>
      </c>
      <c r="J1235" s="2" t="s">
        <v>109</v>
      </c>
      <c r="K1235" s="2" t="s">
        <v>13</v>
      </c>
      <c r="L1235" s="2" t="s">
        <v>76</v>
      </c>
      <c r="M1235" s="2" t="s">
        <v>22</v>
      </c>
      <c r="N1235" s="2" t="s">
        <v>15</v>
      </c>
      <c r="O1235" s="2" t="s">
        <v>430</v>
      </c>
      <c r="P1235" s="2" t="s">
        <v>920</v>
      </c>
      <c r="Q1235" s="2" t="s">
        <v>4926</v>
      </c>
      <c r="R1235" s="2" t="s">
        <v>5069</v>
      </c>
      <c r="S1235" s="2" t="s">
        <v>736</v>
      </c>
      <c r="T1235" s="2" t="s">
        <v>167</v>
      </c>
      <c r="U1235" s="2" t="s">
        <v>12</v>
      </c>
      <c r="V1235" s="2" t="s">
        <v>4773</v>
      </c>
      <c r="W1235" s="2" t="s">
        <v>4982</v>
      </c>
      <c r="X1235" s="2" t="s">
        <v>4925</v>
      </c>
      <c r="Y1235" s="2" t="s">
        <v>919</v>
      </c>
      <c r="Z1235" s="2" t="s">
        <v>6269</v>
      </c>
      <c r="AA12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12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5" s="6" t="str">
        <f>IF(_xlfn.IFNA(INDEX(configuracoes!$A$2:$A$10,MATCH(base_tc_geral[[#This Row],[TIPO]],configuracoes!$A$2:$A$10,0)),"NÃO")="NÃO","NÃO","SIM")</f>
        <v>SIM</v>
      </c>
    </row>
    <row r="1236" spans="1:31" x14ac:dyDescent="0.25">
      <c r="A1236" s="2" t="s">
        <v>3319</v>
      </c>
      <c r="B1236" s="2">
        <v>101006811</v>
      </c>
      <c r="C1236" s="2" t="s">
        <v>15</v>
      </c>
      <c r="D1236" s="2" t="s">
        <v>4601</v>
      </c>
      <c r="E1236" s="2" t="s">
        <v>47</v>
      </c>
      <c r="F1236" s="2" t="s">
        <v>49</v>
      </c>
      <c r="G1236" s="2" t="s">
        <v>637</v>
      </c>
      <c r="H1236" s="2" t="s">
        <v>48</v>
      </c>
      <c r="I1236" s="2" t="s">
        <v>16</v>
      </c>
      <c r="J1236" s="2" t="s">
        <v>48</v>
      </c>
      <c r="K1236" s="2" t="s">
        <v>20</v>
      </c>
      <c r="L1236" s="2" t="s">
        <v>19</v>
      </c>
      <c r="M1236" s="2" t="s">
        <v>22</v>
      </c>
      <c r="N1236" s="2" t="s">
        <v>15</v>
      </c>
      <c r="O1236" s="2" t="s">
        <v>53</v>
      </c>
      <c r="P1236" s="2" t="s">
        <v>3321</v>
      </c>
      <c r="Q1236" s="2" t="s">
        <v>4926</v>
      </c>
      <c r="R1236" s="2" t="s">
        <v>50</v>
      </c>
      <c r="S1236" s="2" t="s">
        <v>51</v>
      </c>
      <c r="T1236" s="2" t="s">
        <v>4697</v>
      </c>
      <c r="U1236" s="2" t="s">
        <v>12</v>
      </c>
      <c r="V1236" s="2" t="s">
        <v>4860</v>
      </c>
      <c r="W1236" s="2" t="s">
        <v>4982</v>
      </c>
      <c r="X1236" s="2" t="s">
        <v>4925</v>
      </c>
      <c r="Y1236" s="2" t="s">
        <v>3320</v>
      </c>
      <c r="Z1236" s="2" t="s">
        <v>6270</v>
      </c>
      <c r="AA12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2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6" s="6" t="str">
        <f>IF(_xlfn.IFNA(INDEX(configuracoes!$A$2:$A$10,MATCH(base_tc_geral[[#This Row],[TIPO]],configuracoes!$A$2:$A$10,0)),"NÃO")="NÃO","NÃO","SIM")</f>
        <v>SIM</v>
      </c>
    </row>
    <row r="1237" spans="1:31" x14ac:dyDescent="0.25">
      <c r="A1237" s="2" t="s">
        <v>2920</v>
      </c>
      <c r="B1237" s="2">
        <v>101001782</v>
      </c>
      <c r="C1237" s="2" t="s">
        <v>15</v>
      </c>
      <c r="D1237" s="2" t="s">
        <v>4568</v>
      </c>
      <c r="E1237" s="2" t="s">
        <v>47</v>
      </c>
      <c r="F1237" s="2" t="s">
        <v>511</v>
      </c>
      <c r="G1237" s="2" t="s">
        <v>364</v>
      </c>
      <c r="H1237" s="2" t="s">
        <v>48</v>
      </c>
      <c r="I1237" s="2" t="s">
        <v>16</v>
      </c>
      <c r="J1237" s="2" t="s">
        <v>48</v>
      </c>
      <c r="K1237" s="2" t="s">
        <v>13</v>
      </c>
      <c r="L1237" s="2" t="s">
        <v>37</v>
      </c>
      <c r="M1237" s="2" t="s">
        <v>74</v>
      </c>
      <c r="N1237" s="2" t="s">
        <v>15</v>
      </c>
      <c r="O1237" s="2" t="s">
        <v>53</v>
      </c>
      <c r="P1237" s="2" t="s">
        <v>2922</v>
      </c>
      <c r="Q1237" s="2" t="s">
        <v>4926</v>
      </c>
      <c r="R1237" s="2" t="s">
        <v>512</v>
      </c>
      <c r="S1237" s="2" t="s">
        <v>51</v>
      </c>
      <c r="T1237" s="2" t="s">
        <v>4697</v>
      </c>
      <c r="U1237" s="2" t="s">
        <v>12</v>
      </c>
      <c r="V1237" s="2" t="s">
        <v>4861</v>
      </c>
      <c r="W1237" s="2" t="s">
        <v>4999</v>
      </c>
      <c r="X1237" s="2" t="s">
        <v>74</v>
      </c>
      <c r="Y1237" s="2" t="s">
        <v>2921</v>
      </c>
      <c r="Z1237" s="2" t="s">
        <v>6271</v>
      </c>
      <c r="AA12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2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7" s="6" t="str">
        <f>IF(_xlfn.IFNA(INDEX(configuracoes!$A$2:$A$10,MATCH(base_tc_geral[[#This Row],[TIPO]],configuracoes!$A$2:$A$10,0)),"NÃO")="NÃO","NÃO","SIM")</f>
        <v>NÃO</v>
      </c>
    </row>
    <row r="1238" spans="1:31" x14ac:dyDescent="0.25">
      <c r="A1238" s="2" t="s">
        <v>688</v>
      </c>
      <c r="B1238" s="2">
        <v>101001670</v>
      </c>
      <c r="C1238" s="2" t="s">
        <v>24</v>
      </c>
      <c r="D1238" s="2" t="s">
        <v>4768</v>
      </c>
      <c r="E1238" s="2" t="s">
        <v>47</v>
      </c>
      <c r="F1238" s="2" t="s">
        <v>225</v>
      </c>
      <c r="G1238" s="2" t="s">
        <v>245</v>
      </c>
      <c r="H1238" s="2" t="s">
        <v>224</v>
      </c>
      <c r="I1238" s="2" t="s">
        <v>16</v>
      </c>
      <c r="J1238" s="2" t="s">
        <v>227</v>
      </c>
      <c r="K1238" s="2" t="s">
        <v>20</v>
      </c>
      <c r="L1238" s="2" t="s">
        <v>21</v>
      </c>
      <c r="M1238" s="2" t="s">
        <v>22</v>
      </c>
      <c r="N1238" s="2" t="s">
        <v>24</v>
      </c>
      <c r="O1238" s="2" t="s">
        <v>229</v>
      </c>
      <c r="P1238" s="2" t="s">
        <v>690</v>
      </c>
      <c r="Q1238" s="2" t="s">
        <v>4926</v>
      </c>
      <c r="R1238" s="2" t="s">
        <v>226</v>
      </c>
      <c r="S1238" s="2" t="s">
        <v>4698</v>
      </c>
      <c r="T1238" s="2" t="s">
        <v>4697</v>
      </c>
      <c r="U1238" s="2" t="s">
        <v>39</v>
      </c>
      <c r="V1238" s="2" t="s">
        <v>4844</v>
      </c>
      <c r="W1238" s="2" t="s">
        <v>4982</v>
      </c>
      <c r="X1238" s="2" t="s">
        <v>4925</v>
      </c>
      <c r="Y1238" s="2" t="s">
        <v>689</v>
      </c>
      <c r="Z1238" s="2" t="s">
        <v>5433</v>
      </c>
      <c r="AA12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2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38" s="6" t="str">
        <f>IF(_xlfn.IFNA(INDEX(configuracoes!$A$2:$A$10,MATCH(base_tc_geral[[#This Row],[TIPO]],configuracoes!$A$2:$A$10,0)),"NÃO")="NÃO","NÃO","SIM")</f>
        <v>SIM</v>
      </c>
    </row>
    <row r="1239" spans="1:31" x14ac:dyDescent="0.25">
      <c r="A1239" s="2" t="s">
        <v>3268</v>
      </c>
      <c r="B1239" s="2">
        <v>428271</v>
      </c>
      <c r="C1239" s="2" t="s">
        <v>15</v>
      </c>
      <c r="D1239" s="2" t="s">
        <v>4489</v>
      </c>
      <c r="E1239" s="2" t="s">
        <v>47</v>
      </c>
      <c r="F1239" s="2" t="s">
        <v>269</v>
      </c>
      <c r="G1239" s="2" t="s">
        <v>58</v>
      </c>
      <c r="H1239" s="2" t="s">
        <v>227</v>
      </c>
      <c r="I1239" s="2" t="s">
        <v>16</v>
      </c>
      <c r="J1239" s="2" t="s">
        <v>227</v>
      </c>
      <c r="K1239" s="2" t="s">
        <v>13</v>
      </c>
      <c r="L1239" s="2" t="s">
        <v>61</v>
      </c>
      <c r="M1239" s="2" t="s">
        <v>44</v>
      </c>
      <c r="N1239" s="2" t="s">
        <v>15</v>
      </c>
      <c r="O1239" s="2" t="s">
        <v>271</v>
      </c>
      <c r="P1239" s="2" t="s">
        <v>3270</v>
      </c>
      <c r="Q1239" s="2" t="s">
        <v>4926</v>
      </c>
      <c r="R1239" s="2" t="s">
        <v>4828</v>
      </c>
      <c r="S1239" s="2" t="s">
        <v>4698</v>
      </c>
      <c r="T1239" s="2" t="s">
        <v>4697</v>
      </c>
      <c r="U1239" s="2" t="s">
        <v>12</v>
      </c>
      <c r="V1239" s="2" t="s">
        <v>4829</v>
      </c>
      <c r="W1239" s="2" t="s">
        <v>5013</v>
      </c>
      <c r="X1239" s="2" t="s">
        <v>44</v>
      </c>
      <c r="Y1239" s="2" t="s">
        <v>3269</v>
      </c>
      <c r="Z1239" s="2" t="s">
        <v>5434</v>
      </c>
      <c r="AA12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2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39" s="6" t="str">
        <f>IF(_xlfn.IFNA(INDEX(configuracoes!$A$2:$A$10,MATCH(base_tc_geral[[#This Row],[TIPO]],configuracoes!$A$2:$A$10,0)),"NÃO")="NÃO","NÃO","SIM")</f>
        <v>NÃO</v>
      </c>
    </row>
    <row r="1240" spans="1:31" x14ac:dyDescent="0.25">
      <c r="A1240" s="2" t="s">
        <v>713</v>
      </c>
      <c r="B1240" s="2">
        <v>101001670</v>
      </c>
      <c r="C1240" s="2" t="s">
        <v>15</v>
      </c>
      <c r="D1240" s="2" t="s">
        <v>4500</v>
      </c>
      <c r="E1240" s="2" t="s">
        <v>47</v>
      </c>
      <c r="F1240" s="2" t="s">
        <v>225</v>
      </c>
      <c r="G1240" s="2" t="s">
        <v>58</v>
      </c>
      <c r="H1240" s="2" t="s">
        <v>224</v>
      </c>
      <c r="I1240" s="2" t="s">
        <v>16</v>
      </c>
      <c r="J1240" s="2" t="s">
        <v>227</v>
      </c>
      <c r="K1240" s="2" t="s">
        <v>92</v>
      </c>
      <c r="L1240" s="2" t="s">
        <v>61</v>
      </c>
      <c r="M1240" s="2" t="s">
        <v>44</v>
      </c>
      <c r="N1240" s="2" t="s">
        <v>15</v>
      </c>
      <c r="O1240" s="2" t="s">
        <v>229</v>
      </c>
      <c r="P1240" s="2" t="s">
        <v>715</v>
      </c>
      <c r="Q1240" s="2" t="s">
        <v>4926</v>
      </c>
      <c r="R1240" s="2" t="s">
        <v>226</v>
      </c>
      <c r="S1240" s="2" t="s">
        <v>4698</v>
      </c>
      <c r="T1240" s="2" t="s">
        <v>4697</v>
      </c>
      <c r="U1240" s="2" t="s">
        <v>12</v>
      </c>
      <c r="V1240" s="2" t="s">
        <v>4844</v>
      </c>
      <c r="W1240" s="2" t="s">
        <v>5013</v>
      </c>
      <c r="X1240" s="2" t="s">
        <v>44</v>
      </c>
      <c r="Y1240" s="2" t="s">
        <v>714</v>
      </c>
      <c r="Z1240" s="2" t="s">
        <v>5435</v>
      </c>
      <c r="AA12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2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0" s="6" t="str">
        <f>IF(_xlfn.IFNA(INDEX(configuracoes!$A$2:$A$10,MATCH(base_tc_geral[[#This Row],[TIPO]],configuracoes!$A$2:$A$10,0)),"NÃO")="NÃO","NÃO","SIM")</f>
        <v>NÃO</v>
      </c>
    </row>
    <row r="1241" spans="1:31" x14ac:dyDescent="0.25">
      <c r="A1241" s="2" t="s">
        <v>4101</v>
      </c>
      <c r="B1241" s="2">
        <v>108401409</v>
      </c>
      <c r="C1241" s="2" t="s">
        <v>15</v>
      </c>
      <c r="D1241" s="2" t="s">
        <v>4527</v>
      </c>
      <c r="E1241" s="2" t="s">
        <v>47</v>
      </c>
      <c r="F1241" s="2" t="s">
        <v>341</v>
      </c>
      <c r="G1241" s="2" t="s">
        <v>41</v>
      </c>
      <c r="H1241" s="2" t="s">
        <v>56</v>
      </c>
      <c r="I1241" s="2" t="s">
        <v>16</v>
      </c>
      <c r="J1241" s="2" t="s">
        <v>60</v>
      </c>
      <c r="K1241" s="2" t="s">
        <v>13</v>
      </c>
      <c r="L1241" s="2" t="s">
        <v>42</v>
      </c>
      <c r="M1241" s="2" t="s">
        <v>75</v>
      </c>
      <c r="N1241" s="2" t="s">
        <v>15</v>
      </c>
      <c r="O1241" s="2" t="s">
        <v>63</v>
      </c>
      <c r="P1241" s="2" t="s">
        <v>4103</v>
      </c>
      <c r="Q1241" s="2" t="s">
        <v>4926</v>
      </c>
      <c r="R1241" s="2" t="s">
        <v>2738</v>
      </c>
      <c r="S1241" s="2" t="s">
        <v>359</v>
      </c>
      <c r="T1241" s="2" t="s">
        <v>4697</v>
      </c>
      <c r="U1241" s="2" t="s">
        <v>12</v>
      </c>
      <c r="V1241" s="2" t="s">
        <v>4860</v>
      </c>
      <c r="W1241" s="2" t="s">
        <v>42</v>
      </c>
      <c r="X1241" s="2" t="s">
        <v>75</v>
      </c>
      <c r="Y1241" s="2" t="s">
        <v>4102</v>
      </c>
      <c r="Z1241" s="2" t="s">
        <v>5436</v>
      </c>
      <c r="AA12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2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2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1" s="6" t="str">
        <f>IF(_xlfn.IFNA(INDEX(configuracoes!$A$2:$A$10,MATCH(base_tc_geral[[#This Row],[TIPO]],configuracoes!$A$2:$A$10,0)),"NÃO")="NÃO","NÃO","SIM")</f>
        <v>SIM</v>
      </c>
    </row>
    <row r="1242" spans="1:31" x14ac:dyDescent="0.25">
      <c r="A1242" s="2" t="s">
        <v>380</v>
      </c>
      <c r="B1242" s="2">
        <v>101008134</v>
      </c>
      <c r="C1242" s="2" t="s">
        <v>15</v>
      </c>
      <c r="D1242" s="2" t="s">
        <v>4516</v>
      </c>
      <c r="E1242" s="2" t="s">
        <v>47</v>
      </c>
      <c r="F1242" s="2" t="s">
        <v>159</v>
      </c>
      <c r="G1242" s="2" t="s">
        <v>99</v>
      </c>
      <c r="H1242" s="2" t="s">
        <v>60</v>
      </c>
      <c r="I1242" s="2" t="s">
        <v>16</v>
      </c>
      <c r="J1242" s="2" t="s">
        <v>60</v>
      </c>
      <c r="K1242" s="2" t="s">
        <v>20</v>
      </c>
      <c r="L1242" s="2" t="s">
        <v>25</v>
      </c>
      <c r="M1242" s="2" t="s">
        <v>22</v>
      </c>
      <c r="N1242" s="2" t="s">
        <v>15</v>
      </c>
      <c r="O1242" s="2" t="s">
        <v>161</v>
      </c>
      <c r="P1242" s="2" t="s">
        <v>382</v>
      </c>
      <c r="Q1242" s="2" t="s">
        <v>4926</v>
      </c>
      <c r="R1242" s="2" t="s">
        <v>351</v>
      </c>
      <c r="S1242" s="2" t="s">
        <v>101</v>
      </c>
      <c r="T1242" s="2" t="s">
        <v>4697</v>
      </c>
      <c r="U1242" s="2" t="s">
        <v>12</v>
      </c>
      <c r="V1242" s="2" t="s">
        <v>4834</v>
      </c>
      <c r="W1242" s="2" t="s">
        <v>4931</v>
      </c>
      <c r="X1242" s="2" t="s">
        <v>4925</v>
      </c>
      <c r="Y1242" s="2" t="s">
        <v>381</v>
      </c>
      <c r="Z1242" s="2" t="s">
        <v>5437</v>
      </c>
      <c r="AA12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2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2" s="6" t="str">
        <f>IF(_xlfn.IFNA(INDEX(configuracoes!$A$2:$A$10,MATCH(base_tc_geral[[#This Row],[TIPO]],configuracoes!$A$2:$A$10,0)),"NÃO")="NÃO","NÃO","SIM")</f>
        <v>SIM</v>
      </c>
    </row>
    <row r="1243" spans="1:31" x14ac:dyDescent="0.25">
      <c r="A1243" s="2" t="s">
        <v>655</v>
      </c>
      <c r="B1243" s="2">
        <v>101010210</v>
      </c>
      <c r="C1243" s="2" t="s">
        <v>15</v>
      </c>
      <c r="D1243" s="2" t="s">
        <v>4487</v>
      </c>
      <c r="E1243" s="2" t="s">
        <v>47</v>
      </c>
      <c r="F1243" s="2" t="s">
        <v>264</v>
      </c>
      <c r="G1243" s="2" t="s">
        <v>648</v>
      </c>
      <c r="H1243" s="2" t="s">
        <v>227</v>
      </c>
      <c r="I1243" s="2" t="s">
        <v>16</v>
      </c>
      <c r="J1243" s="2" t="s">
        <v>227</v>
      </c>
      <c r="K1243" s="2" t="s">
        <v>13</v>
      </c>
      <c r="L1243" s="2" t="s">
        <v>25</v>
      </c>
      <c r="M1243" s="2" t="s">
        <v>22</v>
      </c>
      <c r="N1243" s="2" t="s">
        <v>15</v>
      </c>
      <c r="O1243" s="2" t="s">
        <v>266</v>
      </c>
      <c r="P1243" s="2" t="s">
        <v>657</v>
      </c>
      <c r="Q1243" s="2" t="s">
        <v>4926</v>
      </c>
      <c r="R1243" s="2" t="s">
        <v>294</v>
      </c>
      <c r="S1243" s="2" t="s">
        <v>101</v>
      </c>
      <c r="T1243" s="2" t="s">
        <v>4697</v>
      </c>
      <c r="U1243" s="2" t="s">
        <v>12</v>
      </c>
      <c r="V1243" s="2" t="s">
        <v>4809</v>
      </c>
      <c r="W1243" s="2" t="s">
        <v>4931</v>
      </c>
      <c r="X1243" s="2" t="s">
        <v>4925</v>
      </c>
      <c r="Y1243" s="2" t="s">
        <v>656</v>
      </c>
      <c r="Z1243" s="2" t="s">
        <v>5438</v>
      </c>
      <c r="AA12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2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3" s="6" t="str">
        <f>IF(_xlfn.IFNA(INDEX(configuracoes!$A$2:$A$10,MATCH(base_tc_geral[[#This Row],[TIPO]],configuracoes!$A$2:$A$10,0)),"NÃO")="NÃO","NÃO","SIM")</f>
        <v>SIM</v>
      </c>
    </row>
    <row r="1244" spans="1:31" x14ac:dyDescent="0.25">
      <c r="A1244" s="2" t="s">
        <v>2986</v>
      </c>
      <c r="B1244" s="2">
        <v>101010062</v>
      </c>
      <c r="C1244" s="2" t="s">
        <v>15</v>
      </c>
      <c r="D1244" s="2" t="s">
        <v>4511</v>
      </c>
      <c r="E1244" s="2" t="s">
        <v>47</v>
      </c>
      <c r="F1244" s="2" t="s">
        <v>181</v>
      </c>
      <c r="G1244" s="2" t="s">
        <v>883</v>
      </c>
      <c r="H1244" s="2" t="s">
        <v>66</v>
      </c>
      <c r="I1244" s="2" t="s">
        <v>16</v>
      </c>
      <c r="J1244" s="2" t="s">
        <v>66</v>
      </c>
      <c r="K1244" s="2" t="s">
        <v>20</v>
      </c>
      <c r="L1244" s="2" t="s">
        <v>21</v>
      </c>
      <c r="M1244" s="2" t="s">
        <v>22</v>
      </c>
      <c r="N1244" s="2" t="s">
        <v>15</v>
      </c>
      <c r="O1244" s="2" t="s">
        <v>71</v>
      </c>
      <c r="P1244" s="2" t="s">
        <v>2988</v>
      </c>
      <c r="Q1244" s="2" t="s">
        <v>4926</v>
      </c>
      <c r="R1244" s="2" t="s">
        <v>1699</v>
      </c>
      <c r="S1244" s="2" t="s">
        <v>4698</v>
      </c>
      <c r="T1244" s="2" t="s">
        <v>4697</v>
      </c>
      <c r="U1244" s="2" t="s">
        <v>12</v>
      </c>
      <c r="V1244" s="2" t="s">
        <v>4792</v>
      </c>
      <c r="W1244" s="2" t="s">
        <v>4982</v>
      </c>
      <c r="X1244" s="2" t="s">
        <v>4925</v>
      </c>
      <c r="Y1244" s="2" t="s">
        <v>2987</v>
      </c>
      <c r="Z1244" s="2" t="s">
        <v>6272</v>
      </c>
      <c r="AA12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2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4" s="6" t="str">
        <f>IF(_xlfn.IFNA(INDEX(configuracoes!$A$2:$A$10,MATCH(base_tc_geral[[#This Row],[TIPO]],configuracoes!$A$2:$A$10,0)),"NÃO")="NÃO","NÃO","SIM")</f>
        <v>SIM</v>
      </c>
    </row>
    <row r="1245" spans="1:31" x14ac:dyDescent="0.25">
      <c r="A1245" s="2" t="s">
        <v>2809</v>
      </c>
      <c r="B1245" s="2">
        <v>109506174</v>
      </c>
      <c r="C1245" s="2" t="s">
        <v>15</v>
      </c>
      <c r="D1245" s="2" t="s">
        <v>4496</v>
      </c>
      <c r="E1245" s="2" t="s">
        <v>86</v>
      </c>
      <c r="F1245" s="2" t="s">
        <v>840</v>
      </c>
      <c r="G1245" s="2" t="s">
        <v>637</v>
      </c>
      <c r="H1245" s="2" t="s">
        <v>198</v>
      </c>
      <c r="I1245" s="2" t="s">
        <v>33</v>
      </c>
      <c r="J1245" s="2" t="s">
        <v>91</v>
      </c>
      <c r="K1245" s="2" t="s">
        <v>20</v>
      </c>
      <c r="L1245" s="2" t="s">
        <v>19</v>
      </c>
      <c r="M1245" s="2" t="s">
        <v>22</v>
      </c>
      <c r="N1245" s="2" t="s">
        <v>15</v>
      </c>
      <c r="O1245" s="2" t="s">
        <v>201</v>
      </c>
      <c r="P1245" s="2" t="s">
        <v>2811</v>
      </c>
      <c r="Q1245" s="2" t="s">
        <v>4926</v>
      </c>
      <c r="R1245" s="2" t="s">
        <v>2782</v>
      </c>
      <c r="S1245" s="2" t="s">
        <v>93</v>
      </c>
      <c r="T1245" s="2" t="s">
        <v>4696</v>
      </c>
      <c r="U1245" s="2" t="s">
        <v>12</v>
      </c>
      <c r="V1245" s="2" t="s">
        <v>4796</v>
      </c>
      <c r="W1245" s="2" t="s">
        <v>4982</v>
      </c>
      <c r="X1245" s="2" t="s">
        <v>4925</v>
      </c>
      <c r="Y1245" s="2" t="s">
        <v>2810</v>
      </c>
      <c r="Z1245" s="2" t="s">
        <v>6273</v>
      </c>
      <c r="AA12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12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5" s="6" t="str">
        <f>IF(_xlfn.IFNA(INDEX(configuracoes!$A$2:$A$10,MATCH(base_tc_geral[[#This Row],[TIPO]],configuracoes!$A$2:$A$10,0)),"NÃO")="NÃO","NÃO","SIM")</f>
        <v>SIM</v>
      </c>
    </row>
    <row r="1246" spans="1:31" x14ac:dyDescent="0.25">
      <c r="A1246" s="2" t="s">
        <v>3316</v>
      </c>
      <c r="B1246" s="2">
        <v>101006811</v>
      </c>
      <c r="C1246" s="2" t="s">
        <v>15</v>
      </c>
      <c r="D1246" s="2" t="s">
        <v>4489</v>
      </c>
      <c r="E1246" s="2" t="s">
        <v>47</v>
      </c>
      <c r="F1246" s="2" t="s">
        <v>49</v>
      </c>
      <c r="G1246" s="2" t="s">
        <v>630</v>
      </c>
      <c r="H1246" s="2" t="s">
        <v>48</v>
      </c>
      <c r="I1246" s="2" t="s">
        <v>16</v>
      </c>
      <c r="J1246" s="2" t="s">
        <v>48</v>
      </c>
      <c r="K1246" s="2" t="s">
        <v>20</v>
      </c>
      <c r="L1246" s="2" t="s">
        <v>21</v>
      </c>
      <c r="M1246" s="2" t="s">
        <v>22</v>
      </c>
      <c r="N1246" s="2" t="s">
        <v>15</v>
      </c>
      <c r="O1246" s="2" t="s">
        <v>53</v>
      </c>
      <c r="P1246" s="2" t="s">
        <v>3318</v>
      </c>
      <c r="Q1246" s="2" t="s">
        <v>4926</v>
      </c>
      <c r="R1246" s="2" t="s">
        <v>50</v>
      </c>
      <c r="S1246" s="2" t="s">
        <v>51</v>
      </c>
      <c r="T1246" s="2" t="s">
        <v>4697</v>
      </c>
      <c r="U1246" s="2" t="s">
        <v>12</v>
      </c>
      <c r="V1246" s="2" t="s">
        <v>4860</v>
      </c>
      <c r="W1246" s="2" t="s">
        <v>4982</v>
      </c>
      <c r="X1246" s="2" t="s">
        <v>4925</v>
      </c>
      <c r="Y1246" s="2" t="s">
        <v>3317</v>
      </c>
      <c r="Z1246" s="2" t="s">
        <v>6274</v>
      </c>
      <c r="AA12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2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6" s="6" t="str">
        <f>IF(_xlfn.IFNA(INDEX(configuracoes!$A$2:$A$10,MATCH(base_tc_geral[[#This Row],[TIPO]],configuracoes!$A$2:$A$10,0)),"NÃO")="NÃO","NÃO","SIM")</f>
        <v>SIM</v>
      </c>
    </row>
    <row r="1247" spans="1:31" x14ac:dyDescent="0.25">
      <c r="A1247" s="2" t="s">
        <v>2839</v>
      </c>
      <c r="B1247" s="2">
        <v>101005241</v>
      </c>
      <c r="C1247" s="2" t="s">
        <v>15</v>
      </c>
      <c r="D1247" s="2" t="s">
        <v>4495</v>
      </c>
      <c r="E1247" s="2" t="s">
        <v>47</v>
      </c>
      <c r="F1247" s="2" t="s">
        <v>312</v>
      </c>
      <c r="G1247" s="2" t="s">
        <v>637</v>
      </c>
      <c r="H1247" s="2" t="s">
        <v>311</v>
      </c>
      <c r="I1247" s="2" t="s">
        <v>16</v>
      </c>
      <c r="J1247" s="2" t="s">
        <v>141</v>
      </c>
      <c r="K1247" s="2" t="s">
        <v>20</v>
      </c>
      <c r="L1247" s="2" t="s">
        <v>19</v>
      </c>
      <c r="M1247" s="2" t="s">
        <v>22</v>
      </c>
      <c r="N1247" s="2" t="s">
        <v>15</v>
      </c>
      <c r="O1247" s="2" t="s">
        <v>314</v>
      </c>
      <c r="P1247" s="2" t="s">
        <v>2841</v>
      </c>
      <c r="Q1247" s="2" t="s">
        <v>4926</v>
      </c>
      <c r="R1247" s="2" t="s">
        <v>143</v>
      </c>
      <c r="S1247" s="2" t="s">
        <v>4698</v>
      </c>
      <c r="T1247" s="2" t="s">
        <v>4697</v>
      </c>
      <c r="U1247" s="2" t="s">
        <v>12</v>
      </c>
      <c r="V1247" s="2" t="s">
        <v>4845</v>
      </c>
      <c r="W1247" s="2" t="s">
        <v>4982</v>
      </c>
      <c r="X1247" s="2" t="s">
        <v>4925</v>
      </c>
      <c r="Y1247" s="2" t="s">
        <v>2840</v>
      </c>
      <c r="Z1247" s="2" t="s">
        <v>6275</v>
      </c>
      <c r="AA12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2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7" s="6" t="str">
        <f>IF(_xlfn.IFNA(INDEX(configuracoes!$A$2:$A$10,MATCH(base_tc_geral[[#This Row],[TIPO]],configuracoes!$A$2:$A$10,0)),"NÃO")="NÃO","NÃO","SIM")</f>
        <v>SIM</v>
      </c>
    </row>
    <row r="1248" spans="1:31" x14ac:dyDescent="0.25">
      <c r="A1248" s="2" t="s">
        <v>3039</v>
      </c>
      <c r="B1248" s="2">
        <v>428271</v>
      </c>
      <c r="C1248" s="2" t="s">
        <v>24</v>
      </c>
      <c r="D1248" s="2" t="s">
        <v>4482</v>
      </c>
      <c r="E1248" s="2" t="s">
        <v>47</v>
      </c>
      <c r="F1248" s="2" t="s">
        <v>269</v>
      </c>
      <c r="G1248" s="2" t="s">
        <v>245</v>
      </c>
      <c r="H1248" s="2" t="s">
        <v>227</v>
      </c>
      <c r="I1248" s="2" t="s">
        <v>16</v>
      </c>
      <c r="J1248" s="2" t="s">
        <v>227</v>
      </c>
      <c r="K1248" s="2" t="s">
        <v>20</v>
      </c>
      <c r="L1248" s="2" t="s">
        <v>21</v>
      </c>
      <c r="M1248" s="2" t="s">
        <v>22</v>
      </c>
      <c r="N1248" s="2" t="s">
        <v>24</v>
      </c>
      <c r="O1248" s="2" t="s">
        <v>271</v>
      </c>
      <c r="P1248" s="2" t="s">
        <v>3041</v>
      </c>
      <c r="Q1248" s="2" t="s">
        <v>4926</v>
      </c>
      <c r="R1248" s="2" t="s">
        <v>4828</v>
      </c>
      <c r="S1248" s="2" t="s">
        <v>4698</v>
      </c>
      <c r="T1248" s="2" t="s">
        <v>4697</v>
      </c>
      <c r="U1248" s="2" t="s">
        <v>39</v>
      </c>
      <c r="V1248" s="2" t="s">
        <v>4829</v>
      </c>
      <c r="W1248" s="2" t="s">
        <v>4982</v>
      </c>
      <c r="X1248" s="2" t="s">
        <v>4925</v>
      </c>
      <c r="Y1248" s="2" t="s">
        <v>3040</v>
      </c>
      <c r="Z1248" s="2" t="s">
        <v>6276</v>
      </c>
      <c r="AA12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2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48" s="6" t="str">
        <f>IF(_xlfn.IFNA(INDEX(configuracoes!$A$2:$A$10,MATCH(base_tc_geral[[#This Row],[TIPO]],configuracoes!$A$2:$A$10,0)),"NÃO")="NÃO","NÃO","SIM")</f>
        <v>SIM</v>
      </c>
    </row>
    <row r="1249" spans="1:31" x14ac:dyDescent="0.25">
      <c r="A1249" s="2" t="s">
        <v>3673</v>
      </c>
      <c r="B1249" s="2">
        <v>109505819</v>
      </c>
      <c r="C1249" s="2" t="s">
        <v>15</v>
      </c>
      <c r="D1249" s="2" t="s">
        <v>4515</v>
      </c>
      <c r="E1249" s="2" t="s">
        <v>86</v>
      </c>
      <c r="F1249" s="2" t="s">
        <v>165</v>
      </c>
      <c r="G1249" s="2" t="s">
        <v>245</v>
      </c>
      <c r="H1249" s="2" t="s">
        <v>164</v>
      </c>
      <c r="I1249" s="2" t="s">
        <v>33</v>
      </c>
      <c r="J1249" s="2" t="s">
        <v>124</v>
      </c>
      <c r="K1249" s="2" t="s">
        <v>20</v>
      </c>
      <c r="L1249" s="2" t="s">
        <v>21</v>
      </c>
      <c r="M1249" s="2" t="s">
        <v>22</v>
      </c>
      <c r="N1249" s="2" t="s">
        <v>15</v>
      </c>
      <c r="O1249" s="2" t="s">
        <v>169</v>
      </c>
      <c r="P1249" s="2" t="s">
        <v>3675</v>
      </c>
      <c r="Q1249" s="2" t="s">
        <v>4926</v>
      </c>
      <c r="R1249" s="2" t="s">
        <v>3459</v>
      </c>
      <c r="S1249" s="2" t="s">
        <v>93</v>
      </c>
      <c r="T1249" s="2" t="s">
        <v>4696</v>
      </c>
      <c r="U1249" s="2" t="s">
        <v>12</v>
      </c>
      <c r="V1249" s="2" t="s">
        <v>4785</v>
      </c>
      <c r="W1249" s="2" t="s">
        <v>4982</v>
      </c>
      <c r="X1249" s="2" t="s">
        <v>4925</v>
      </c>
      <c r="Y1249" s="2" t="s">
        <v>3674</v>
      </c>
      <c r="Z1249" s="2" t="s">
        <v>6378</v>
      </c>
      <c r="AA12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12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49" s="6" t="str">
        <f>IF(_xlfn.IFNA(INDEX(configuracoes!$A$2:$A$10,MATCH(base_tc_geral[[#This Row],[TIPO]],configuracoes!$A$2:$A$10,0)),"NÃO")="NÃO","NÃO","SIM")</f>
        <v>SIM</v>
      </c>
    </row>
    <row r="1250" spans="1:31" x14ac:dyDescent="0.25">
      <c r="A1250" s="2" t="s">
        <v>949</v>
      </c>
      <c r="B1250" s="2">
        <v>109000017</v>
      </c>
      <c r="C1250" s="2" t="s">
        <v>15</v>
      </c>
      <c r="D1250" s="2" t="s">
        <v>4550</v>
      </c>
      <c r="E1250" s="2" t="s">
        <v>86</v>
      </c>
      <c r="F1250" s="2" t="s">
        <v>211</v>
      </c>
      <c r="G1250" s="2" t="s">
        <v>245</v>
      </c>
      <c r="H1250" s="2" t="s">
        <v>210</v>
      </c>
      <c r="I1250" s="2" t="s">
        <v>33</v>
      </c>
      <c r="J1250" s="2" t="s">
        <v>124</v>
      </c>
      <c r="K1250" s="2" t="s">
        <v>20</v>
      </c>
      <c r="L1250" s="2" t="s">
        <v>21</v>
      </c>
      <c r="M1250" s="2" t="s">
        <v>22</v>
      </c>
      <c r="N1250" s="2" t="s">
        <v>15</v>
      </c>
      <c r="O1250" s="2" t="s">
        <v>214</v>
      </c>
      <c r="P1250" s="2" t="s">
        <v>951</v>
      </c>
      <c r="Q1250" s="2" t="s">
        <v>4926</v>
      </c>
      <c r="R1250" s="2" t="s">
        <v>212</v>
      </c>
      <c r="S1250" s="2" t="s">
        <v>93</v>
      </c>
      <c r="T1250" s="2" t="s">
        <v>4696</v>
      </c>
      <c r="U1250" s="2" t="s">
        <v>12</v>
      </c>
      <c r="V1250" s="2" t="s">
        <v>4820</v>
      </c>
      <c r="W1250" s="2" t="s">
        <v>4982</v>
      </c>
      <c r="X1250" s="2" t="s">
        <v>4925</v>
      </c>
      <c r="Y1250" s="2" t="s">
        <v>950</v>
      </c>
      <c r="Z1250" s="2" t="s">
        <v>6379</v>
      </c>
      <c r="AA12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2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50" s="6" t="str">
        <f>IF(_xlfn.IFNA(INDEX(configuracoes!$A$2:$A$10,MATCH(base_tc_geral[[#This Row],[TIPO]],configuracoes!$A$2:$A$10,0)),"NÃO")="NÃO","NÃO","SIM")</f>
        <v>SIM</v>
      </c>
    </row>
    <row r="1251" spans="1:31" x14ac:dyDescent="0.25">
      <c r="A1251" s="2" t="s">
        <v>4332</v>
      </c>
      <c r="B1251" s="2">
        <v>109000499</v>
      </c>
      <c r="C1251" s="2" t="s">
        <v>15</v>
      </c>
      <c r="D1251" s="2" t="s">
        <v>4487</v>
      </c>
      <c r="E1251" s="2" t="s">
        <v>86</v>
      </c>
      <c r="F1251" s="2" t="s">
        <v>497</v>
      </c>
      <c r="G1251" s="2" t="s">
        <v>136</v>
      </c>
      <c r="H1251" s="2" t="s">
        <v>164</v>
      </c>
      <c r="I1251" s="2" t="s">
        <v>33</v>
      </c>
      <c r="J1251" s="2" t="s">
        <v>124</v>
      </c>
      <c r="K1251" s="2" t="s">
        <v>13</v>
      </c>
      <c r="L1251" s="2" t="s">
        <v>72</v>
      </c>
      <c r="M1251" s="2" t="s">
        <v>14</v>
      </c>
      <c r="N1251" s="2" t="s">
        <v>15</v>
      </c>
      <c r="O1251" s="2" t="s">
        <v>169</v>
      </c>
      <c r="P1251" s="2" t="s">
        <v>4334</v>
      </c>
      <c r="Q1251" s="2" t="s">
        <v>4926</v>
      </c>
      <c r="R1251" s="2" t="s">
        <v>321</v>
      </c>
      <c r="S1251" s="2" t="s">
        <v>93</v>
      </c>
      <c r="T1251" s="2" t="s">
        <v>4696</v>
      </c>
      <c r="U1251" s="2" t="s">
        <v>12</v>
      </c>
      <c r="V1251" s="2" t="s">
        <v>4783</v>
      </c>
      <c r="W1251" s="2" t="s">
        <v>72</v>
      </c>
      <c r="X1251" s="2" t="s">
        <v>5011</v>
      </c>
      <c r="Y1251" s="2" t="s">
        <v>4333</v>
      </c>
      <c r="Z1251" s="2" t="s">
        <v>6377</v>
      </c>
      <c r="AA12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2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51" s="6" t="str">
        <f>IF(_xlfn.IFNA(INDEX(configuracoes!$A$2:$A$10,MATCH(base_tc_geral[[#This Row],[TIPO]],configuracoes!$A$2:$A$10,0)),"NÃO")="NÃO","NÃO","SIM")</f>
        <v>NÃO</v>
      </c>
    </row>
    <row r="1252" spans="1:31" x14ac:dyDescent="0.25">
      <c r="A1252" s="2" t="s">
        <v>2818</v>
      </c>
      <c r="B1252" s="2">
        <v>101004033</v>
      </c>
      <c r="C1252" s="2" t="s">
        <v>248</v>
      </c>
      <c r="D1252" s="2" t="s">
        <v>4681</v>
      </c>
      <c r="E1252" s="2" t="s">
        <v>47</v>
      </c>
      <c r="F1252" s="2" t="s">
        <v>303</v>
      </c>
      <c r="G1252" s="2" t="s">
        <v>245</v>
      </c>
      <c r="H1252" s="2" t="s">
        <v>60</v>
      </c>
      <c r="I1252" s="2" t="s">
        <v>16</v>
      </c>
      <c r="J1252" s="2" t="s">
        <v>60</v>
      </c>
      <c r="K1252" s="2" t="s">
        <v>20</v>
      </c>
      <c r="L1252" s="2" t="s">
        <v>21</v>
      </c>
      <c r="M1252" s="2" t="s">
        <v>22</v>
      </c>
      <c r="N1252" s="2" t="s">
        <v>248</v>
      </c>
      <c r="O1252" s="2" t="s">
        <v>161</v>
      </c>
      <c r="P1252" s="2" t="s">
        <v>2820</v>
      </c>
      <c r="Q1252" s="2" t="s">
        <v>4926</v>
      </c>
      <c r="R1252" s="2" t="s">
        <v>304</v>
      </c>
      <c r="S1252" s="2" t="s">
        <v>51</v>
      </c>
      <c r="T1252" s="2" t="s">
        <v>4697</v>
      </c>
      <c r="U1252" s="2" t="s">
        <v>39</v>
      </c>
      <c r="V1252" s="2" t="s">
        <v>4817</v>
      </c>
      <c r="Y1252" s="2" t="s">
        <v>2819</v>
      </c>
      <c r="AA12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2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52" s="6" t="str">
        <f>IF(_xlfn.IFNA(INDEX(configuracoes!$A$2:$A$10,MATCH(base_tc_geral[[#This Row],[TIPO]],configuracoes!$A$2:$A$10,0)),"NÃO")="NÃO","NÃO","SIM")</f>
        <v>SIM</v>
      </c>
    </row>
    <row r="1253" spans="1:31" x14ac:dyDescent="0.25">
      <c r="A1253" s="2" t="s">
        <v>1435</v>
      </c>
      <c r="B1253" s="2">
        <v>102101587</v>
      </c>
      <c r="C1253" s="2" t="s">
        <v>183</v>
      </c>
      <c r="D1253" s="2" t="s">
        <v>4533</v>
      </c>
      <c r="E1253" s="2" t="s">
        <v>106</v>
      </c>
      <c r="F1253" s="2" t="s">
        <v>329</v>
      </c>
      <c r="G1253" s="2" t="s">
        <v>58</v>
      </c>
      <c r="H1253" s="2" t="s">
        <v>107</v>
      </c>
      <c r="I1253" s="2" t="s">
        <v>33</v>
      </c>
      <c r="J1253" s="2" t="s">
        <v>109</v>
      </c>
      <c r="K1253" s="2" t="s">
        <v>13</v>
      </c>
      <c r="L1253" s="2" t="s">
        <v>61</v>
      </c>
      <c r="M1253" s="2" t="s">
        <v>44</v>
      </c>
      <c r="N1253" s="2" t="s">
        <v>183</v>
      </c>
      <c r="O1253" s="2" t="s">
        <v>112</v>
      </c>
      <c r="P1253" s="2" t="s">
        <v>1437</v>
      </c>
      <c r="Q1253" s="2" t="s">
        <v>4926</v>
      </c>
      <c r="R1253" s="2" t="s">
        <v>330</v>
      </c>
      <c r="S1253" s="2" t="s">
        <v>736</v>
      </c>
      <c r="T1253" s="2" t="s">
        <v>167</v>
      </c>
      <c r="U1253" s="2" t="s">
        <v>39</v>
      </c>
      <c r="V1253" s="2" t="s">
        <v>4773</v>
      </c>
      <c r="Y1253" s="2" t="s">
        <v>1436</v>
      </c>
      <c r="AA12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AELGRICIO SILVA </v>
      </c>
      <c r="AB12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53" s="6" t="str">
        <f>IF(_xlfn.IFNA(INDEX(configuracoes!$A$2:$A$10,MATCH(base_tc_geral[[#This Row],[TIPO]],configuracoes!$A$2:$A$10,0)),"NÃO")="NÃO","NÃO","SIM")</f>
        <v>NÃO</v>
      </c>
    </row>
    <row r="1254" spans="1:31" x14ac:dyDescent="0.25">
      <c r="A1254" s="2" t="s">
        <v>2634</v>
      </c>
      <c r="B1254" s="2">
        <v>101005989</v>
      </c>
      <c r="C1254" s="2" t="s">
        <v>43</v>
      </c>
      <c r="D1254" s="2" t="s">
        <v>4499</v>
      </c>
      <c r="E1254" s="2" t="s">
        <v>47</v>
      </c>
      <c r="F1254" s="2" t="s">
        <v>433</v>
      </c>
      <c r="G1254" s="2" t="s">
        <v>4780</v>
      </c>
      <c r="H1254" s="2" t="s">
        <v>56</v>
      </c>
      <c r="I1254" s="2" t="s">
        <v>16</v>
      </c>
      <c r="J1254" s="2" t="s">
        <v>60</v>
      </c>
      <c r="K1254" s="2" t="s">
        <v>20</v>
      </c>
      <c r="L1254" s="2" t="s">
        <v>21</v>
      </c>
      <c r="M1254" s="2" t="s">
        <v>22</v>
      </c>
      <c r="N1254" s="2" t="s">
        <v>43</v>
      </c>
      <c r="O1254" s="2" t="s">
        <v>63</v>
      </c>
      <c r="P1254" s="2" t="s">
        <v>2636</v>
      </c>
      <c r="Q1254" s="2" t="s">
        <v>4926</v>
      </c>
      <c r="R1254" s="2" t="s">
        <v>59</v>
      </c>
      <c r="S1254" s="2" t="s">
        <v>51</v>
      </c>
      <c r="T1254" s="2" t="s">
        <v>4697</v>
      </c>
      <c r="U1254" s="2" t="s">
        <v>39</v>
      </c>
      <c r="V1254" s="2" t="s">
        <v>4779</v>
      </c>
      <c r="Y1254" s="2" t="s">
        <v>2635</v>
      </c>
      <c r="AA12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2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54" s="6" t="str">
        <f>IF(_xlfn.IFNA(INDEX(configuracoes!$A$2:$A$10,MATCH(base_tc_geral[[#This Row],[TIPO]],configuracoes!$A$2:$A$10,0)),"NÃO")="NÃO","NÃO","SIM")</f>
        <v>SIM</v>
      </c>
    </row>
    <row r="1255" spans="1:31" x14ac:dyDescent="0.25">
      <c r="A1255" s="2" t="s">
        <v>2345</v>
      </c>
      <c r="B1255" s="2">
        <v>105000986</v>
      </c>
      <c r="C1255" s="2" t="s">
        <v>43</v>
      </c>
      <c r="D1255" s="2" t="s">
        <v>4479</v>
      </c>
      <c r="E1255" s="2" t="s">
        <v>28</v>
      </c>
      <c r="F1255" s="2" t="s">
        <v>586</v>
      </c>
      <c r="G1255" s="2" t="s">
        <v>630</v>
      </c>
      <c r="H1255" s="2" t="s">
        <v>79</v>
      </c>
      <c r="I1255" s="2" t="s">
        <v>33</v>
      </c>
      <c r="J1255" s="2" t="s">
        <v>34</v>
      </c>
      <c r="K1255" s="2" t="s">
        <v>20</v>
      </c>
      <c r="L1255" s="2" t="s">
        <v>21</v>
      </c>
      <c r="M1255" s="2" t="s">
        <v>22</v>
      </c>
      <c r="N1255" s="2" t="s">
        <v>43</v>
      </c>
      <c r="O1255" s="2" t="s">
        <v>83</v>
      </c>
      <c r="P1255" s="2" t="s">
        <v>2347</v>
      </c>
      <c r="Q1255" s="2" t="s">
        <v>4926</v>
      </c>
      <c r="R1255" s="2" t="s">
        <v>81</v>
      </c>
      <c r="S1255" s="2" t="s">
        <v>167</v>
      </c>
      <c r="T1255" s="2" t="s">
        <v>167</v>
      </c>
      <c r="U1255" s="2" t="s">
        <v>39</v>
      </c>
      <c r="V1255" s="2" t="s">
        <v>4767</v>
      </c>
      <c r="Y1255" s="2" t="s">
        <v>2346</v>
      </c>
      <c r="AA12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JOSILENE MACENA </v>
      </c>
      <c r="AB12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2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55" s="6" t="str">
        <f>IF(_xlfn.IFNA(INDEX(configuracoes!$A$2:$A$10,MATCH(base_tc_geral[[#This Row],[TIPO]],configuracoes!$A$2:$A$10,0)),"NÃO")="NÃO","NÃO","SIM")</f>
        <v>SIM</v>
      </c>
    </row>
    <row r="1256" spans="1:31" x14ac:dyDescent="0.25">
      <c r="A1256" s="2" t="s">
        <v>4341</v>
      </c>
      <c r="B1256" s="2">
        <v>109000499</v>
      </c>
      <c r="C1256" s="2" t="s">
        <v>15</v>
      </c>
      <c r="D1256" s="2" t="s">
        <v>4548</v>
      </c>
      <c r="E1256" s="2" t="s">
        <v>86</v>
      </c>
      <c r="F1256" s="2" t="s">
        <v>497</v>
      </c>
      <c r="G1256" s="2" t="s">
        <v>136</v>
      </c>
      <c r="H1256" s="2" t="s">
        <v>164</v>
      </c>
      <c r="I1256" s="2" t="s">
        <v>33</v>
      </c>
      <c r="J1256" s="2" t="s">
        <v>124</v>
      </c>
      <c r="K1256" s="2" t="s">
        <v>13</v>
      </c>
      <c r="L1256" s="2" t="s">
        <v>72</v>
      </c>
      <c r="M1256" s="2" t="s">
        <v>73</v>
      </c>
      <c r="N1256" s="2" t="s">
        <v>15</v>
      </c>
      <c r="O1256" s="2" t="s">
        <v>169</v>
      </c>
      <c r="P1256" s="2" t="s">
        <v>4343</v>
      </c>
      <c r="Q1256" s="2" t="s">
        <v>4926</v>
      </c>
      <c r="R1256" s="2" t="s">
        <v>321</v>
      </c>
      <c r="S1256" s="2" t="s">
        <v>93</v>
      </c>
      <c r="T1256" s="2" t="s">
        <v>4696</v>
      </c>
      <c r="U1256" s="2" t="s">
        <v>12</v>
      </c>
      <c r="V1256" s="2" t="s">
        <v>4783</v>
      </c>
      <c r="W1256" s="2" t="s">
        <v>72</v>
      </c>
      <c r="X1256" s="2" t="s">
        <v>5011</v>
      </c>
      <c r="Y1256" s="2" t="s">
        <v>4342</v>
      </c>
      <c r="Z1256" s="2" t="s">
        <v>5439</v>
      </c>
      <c r="AA12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2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56" s="6" t="str">
        <f>IF(_xlfn.IFNA(INDEX(configuracoes!$A$2:$A$10,MATCH(base_tc_geral[[#This Row],[TIPO]],configuracoes!$A$2:$A$10,0)),"NÃO")="NÃO","NÃO","SIM")</f>
        <v>NÃO</v>
      </c>
    </row>
    <row r="1257" spans="1:31" x14ac:dyDescent="0.25">
      <c r="A1257" s="2" t="s">
        <v>664</v>
      </c>
      <c r="B1257" s="2">
        <v>101010210</v>
      </c>
      <c r="C1257" s="2" t="s">
        <v>15</v>
      </c>
      <c r="D1257" s="2" t="s">
        <v>4487</v>
      </c>
      <c r="E1257" s="2" t="s">
        <v>47</v>
      </c>
      <c r="F1257" s="2" t="s">
        <v>251</v>
      </c>
      <c r="G1257" s="2" t="s">
        <v>648</v>
      </c>
      <c r="H1257" s="2" t="s">
        <v>224</v>
      </c>
      <c r="I1257" s="2" t="s">
        <v>16</v>
      </c>
      <c r="J1257" s="2" t="s">
        <v>227</v>
      </c>
      <c r="K1257" s="2" t="s">
        <v>13</v>
      </c>
      <c r="L1257" s="2" t="s">
        <v>25</v>
      </c>
      <c r="M1257" s="2" t="s">
        <v>22</v>
      </c>
      <c r="N1257" s="2" t="s">
        <v>15</v>
      </c>
      <c r="O1257" s="2" t="s">
        <v>229</v>
      </c>
      <c r="P1257" s="2" t="s">
        <v>666</v>
      </c>
      <c r="Q1257" s="2" t="s">
        <v>4926</v>
      </c>
      <c r="R1257" s="2" t="s">
        <v>294</v>
      </c>
      <c r="S1257" s="2" t="s">
        <v>101</v>
      </c>
      <c r="T1257" s="2" t="s">
        <v>4697</v>
      </c>
      <c r="U1257" s="2" t="s">
        <v>12</v>
      </c>
      <c r="V1257" s="2" t="s">
        <v>4811</v>
      </c>
      <c r="W1257" s="2" t="s">
        <v>4931</v>
      </c>
      <c r="X1257" s="2" t="s">
        <v>4925</v>
      </c>
      <c r="Y1257" s="2" t="s">
        <v>665</v>
      </c>
      <c r="Z1257" s="2" t="s">
        <v>5440</v>
      </c>
      <c r="AA12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2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57" s="6" t="str">
        <f>IF(_xlfn.IFNA(INDEX(configuracoes!$A$2:$A$10,MATCH(base_tc_geral[[#This Row],[TIPO]],configuracoes!$A$2:$A$10,0)),"NÃO")="NÃO","NÃO","SIM")</f>
        <v>SIM</v>
      </c>
    </row>
    <row r="1258" spans="1:31" x14ac:dyDescent="0.25">
      <c r="A1258" s="2" t="s">
        <v>1988</v>
      </c>
      <c r="B1258" s="2">
        <v>101006255</v>
      </c>
      <c r="C1258" s="2" t="s">
        <v>24</v>
      </c>
      <c r="D1258" s="2" t="s">
        <v>4768</v>
      </c>
      <c r="E1258" s="2" t="s">
        <v>47</v>
      </c>
      <c r="F1258" s="2" t="s">
        <v>1112</v>
      </c>
      <c r="G1258" s="2" t="s">
        <v>245</v>
      </c>
      <c r="H1258" s="2" t="s">
        <v>224</v>
      </c>
      <c r="I1258" s="2" t="s">
        <v>16</v>
      </c>
      <c r="J1258" s="2" t="s">
        <v>227</v>
      </c>
      <c r="K1258" s="2" t="s">
        <v>20</v>
      </c>
      <c r="L1258" s="2" t="s">
        <v>21</v>
      </c>
      <c r="M1258" s="2" t="s">
        <v>22</v>
      </c>
      <c r="N1258" s="2" t="s">
        <v>24</v>
      </c>
      <c r="O1258" s="2" t="s">
        <v>229</v>
      </c>
      <c r="P1258" s="2" t="s">
        <v>1990</v>
      </c>
      <c r="Q1258" s="2" t="s">
        <v>4926</v>
      </c>
      <c r="R1258" s="2" t="s">
        <v>369</v>
      </c>
      <c r="S1258" s="2" t="s">
        <v>4698</v>
      </c>
      <c r="T1258" s="2" t="s">
        <v>4697</v>
      </c>
      <c r="U1258" s="2" t="s">
        <v>39</v>
      </c>
      <c r="V1258" s="2" t="s">
        <v>4817</v>
      </c>
      <c r="W1258" s="2" t="s">
        <v>4982</v>
      </c>
      <c r="X1258" s="2" t="s">
        <v>4925</v>
      </c>
      <c r="Y1258" s="2" t="s">
        <v>1989</v>
      </c>
      <c r="Z1258" s="2" t="s">
        <v>5441</v>
      </c>
      <c r="AA12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12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58" s="6" t="str">
        <f>IF(_xlfn.IFNA(INDEX(configuracoes!$A$2:$A$10,MATCH(base_tc_geral[[#This Row],[TIPO]],configuracoes!$A$2:$A$10,0)),"NÃO")="NÃO","NÃO","SIM")</f>
        <v>SIM</v>
      </c>
    </row>
    <row r="1259" spans="1:31" x14ac:dyDescent="0.25">
      <c r="A1259" s="2" t="s">
        <v>2812</v>
      </c>
      <c r="B1259" s="2">
        <v>101008134</v>
      </c>
      <c r="C1259" s="2" t="s">
        <v>24</v>
      </c>
      <c r="D1259" s="2" t="s">
        <v>4482</v>
      </c>
      <c r="E1259" s="2" t="s">
        <v>47</v>
      </c>
      <c r="F1259" s="2" t="s">
        <v>368</v>
      </c>
      <c r="G1259" s="2" t="s">
        <v>136</v>
      </c>
      <c r="H1259" s="2" t="s">
        <v>227</v>
      </c>
      <c r="I1259" s="2" t="s">
        <v>16</v>
      </c>
      <c r="J1259" s="2" t="s">
        <v>227</v>
      </c>
      <c r="K1259" s="2" t="s">
        <v>13</v>
      </c>
      <c r="L1259" s="2" t="s">
        <v>72</v>
      </c>
      <c r="M1259" s="2" t="s">
        <v>73</v>
      </c>
      <c r="N1259" s="2" t="s">
        <v>24</v>
      </c>
      <c r="O1259" s="2" t="s">
        <v>271</v>
      </c>
      <c r="P1259" s="2" t="s">
        <v>2814</v>
      </c>
      <c r="Q1259" s="2" t="s">
        <v>4926</v>
      </c>
      <c r="R1259" s="2" t="s">
        <v>351</v>
      </c>
      <c r="S1259" s="2" t="s">
        <v>101</v>
      </c>
      <c r="T1259" s="2" t="s">
        <v>4697</v>
      </c>
      <c r="U1259" s="2" t="s">
        <v>39</v>
      </c>
      <c r="V1259" s="2" t="s">
        <v>4834</v>
      </c>
      <c r="W1259" s="2" t="s">
        <v>72</v>
      </c>
      <c r="X1259" s="2" t="s">
        <v>5011</v>
      </c>
      <c r="Y1259" s="2" t="s">
        <v>2813</v>
      </c>
      <c r="Z1259" s="2" t="s">
        <v>5442</v>
      </c>
      <c r="AA12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2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59" s="6" t="str">
        <f>IF(_xlfn.IFNA(INDEX(configuracoes!$A$2:$A$10,MATCH(base_tc_geral[[#This Row],[TIPO]],configuracoes!$A$2:$A$10,0)),"NÃO")="NÃO","NÃO","SIM")</f>
        <v>NÃO</v>
      </c>
    </row>
    <row r="1260" spans="1:31" x14ac:dyDescent="0.25">
      <c r="A1260" s="2" t="s">
        <v>2212</v>
      </c>
      <c r="B1260" s="2">
        <v>101005989</v>
      </c>
      <c r="C1260" s="2" t="s">
        <v>40</v>
      </c>
      <c r="D1260" s="2" t="s">
        <v>4563</v>
      </c>
      <c r="E1260" s="2" t="s">
        <v>47</v>
      </c>
      <c r="F1260" s="2" t="s">
        <v>433</v>
      </c>
      <c r="G1260" s="2" t="s">
        <v>4780</v>
      </c>
      <c r="H1260" s="2" t="s">
        <v>56</v>
      </c>
      <c r="I1260" s="2" t="s">
        <v>16</v>
      </c>
      <c r="J1260" s="2" t="s">
        <v>60</v>
      </c>
      <c r="K1260" s="2" t="s">
        <v>20</v>
      </c>
      <c r="L1260" s="2" t="s">
        <v>21</v>
      </c>
      <c r="M1260" s="2" t="s">
        <v>22</v>
      </c>
      <c r="N1260" s="2" t="s">
        <v>40</v>
      </c>
      <c r="O1260" s="2" t="s">
        <v>63</v>
      </c>
      <c r="P1260" s="2" t="s">
        <v>2214</v>
      </c>
      <c r="Q1260" s="2" t="s">
        <v>4926</v>
      </c>
      <c r="R1260" s="2" t="s">
        <v>59</v>
      </c>
      <c r="S1260" s="2" t="s">
        <v>51</v>
      </c>
      <c r="T1260" s="2" t="s">
        <v>4697</v>
      </c>
      <c r="U1260" s="2" t="s">
        <v>39</v>
      </c>
      <c r="V1260" s="2" t="s">
        <v>4779</v>
      </c>
      <c r="W1260" s="2" t="s">
        <v>4982</v>
      </c>
      <c r="X1260" s="2" t="s">
        <v>4925</v>
      </c>
      <c r="Y1260" s="2" t="s">
        <v>2213</v>
      </c>
      <c r="Z1260" s="2" t="s">
        <v>5443</v>
      </c>
      <c r="AA12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2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AFASTADO</v>
      </c>
      <c r="AE1260" s="6" t="str">
        <f>IF(_xlfn.IFNA(INDEX(configuracoes!$A$2:$A$10,MATCH(base_tc_geral[[#This Row],[TIPO]],configuracoes!$A$2:$A$10,0)),"NÃO")="NÃO","NÃO","SIM")</f>
        <v>SIM</v>
      </c>
    </row>
    <row r="1261" spans="1:31" x14ac:dyDescent="0.25">
      <c r="A1261" s="2" t="s">
        <v>4235</v>
      </c>
      <c r="B1261" s="2">
        <v>101005241</v>
      </c>
      <c r="C1261" s="2" t="s">
        <v>15</v>
      </c>
      <c r="D1261" s="2" t="s">
        <v>4487</v>
      </c>
      <c r="E1261" s="2" t="s">
        <v>47</v>
      </c>
      <c r="F1261" s="2" t="s">
        <v>142</v>
      </c>
      <c r="G1261" s="2" t="s">
        <v>136</v>
      </c>
      <c r="H1261" s="2" t="s">
        <v>141</v>
      </c>
      <c r="I1261" s="2" t="s">
        <v>16</v>
      </c>
      <c r="J1261" s="2" t="s">
        <v>141</v>
      </c>
      <c r="K1261" s="2" t="s">
        <v>13</v>
      </c>
      <c r="L1261" s="2" t="s">
        <v>72</v>
      </c>
      <c r="M1261" s="2" t="s">
        <v>73</v>
      </c>
      <c r="N1261" s="2" t="s">
        <v>15</v>
      </c>
      <c r="O1261" s="2" t="s">
        <v>145</v>
      </c>
      <c r="P1261" s="2" t="s">
        <v>4237</v>
      </c>
      <c r="Q1261" s="2" t="s">
        <v>4926</v>
      </c>
      <c r="R1261" s="2" t="s">
        <v>143</v>
      </c>
      <c r="S1261" s="2" t="s">
        <v>4698</v>
      </c>
      <c r="T1261" s="2" t="s">
        <v>4697</v>
      </c>
      <c r="U1261" s="2" t="s">
        <v>39</v>
      </c>
      <c r="V1261" s="2" t="s">
        <v>4845</v>
      </c>
      <c r="W1261" s="2" t="s">
        <v>72</v>
      </c>
      <c r="X1261" s="2" t="s">
        <v>5011</v>
      </c>
      <c r="Y1261" s="2" t="s">
        <v>4236</v>
      </c>
      <c r="Z1261" s="2" t="s">
        <v>5444</v>
      </c>
      <c r="AA12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2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61" s="6" t="str">
        <f>IF(_xlfn.IFNA(INDEX(configuracoes!$A$2:$A$10,MATCH(base_tc_geral[[#This Row],[TIPO]],configuracoes!$A$2:$A$10,0)),"NÃO")="NÃO","NÃO","SIM")</f>
        <v>NÃO</v>
      </c>
    </row>
    <row r="1262" spans="1:31" x14ac:dyDescent="0.25">
      <c r="A1262" s="2" t="s">
        <v>2112</v>
      </c>
      <c r="B1262" s="2">
        <v>101007665</v>
      </c>
      <c r="C1262" s="2" t="s">
        <v>43</v>
      </c>
      <c r="D1262" s="2" t="s">
        <v>4479</v>
      </c>
      <c r="E1262" s="2" t="s">
        <v>47</v>
      </c>
      <c r="F1262" s="2" t="s">
        <v>2104</v>
      </c>
      <c r="G1262" s="2" t="s">
        <v>245</v>
      </c>
      <c r="H1262" s="2" t="s">
        <v>56</v>
      </c>
      <c r="I1262" s="2" t="s">
        <v>16</v>
      </c>
      <c r="J1262" s="2" t="s">
        <v>60</v>
      </c>
      <c r="K1262" s="2" t="s">
        <v>20</v>
      </c>
      <c r="L1262" s="2" t="s">
        <v>21</v>
      </c>
      <c r="M1262" s="2" t="s">
        <v>22</v>
      </c>
      <c r="N1262" s="2" t="s">
        <v>43</v>
      </c>
      <c r="O1262" s="2" t="s">
        <v>63</v>
      </c>
      <c r="P1262" s="2" t="s">
        <v>2114</v>
      </c>
      <c r="Q1262" s="2" t="s">
        <v>4926</v>
      </c>
      <c r="R1262" s="2" t="s">
        <v>342</v>
      </c>
      <c r="S1262" s="2" t="s">
        <v>51</v>
      </c>
      <c r="T1262" s="2" t="s">
        <v>4697</v>
      </c>
      <c r="U1262" s="2" t="s">
        <v>39</v>
      </c>
      <c r="V1262" s="2" t="s">
        <v>4866</v>
      </c>
      <c r="Y1262" s="2" t="s">
        <v>2113</v>
      </c>
      <c r="AA12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2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62" s="6" t="str">
        <f>IF(_xlfn.IFNA(INDEX(configuracoes!$A$2:$A$10,MATCH(base_tc_geral[[#This Row],[TIPO]],configuracoes!$A$2:$A$10,0)),"NÃO")="NÃO","NÃO","SIM")</f>
        <v>SIM</v>
      </c>
    </row>
    <row r="1263" spans="1:31" x14ac:dyDescent="0.25">
      <c r="A1263" s="2" t="s">
        <v>4446</v>
      </c>
      <c r="B1263" s="2">
        <v>101008003</v>
      </c>
      <c r="C1263" s="2" t="s">
        <v>183</v>
      </c>
      <c r="D1263" s="2" t="s">
        <v>4676</v>
      </c>
      <c r="E1263" s="2" t="s">
        <v>47</v>
      </c>
      <c r="F1263" s="2" t="s">
        <v>251</v>
      </c>
      <c r="G1263" s="2" t="s">
        <v>99</v>
      </c>
      <c r="H1263" s="2" t="s">
        <v>224</v>
      </c>
      <c r="I1263" s="2" t="s">
        <v>16</v>
      </c>
      <c r="J1263" s="2" t="s">
        <v>227</v>
      </c>
      <c r="K1263" s="2" t="s">
        <v>13</v>
      </c>
      <c r="L1263" s="2" t="s">
        <v>25</v>
      </c>
      <c r="M1263" s="2" t="s">
        <v>22</v>
      </c>
      <c r="N1263" s="2" t="s">
        <v>183</v>
      </c>
      <c r="O1263" s="2" t="s">
        <v>229</v>
      </c>
      <c r="P1263" s="2" t="s">
        <v>4448</v>
      </c>
      <c r="Q1263" s="2" t="s">
        <v>4926</v>
      </c>
      <c r="R1263" s="2" t="s">
        <v>100</v>
      </c>
      <c r="S1263" s="2" t="s">
        <v>101</v>
      </c>
      <c r="T1263" s="2" t="s">
        <v>4697</v>
      </c>
      <c r="U1263" s="2" t="s">
        <v>39</v>
      </c>
      <c r="V1263" s="2" t="s">
        <v>4817</v>
      </c>
      <c r="Y1263" s="2" t="s">
        <v>4447</v>
      </c>
      <c r="AA12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2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63" s="6" t="str">
        <f>IF(_xlfn.IFNA(INDEX(configuracoes!$A$2:$A$10,MATCH(base_tc_geral[[#This Row],[TIPO]],configuracoes!$A$2:$A$10,0)),"NÃO")="NÃO","NÃO","SIM")</f>
        <v>SIM</v>
      </c>
    </row>
    <row r="1264" spans="1:31" x14ac:dyDescent="0.25">
      <c r="A1264" s="2" t="s">
        <v>393</v>
      </c>
      <c r="B1264" s="2">
        <v>101005241</v>
      </c>
      <c r="C1264" s="2" t="s">
        <v>1816</v>
      </c>
      <c r="D1264" s="2" t="s">
        <v>4683</v>
      </c>
      <c r="E1264" s="2" t="s">
        <v>47</v>
      </c>
      <c r="F1264" s="2" t="s">
        <v>142</v>
      </c>
      <c r="G1264" s="2" t="s">
        <v>630</v>
      </c>
      <c r="H1264" s="2" t="s">
        <v>141</v>
      </c>
      <c r="I1264" s="2" t="s">
        <v>16</v>
      </c>
      <c r="J1264" s="2" t="s">
        <v>141</v>
      </c>
      <c r="K1264" s="2" t="s">
        <v>20</v>
      </c>
      <c r="L1264" s="2" t="s">
        <v>21</v>
      </c>
      <c r="M1264" s="2" t="s">
        <v>22</v>
      </c>
      <c r="N1264" s="2" t="s">
        <v>1816</v>
      </c>
      <c r="O1264" s="2" t="s">
        <v>145</v>
      </c>
      <c r="P1264" s="2" t="s">
        <v>395</v>
      </c>
      <c r="Q1264" s="2" t="s">
        <v>4926</v>
      </c>
      <c r="R1264" s="2" t="s">
        <v>143</v>
      </c>
      <c r="S1264" s="2" t="s">
        <v>4698</v>
      </c>
      <c r="T1264" s="2" t="s">
        <v>4697</v>
      </c>
      <c r="U1264" s="2" t="s">
        <v>39</v>
      </c>
      <c r="V1264" s="2" t="s">
        <v>4845</v>
      </c>
      <c r="Y1264" s="2" t="s">
        <v>394</v>
      </c>
      <c r="AA12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2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64" s="6" t="str">
        <f>IF(_xlfn.IFNA(INDEX(configuracoes!$A$2:$A$10,MATCH(base_tc_geral[[#This Row],[TIPO]],configuracoes!$A$2:$A$10,0)),"NÃO")="NÃO","NÃO","SIM")</f>
        <v>SIM</v>
      </c>
    </row>
    <row r="1265" spans="1:31" x14ac:dyDescent="0.25">
      <c r="A1265" s="2" t="s">
        <v>1695</v>
      </c>
      <c r="B1265" s="2">
        <v>101008134</v>
      </c>
      <c r="C1265" s="2" t="s">
        <v>43</v>
      </c>
      <c r="D1265" s="2" t="s">
        <v>4526</v>
      </c>
      <c r="E1265" s="2" t="s">
        <v>47</v>
      </c>
      <c r="F1265" s="2" t="s">
        <v>368</v>
      </c>
      <c r="G1265" s="2" t="s">
        <v>245</v>
      </c>
      <c r="H1265" s="2" t="s">
        <v>227</v>
      </c>
      <c r="I1265" s="2" t="s">
        <v>16</v>
      </c>
      <c r="J1265" s="2" t="s">
        <v>227</v>
      </c>
      <c r="K1265" s="2" t="s">
        <v>20</v>
      </c>
      <c r="L1265" s="2" t="s">
        <v>21</v>
      </c>
      <c r="M1265" s="2" t="s">
        <v>22</v>
      </c>
      <c r="N1265" s="2" t="s">
        <v>43</v>
      </c>
      <c r="O1265" s="2" t="s">
        <v>271</v>
      </c>
      <c r="P1265" s="2" t="s">
        <v>1697</v>
      </c>
      <c r="Q1265" s="2" t="s">
        <v>4926</v>
      </c>
      <c r="R1265" s="2" t="s">
        <v>351</v>
      </c>
      <c r="S1265" s="2" t="s">
        <v>101</v>
      </c>
      <c r="T1265" s="2" t="s">
        <v>4697</v>
      </c>
      <c r="U1265" s="2" t="s">
        <v>39</v>
      </c>
      <c r="V1265" s="2" t="s">
        <v>4834</v>
      </c>
      <c r="Y1265" s="2" t="s">
        <v>1696</v>
      </c>
      <c r="AA12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2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65" s="6" t="str">
        <f>IF(_xlfn.IFNA(INDEX(configuracoes!$A$2:$A$10,MATCH(base_tc_geral[[#This Row],[TIPO]],configuracoes!$A$2:$A$10,0)),"NÃO")="NÃO","NÃO","SIM")</f>
        <v>SIM</v>
      </c>
    </row>
    <row r="1266" spans="1:31" x14ac:dyDescent="0.25">
      <c r="A1266" s="2" t="s">
        <v>1027</v>
      </c>
      <c r="B1266" s="2">
        <v>109500177</v>
      </c>
      <c r="C1266" s="2" t="s">
        <v>43</v>
      </c>
      <c r="D1266" s="2" t="s">
        <v>4498</v>
      </c>
      <c r="E1266" s="2" t="s">
        <v>86</v>
      </c>
      <c r="F1266" s="2" t="s">
        <v>1029</v>
      </c>
      <c r="G1266" s="2" t="s">
        <v>245</v>
      </c>
      <c r="H1266" s="2" t="s">
        <v>122</v>
      </c>
      <c r="I1266" s="2" t="s">
        <v>33</v>
      </c>
      <c r="J1266" s="2" t="s">
        <v>124</v>
      </c>
      <c r="K1266" s="2" t="s">
        <v>20</v>
      </c>
      <c r="L1266" s="2" t="s">
        <v>21</v>
      </c>
      <c r="M1266" s="2" t="s">
        <v>22</v>
      </c>
      <c r="N1266" s="2" t="s">
        <v>43</v>
      </c>
      <c r="O1266" s="2" t="s">
        <v>129</v>
      </c>
      <c r="P1266" s="2" t="s">
        <v>1030</v>
      </c>
      <c r="Q1266" s="2" t="s">
        <v>4926</v>
      </c>
      <c r="R1266" s="2" t="s">
        <v>447</v>
      </c>
      <c r="S1266" s="2" t="s">
        <v>125</v>
      </c>
      <c r="T1266" s="2" t="s">
        <v>4696</v>
      </c>
      <c r="U1266" s="2" t="s">
        <v>39</v>
      </c>
      <c r="V1266" s="2" t="s">
        <v>4771</v>
      </c>
      <c r="Y1266" s="2" t="s">
        <v>1028</v>
      </c>
      <c r="AA12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12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66" s="6" t="str">
        <f>IF(_xlfn.IFNA(INDEX(configuracoes!$A$2:$A$10,MATCH(base_tc_geral[[#This Row],[TIPO]],configuracoes!$A$2:$A$10,0)),"NÃO")="NÃO","NÃO","SIM")</f>
        <v>SIM</v>
      </c>
    </row>
    <row r="1267" spans="1:31" x14ac:dyDescent="0.25">
      <c r="A1267" s="2" t="s">
        <v>3869</v>
      </c>
      <c r="B1267" s="2">
        <v>102101642</v>
      </c>
      <c r="C1267" s="2" t="s">
        <v>183</v>
      </c>
      <c r="D1267" s="2" t="s">
        <v>4590</v>
      </c>
      <c r="E1267" s="2" t="s">
        <v>106</v>
      </c>
      <c r="F1267" s="2" t="s">
        <v>108</v>
      </c>
      <c r="G1267" s="2" t="s">
        <v>245</v>
      </c>
      <c r="H1267" s="2" t="s">
        <v>107</v>
      </c>
      <c r="I1267" s="2" t="s">
        <v>33</v>
      </c>
      <c r="J1267" s="2" t="s">
        <v>109</v>
      </c>
      <c r="K1267" s="2" t="s">
        <v>20</v>
      </c>
      <c r="L1267" s="2" t="s">
        <v>21</v>
      </c>
      <c r="M1267" s="2" t="s">
        <v>22</v>
      </c>
      <c r="N1267" s="2" t="s">
        <v>183</v>
      </c>
      <c r="O1267" s="2" t="s">
        <v>112</v>
      </c>
      <c r="P1267" s="2" t="s">
        <v>3871</v>
      </c>
      <c r="Q1267" s="2" t="s">
        <v>4926</v>
      </c>
      <c r="R1267" s="2" t="s">
        <v>187</v>
      </c>
      <c r="S1267" s="2" t="s">
        <v>736</v>
      </c>
      <c r="T1267" s="2" t="s">
        <v>167</v>
      </c>
      <c r="U1267" s="2" t="s">
        <v>39</v>
      </c>
      <c r="V1267" s="2" t="s">
        <v>4818</v>
      </c>
      <c r="Y1267" s="2" t="s">
        <v>3870</v>
      </c>
      <c r="AA12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12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67" s="6" t="str">
        <f>IF(_xlfn.IFNA(INDEX(configuracoes!$A$2:$A$10,MATCH(base_tc_geral[[#This Row],[TIPO]],configuracoes!$A$2:$A$10,0)),"NÃO")="NÃO","NÃO","SIM")</f>
        <v>SIM</v>
      </c>
    </row>
    <row r="1268" spans="1:31" x14ac:dyDescent="0.25">
      <c r="A1268" s="2" t="s">
        <v>1578</v>
      </c>
      <c r="B1268" s="2">
        <v>109000017</v>
      </c>
      <c r="C1268" s="2" t="s">
        <v>24</v>
      </c>
      <c r="D1268" s="2" t="s">
        <v>4482</v>
      </c>
      <c r="E1268" s="2" t="s">
        <v>86</v>
      </c>
      <c r="F1268" s="2" t="s">
        <v>274</v>
      </c>
      <c r="G1268" s="2" t="s">
        <v>245</v>
      </c>
      <c r="H1268" s="2" t="s">
        <v>210</v>
      </c>
      <c r="I1268" s="2" t="s">
        <v>33</v>
      </c>
      <c r="J1268" s="2" t="s">
        <v>124</v>
      </c>
      <c r="K1268" s="2" t="s">
        <v>20</v>
      </c>
      <c r="L1268" s="2" t="s">
        <v>21</v>
      </c>
      <c r="M1268" s="2" t="s">
        <v>22</v>
      </c>
      <c r="N1268" s="2" t="s">
        <v>24</v>
      </c>
      <c r="O1268" s="2" t="s">
        <v>214</v>
      </c>
      <c r="P1268" s="2" t="s">
        <v>1580</v>
      </c>
      <c r="Q1268" s="2" t="s">
        <v>4926</v>
      </c>
      <c r="R1268" s="2" t="s">
        <v>212</v>
      </c>
      <c r="S1268" s="2" t="s">
        <v>93</v>
      </c>
      <c r="T1268" s="2" t="s">
        <v>4696</v>
      </c>
      <c r="U1268" s="2" t="s">
        <v>39</v>
      </c>
      <c r="V1268" s="2" t="s">
        <v>4846</v>
      </c>
      <c r="W1268" s="2" t="s">
        <v>4982</v>
      </c>
      <c r="X1268" s="2" t="s">
        <v>4925</v>
      </c>
      <c r="Y1268" s="2" t="s">
        <v>1579</v>
      </c>
      <c r="Z1268" s="2" t="s">
        <v>5445</v>
      </c>
      <c r="AA12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2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68" s="6" t="str">
        <f>IF(_xlfn.IFNA(INDEX(configuracoes!$A$2:$A$10,MATCH(base_tc_geral[[#This Row],[TIPO]],configuracoes!$A$2:$A$10,0)),"NÃO")="NÃO","NÃO","SIM")</f>
        <v>SIM</v>
      </c>
    </row>
    <row r="1269" spans="1:31" x14ac:dyDescent="0.25">
      <c r="A1269" s="2" t="s">
        <v>3911</v>
      </c>
      <c r="B1269" s="2">
        <v>101007963</v>
      </c>
      <c r="C1269" s="2" t="s">
        <v>15</v>
      </c>
      <c r="D1269" s="2" t="s">
        <v>4489</v>
      </c>
      <c r="E1269" s="2" t="s">
        <v>47</v>
      </c>
      <c r="F1269" s="2" t="s">
        <v>601</v>
      </c>
      <c r="G1269" s="2" t="s">
        <v>245</v>
      </c>
      <c r="H1269" s="2" t="s">
        <v>60</v>
      </c>
      <c r="I1269" s="2" t="s">
        <v>16</v>
      </c>
      <c r="J1269" s="2" t="s">
        <v>60</v>
      </c>
      <c r="K1269" s="2" t="s">
        <v>20</v>
      </c>
      <c r="L1269" s="2" t="s">
        <v>21</v>
      </c>
      <c r="M1269" s="2" t="s">
        <v>22</v>
      </c>
      <c r="N1269" s="2" t="s">
        <v>15</v>
      </c>
      <c r="O1269" s="2" t="s">
        <v>161</v>
      </c>
      <c r="P1269" s="2" t="s">
        <v>3913</v>
      </c>
      <c r="Q1269" s="2" t="s">
        <v>4926</v>
      </c>
      <c r="R1269" s="2" t="s">
        <v>246</v>
      </c>
      <c r="S1269" s="2" t="s">
        <v>51</v>
      </c>
      <c r="T1269" s="2" t="s">
        <v>4697</v>
      </c>
      <c r="U1269" s="2" t="s">
        <v>12</v>
      </c>
      <c r="V1269" s="2" t="s">
        <v>4778</v>
      </c>
      <c r="W1269" s="2" t="s">
        <v>4982</v>
      </c>
      <c r="X1269" s="2" t="s">
        <v>4925</v>
      </c>
      <c r="Y1269" s="2" t="s">
        <v>3912</v>
      </c>
      <c r="Z1269" s="2" t="s">
        <v>5446</v>
      </c>
      <c r="AA12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2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69" s="6" t="str">
        <f>IF(_xlfn.IFNA(INDEX(configuracoes!$A$2:$A$10,MATCH(base_tc_geral[[#This Row],[TIPO]],configuracoes!$A$2:$A$10,0)),"NÃO")="NÃO","NÃO","SIM")</f>
        <v>SIM</v>
      </c>
    </row>
    <row r="1270" spans="1:31" x14ac:dyDescent="0.25">
      <c r="A1270" s="2" t="s">
        <v>4878</v>
      </c>
      <c r="B1270" s="2">
        <v>428271</v>
      </c>
      <c r="C1270" s="2" t="s">
        <v>15</v>
      </c>
      <c r="D1270" s="2" t="s">
        <v>4516</v>
      </c>
      <c r="E1270" s="2" t="s">
        <v>47</v>
      </c>
      <c r="F1270" s="2" t="s">
        <v>269</v>
      </c>
      <c r="G1270" s="2" t="s">
        <v>136</v>
      </c>
      <c r="H1270" s="2" t="s">
        <v>227</v>
      </c>
      <c r="I1270" s="2" t="s">
        <v>16</v>
      </c>
      <c r="J1270" s="2" t="s">
        <v>227</v>
      </c>
      <c r="K1270" s="2" t="s">
        <v>13</v>
      </c>
      <c r="L1270" s="2" t="s">
        <v>72</v>
      </c>
      <c r="M1270" s="2" t="s">
        <v>73</v>
      </c>
      <c r="N1270" s="2" t="s">
        <v>15</v>
      </c>
      <c r="O1270" s="2" t="s">
        <v>271</v>
      </c>
      <c r="P1270" s="2" t="s">
        <v>4880</v>
      </c>
      <c r="Q1270" s="2" t="s">
        <v>4926</v>
      </c>
      <c r="R1270" s="2" t="s">
        <v>4828</v>
      </c>
      <c r="S1270" s="2" t="s">
        <v>4698</v>
      </c>
      <c r="T1270" s="2" t="s">
        <v>4697</v>
      </c>
      <c r="U1270" s="2" t="s">
        <v>39</v>
      </c>
      <c r="V1270" s="2" t="s">
        <v>4829</v>
      </c>
      <c r="W1270" s="2" t="s">
        <v>72</v>
      </c>
      <c r="X1270" s="2" t="s">
        <v>5011</v>
      </c>
      <c r="Y1270" s="2" t="s">
        <v>4879</v>
      </c>
      <c r="Z1270" s="2" t="s">
        <v>5447</v>
      </c>
      <c r="AA12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2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70" s="6" t="str">
        <f>IF(_xlfn.IFNA(INDEX(configuracoes!$A$2:$A$10,MATCH(base_tc_geral[[#This Row],[TIPO]],configuracoes!$A$2:$A$10,0)),"NÃO")="NÃO","NÃO","SIM")</f>
        <v>NÃO</v>
      </c>
    </row>
    <row r="1271" spans="1:31" x14ac:dyDescent="0.25">
      <c r="A1271" s="2" t="s">
        <v>4882</v>
      </c>
      <c r="B1271" s="2">
        <v>101010209</v>
      </c>
      <c r="C1271" s="2" t="s">
        <v>15</v>
      </c>
      <c r="D1271" s="2" t="s">
        <v>4516</v>
      </c>
      <c r="E1271" s="2" t="s">
        <v>47</v>
      </c>
      <c r="F1271" s="2" t="s">
        <v>278</v>
      </c>
      <c r="G1271" s="2" t="s">
        <v>136</v>
      </c>
      <c r="H1271" s="2" t="s">
        <v>60</v>
      </c>
      <c r="I1271" s="2" t="s">
        <v>16</v>
      </c>
      <c r="J1271" s="2" t="s">
        <v>60</v>
      </c>
      <c r="K1271" s="2" t="s">
        <v>13</v>
      </c>
      <c r="L1271" s="2" t="s">
        <v>72</v>
      </c>
      <c r="M1271" s="2" t="s">
        <v>73</v>
      </c>
      <c r="N1271" s="2" t="s">
        <v>15</v>
      </c>
      <c r="O1271" s="2" t="s">
        <v>161</v>
      </c>
      <c r="P1271" s="2" t="s">
        <v>4884</v>
      </c>
      <c r="Q1271" s="2" t="s">
        <v>4926</v>
      </c>
      <c r="R1271" s="2" t="s">
        <v>279</v>
      </c>
      <c r="S1271" s="2" t="s">
        <v>51</v>
      </c>
      <c r="T1271" s="2" t="s">
        <v>4697</v>
      </c>
      <c r="U1271" s="2" t="s">
        <v>39</v>
      </c>
      <c r="V1271" s="2" t="s">
        <v>4821</v>
      </c>
      <c r="W1271" s="2" t="s">
        <v>72</v>
      </c>
      <c r="X1271" s="2" t="s">
        <v>5011</v>
      </c>
      <c r="Y1271" s="2" t="s">
        <v>4883</v>
      </c>
      <c r="Z1271" s="2" t="s">
        <v>5448</v>
      </c>
      <c r="AA12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KARLYSSON FRANCO </v>
      </c>
      <c r="AB12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71" s="6" t="str">
        <f>IF(_xlfn.IFNA(INDEX(configuracoes!$A$2:$A$10,MATCH(base_tc_geral[[#This Row],[TIPO]],configuracoes!$A$2:$A$10,0)),"NÃO")="NÃO","NÃO","SIM")</f>
        <v>NÃO</v>
      </c>
    </row>
    <row r="1272" spans="1:31" x14ac:dyDescent="0.25">
      <c r="A1272" s="2" t="s">
        <v>1031</v>
      </c>
      <c r="B1272" s="2">
        <v>109500177</v>
      </c>
      <c r="C1272" s="2" t="s">
        <v>24</v>
      </c>
      <c r="D1272" s="2" t="s">
        <v>4482</v>
      </c>
      <c r="E1272" s="2" t="s">
        <v>86</v>
      </c>
      <c r="F1272" s="2" t="s">
        <v>1029</v>
      </c>
      <c r="G1272" s="2" t="s">
        <v>870</v>
      </c>
      <c r="H1272" s="2" t="s">
        <v>122</v>
      </c>
      <c r="I1272" s="2" t="s">
        <v>33</v>
      </c>
      <c r="J1272" s="2" t="s">
        <v>124</v>
      </c>
      <c r="K1272" s="2" t="s">
        <v>20</v>
      </c>
      <c r="L1272" s="2" t="s">
        <v>76</v>
      </c>
      <c r="M1272" s="2" t="s">
        <v>22</v>
      </c>
      <c r="N1272" s="2" t="s">
        <v>24</v>
      </c>
      <c r="O1272" s="2" t="s">
        <v>129</v>
      </c>
      <c r="P1272" s="2" t="s">
        <v>1033</v>
      </c>
      <c r="Q1272" s="2" t="s">
        <v>4926</v>
      </c>
      <c r="R1272" s="2" t="s">
        <v>447</v>
      </c>
      <c r="S1272" s="2" t="s">
        <v>125</v>
      </c>
      <c r="T1272" s="2" t="s">
        <v>4696</v>
      </c>
      <c r="U1272" s="2" t="s">
        <v>39</v>
      </c>
      <c r="V1272" s="2" t="s">
        <v>4771</v>
      </c>
      <c r="W1272" s="2" t="s">
        <v>4982</v>
      </c>
      <c r="X1272" s="2" t="s">
        <v>4925</v>
      </c>
      <c r="Y1272" s="2" t="s">
        <v>1032</v>
      </c>
      <c r="Z1272" s="2" t="s">
        <v>5449</v>
      </c>
      <c r="AA12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12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272" s="6" t="str">
        <f>IF(_xlfn.IFNA(INDEX(configuracoes!$A$2:$A$10,MATCH(base_tc_geral[[#This Row],[TIPO]],configuracoes!$A$2:$A$10,0)),"NÃO")="NÃO","NÃO","SIM")</f>
        <v>SIM</v>
      </c>
    </row>
    <row r="1273" spans="1:31" x14ac:dyDescent="0.25">
      <c r="A1273" s="2" t="s">
        <v>3640</v>
      </c>
      <c r="B1273" s="2">
        <v>101008003</v>
      </c>
      <c r="C1273" s="2" t="s">
        <v>15</v>
      </c>
      <c r="D1273" s="2" t="s">
        <v>4490</v>
      </c>
      <c r="E1273" s="2" t="s">
        <v>47</v>
      </c>
      <c r="F1273" s="2" t="s">
        <v>159</v>
      </c>
      <c r="G1273" s="2" t="s">
        <v>99</v>
      </c>
      <c r="H1273" s="2" t="s">
        <v>60</v>
      </c>
      <c r="I1273" s="2" t="s">
        <v>16</v>
      </c>
      <c r="J1273" s="2" t="s">
        <v>60</v>
      </c>
      <c r="K1273" s="2" t="s">
        <v>20</v>
      </c>
      <c r="L1273" s="2" t="s">
        <v>25</v>
      </c>
      <c r="M1273" s="2" t="s">
        <v>22</v>
      </c>
      <c r="N1273" s="2" t="s">
        <v>15</v>
      </c>
      <c r="O1273" s="2" t="s">
        <v>161</v>
      </c>
      <c r="P1273" s="2" t="s">
        <v>3642</v>
      </c>
      <c r="Q1273" s="2" t="s">
        <v>4926</v>
      </c>
      <c r="R1273" s="2" t="s">
        <v>100</v>
      </c>
      <c r="S1273" s="2" t="s">
        <v>101</v>
      </c>
      <c r="T1273" s="2" t="s">
        <v>4697</v>
      </c>
      <c r="U1273" s="2" t="s">
        <v>12</v>
      </c>
      <c r="V1273" s="2" t="s">
        <v>4806</v>
      </c>
      <c r="W1273" s="2" t="s">
        <v>4931</v>
      </c>
      <c r="X1273" s="2" t="s">
        <v>4925</v>
      </c>
      <c r="Y1273" s="2" t="s">
        <v>3641</v>
      </c>
      <c r="Z1273" s="2" t="s">
        <v>5450</v>
      </c>
      <c r="AA12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2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273" s="6" t="str">
        <f>IF(_xlfn.IFNA(INDEX(configuracoes!$A$2:$A$10,MATCH(base_tc_geral[[#This Row],[TIPO]],configuracoes!$A$2:$A$10,0)),"NÃO")="NÃO","NÃO","SIM")</f>
        <v>SIM</v>
      </c>
    </row>
    <row r="1274" spans="1:31" x14ac:dyDescent="0.25">
      <c r="A1274" s="2" t="s">
        <v>572</v>
      </c>
      <c r="B1274" s="2">
        <v>101001488</v>
      </c>
      <c r="C1274" s="2" t="s">
        <v>137</v>
      </c>
      <c r="D1274" s="2" t="s">
        <v>4480</v>
      </c>
      <c r="E1274" s="2" t="s">
        <v>47</v>
      </c>
      <c r="F1274" s="2" t="s">
        <v>159</v>
      </c>
      <c r="G1274" s="2" t="s">
        <v>99</v>
      </c>
      <c r="H1274" s="2" t="s">
        <v>60</v>
      </c>
      <c r="I1274" s="2" t="s">
        <v>16</v>
      </c>
      <c r="J1274" s="2" t="s">
        <v>60</v>
      </c>
      <c r="K1274" s="2" t="s">
        <v>13</v>
      </c>
      <c r="L1274" s="2" t="s">
        <v>25</v>
      </c>
      <c r="M1274" s="2" t="s">
        <v>22</v>
      </c>
      <c r="N1274" s="2" t="s">
        <v>137</v>
      </c>
      <c r="O1274" s="2" t="s">
        <v>161</v>
      </c>
      <c r="P1274" s="2" t="s">
        <v>574</v>
      </c>
      <c r="Q1274" s="2" t="s">
        <v>4926</v>
      </c>
      <c r="R1274" s="2" t="s">
        <v>252</v>
      </c>
      <c r="S1274" s="2" t="s">
        <v>101</v>
      </c>
      <c r="T1274" s="2" t="s">
        <v>4697</v>
      </c>
      <c r="U1274" s="2" t="s">
        <v>39</v>
      </c>
      <c r="V1274" s="2" t="s">
        <v>4838</v>
      </c>
      <c r="Y1274" s="2" t="s">
        <v>573</v>
      </c>
      <c r="AA12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2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74" s="6" t="str">
        <f>IF(_xlfn.IFNA(INDEX(configuracoes!$A$2:$A$10,MATCH(base_tc_geral[[#This Row],[TIPO]],configuracoes!$A$2:$A$10,0)),"NÃO")="NÃO","NÃO","SIM")</f>
        <v>SIM</v>
      </c>
    </row>
    <row r="1275" spans="1:31" x14ac:dyDescent="0.25">
      <c r="A1275" s="2" t="s">
        <v>921</v>
      </c>
      <c r="B1275" s="2">
        <v>102101587</v>
      </c>
      <c r="C1275" s="2" t="s">
        <v>43</v>
      </c>
      <c r="D1275" s="2" t="s">
        <v>4512</v>
      </c>
      <c r="E1275" s="2" t="s">
        <v>106</v>
      </c>
      <c r="F1275" s="2" t="s">
        <v>863</v>
      </c>
      <c r="G1275" s="2" t="s">
        <v>245</v>
      </c>
      <c r="H1275" s="2" t="s">
        <v>427</v>
      </c>
      <c r="I1275" s="2" t="s">
        <v>33</v>
      </c>
      <c r="J1275" s="2" t="s">
        <v>109</v>
      </c>
      <c r="K1275" s="2" t="s">
        <v>20</v>
      </c>
      <c r="L1275" s="2" t="s">
        <v>21</v>
      </c>
      <c r="M1275" s="2" t="s">
        <v>22</v>
      </c>
      <c r="N1275" s="2" t="s">
        <v>43</v>
      </c>
      <c r="O1275" s="2" t="s">
        <v>430</v>
      </c>
      <c r="P1275" s="2" t="s">
        <v>923</v>
      </c>
      <c r="Q1275" s="2" t="s">
        <v>4926</v>
      </c>
      <c r="R1275" s="2" t="s">
        <v>330</v>
      </c>
      <c r="S1275" s="2" t="s">
        <v>736</v>
      </c>
      <c r="T1275" s="2" t="s">
        <v>167</v>
      </c>
      <c r="U1275" s="2" t="s">
        <v>39</v>
      </c>
      <c r="V1275" s="2" t="s">
        <v>4773</v>
      </c>
      <c r="Y1275" s="2" t="s">
        <v>922</v>
      </c>
      <c r="AA12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AELGRICIO SILVA </v>
      </c>
      <c r="AB12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75" s="6" t="str">
        <f>IF(_xlfn.IFNA(INDEX(configuracoes!$A$2:$A$10,MATCH(base_tc_geral[[#This Row],[TIPO]],configuracoes!$A$2:$A$10,0)),"NÃO")="NÃO","NÃO","SIM")</f>
        <v>SIM</v>
      </c>
    </row>
    <row r="1276" spans="1:31" x14ac:dyDescent="0.25">
      <c r="A1276" s="2" t="s">
        <v>2258</v>
      </c>
      <c r="B1276" s="2">
        <v>105303207</v>
      </c>
      <c r="C1276" s="2" t="s">
        <v>43</v>
      </c>
      <c r="D1276" s="2" t="s">
        <v>4479</v>
      </c>
      <c r="E1276" s="2" t="s">
        <v>28</v>
      </c>
      <c r="F1276" s="2" t="s">
        <v>423</v>
      </c>
      <c r="G1276" s="2" t="s">
        <v>245</v>
      </c>
      <c r="H1276" s="2" t="s">
        <v>34</v>
      </c>
      <c r="I1276" s="2" t="s">
        <v>33</v>
      </c>
      <c r="J1276" s="2" t="s">
        <v>34</v>
      </c>
      <c r="K1276" s="2" t="s">
        <v>20</v>
      </c>
      <c r="L1276" s="2" t="s">
        <v>21</v>
      </c>
      <c r="M1276" s="2" t="s">
        <v>22</v>
      </c>
      <c r="N1276" s="2" t="s">
        <v>43</v>
      </c>
      <c r="O1276" s="2" t="s">
        <v>156</v>
      </c>
      <c r="P1276" s="2" t="s">
        <v>2260</v>
      </c>
      <c r="Q1276" s="2" t="s">
        <v>4926</v>
      </c>
      <c r="R1276" s="2" t="s">
        <v>2243</v>
      </c>
      <c r="S1276" s="2" t="s">
        <v>167</v>
      </c>
      <c r="T1276" s="2" t="s">
        <v>167</v>
      </c>
      <c r="U1276" s="2" t="s">
        <v>39</v>
      </c>
      <c r="V1276" s="2" t="s">
        <v>4852</v>
      </c>
      <c r="Y1276" s="2" t="s">
        <v>2259</v>
      </c>
      <c r="AA12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12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2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76" s="6" t="str">
        <f>IF(_xlfn.IFNA(INDEX(configuracoes!$A$2:$A$10,MATCH(base_tc_geral[[#This Row],[TIPO]],configuracoes!$A$2:$A$10,0)),"NÃO")="NÃO","NÃO","SIM")</f>
        <v>SIM</v>
      </c>
    </row>
    <row r="1277" spans="1:31" x14ac:dyDescent="0.25">
      <c r="A1277" s="2" t="s">
        <v>1352</v>
      </c>
      <c r="B1277" s="2">
        <v>109501286</v>
      </c>
      <c r="C1277" s="2" t="s">
        <v>43</v>
      </c>
      <c r="D1277" s="2" t="s">
        <v>4498</v>
      </c>
      <c r="E1277" s="2" t="s">
        <v>86</v>
      </c>
      <c r="F1277" s="2" t="s">
        <v>165</v>
      </c>
      <c r="G1277" s="2" t="s">
        <v>245</v>
      </c>
      <c r="H1277" s="2" t="s">
        <v>164</v>
      </c>
      <c r="I1277" s="2" t="s">
        <v>33</v>
      </c>
      <c r="J1277" s="2" t="s">
        <v>124</v>
      </c>
      <c r="K1277" s="2" t="s">
        <v>20</v>
      </c>
      <c r="L1277" s="2" t="s">
        <v>21</v>
      </c>
      <c r="M1277" s="2" t="s">
        <v>22</v>
      </c>
      <c r="N1277" s="2" t="s">
        <v>43</v>
      </c>
      <c r="O1277" s="2" t="s">
        <v>169</v>
      </c>
      <c r="P1277" s="2" t="s">
        <v>1354</v>
      </c>
      <c r="Q1277" s="2" t="s">
        <v>4926</v>
      </c>
      <c r="R1277" s="2" t="s">
        <v>498</v>
      </c>
      <c r="S1277" s="2" t="s">
        <v>93</v>
      </c>
      <c r="T1277" s="2" t="s">
        <v>4696</v>
      </c>
      <c r="U1277" s="2" t="s">
        <v>39</v>
      </c>
      <c r="V1277" s="2" t="s">
        <v>4798</v>
      </c>
      <c r="Y1277" s="2" t="s">
        <v>1353</v>
      </c>
      <c r="AA12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12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77" s="6" t="str">
        <f>IF(_xlfn.IFNA(INDEX(configuracoes!$A$2:$A$10,MATCH(base_tc_geral[[#This Row],[TIPO]],configuracoes!$A$2:$A$10,0)),"NÃO")="NÃO","NÃO","SIM")</f>
        <v>SIM</v>
      </c>
    </row>
    <row r="1278" spans="1:31" x14ac:dyDescent="0.25">
      <c r="A1278" s="2" t="s">
        <v>2255</v>
      </c>
      <c r="B1278" s="2">
        <v>105303207</v>
      </c>
      <c r="C1278" s="2" t="s">
        <v>43</v>
      </c>
      <c r="D1278" s="2" t="s">
        <v>4673</v>
      </c>
      <c r="E1278" s="2" t="s">
        <v>28</v>
      </c>
      <c r="F1278" s="2" t="s">
        <v>440</v>
      </c>
      <c r="G1278" s="2" t="s">
        <v>245</v>
      </c>
      <c r="H1278" s="2" t="s">
        <v>34</v>
      </c>
      <c r="I1278" s="2" t="s">
        <v>33</v>
      </c>
      <c r="J1278" s="2" t="s">
        <v>34</v>
      </c>
      <c r="K1278" s="2" t="s">
        <v>20</v>
      </c>
      <c r="L1278" s="2" t="s">
        <v>21</v>
      </c>
      <c r="M1278" s="2" t="s">
        <v>22</v>
      </c>
      <c r="N1278" s="2" t="s">
        <v>43</v>
      </c>
      <c r="O1278" s="2" t="s">
        <v>156</v>
      </c>
      <c r="P1278" s="2" t="s">
        <v>2257</v>
      </c>
      <c r="Q1278" s="2" t="s">
        <v>4926</v>
      </c>
      <c r="R1278" s="2" t="s">
        <v>2243</v>
      </c>
      <c r="S1278" s="2" t="s">
        <v>167</v>
      </c>
      <c r="T1278" s="2" t="s">
        <v>167</v>
      </c>
      <c r="U1278" s="2" t="s">
        <v>39</v>
      </c>
      <c r="V1278" s="2" t="s">
        <v>4905</v>
      </c>
      <c r="Y1278" s="2" t="s">
        <v>2256</v>
      </c>
      <c r="AA12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RAFAEL FERNANDES </v>
      </c>
      <c r="AB12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2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78" s="6" t="str">
        <f>IF(_xlfn.IFNA(INDEX(configuracoes!$A$2:$A$10,MATCH(base_tc_geral[[#This Row],[TIPO]],configuracoes!$A$2:$A$10,0)),"NÃO")="NÃO","NÃO","SIM")</f>
        <v>SIM</v>
      </c>
    </row>
    <row r="1279" spans="1:31" x14ac:dyDescent="0.25">
      <c r="A1279" s="2" t="s">
        <v>2127</v>
      </c>
      <c r="B1279" s="2">
        <v>101007665</v>
      </c>
      <c r="C1279" s="2" t="s">
        <v>43</v>
      </c>
      <c r="D1279" s="2" t="s">
        <v>4499</v>
      </c>
      <c r="E1279" s="2" t="s">
        <v>47</v>
      </c>
      <c r="F1279" s="2" t="s">
        <v>341</v>
      </c>
      <c r="G1279" s="2" t="s">
        <v>58</v>
      </c>
      <c r="H1279" s="2" t="s">
        <v>56</v>
      </c>
      <c r="I1279" s="2" t="s">
        <v>16</v>
      </c>
      <c r="J1279" s="2" t="s">
        <v>60</v>
      </c>
      <c r="K1279" s="2" t="s">
        <v>20</v>
      </c>
      <c r="L1279" s="2" t="s">
        <v>61</v>
      </c>
      <c r="M1279" s="2" t="s">
        <v>22</v>
      </c>
      <c r="N1279" s="2" t="s">
        <v>43</v>
      </c>
      <c r="O1279" s="2" t="s">
        <v>63</v>
      </c>
      <c r="P1279" s="2" t="s">
        <v>2129</v>
      </c>
      <c r="Q1279" s="2" t="s">
        <v>4926</v>
      </c>
      <c r="R1279" s="2" t="s">
        <v>342</v>
      </c>
      <c r="S1279" s="2" t="s">
        <v>51</v>
      </c>
      <c r="T1279" s="2" t="s">
        <v>4697</v>
      </c>
      <c r="U1279" s="2" t="s">
        <v>39</v>
      </c>
      <c r="V1279" s="2" t="s">
        <v>4810</v>
      </c>
      <c r="Y1279" s="2" t="s">
        <v>2128</v>
      </c>
      <c r="AA12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2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2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79" s="6" t="str">
        <f>IF(_xlfn.IFNA(INDEX(configuracoes!$A$2:$A$10,MATCH(base_tc_geral[[#This Row],[TIPO]],configuracoes!$A$2:$A$10,0)),"NÃO")="NÃO","NÃO","SIM")</f>
        <v>NÃO</v>
      </c>
    </row>
    <row r="1280" spans="1:31" x14ac:dyDescent="0.25">
      <c r="A1280" s="2" t="s">
        <v>4329</v>
      </c>
      <c r="B1280" s="2">
        <v>109000499</v>
      </c>
      <c r="C1280" s="2" t="s">
        <v>43</v>
      </c>
      <c r="D1280" s="2" t="s">
        <v>4486</v>
      </c>
      <c r="E1280" s="2" t="s">
        <v>86</v>
      </c>
      <c r="F1280" s="2" t="s">
        <v>211</v>
      </c>
      <c r="G1280" s="2" t="s">
        <v>136</v>
      </c>
      <c r="H1280" s="2" t="s">
        <v>210</v>
      </c>
      <c r="I1280" s="2" t="s">
        <v>33</v>
      </c>
      <c r="J1280" s="2" t="s">
        <v>124</v>
      </c>
      <c r="K1280" s="2" t="s">
        <v>13</v>
      </c>
      <c r="L1280" s="2" t="s">
        <v>72</v>
      </c>
      <c r="M1280" s="2" t="s">
        <v>73</v>
      </c>
      <c r="N1280" s="2" t="s">
        <v>43</v>
      </c>
      <c r="O1280" s="2" t="s">
        <v>214</v>
      </c>
      <c r="P1280" s="2" t="s">
        <v>4331</v>
      </c>
      <c r="Q1280" s="2" t="s">
        <v>4926</v>
      </c>
      <c r="R1280" s="2" t="s">
        <v>321</v>
      </c>
      <c r="S1280" s="2" t="s">
        <v>93</v>
      </c>
      <c r="T1280" s="2" t="s">
        <v>4696</v>
      </c>
      <c r="U1280" s="2" t="s">
        <v>39</v>
      </c>
      <c r="V1280" s="2" t="s">
        <v>4783</v>
      </c>
      <c r="Y1280" s="2" t="s">
        <v>4330</v>
      </c>
      <c r="AA12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2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0" s="6" t="str">
        <f>IF(_xlfn.IFNA(INDEX(configuracoes!$A$2:$A$10,MATCH(base_tc_geral[[#This Row],[TIPO]],configuracoes!$A$2:$A$10,0)),"NÃO")="NÃO","NÃO","SIM")</f>
        <v>NÃO</v>
      </c>
    </row>
    <row r="1281" spans="1:31" x14ac:dyDescent="0.25">
      <c r="A1281" s="2" t="s">
        <v>4455</v>
      </c>
      <c r="B1281" s="2">
        <v>101008003</v>
      </c>
      <c r="C1281" s="2" t="s">
        <v>43</v>
      </c>
      <c r="D1281" s="2" t="s">
        <v>4512</v>
      </c>
      <c r="E1281" s="2" t="s">
        <v>47</v>
      </c>
      <c r="F1281" s="2" t="s">
        <v>251</v>
      </c>
      <c r="G1281" s="2" t="s">
        <v>99</v>
      </c>
      <c r="H1281" s="2" t="s">
        <v>224</v>
      </c>
      <c r="I1281" s="2" t="s">
        <v>16</v>
      </c>
      <c r="J1281" s="2" t="s">
        <v>227</v>
      </c>
      <c r="K1281" s="2" t="s">
        <v>13</v>
      </c>
      <c r="L1281" s="2" t="s">
        <v>25</v>
      </c>
      <c r="M1281" s="2" t="s">
        <v>22</v>
      </c>
      <c r="N1281" s="2" t="s">
        <v>43</v>
      </c>
      <c r="O1281" s="2" t="s">
        <v>229</v>
      </c>
      <c r="P1281" s="2" t="s">
        <v>4457</v>
      </c>
      <c r="Q1281" s="2" t="s">
        <v>4926</v>
      </c>
      <c r="R1281" s="2" t="s">
        <v>100</v>
      </c>
      <c r="S1281" s="2" t="s">
        <v>101</v>
      </c>
      <c r="T1281" s="2" t="s">
        <v>4697</v>
      </c>
      <c r="U1281" s="2" t="s">
        <v>39</v>
      </c>
      <c r="V1281" s="2" t="s">
        <v>4806</v>
      </c>
      <c r="Y1281" s="2" t="s">
        <v>4456</v>
      </c>
      <c r="AA12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2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1" s="6" t="str">
        <f>IF(_xlfn.IFNA(INDEX(configuracoes!$A$2:$A$10,MATCH(base_tc_geral[[#This Row],[TIPO]],configuracoes!$A$2:$A$10,0)),"NÃO")="NÃO","NÃO","SIM")</f>
        <v>SIM</v>
      </c>
    </row>
    <row r="1282" spans="1:31" x14ac:dyDescent="0.25">
      <c r="A1282" s="2" t="s">
        <v>1478</v>
      </c>
      <c r="B1282" s="2">
        <v>428271</v>
      </c>
      <c r="C1282" s="2" t="s">
        <v>43</v>
      </c>
      <c r="D1282" s="2" t="s">
        <v>4498</v>
      </c>
      <c r="E1282" s="2" t="s">
        <v>47</v>
      </c>
      <c r="F1282" s="2" t="s">
        <v>269</v>
      </c>
      <c r="G1282" s="2" t="s">
        <v>245</v>
      </c>
      <c r="H1282" s="2" t="s">
        <v>227</v>
      </c>
      <c r="I1282" s="2" t="s">
        <v>16</v>
      </c>
      <c r="J1282" s="2" t="s">
        <v>227</v>
      </c>
      <c r="K1282" s="2" t="s">
        <v>20</v>
      </c>
      <c r="L1282" s="2" t="s">
        <v>21</v>
      </c>
      <c r="M1282" s="2" t="s">
        <v>22</v>
      </c>
      <c r="N1282" s="2" t="s">
        <v>43</v>
      </c>
      <c r="O1282" s="2" t="s">
        <v>271</v>
      </c>
      <c r="P1282" s="2" t="s">
        <v>1480</v>
      </c>
      <c r="Q1282" s="2" t="s">
        <v>4926</v>
      </c>
      <c r="R1282" s="2" t="s">
        <v>4828</v>
      </c>
      <c r="S1282" s="2" t="s">
        <v>4698</v>
      </c>
      <c r="T1282" s="2" t="s">
        <v>4697</v>
      </c>
      <c r="U1282" s="2" t="s">
        <v>39</v>
      </c>
      <c r="V1282" s="2" t="s">
        <v>4829</v>
      </c>
      <c r="Y1282" s="2" t="s">
        <v>1479</v>
      </c>
      <c r="AA12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2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2" s="6" t="str">
        <f>IF(_xlfn.IFNA(INDEX(configuracoes!$A$2:$A$10,MATCH(base_tc_geral[[#This Row],[TIPO]],configuracoes!$A$2:$A$10,0)),"NÃO")="NÃO","NÃO","SIM")</f>
        <v>SIM</v>
      </c>
    </row>
    <row r="1283" spans="1:31" x14ac:dyDescent="0.25">
      <c r="A1283" s="2" t="s">
        <v>2959</v>
      </c>
      <c r="B1283" s="2">
        <v>109506032</v>
      </c>
      <c r="C1283" s="2" t="s">
        <v>183</v>
      </c>
      <c r="D1283" s="2" t="s">
        <v>4517</v>
      </c>
      <c r="E1283" s="2" t="s">
        <v>28</v>
      </c>
      <c r="F1283" s="2" t="s">
        <v>440</v>
      </c>
      <c r="G1283" s="2" t="s">
        <v>245</v>
      </c>
      <c r="H1283" s="2" t="s">
        <v>34</v>
      </c>
      <c r="I1283" s="2" t="s">
        <v>33</v>
      </c>
      <c r="J1283" s="2" t="s">
        <v>34</v>
      </c>
      <c r="K1283" s="2" t="s">
        <v>20</v>
      </c>
      <c r="L1283" s="2" t="s">
        <v>21</v>
      </c>
      <c r="M1283" s="2" t="s">
        <v>22</v>
      </c>
      <c r="N1283" s="2" t="s">
        <v>183</v>
      </c>
      <c r="O1283" s="2" t="s">
        <v>156</v>
      </c>
      <c r="P1283" s="2" t="s">
        <v>2961</v>
      </c>
      <c r="Q1283" s="2" t="s">
        <v>4926</v>
      </c>
      <c r="R1283" s="2" t="s">
        <v>2892</v>
      </c>
      <c r="S1283" s="2" t="s">
        <v>93</v>
      </c>
      <c r="T1283" s="2" t="s">
        <v>4696</v>
      </c>
      <c r="U1283" s="2" t="s">
        <v>39</v>
      </c>
      <c r="V1283" s="2" t="s">
        <v>4774</v>
      </c>
      <c r="Y1283" s="2" t="s">
        <v>2960</v>
      </c>
      <c r="AA12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2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3" s="6" t="str">
        <f>IF(_xlfn.IFNA(INDEX(configuracoes!$A$2:$A$10,MATCH(base_tc_geral[[#This Row],[TIPO]],configuracoes!$A$2:$A$10,0)),"NÃO")="NÃO","NÃO","SIM")</f>
        <v>SIM</v>
      </c>
    </row>
    <row r="1284" spans="1:31" x14ac:dyDescent="0.25">
      <c r="A1284" s="2" t="s">
        <v>1472</v>
      </c>
      <c r="B1284" s="2">
        <v>428271</v>
      </c>
      <c r="C1284" s="2" t="s">
        <v>43</v>
      </c>
      <c r="D1284" s="2" t="s">
        <v>4499</v>
      </c>
      <c r="E1284" s="2" t="s">
        <v>47</v>
      </c>
      <c r="F1284" s="2" t="s">
        <v>269</v>
      </c>
      <c r="G1284" s="2" t="s">
        <v>245</v>
      </c>
      <c r="H1284" s="2" t="s">
        <v>227</v>
      </c>
      <c r="I1284" s="2" t="s">
        <v>16</v>
      </c>
      <c r="J1284" s="2" t="s">
        <v>227</v>
      </c>
      <c r="K1284" s="2" t="s">
        <v>20</v>
      </c>
      <c r="L1284" s="2" t="s">
        <v>21</v>
      </c>
      <c r="M1284" s="2" t="s">
        <v>22</v>
      </c>
      <c r="N1284" s="2" t="s">
        <v>43</v>
      </c>
      <c r="O1284" s="2" t="s">
        <v>271</v>
      </c>
      <c r="P1284" s="2" t="s">
        <v>1474</v>
      </c>
      <c r="Q1284" s="2" t="s">
        <v>4926</v>
      </c>
      <c r="R1284" s="2" t="s">
        <v>4828</v>
      </c>
      <c r="S1284" s="2" t="s">
        <v>4698</v>
      </c>
      <c r="T1284" s="2" t="s">
        <v>4697</v>
      </c>
      <c r="U1284" s="2" t="s">
        <v>39</v>
      </c>
      <c r="V1284" s="2" t="s">
        <v>4829</v>
      </c>
      <c r="Y1284" s="2" t="s">
        <v>1473</v>
      </c>
      <c r="AA12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2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4" s="6" t="str">
        <f>IF(_xlfn.IFNA(INDEX(configuracoes!$A$2:$A$10,MATCH(base_tc_geral[[#This Row],[TIPO]],configuracoes!$A$2:$A$10,0)),"NÃO")="NÃO","NÃO","SIM")</f>
        <v>SIM</v>
      </c>
    </row>
    <row r="1285" spans="1:31" x14ac:dyDescent="0.25">
      <c r="A1285" s="2" t="s">
        <v>1164</v>
      </c>
      <c r="B1285" s="2">
        <v>109000926</v>
      </c>
      <c r="C1285" s="2" t="s">
        <v>43</v>
      </c>
      <c r="D1285" s="2" t="s">
        <v>4498</v>
      </c>
      <c r="E1285" s="2" t="s">
        <v>86</v>
      </c>
      <c r="F1285" s="2" t="s">
        <v>205</v>
      </c>
      <c r="G1285" s="2" t="s">
        <v>245</v>
      </c>
      <c r="H1285" s="2" t="s">
        <v>122</v>
      </c>
      <c r="I1285" s="2" t="s">
        <v>33</v>
      </c>
      <c r="J1285" s="2" t="s">
        <v>124</v>
      </c>
      <c r="K1285" s="2" t="s">
        <v>20</v>
      </c>
      <c r="L1285" s="2" t="s">
        <v>21</v>
      </c>
      <c r="M1285" s="2" t="s">
        <v>22</v>
      </c>
      <c r="N1285" s="2" t="s">
        <v>43</v>
      </c>
      <c r="O1285" s="2" t="s">
        <v>129</v>
      </c>
      <c r="P1285" s="2" t="s">
        <v>1166</v>
      </c>
      <c r="Q1285" s="2" t="s">
        <v>4926</v>
      </c>
      <c r="R1285" s="2" t="s">
        <v>285</v>
      </c>
      <c r="S1285" s="2" t="s">
        <v>125</v>
      </c>
      <c r="T1285" s="2" t="s">
        <v>4696</v>
      </c>
      <c r="U1285" s="2" t="s">
        <v>39</v>
      </c>
      <c r="V1285" s="2" t="s">
        <v>4777</v>
      </c>
      <c r="Y1285" s="2" t="s">
        <v>1165</v>
      </c>
      <c r="AA12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2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5" s="6" t="str">
        <f>IF(_xlfn.IFNA(INDEX(configuracoes!$A$2:$A$10,MATCH(base_tc_geral[[#This Row],[TIPO]],configuracoes!$A$2:$A$10,0)),"NÃO")="NÃO","NÃO","SIM")</f>
        <v>SIM</v>
      </c>
    </row>
    <row r="1286" spans="1:31" x14ac:dyDescent="0.25">
      <c r="A1286" s="2" t="s">
        <v>2006</v>
      </c>
      <c r="B1286" s="2">
        <v>109000943</v>
      </c>
      <c r="C1286" s="2" t="s">
        <v>43</v>
      </c>
      <c r="D1286" s="2" t="s">
        <v>4546</v>
      </c>
      <c r="E1286" s="2" t="s">
        <v>86</v>
      </c>
      <c r="F1286" s="2" t="s">
        <v>205</v>
      </c>
      <c r="G1286" s="2" t="s">
        <v>245</v>
      </c>
      <c r="H1286" s="2" t="s">
        <v>122</v>
      </c>
      <c r="I1286" s="2" t="s">
        <v>33</v>
      </c>
      <c r="J1286" s="2" t="s">
        <v>124</v>
      </c>
      <c r="K1286" s="2" t="s">
        <v>20</v>
      </c>
      <c r="L1286" s="2" t="s">
        <v>21</v>
      </c>
      <c r="M1286" s="2" t="s">
        <v>22</v>
      </c>
      <c r="N1286" s="2" t="s">
        <v>43</v>
      </c>
      <c r="O1286" s="2" t="s">
        <v>129</v>
      </c>
      <c r="P1286" s="2" t="s">
        <v>2008</v>
      </c>
      <c r="Q1286" s="2" t="s">
        <v>4926</v>
      </c>
      <c r="R1286" s="2" t="s">
        <v>206</v>
      </c>
      <c r="S1286" s="2" t="s">
        <v>125</v>
      </c>
      <c r="T1286" s="2" t="s">
        <v>4696</v>
      </c>
      <c r="U1286" s="2" t="s">
        <v>39</v>
      </c>
      <c r="V1286" s="2" t="s">
        <v>4770</v>
      </c>
      <c r="Y1286" s="2" t="s">
        <v>2007</v>
      </c>
      <c r="AA12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2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6" s="6" t="str">
        <f>IF(_xlfn.IFNA(INDEX(configuracoes!$A$2:$A$10,MATCH(base_tc_geral[[#This Row],[TIPO]],configuracoes!$A$2:$A$10,0)),"NÃO")="NÃO","NÃO","SIM")</f>
        <v>SIM</v>
      </c>
    </row>
    <row r="1287" spans="1:31" x14ac:dyDescent="0.25">
      <c r="A1287" s="2" t="s">
        <v>3358</v>
      </c>
      <c r="B1287" s="2">
        <v>101001488</v>
      </c>
      <c r="C1287" s="2" t="s">
        <v>137</v>
      </c>
      <c r="D1287" s="2" t="s">
        <v>4480</v>
      </c>
      <c r="E1287" s="2" t="s">
        <v>47</v>
      </c>
      <c r="F1287" s="2" t="s">
        <v>159</v>
      </c>
      <c r="G1287" s="2" t="s">
        <v>99</v>
      </c>
      <c r="H1287" s="2" t="s">
        <v>60</v>
      </c>
      <c r="I1287" s="2" t="s">
        <v>16</v>
      </c>
      <c r="J1287" s="2" t="s">
        <v>60</v>
      </c>
      <c r="K1287" s="2" t="s">
        <v>13</v>
      </c>
      <c r="L1287" s="2" t="s">
        <v>25</v>
      </c>
      <c r="M1287" s="2" t="s">
        <v>22</v>
      </c>
      <c r="N1287" s="2" t="s">
        <v>137</v>
      </c>
      <c r="O1287" s="2" t="s">
        <v>161</v>
      </c>
      <c r="P1287" s="2" t="s">
        <v>3360</v>
      </c>
      <c r="Q1287" s="2" t="s">
        <v>4926</v>
      </c>
      <c r="R1287" s="2" t="s">
        <v>252</v>
      </c>
      <c r="S1287" s="2" t="s">
        <v>101</v>
      </c>
      <c r="T1287" s="2" t="s">
        <v>4697</v>
      </c>
      <c r="U1287" s="2" t="s">
        <v>39</v>
      </c>
      <c r="V1287" s="2" t="s">
        <v>4838</v>
      </c>
      <c r="Y1287" s="2" t="s">
        <v>3359</v>
      </c>
      <c r="AA12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2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2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7" s="6" t="str">
        <f>IF(_xlfn.IFNA(INDEX(configuracoes!$A$2:$A$10,MATCH(base_tc_geral[[#This Row],[TIPO]],configuracoes!$A$2:$A$10,0)),"NÃO")="NÃO","NÃO","SIM")</f>
        <v>SIM</v>
      </c>
    </row>
    <row r="1288" spans="1:31" x14ac:dyDescent="0.25">
      <c r="A1288" s="2" t="s">
        <v>2864</v>
      </c>
      <c r="B1288" s="2">
        <v>101005241</v>
      </c>
      <c r="C1288" s="2" t="s">
        <v>43</v>
      </c>
      <c r="D1288" s="2" t="s">
        <v>4562</v>
      </c>
      <c r="E1288" s="2" t="s">
        <v>47</v>
      </c>
      <c r="F1288" s="2" t="s">
        <v>142</v>
      </c>
      <c r="G1288" s="2" t="s">
        <v>68</v>
      </c>
      <c r="H1288" s="2" t="s">
        <v>141</v>
      </c>
      <c r="I1288" s="2" t="s">
        <v>16</v>
      </c>
      <c r="J1288" s="2" t="s">
        <v>141</v>
      </c>
      <c r="K1288" s="2" t="s">
        <v>13</v>
      </c>
      <c r="L1288" s="2" t="s">
        <v>17</v>
      </c>
      <c r="M1288" s="2" t="s">
        <v>22</v>
      </c>
      <c r="N1288" s="2" t="s">
        <v>43</v>
      </c>
      <c r="O1288" s="2" t="s">
        <v>145</v>
      </c>
      <c r="P1288" s="2" t="s">
        <v>2866</v>
      </c>
      <c r="Q1288" s="2" t="s">
        <v>4926</v>
      </c>
      <c r="R1288" s="2" t="s">
        <v>143</v>
      </c>
      <c r="S1288" s="2" t="s">
        <v>4698</v>
      </c>
      <c r="T1288" s="2" t="s">
        <v>4697</v>
      </c>
      <c r="U1288" s="2" t="s">
        <v>39</v>
      </c>
      <c r="V1288" s="2" t="s">
        <v>4845</v>
      </c>
      <c r="Y1288" s="2" t="s">
        <v>2865</v>
      </c>
      <c r="AA12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2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8" s="6" t="str">
        <f>IF(_xlfn.IFNA(INDEX(configuracoes!$A$2:$A$10,MATCH(base_tc_geral[[#This Row],[TIPO]],configuracoes!$A$2:$A$10,0)),"NÃO")="NÃO","NÃO","SIM")</f>
        <v>NÃO</v>
      </c>
    </row>
    <row r="1289" spans="1:31" x14ac:dyDescent="0.25">
      <c r="A1289" s="2" t="s">
        <v>940</v>
      </c>
      <c r="B1289" s="2">
        <v>109000017</v>
      </c>
      <c r="C1289" s="2" t="s">
        <v>43</v>
      </c>
      <c r="D1289" s="2" t="s">
        <v>4498</v>
      </c>
      <c r="E1289" s="2" t="s">
        <v>86</v>
      </c>
      <c r="F1289" s="2" t="s">
        <v>274</v>
      </c>
      <c r="G1289" s="2" t="s">
        <v>245</v>
      </c>
      <c r="H1289" s="2" t="s">
        <v>210</v>
      </c>
      <c r="I1289" s="2" t="s">
        <v>33</v>
      </c>
      <c r="J1289" s="2" t="s">
        <v>124</v>
      </c>
      <c r="K1289" s="2" t="s">
        <v>20</v>
      </c>
      <c r="L1289" s="2" t="s">
        <v>21</v>
      </c>
      <c r="M1289" s="2" t="s">
        <v>22</v>
      </c>
      <c r="N1289" s="2" t="s">
        <v>43</v>
      </c>
      <c r="O1289" s="2" t="s">
        <v>214</v>
      </c>
      <c r="P1289" s="2" t="s">
        <v>942</v>
      </c>
      <c r="Q1289" s="2" t="s">
        <v>4926</v>
      </c>
      <c r="R1289" s="2" t="s">
        <v>212</v>
      </c>
      <c r="S1289" s="2" t="s">
        <v>93</v>
      </c>
      <c r="T1289" s="2" t="s">
        <v>4696</v>
      </c>
      <c r="U1289" s="2" t="s">
        <v>39</v>
      </c>
      <c r="V1289" s="2" t="s">
        <v>4820</v>
      </c>
      <c r="Y1289" s="2" t="s">
        <v>941</v>
      </c>
      <c r="AA12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2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2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89" s="6" t="str">
        <f>IF(_xlfn.IFNA(INDEX(configuracoes!$A$2:$A$10,MATCH(base_tc_geral[[#This Row],[TIPO]],configuracoes!$A$2:$A$10,0)),"NÃO")="NÃO","NÃO","SIM")</f>
        <v>SIM</v>
      </c>
    </row>
    <row r="1290" spans="1:31" x14ac:dyDescent="0.25">
      <c r="A1290" s="2" t="s">
        <v>2766</v>
      </c>
      <c r="B1290" s="2">
        <v>101009488</v>
      </c>
      <c r="C1290" s="2" t="s">
        <v>43</v>
      </c>
      <c r="D1290" s="2" t="s">
        <v>4531</v>
      </c>
      <c r="E1290" s="2" t="s">
        <v>47</v>
      </c>
      <c r="F1290" s="2" t="s">
        <v>312</v>
      </c>
      <c r="G1290" s="2" t="s">
        <v>58</v>
      </c>
      <c r="H1290" s="2" t="s">
        <v>311</v>
      </c>
      <c r="I1290" s="2" t="s">
        <v>16</v>
      </c>
      <c r="J1290" s="2" t="s">
        <v>141</v>
      </c>
      <c r="K1290" s="2" t="s">
        <v>13</v>
      </c>
      <c r="L1290" s="2" t="s">
        <v>61</v>
      </c>
      <c r="M1290" s="2" t="s">
        <v>408</v>
      </c>
      <c r="N1290" s="2" t="s">
        <v>43</v>
      </c>
      <c r="O1290" s="2" t="s">
        <v>314</v>
      </c>
      <c r="P1290" s="2" t="s">
        <v>2769</v>
      </c>
      <c r="Q1290" s="2" t="s">
        <v>4926</v>
      </c>
      <c r="R1290" s="2" t="s">
        <v>2767</v>
      </c>
      <c r="S1290" s="2" t="s">
        <v>4702</v>
      </c>
      <c r="T1290" s="2" t="s">
        <v>110</v>
      </c>
      <c r="U1290" s="2" t="s">
        <v>39</v>
      </c>
      <c r="V1290" s="2" t="s">
        <v>4830</v>
      </c>
      <c r="Y1290" s="2" t="s">
        <v>2768</v>
      </c>
      <c r="AA12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ROGER DO </v>
      </c>
      <c r="AB12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ROBERTA OLIVEIRA </v>
      </c>
      <c r="AC12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12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0" s="6" t="str">
        <f>IF(_xlfn.IFNA(INDEX(configuracoes!$A$2:$A$10,MATCH(base_tc_geral[[#This Row],[TIPO]],configuracoes!$A$2:$A$10,0)),"NÃO")="NÃO","NÃO","SIM")</f>
        <v>NÃO</v>
      </c>
    </row>
    <row r="1291" spans="1:31" x14ac:dyDescent="0.25">
      <c r="A1291" s="2" t="s">
        <v>1049</v>
      </c>
      <c r="B1291" s="2">
        <v>109504012</v>
      </c>
      <c r="C1291" s="2" t="s">
        <v>43</v>
      </c>
      <c r="D1291" s="2" t="s">
        <v>4479</v>
      </c>
      <c r="E1291" s="2" t="s">
        <v>28</v>
      </c>
      <c r="F1291" s="2" t="s">
        <v>570</v>
      </c>
      <c r="G1291" s="2" t="s">
        <v>245</v>
      </c>
      <c r="H1291" s="2" t="s">
        <v>34</v>
      </c>
      <c r="I1291" s="2" t="s">
        <v>33</v>
      </c>
      <c r="J1291" s="2" t="s">
        <v>34</v>
      </c>
      <c r="K1291" s="2" t="s">
        <v>20</v>
      </c>
      <c r="L1291" s="2" t="s">
        <v>21</v>
      </c>
      <c r="M1291" s="2" t="s">
        <v>22</v>
      </c>
      <c r="N1291" s="2" t="s">
        <v>43</v>
      </c>
      <c r="O1291" s="2" t="s">
        <v>156</v>
      </c>
      <c r="P1291" s="2" t="s">
        <v>1051</v>
      </c>
      <c r="Q1291" s="2" t="s">
        <v>4926</v>
      </c>
      <c r="R1291" s="2" t="s">
        <v>166</v>
      </c>
      <c r="S1291" s="2" t="s">
        <v>167</v>
      </c>
      <c r="T1291" s="2" t="s">
        <v>167</v>
      </c>
      <c r="U1291" s="2" t="s">
        <v>39</v>
      </c>
      <c r="V1291" s="2" t="s">
        <v>4775</v>
      </c>
      <c r="Y1291" s="2" t="s">
        <v>1050</v>
      </c>
      <c r="AA12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2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2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1" s="6" t="str">
        <f>IF(_xlfn.IFNA(INDEX(configuracoes!$A$2:$A$10,MATCH(base_tc_geral[[#This Row],[TIPO]],configuracoes!$A$2:$A$10,0)),"NÃO")="NÃO","NÃO","SIM")</f>
        <v>SIM</v>
      </c>
    </row>
    <row r="1292" spans="1:31" x14ac:dyDescent="0.25">
      <c r="A1292" s="2" t="s">
        <v>958</v>
      </c>
      <c r="B1292" s="2">
        <v>101005376</v>
      </c>
      <c r="C1292" s="2" t="s">
        <v>43</v>
      </c>
      <c r="D1292" s="2" t="s">
        <v>4501</v>
      </c>
      <c r="E1292" s="2" t="s">
        <v>47</v>
      </c>
      <c r="F1292" s="2" t="s">
        <v>57</v>
      </c>
      <c r="G1292" s="2" t="s">
        <v>58</v>
      </c>
      <c r="H1292" s="2" t="s">
        <v>56</v>
      </c>
      <c r="I1292" s="2" t="s">
        <v>16</v>
      </c>
      <c r="J1292" s="2" t="s">
        <v>60</v>
      </c>
      <c r="K1292" s="2" t="s">
        <v>13</v>
      </c>
      <c r="L1292" s="2" t="s">
        <v>61</v>
      </c>
      <c r="M1292" s="2" t="s">
        <v>44</v>
      </c>
      <c r="N1292" s="2" t="s">
        <v>43</v>
      </c>
      <c r="O1292" s="2" t="s">
        <v>63</v>
      </c>
      <c r="P1292" s="2" t="s">
        <v>961</v>
      </c>
      <c r="Q1292" s="2" t="s">
        <v>4926</v>
      </c>
      <c r="R1292" s="2" t="s">
        <v>959</v>
      </c>
      <c r="S1292" s="2" t="s">
        <v>359</v>
      </c>
      <c r="T1292" s="2" t="s">
        <v>4697</v>
      </c>
      <c r="U1292" s="2" t="s">
        <v>39</v>
      </c>
      <c r="V1292" s="2" t="s">
        <v>4812</v>
      </c>
      <c r="Y1292" s="2" t="s">
        <v>960</v>
      </c>
      <c r="AA12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VENILSON </v>
      </c>
      <c r="AB12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2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2" s="6" t="str">
        <f>IF(_xlfn.IFNA(INDEX(configuracoes!$A$2:$A$10,MATCH(base_tc_geral[[#This Row],[TIPO]],configuracoes!$A$2:$A$10,0)),"NÃO")="NÃO","NÃO","SIM")</f>
        <v>NÃO</v>
      </c>
    </row>
    <row r="1293" spans="1:31" x14ac:dyDescent="0.25">
      <c r="A1293" s="2" t="s">
        <v>1815</v>
      </c>
      <c r="B1293" s="2">
        <v>109505049</v>
      </c>
      <c r="C1293" s="2" t="s">
        <v>1816</v>
      </c>
      <c r="D1293" s="2" t="s">
        <v>4641</v>
      </c>
      <c r="E1293" s="2" t="s">
        <v>86</v>
      </c>
      <c r="F1293" s="2" t="s">
        <v>594</v>
      </c>
      <c r="G1293" s="2" t="s">
        <v>99</v>
      </c>
      <c r="H1293" s="2" t="s">
        <v>122</v>
      </c>
      <c r="I1293" s="2" t="s">
        <v>33</v>
      </c>
      <c r="J1293" s="2" t="s">
        <v>124</v>
      </c>
      <c r="K1293" s="2" t="s">
        <v>20</v>
      </c>
      <c r="L1293" s="2" t="s">
        <v>25</v>
      </c>
      <c r="M1293" s="2" t="s">
        <v>22</v>
      </c>
      <c r="N1293" s="2" t="s">
        <v>1816</v>
      </c>
      <c r="O1293" s="2" t="s">
        <v>129</v>
      </c>
      <c r="P1293" s="2" t="s">
        <v>1818</v>
      </c>
      <c r="Q1293" s="2" t="s">
        <v>4926</v>
      </c>
      <c r="R1293" s="2" t="s">
        <v>541</v>
      </c>
      <c r="S1293" s="2" t="s">
        <v>125</v>
      </c>
      <c r="T1293" s="2" t="s">
        <v>4696</v>
      </c>
      <c r="U1293" s="2" t="s">
        <v>39</v>
      </c>
      <c r="V1293" s="2" t="s">
        <v>4765</v>
      </c>
      <c r="Y1293" s="2" t="s">
        <v>1817</v>
      </c>
      <c r="AA129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29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9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9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3" s="6" t="str">
        <f>IF(_xlfn.IFNA(INDEX(configuracoes!$A$2:$A$10,MATCH(base_tc_geral[[#This Row],[TIPO]],configuracoes!$A$2:$A$10,0)),"NÃO")="NÃO","NÃO","SIM")</f>
        <v>SIM</v>
      </c>
    </row>
    <row r="1294" spans="1:31" x14ac:dyDescent="0.25">
      <c r="A1294" s="2" t="s">
        <v>2078</v>
      </c>
      <c r="B1294" s="2">
        <v>109000926</v>
      </c>
      <c r="C1294" s="2" t="s">
        <v>43</v>
      </c>
      <c r="D1294" s="2" t="s">
        <v>4562</v>
      </c>
      <c r="E1294" s="2" t="s">
        <v>86</v>
      </c>
      <c r="F1294" s="2" t="s">
        <v>325</v>
      </c>
      <c r="G1294" s="2" t="s">
        <v>245</v>
      </c>
      <c r="H1294" s="2" t="s">
        <v>283</v>
      </c>
      <c r="I1294" s="2" t="s">
        <v>33</v>
      </c>
      <c r="J1294" s="2" t="s">
        <v>124</v>
      </c>
      <c r="K1294" s="2" t="s">
        <v>20</v>
      </c>
      <c r="L1294" s="2" t="s">
        <v>21</v>
      </c>
      <c r="M1294" s="2" t="s">
        <v>22</v>
      </c>
      <c r="N1294" s="2" t="s">
        <v>43</v>
      </c>
      <c r="O1294" s="2" t="s">
        <v>287</v>
      </c>
      <c r="P1294" s="2" t="s">
        <v>2080</v>
      </c>
      <c r="Q1294" s="2" t="s">
        <v>4926</v>
      </c>
      <c r="R1294" s="2" t="s">
        <v>285</v>
      </c>
      <c r="S1294" s="2" t="s">
        <v>125</v>
      </c>
      <c r="T1294" s="2" t="s">
        <v>4696</v>
      </c>
      <c r="U1294" s="2" t="s">
        <v>39</v>
      </c>
      <c r="V1294" s="2" t="s">
        <v>4771</v>
      </c>
      <c r="Y1294" s="2" t="s">
        <v>2079</v>
      </c>
      <c r="AA129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29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9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9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4" s="6" t="str">
        <f>IF(_xlfn.IFNA(INDEX(configuracoes!$A$2:$A$10,MATCH(base_tc_geral[[#This Row],[TIPO]],configuracoes!$A$2:$A$10,0)),"NÃO")="NÃO","NÃO","SIM")</f>
        <v>SIM</v>
      </c>
    </row>
    <row r="1295" spans="1:31" x14ac:dyDescent="0.25">
      <c r="A1295" s="2" t="s">
        <v>3784</v>
      </c>
      <c r="B1295" s="2">
        <v>102101634</v>
      </c>
      <c r="C1295" s="2" t="s">
        <v>43</v>
      </c>
      <c r="D1295" s="2" t="s">
        <v>4512</v>
      </c>
      <c r="E1295" s="2" t="s">
        <v>106</v>
      </c>
      <c r="F1295" s="2" t="s">
        <v>186</v>
      </c>
      <c r="G1295" s="2" t="s">
        <v>630</v>
      </c>
      <c r="H1295" s="2" t="s">
        <v>107</v>
      </c>
      <c r="I1295" s="2" t="s">
        <v>33</v>
      </c>
      <c r="J1295" s="2" t="s">
        <v>109</v>
      </c>
      <c r="K1295" s="2" t="s">
        <v>20</v>
      </c>
      <c r="L1295" s="2" t="s">
        <v>21</v>
      </c>
      <c r="M1295" s="2" t="s">
        <v>22</v>
      </c>
      <c r="N1295" s="2" t="s">
        <v>43</v>
      </c>
      <c r="O1295" s="2" t="s">
        <v>112</v>
      </c>
      <c r="P1295" s="2" t="s">
        <v>3786</v>
      </c>
      <c r="Q1295" s="2" t="s">
        <v>4926</v>
      </c>
      <c r="R1295" s="2" t="s">
        <v>406</v>
      </c>
      <c r="S1295" s="2" t="s">
        <v>736</v>
      </c>
      <c r="T1295" s="2" t="s">
        <v>167</v>
      </c>
      <c r="U1295" s="2" t="s">
        <v>39</v>
      </c>
      <c r="V1295" s="2" t="s">
        <v>4853</v>
      </c>
      <c r="Y1295" s="2" t="s">
        <v>3785</v>
      </c>
      <c r="AA129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129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29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29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5" s="6" t="str">
        <f>IF(_xlfn.IFNA(INDEX(configuracoes!$A$2:$A$10,MATCH(base_tc_geral[[#This Row],[TIPO]],configuracoes!$A$2:$A$10,0)),"NÃO")="NÃO","NÃO","SIM")</f>
        <v>SIM</v>
      </c>
    </row>
    <row r="1296" spans="1:31" x14ac:dyDescent="0.25">
      <c r="A1296" s="2" t="s">
        <v>3833</v>
      </c>
      <c r="B1296" s="2">
        <v>109000943</v>
      </c>
      <c r="C1296" s="2" t="s">
        <v>43</v>
      </c>
      <c r="D1296" s="2" t="s">
        <v>4546</v>
      </c>
      <c r="E1296" s="2" t="s">
        <v>86</v>
      </c>
      <c r="F1296" s="2" t="s">
        <v>205</v>
      </c>
      <c r="G1296" s="2" t="s">
        <v>245</v>
      </c>
      <c r="H1296" s="2" t="s">
        <v>122</v>
      </c>
      <c r="I1296" s="2" t="s">
        <v>33</v>
      </c>
      <c r="J1296" s="2" t="s">
        <v>124</v>
      </c>
      <c r="K1296" s="2" t="s">
        <v>20</v>
      </c>
      <c r="L1296" s="2" t="s">
        <v>21</v>
      </c>
      <c r="M1296" s="2" t="s">
        <v>22</v>
      </c>
      <c r="N1296" s="2" t="s">
        <v>43</v>
      </c>
      <c r="O1296" s="2" t="s">
        <v>129</v>
      </c>
      <c r="P1296" s="2" t="s">
        <v>3835</v>
      </c>
      <c r="Q1296" s="2" t="s">
        <v>4926</v>
      </c>
      <c r="R1296" s="2" t="s">
        <v>206</v>
      </c>
      <c r="S1296" s="2" t="s">
        <v>125</v>
      </c>
      <c r="T1296" s="2" t="s">
        <v>4696</v>
      </c>
      <c r="U1296" s="2" t="s">
        <v>39</v>
      </c>
      <c r="V1296" s="2" t="s">
        <v>4771</v>
      </c>
      <c r="Y1296" s="2" t="s">
        <v>3834</v>
      </c>
      <c r="AA129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29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29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2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6" s="6" t="str">
        <f>IF(_xlfn.IFNA(INDEX(configuracoes!$A$2:$A$10,MATCH(base_tc_geral[[#This Row],[TIPO]],configuracoes!$A$2:$A$10,0)),"NÃO")="NÃO","NÃO","SIM")</f>
        <v>SIM</v>
      </c>
    </row>
    <row r="1297" spans="1:31" x14ac:dyDescent="0.25">
      <c r="A1297" s="2" t="s">
        <v>1114</v>
      </c>
      <c r="B1297" s="2">
        <v>101006255</v>
      </c>
      <c r="C1297" s="2" t="s">
        <v>43</v>
      </c>
      <c r="D1297" s="2" t="s">
        <v>4512</v>
      </c>
      <c r="E1297" s="2" t="s">
        <v>47</v>
      </c>
      <c r="F1297" s="2" t="s">
        <v>1112</v>
      </c>
      <c r="G1297" s="2" t="s">
        <v>58</v>
      </c>
      <c r="H1297" s="2" t="s">
        <v>224</v>
      </c>
      <c r="I1297" s="2" t="s">
        <v>16</v>
      </c>
      <c r="J1297" s="2" t="s">
        <v>227</v>
      </c>
      <c r="K1297" s="2" t="s">
        <v>92</v>
      </c>
      <c r="L1297" s="2" t="s">
        <v>61</v>
      </c>
      <c r="M1297" s="2" t="s">
        <v>44</v>
      </c>
      <c r="N1297" s="2" t="s">
        <v>43</v>
      </c>
      <c r="O1297" s="2" t="s">
        <v>229</v>
      </c>
      <c r="P1297" s="2" t="s">
        <v>1116</v>
      </c>
      <c r="Q1297" s="2" t="s">
        <v>4926</v>
      </c>
      <c r="R1297" s="2" t="s">
        <v>369</v>
      </c>
      <c r="S1297" s="2" t="s">
        <v>4698</v>
      </c>
      <c r="T1297" s="2" t="s">
        <v>4697</v>
      </c>
      <c r="U1297" s="2" t="s">
        <v>39</v>
      </c>
      <c r="V1297" s="2" t="s">
        <v>4817</v>
      </c>
      <c r="Y1297" s="2" t="s">
        <v>1115</v>
      </c>
      <c r="AA129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129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9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7" s="6" t="str">
        <f>IF(_xlfn.IFNA(INDEX(configuracoes!$A$2:$A$10,MATCH(base_tc_geral[[#This Row],[TIPO]],configuracoes!$A$2:$A$10,0)),"NÃO")="NÃO","NÃO","SIM")</f>
        <v>NÃO</v>
      </c>
    </row>
    <row r="1298" spans="1:31" x14ac:dyDescent="0.25">
      <c r="A1298" s="2" t="s">
        <v>3186</v>
      </c>
      <c r="B1298" s="2">
        <v>101005456</v>
      </c>
      <c r="C1298" s="2" t="s">
        <v>137</v>
      </c>
      <c r="D1298" s="2" t="s">
        <v>4512</v>
      </c>
      <c r="E1298" s="2" t="s">
        <v>47</v>
      </c>
      <c r="F1298" s="2" t="s">
        <v>312</v>
      </c>
      <c r="G1298" s="2" t="s">
        <v>58</v>
      </c>
      <c r="H1298" s="2" t="s">
        <v>311</v>
      </c>
      <c r="I1298" s="2" t="s">
        <v>16</v>
      </c>
      <c r="J1298" s="2" t="s">
        <v>141</v>
      </c>
      <c r="K1298" s="2" t="s">
        <v>13</v>
      </c>
      <c r="L1298" s="2" t="s">
        <v>61</v>
      </c>
      <c r="M1298" s="2" t="s">
        <v>44</v>
      </c>
      <c r="N1298" s="2" t="s">
        <v>137</v>
      </c>
      <c r="O1298" s="2" t="s">
        <v>314</v>
      </c>
      <c r="P1298" s="2" t="s">
        <v>3189</v>
      </c>
      <c r="Q1298" s="2" t="s">
        <v>4926</v>
      </c>
      <c r="R1298" s="2" t="s">
        <v>3187</v>
      </c>
      <c r="S1298" s="2" t="s">
        <v>359</v>
      </c>
      <c r="T1298" s="2" t="s">
        <v>4697</v>
      </c>
      <c r="U1298" s="2" t="s">
        <v>39</v>
      </c>
      <c r="V1298" s="2" t="s">
        <v>4906</v>
      </c>
      <c r="Y1298" s="2" t="s">
        <v>3188</v>
      </c>
      <c r="AA129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MARCOS ALBERTO </v>
      </c>
      <c r="AB129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29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8" s="6" t="str">
        <f>IF(_xlfn.IFNA(INDEX(configuracoes!$A$2:$A$10,MATCH(base_tc_geral[[#This Row],[TIPO]],configuracoes!$A$2:$A$10,0)),"NÃO")="NÃO","NÃO","SIM")</f>
        <v>NÃO</v>
      </c>
    </row>
    <row r="1299" spans="1:31" x14ac:dyDescent="0.25">
      <c r="A1299" s="2" t="s">
        <v>1991</v>
      </c>
      <c r="B1299" s="2">
        <v>101006255</v>
      </c>
      <c r="C1299" s="2" t="s">
        <v>43</v>
      </c>
      <c r="D1299" s="2" t="s">
        <v>4484</v>
      </c>
      <c r="E1299" s="2" t="s">
        <v>47</v>
      </c>
      <c r="F1299" s="2" t="s">
        <v>225</v>
      </c>
      <c r="G1299" s="2" t="s">
        <v>245</v>
      </c>
      <c r="H1299" s="2" t="s">
        <v>224</v>
      </c>
      <c r="I1299" s="2" t="s">
        <v>16</v>
      </c>
      <c r="J1299" s="2" t="s">
        <v>227</v>
      </c>
      <c r="K1299" s="2" t="s">
        <v>20</v>
      </c>
      <c r="L1299" s="2" t="s">
        <v>21</v>
      </c>
      <c r="M1299" s="2" t="s">
        <v>22</v>
      </c>
      <c r="N1299" s="2" t="s">
        <v>43</v>
      </c>
      <c r="O1299" s="2" t="s">
        <v>229</v>
      </c>
      <c r="P1299" s="2" t="s">
        <v>1993</v>
      </c>
      <c r="Q1299" s="2" t="s">
        <v>4926</v>
      </c>
      <c r="R1299" s="2" t="s">
        <v>369</v>
      </c>
      <c r="S1299" s="2" t="s">
        <v>4698</v>
      </c>
      <c r="T1299" s="2" t="s">
        <v>4697</v>
      </c>
      <c r="U1299" s="2" t="s">
        <v>39</v>
      </c>
      <c r="V1299" s="2" t="s">
        <v>4821</v>
      </c>
      <c r="Y1299" s="2" t="s">
        <v>1992</v>
      </c>
      <c r="AA129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DE </v>
      </c>
      <c r="AB129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29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2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299" s="6" t="str">
        <f>IF(_xlfn.IFNA(INDEX(configuracoes!$A$2:$A$10,MATCH(base_tc_geral[[#This Row],[TIPO]],configuracoes!$A$2:$A$10,0)),"NÃO")="NÃO","NÃO","SIM")</f>
        <v>SIM</v>
      </c>
    </row>
    <row r="1300" spans="1:31" x14ac:dyDescent="0.25">
      <c r="A1300" s="2" t="s">
        <v>222</v>
      </c>
      <c r="B1300" s="2">
        <v>101001670</v>
      </c>
      <c r="C1300" s="2" t="s">
        <v>43</v>
      </c>
      <c r="D1300" s="2" t="s">
        <v>4498</v>
      </c>
      <c r="E1300" s="2" t="s">
        <v>47</v>
      </c>
      <c r="F1300" s="2" t="s">
        <v>225</v>
      </c>
      <c r="G1300" s="2" t="s">
        <v>245</v>
      </c>
      <c r="H1300" s="2" t="s">
        <v>224</v>
      </c>
      <c r="I1300" s="2" t="s">
        <v>16</v>
      </c>
      <c r="J1300" s="2" t="s">
        <v>227</v>
      </c>
      <c r="K1300" s="2" t="s">
        <v>20</v>
      </c>
      <c r="L1300" s="2" t="s">
        <v>21</v>
      </c>
      <c r="M1300" s="2" t="s">
        <v>22</v>
      </c>
      <c r="N1300" s="2" t="s">
        <v>43</v>
      </c>
      <c r="O1300" s="2" t="s">
        <v>229</v>
      </c>
      <c r="P1300" s="2" t="s">
        <v>228</v>
      </c>
      <c r="Q1300" s="2" t="s">
        <v>4926</v>
      </c>
      <c r="R1300" s="2" t="s">
        <v>226</v>
      </c>
      <c r="S1300" s="2" t="s">
        <v>4698</v>
      </c>
      <c r="T1300" s="2" t="s">
        <v>4697</v>
      </c>
      <c r="U1300" s="2" t="s">
        <v>39</v>
      </c>
      <c r="V1300" s="2" t="s">
        <v>4844</v>
      </c>
      <c r="Y1300" s="2" t="s">
        <v>223</v>
      </c>
      <c r="AA130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30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0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00" s="6" t="str">
        <f>IF(_xlfn.IFNA(INDEX(configuracoes!$A$2:$A$10,MATCH(base_tc_geral[[#This Row],[TIPO]],configuracoes!$A$2:$A$10,0)),"NÃO")="NÃO","NÃO","SIM")</f>
        <v>SIM</v>
      </c>
    </row>
    <row r="1301" spans="1:31" x14ac:dyDescent="0.25">
      <c r="A1301" s="2" t="s">
        <v>2042</v>
      </c>
      <c r="B1301" s="2">
        <v>102101642</v>
      </c>
      <c r="C1301" s="2" t="s">
        <v>183</v>
      </c>
      <c r="D1301" s="2" t="s">
        <v>4507</v>
      </c>
      <c r="E1301" s="2" t="s">
        <v>106</v>
      </c>
      <c r="F1301" s="2" t="s">
        <v>509</v>
      </c>
      <c r="G1301" s="2" t="s">
        <v>870</v>
      </c>
      <c r="H1301" s="2" t="s">
        <v>130</v>
      </c>
      <c r="I1301" s="2" t="s">
        <v>33</v>
      </c>
      <c r="J1301" s="2" t="s">
        <v>109</v>
      </c>
      <c r="K1301" s="2" t="s">
        <v>13</v>
      </c>
      <c r="L1301" s="2" t="s">
        <v>76</v>
      </c>
      <c r="M1301" s="2" t="s">
        <v>22</v>
      </c>
      <c r="N1301" s="2" t="s">
        <v>183</v>
      </c>
      <c r="O1301" s="2" t="s">
        <v>132</v>
      </c>
      <c r="P1301" s="2" t="s">
        <v>2044</v>
      </c>
      <c r="Q1301" s="2" t="s">
        <v>4926</v>
      </c>
      <c r="R1301" s="2" t="s">
        <v>187</v>
      </c>
      <c r="S1301" s="2" t="s">
        <v>736</v>
      </c>
      <c r="T1301" s="2" t="s">
        <v>167</v>
      </c>
      <c r="U1301" s="2" t="s">
        <v>39</v>
      </c>
      <c r="V1301" s="2" t="s">
        <v>4773</v>
      </c>
      <c r="Y1301" s="2" t="s">
        <v>2043</v>
      </c>
      <c r="AA130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130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0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01" s="6" t="str">
        <f>IF(_xlfn.IFNA(INDEX(configuracoes!$A$2:$A$10,MATCH(base_tc_geral[[#This Row],[TIPO]],configuracoes!$A$2:$A$10,0)),"NÃO")="NÃO","NÃO","SIM")</f>
        <v>SIM</v>
      </c>
    </row>
    <row r="1302" spans="1:31" x14ac:dyDescent="0.25">
      <c r="A1302" s="2" t="s">
        <v>749</v>
      </c>
      <c r="B1302" s="2">
        <v>102101220</v>
      </c>
      <c r="C1302" s="2" t="s">
        <v>43</v>
      </c>
      <c r="D1302" s="2" t="s">
        <v>4512</v>
      </c>
      <c r="E1302" s="2" t="s">
        <v>106</v>
      </c>
      <c r="F1302" s="2" t="s">
        <v>428</v>
      </c>
      <c r="G1302" s="2" t="s">
        <v>630</v>
      </c>
      <c r="H1302" s="2" t="s">
        <v>427</v>
      </c>
      <c r="I1302" s="2" t="s">
        <v>33</v>
      </c>
      <c r="J1302" s="2" t="s">
        <v>109</v>
      </c>
      <c r="K1302" s="2" t="s">
        <v>20</v>
      </c>
      <c r="L1302" s="2" t="s">
        <v>21</v>
      </c>
      <c r="M1302" s="2" t="s">
        <v>22</v>
      </c>
      <c r="N1302" s="2" t="s">
        <v>43</v>
      </c>
      <c r="O1302" s="2" t="s">
        <v>430</v>
      </c>
      <c r="P1302" s="2" t="s">
        <v>751</v>
      </c>
      <c r="Q1302" s="2" t="s">
        <v>4926</v>
      </c>
      <c r="R1302" s="2" t="s">
        <v>625</v>
      </c>
      <c r="S1302" s="2" t="s">
        <v>736</v>
      </c>
      <c r="T1302" s="2" t="s">
        <v>167</v>
      </c>
      <c r="U1302" s="2" t="s">
        <v>39</v>
      </c>
      <c r="V1302" s="2" t="s">
        <v>4895</v>
      </c>
      <c r="Y1302" s="2" t="s">
        <v>750</v>
      </c>
      <c r="AA130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130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0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02" s="6" t="str">
        <f>IF(_xlfn.IFNA(INDEX(configuracoes!$A$2:$A$10,MATCH(base_tc_geral[[#This Row],[TIPO]],configuracoes!$A$2:$A$10,0)),"NÃO")="NÃO","NÃO","SIM")</f>
        <v>SIM</v>
      </c>
    </row>
    <row r="1303" spans="1:31" x14ac:dyDescent="0.25">
      <c r="A1303" s="2" t="s">
        <v>386</v>
      </c>
      <c r="B1303" s="2">
        <v>102101393</v>
      </c>
      <c r="C1303" s="2" t="s">
        <v>43</v>
      </c>
      <c r="D1303" s="2" t="s">
        <v>4548</v>
      </c>
      <c r="E1303" s="2" t="s">
        <v>106</v>
      </c>
      <c r="F1303" s="2" t="s">
        <v>131</v>
      </c>
      <c r="G1303" s="2" t="s">
        <v>2417</v>
      </c>
      <c r="H1303" s="2" t="s">
        <v>130</v>
      </c>
      <c r="I1303" s="2" t="s">
        <v>33</v>
      </c>
      <c r="J1303" s="2" t="s">
        <v>109</v>
      </c>
      <c r="K1303" s="2" t="s">
        <v>13</v>
      </c>
      <c r="L1303" s="2" t="s">
        <v>76</v>
      </c>
      <c r="M1303" s="2" t="s">
        <v>23</v>
      </c>
      <c r="N1303" s="2" t="s">
        <v>43</v>
      </c>
      <c r="O1303" s="2" t="s">
        <v>132</v>
      </c>
      <c r="P1303" s="2" t="s">
        <v>388</v>
      </c>
      <c r="Q1303" s="2" t="s">
        <v>4926</v>
      </c>
      <c r="R1303" s="2" t="s">
        <v>735</v>
      </c>
      <c r="S1303" s="2" t="s">
        <v>736</v>
      </c>
      <c r="T1303" s="2" t="s">
        <v>167</v>
      </c>
      <c r="U1303" s="2" t="s">
        <v>39</v>
      </c>
      <c r="V1303" s="2" t="s">
        <v>4803</v>
      </c>
      <c r="Y1303" s="2" t="s">
        <v>387</v>
      </c>
      <c r="AA130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30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0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03" s="6" t="str">
        <f>IF(_xlfn.IFNA(INDEX(configuracoes!$A$2:$A$10,MATCH(base_tc_geral[[#This Row],[TIPO]],configuracoes!$A$2:$A$10,0)),"NÃO")="NÃO","NÃO","SIM")</f>
        <v>SIM</v>
      </c>
    </row>
    <row r="1304" spans="1:31" x14ac:dyDescent="0.25">
      <c r="A1304" s="2" t="s">
        <v>2867</v>
      </c>
      <c r="B1304" s="2">
        <v>101005241</v>
      </c>
      <c r="C1304" s="2" t="s">
        <v>15</v>
      </c>
      <c r="D1304" s="2" t="s">
        <v>4487</v>
      </c>
      <c r="E1304" s="2" t="s">
        <v>47</v>
      </c>
      <c r="F1304" s="2" t="s">
        <v>2862</v>
      </c>
      <c r="G1304" s="2" t="s">
        <v>99</v>
      </c>
      <c r="H1304" s="2" t="s">
        <v>141</v>
      </c>
      <c r="I1304" s="2" t="s">
        <v>16</v>
      </c>
      <c r="J1304" s="2" t="s">
        <v>141</v>
      </c>
      <c r="K1304" s="2" t="s">
        <v>20</v>
      </c>
      <c r="L1304" s="2" t="s">
        <v>25</v>
      </c>
      <c r="M1304" s="2" t="s">
        <v>22</v>
      </c>
      <c r="N1304" s="2" t="s">
        <v>15</v>
      </c>
      <c r="O1304" s="2" t="s">
        <v>145</v>
      </c>
      <c r="P1304" s="2" t="s">
        <v>2869</v>
      </c>
      <c r="Q1304" s="2" t="s">
        <v>4926</v>
      </c>
      <c r="R1304" s="2" t="s">
        <v>143</v>
      </c>
      <c r="S1304" s="2" t="s">
        <v>4698</v>
      </c>
      <c r="T1304" s="2" t="s">
        <v>4697</v>
      </c>
      <c r="U1304" s="2" t="s">
        <v>12</v>
      </c>
      <c r="V1304" s="2" t="s">
        <v>4845</v>
      </c>
      <c r="W1304" s="2" t="s">
        <v>4931</v>
      </c>
      <c r="X1304" s="2" t="s">
        <v>4925</v>
      </c>
      <c r="Y1304" s="2" t="s">
        <v>2868</v>
      </c>
      <c r="Z1304" s="2" t="s">
        <v>5451</v>
      </c>
      <c r="AA130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30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0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04" s="6" t="str">
        <f>IF(_xlfn.IFNA(INDEX(configuracoes!$A$2:$A$10,MATCH(base_tc_geral[[#This Row],[TIPO]],configuracoes!$A$2:$A$10,0)),"NÃO")="NÃO","NÃO","SIM")</f>
        <v>SIM</v>
      </c>
    </row>
    <row r="1305" spans="1:31" x14ac:dyDescent="0.25">
      <c r="A1305" s="2" t="s">
        <v>2744</v>
      </c>
      <c r="B1305" s="2">
        <v>108401409</v>
      </c>
      <c r="C1305" s="2" t="s">
        <v>15</v>
      </c>
      <c r="D1305" s="2" t="s">
        <v>4481</v>
      </c>
      <c r="E1305" s="2" t="s">
        <v>47</v>
      </c>
      <c r="F1305" s="2" t="s">
        <v>1112</v>
      </c>
      <c r="G1305" s="2" t="s">
        <v>41</v>
      </c>
      <c r="H1305" s="2" t="s">
        <v>224</v>
      </c>
      <c r="I1305" s="2" t="s">
        <v>16</v>
      </c>
      <c r="J1305" s="2" t="s">
        <v>227</v>
      </c>
      <c r="K1305" s="2" t="s">
        <v>13</v>
      </c>
      <c r="L1305" s="2" t="s">
        <v>42</v>
      </c>
      <c r="M1305" s="2" t="s">
        <v>75</v>
      </c>
      <c r="N1305" s="2" t="s">
        <v>15</v>
      </c>
      <c r="O1305" s="2" t="s">
        <v>229</v>
      </c>
      <c r="P1305" s="2" t="s">
        <v>2746</v>
      </c>
      <c r="Q1305" s="2" t="s">
        <v>4926</v>
      </c>
      <c r="R1305" s="2" t="s">
        <v>2738</v>
      </c>
      <c r="S1305" s="2" t="s">
        <v>359</v>
      </c>
      <c r="T1305" s="2" t="s">
        <v>4697</v>
      </c>
      <c r="U1305" s="2" t="s">
        <v>12</v>
      </c>
      <c r="V1305" s="2" t="s">
        <v>4817</v>
      </c>
      <c r="W1305" s="2" t="s">
        <v>42</v>
      </c>
      <c r="X1305" s="2" t="s">
        <v>75</v>
      </c>
      <c r="Y1305" s="2" t="s">
        <v>2745</v>
      </c>
      <c r="Z1305" s="2" t="s">
        <v>5452</v>
      </c>
      <c r="AA130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30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30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05" s="6" t="str">
        <f>IF(_xlfn.IFNA(INDEX(configuracoes!$A$2:$A$10,MATCH(base_tc_geral[[#This Row],[TIPO]],configuracoes!$A$2:$A$10,0)),"NÃO")="NÃO","NÃO","SIM")</f>
        <v>SIM</v>
      </c>
    </row>
    <row r="1306" spans="1:31" x14ac:dyDescent="0.25">
      <c r="A1306" s="2" t="s">
        <v>54</v>
      </c>
      <c r="B1306" s="2">
        <v>101005989</v>
      </c>
      <c r="C1306" s="2" t="s">
        <v>15</v>
      </c>
      <c r="D1306" s="2" t="s">
        <v>4509</v>
      </c>
      <c r="E1306" s="2" t="s">
        <v>47</v>
      </c>
      <c r="F1306" s="2" t="s">
        <v>57</v>
      </c>
      <c r="G1306" s="2" t="s">
        <v>5453</v>
      </c>
      <c r="H1306" s="2" t="s">
        <v>56</v>
      </c>
      <c r="I1306" s="2" t="s">
        <v>16</v>
      </c>
      <c r="J1306" s="2" t="s">
        <v>60</v>
      </c>
      <c r="K1306" s="2" t="s">
        <v>92</v>
      </c>
      <c r="L1306" s="2" t="s">
        <v>76</v>
      </c>
      <c r="M1306" s="2" t="s">
        <v>44</v>
      </c>
      <c r="N1306" s="2" t="s">
        <v>15</v>
      </c>
      <c r="O1306" s="2" t="s">
        <v>63</v>
      </c>
      <c r="P1306" s="2" t="s">
        <v>62</v>
      </c>
      <c r="Q1306" s="2" t="s">
        <v>4926</v>
      </c>
      <c r="R1306" s="2" t="s">
        <v>59</v>
      </c>
      <c r="S1306" s="2" t="s">
        <v>51</v>
      </c>
      <c r="T1306" s="2" t="s">
        <v>4697</v>
      </c>
      <c r="U1306" s="2" t="s">
        <v>12</v>
      </c>
      <c r="V1306" s="2" t="s">
        <v>4779</v>
      </c>
      <c r="W1306" s="2" t="s">
        <v>5013</v>
      </c>
      <c r="X1306" s="2" t="s">
        <v>44</v>
      </c>
      <c r="Y1306" s="2" t="s">
        <v>55</v>
      </c>
      <c r="Z1306" s="2" t="s">
        <v>5454</v>
      </c>
      <c r="AA130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30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0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06" s="6" t="str">
        <f>IF(_xlfn.IFNA(INDEX(configuracoes!$A$2:$A$10,MATCH(base_tc_geral[[#This Row],[TIPO]],configuracoes!$A$2:$A$10,0)),"NÃO")="NÃO","NÃO","SIM")</f>
        <v>SIM</v>
      </c>
    </row>
    <row r="1307" spans="1:31" x14ac:dyDescent="0.25">
      <c r="A1307" s="2" t="s">
        <v>568</v>
      </c>
      <c r="B1307" s="2">
        <v>109504012</v>
      </c>
      <c r="C1307" s="2" t="s">
        <v>15</v>
      </c>
      <c r="D1307" s="2" t="s">
        <v>4515</v>
      </c>
      <c r="E1307" s="2" t="s">
        <v>28</v>
      </c>
      <c r="F1307" s="2" t="s">
        <v>570</v>
      </c>
      <c r="G1307" s="2" t="s">
        <v>630</v>
      </c>
      <c r="H1307" s="2" t="s">
        <v>34</v>
      </c>
      <c r="I1307" s="2" t="s">
        <v>33</v>
      </c>
      <c r="J1307" s="2" t="s">
        <v>34</v>
      </c>
      <c r="K1307" s="2" t="s">
        <v>20</v>
      </c>
      <c r="L1307" s="2" t="s">
        <v>21</v>
      </c>
      <c r="M1307" s="2" t="s">
        <v>22</v>
      </c>
      <c r="N1307" s="2" t="s">
        <v>15</v>
      </c>
      <c r="O1307" s="2" t="s">
        <v>156</v>
      </c>
      <c r="P1307" s="2" t="s">
        <v>571</v>
      </c>
      <c r="Q1307" s="2" t="s">
        <v>4926</v>
      </c>
      <c r="R1307" s="2" t="s">
        <v>166</v>
      </c>
      <c r="S1307" s="2" t="s">
        <v>167</v>
      </c>
      <c r="T1307" s="2" t="s">
        <v>167</v>
      </c>
      <c r="U1307" s="2" t="s">
        <v>12</v>
      </c>
      <c r="V1307" s="2" t="s">
        <v>4775</v>
      </c>
      <c r="W1307" s="2" t="s">
        <v>4982</v>
      </c>
      <c r="X1307" s="2" t="s">
        <v>4925</v>
      </c>
      <c r="Y1307" s="2" t="s">
        <v>569</v>
      </c>
      <c r="Z1307" s="2" t="s">
        <v>5455</v>
      </c>
      <c r="AA130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30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0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07" s="6" t="str">
        <f>IF(_xlfn.IFNA(INDEX(configuracoes!$A$2:$A$10,MATCH(base_tc_geral[[#This Row],[TIPO]],configuracoes!$A$2:$A$10,0)),"NÃO")="NÃO","NÃO","SIM")</f>
        <v>SIM</v>
      </c>
    </row>
    <row r="1308" spans="1:31" x14ac:dyDescent="0.25">
      <c r="A1308" s="2" t="s">
        <v>3397</v>
      </c>
      <c r="B1308" s="2">
        <v>101006811</v>
      </c>
      <c r="C1308" s="2" t="s">
        <v>15</v>
      </c>
      <c r="D1308" s="2" t="s">
        <v>4652</v>
      </c>
      <c r="E1308" s="2" t="s">
        <v>47</v>
      </c>
      <c r="F1308" s="2" t="s">
        <v>49</v>
      </c>
      <c r="G1308" s="2" t="s">
        <v>630</v>
      </c>
      <c r="H1308" s="2" t="s">
        <v>48</v>
      </c>
      <c r="I1308" s="2" t="s">
        <v>16</v>
      </c>
      <c r="J1308" s="2" t="s">
        <v>48</v>
      </c>
      <c r="K1308" s="2" t="s">
        <v>20</v>
      </c>
      <c r="L1308" s="2" t="s">
        <v>21</v>
      </c>
      <c r="M1308" s="2" t="s">
        <v>22</v>
      </c>
      <c r="N1308" s="2" t="s">
        <v>15</v>
      </c>
      <c r="O1308" s="2" t="s">
        <v>53</v>
      </c>
      <c r="P1308" s="2" t="s">
        <v>3399</v>
      </c>
      <c r="Q1308" s="2" t="s">
        <v>4926</v>
      </c>
      <c r="R1308" s="2" t="s">
        <v>50</v>
      </c>
      <c r="S1308" s="2" t="s">
        <v>51</v>
      </c>
      <c r="T1308" s="2" t="s">
        <v>4697</v>
      </c>
      <c r="U1308" s="2" t="s">
        <v>12</v>
      </c>
      <c r="V1308" s="2" t="s">
        <v>4860</v>
      </c>
      <c r="W1308" s="2" t="s">
        <v>4982</v>
      </c>
      <c r="X1308" s="2" t="s">
        <v>4925</v>
      </c>
      <c r="Y1308" s="2" t="s">
        <v>3398</v>
      </c>
      <c r="Z1308" s="2" t="s">
        <v>5456</v>
      </c>
      <c r="AA130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30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0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08" s="6" t="str">
        <f>IF(_xlfn.IFNA(INDEX(configuracoes!$A$2:$A$10,MATCH(base_tc_geral[[#This Row],[TIPO]],configuracoes!$A$2:$A$10,0)),"NÃO")="NÃO","NÃO","SIM")</f>
        <v>SIM</v>
      </c>
    </row>
    <row r="1309" spans="1:31" x14ac:dyDescent="0.25">
      <c r="A1309" s="2" t="s">
        <v>3697</v>
      </c>
      <c r="B1309" s="2">
        <v>101008003</v>
      </c>
      <c r="C1309" s="2" t="s">
        <v>15</v>
      </c>
      <c r="D1309" s="2" t="s">
        <v>4490</v>
      </c>
      <c r="E1309" s="2" t="s">
        <v>47</v>
      </c>
      <c r="F1309" s="2" t="s">
        <v>159</v>
      </c>
      <c r="G1309" s="2" t="s">
        <v>613</v>
      </c>
      <c r="H1309" s="2" t="s">
        <v>60</v>
      </c>
      <c r="I1309" s="2" t="s">
        <v>16</v>
      </c>
      <c r="J1309" s="2" t="s">
        <v>60</v>
      </c>
      <c r="K1309" s="2" t="s">
        <v>20</v>
      </c>
      <c r="L1309" s="2" t="s">
        <v>25</v>
      </c>
      <c r="M1309" s="2" t="s">
        <v>22</v>
      </c>
      <c r="N1309" s="2" t="s">
        <v>15</v>
      </c>
      <c r="O1309" s="2" t="s">
        <v>161</v>
      </c>
      <c r="P1309" s="2" t="s">
        <v>3699</v>
      </c>
      <c r="Q1309" s="2" t="s">
        <v>4926</v>
      </c>
      <c r="R1309" s="2" t="s">
        <v>100</v>
      </c>
      <c r="S1309" s="2" t="s">
        <v>101</v>
      </c>
      <c r="T1309" s="2" t="s">
        <v>4697</v>
      </c>
      <c r="U1309" s="2" t="s">
        <v>39</v>
      </c>
      <c r="V1309" s="2" t="s">
        <v>4806</v>
      </c>
      <c r="W1309" s="2" t="s">
        <v>4931</v>
      </c>
      <c r="X1309" s="2" t="s">
        <v>4925</v>
      </c>
      <c r="Y1309" s="2" t="s">
        <v>3698</v>
      </c>
      <c r="Z1309" s="2" t="s">
        <v>5457</v>
      </c>
      <c r="AA130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30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0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09" s="6" t="str">
        <f>IF(_xlfn.IFNA(INDEX(configuracoes!$A$2:$A$10,MATCH(base_tc_geral[[#This Row],[TIPO]],configuracoes!$A$2:$A$10,0)),"NÃO")="NÃO","NÃO","SIM")</f>
        <v>SIM</v>
      </c>
    </row>
    <row r="1310" spans="1:31" x14ac:dyDescent="0.25">
      <c r="A1310" s="2" t="s">
        <v>1514</v>
      </c>
      <c r="B1310" s="2">
        <v>102101587</v>
      </c>
      <c r="C1310" s="2" t="s">
        <v>43</v>
      </c>
      <c r="D1310" s="2" t="s">
        <v>4517</v>
      </c>
      <c r="E1310" s="2" t="s">
        <v>106</v>
      </c>
      <c r="F1310" s="2" t="s">
        <v>863</v>
      </c>
      <c r="G1310" s="2" t="s">
        <v>245</v>
      </c>
      <c r="H1310" s="2" t="s">
        <v>427</v>
      </c>
      <c r="I1310" s="2" t="s">
        <v>33</v>
      </c>
      <c r="J1310" s="2" t="s">
        <v>109</v>
      </c>
      <c r="K1310" s="2" t="s">
        <v>20</v>
      </c>
      <c r="L1310" s="2" t="s">
        <v>21</v>
      </c>
      <c r="M1310" s="2" t="s">
        <v>22</v>
      </c>
      <c r="N1310" s="2" t="s">
        <v>43</v>
      </c>
      <c r="O1310" s="2" t="s">
        <v>430</v>
      </c>
      <c r="P1310" s="2" t="s">
        <v>1516</v>
      </c>
      <c r="Q1310" s="2" t="s">
        <v>4926</v>
      </c>
      <c r="R1310" s="2" t="s">
        <v>330</v>
      </c>
      <c r="S1310" s="2" t="s">
        <v>736</v>
      </c>
      <c r="T1310" s="2" t="s">
        <v>167</v>
      </c>
      <c r="U1310" s="2" t="s">
        <v>39</v>
      </c>
      <c r="V1310" s="2" t="s">
        <v>4901</v>
      </c>
      <c r="Y1310" s="2" t="s">
        <v>1515</v>
      </c>
      <c r="AA131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AELGRICIO SILVA </v>
      </c>
      <c r="AB131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1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10" s="6" t="str">
        <f>IF(_xlfn.IFNA(INDEX(configuracoes!$A$2:$A$10,MATCH(base_tc_geral[[#This Row],[TIPO]],configuracoes!$A$2:$A$10,0)),"NÃO")="NÃO","NÃO","SIM")</f>
        <v>SIM</v>
      </c>
    </row>
    <row r="1311" spans="1:31" x14ac:dyDescent="0.25">
      <c r="A1311" s="2" t="s">
        <v>2057</v>
      </c>
      <c r="B1311" s="2">
        <v>109000926</v>
      </c>
      <c r="C1311" s="2" t="s">
        <v>43</v>
      </c>
      <c r="D1311" s="2" t="s">
        <v>4561</v>
      </c>
      <c r="E1311" s="2" t="s">
        <v>86</v>
      </c>
      <c r="F1311" s="2" t="s">
        <v>284</v>
      </c>
      <c r="G1311" s="2" t="s">
        <v>870</v>
      </c>
      <c r="H1311" s="2" t="s">
        <v>283</v>
      </c>
      <c r="I1311" s="2" t="s">
        <v>33</v>
      </c>
      <c r="J1311" s="2" t="s">
        <v>124</v>
      </c>
      <c r="K1311" s="2" t="s">
        <v>13</v>
      </c>
      <c r="L1311" s="2" t="s">
        <v>76</v>
      </c>
      <c r="M1311" s="2" t="s">
        <v>18</v>
      </c>
      <c r="N1311" s="2" t="s">
        <v>43</v>
      </c>
      <c r="O1311" s="2" t="s">
        <v>287</v>
      </c>
      <c r="P1311" s="2" t="s">
        <v>2059</v>
      </c>
      <c r="Q1311" s="2" t="s">
        <v>4926</v>
      </c>
      <c r="R1311" s="2" t="s">
        <v>285</v>
      </c>
      <c r="S1311" s="2" t="s">
        <v>125</v>
      </c>
      <c r="T1311" s="2" t="s">
        <v>4696</v>
      </c>
      <c r="U1311" s="2" t="s">
        <v>39</v>
      </c>
      <c r="V1311" s="2" t="s">
        <v>4777</v>
      </c>
      <c r="Y1311" s="2" t="s">
        <v>2058</v>
      </c>
      <c r="AA131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31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1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11" s="6" t="str">
        <f>IF(_xlfn.IFNA(INDEX(configuracoes!$A$2:$A$10,MATCH(base_tc_geral[[#This Row],[TIPO]],configuracoes!$A$2:$A$10,0)),"NÃO")="NÃO","NÃO","SIM")</f>
        <v>SIM</v>
      </c>
    </row>
    <row r="1312" spans="1:31" x14ac:dyDescent="0.25">
      <c r="A1312" s="2" t="s">
        <v>1327</v>
      </c>
      <c r="B1312" s="2">
        <v>105303208</v>
      </c>
      <c r="C1312" s="2" t="s">
        <v>43</v>
      </c>
      <c r="D1312" s="2" t="s">
        <v>4526</v>
      </c>
      <c r="E1312" s="2" t="s">
        <v>28</v>
      </c>
      <c r="F1312" s="2" t="s">
        <v>154</v>
      </c>
      <c r="G1312" s="2" t="s">
        <v>172</v>
      </c>
      <c r="H1312" s="2" t="s">
        <v>34</v>
      </c>
      <c r="I1312" s="2" t="s">
        <v>33</v>
      </c>
      <c r="J1312" s="2" t="s">
        <v>34</v>
      </c>
      <c r="K1312" s="2" t="s">
        <v>13</v>
      </c>
      <c r="L1312" s="2" t="s">
        <v>17</v>
      </c>
      <c r="M1312" s="2" t="s">
        <v>18</v>
      </c>
      <c r="N1312" s="2" t="s">
        <v>43</v>
      </c>
      <c r="O1312" s="2" t="s">
        <v>156</v>
      </c>
      <c r="P1312" s="2" t="s">
        <v>1329</v>
      </c>
      <c r="Q1312" s="2" t="s">
        <v>4926</v>
      </c>
      <c r="R1312" s="2" t="s">
        <v>849</v>
      </c>
      <c r="S1312" s="2" t="s">
        <v>167</v>
      </c>
      <c r="T1312" s="2" t="s">
        <v>167</v>
      </c>
      <c r="U1312" s="2" t="s">
        <v>39</v>
      </c>
      <c r="V1312" s="2" t="s">
        <v>4764</v>
      </c>
      <c r="Y1312" s="2" t="s">
        <v>1328</v>
      </c>
      <c r="AA131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131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1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12" s="6" t="str">
        <f>IF(_xlfn.IFNA(INDEX(configuracoes!$A$2:$A$10,MATCH(base_tc_geral[[#This Row],[TIPO]],configuracoes!$A$2:$A$10,0)),"NÃO")="NÃO","NÃO","SIM")</f>
        <v>NÃO</v>
      </c>
    </row>
    <row r="1313" spans="1:31" x14ac:dyDescent="0.25">
      <c r="A1313" s="2" t="s">
        <v>1665</v>
      </c>
      <c r="B1313" s="2">
        <v>101005989</v>
      </c>
      <c r="C1313" s="2" t="s">
        <v>43</v>
      </c>
      <c r="D1313" s="2" t="s">
        <v>4479</v>
      </c>
      <c r="E1313" s="2" t="s">
        <v>47</v>
      </c>
      <c r="F1313" s="2" t="s">
        <v>57</v>
      </c>
      <c r="G1313" s="2" t="s">
        <v>245</v>
      </c>
      <c r="H1313" s="2" t="s">
        <v>56</v>
      </c>
      <c r="I1313" s="2" t="s">
        <v>16</v>
      </c>
      <c r="J1313" s="2" t="s">
        <v>60</v>
      </c>
      <c r="K1313" s="2" t="s">
        <v>20</v>
      </c>
      <c r="L1313" s="2" t="s">
        <v>21</v>
      </c>
      <c r="M1313" s="2" t="s">
        <v>22</v>
      </c>
      <c r="N1313" s="2" t="s">
        <v>43</v>
      </c>
      <c r="O1313" s="2" t="s">
        <v>63</v>
      </c>
      <c r="P1313" s="2" t="s">
        <v>1667</v>
      </c>
      <c r="Q1313" s="2" t="s">
        <v>4926</v>
      </c>
      <c r="R1313" s="2" t="s">
        <v>59</v>
      </c>
      <c r="S1313" s="2" t="s">
        <v>51</v>
      </c>
      <c r="T1313" s="2" t="s">
        <v>4697</v>
      </c>
      <c r="U1313" s="2" t="s">
        <v>39</v>
      </c>
      <c r="V1313" s="2" t="s">
        <v>4779</v>
      </c>
      <c r="Y1313" s="2" t="s">
        <v>1666</v>
      </c>
      <c r="AA131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31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1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13" s="6" t="str">
        <f>IF(_xlfn.IFNA(INDEX(configuracoes!$A$2:$A$10,MATCH(base_tc_geral[[#This Row],[TIPO]],configuracoes!$A$2:$A$10,0)),"NÃO")="NÃO","NÃO","SIM")</f>
        <v>SIM</v>
      </c>
    </row>
    <row r="1314" spans="1:31" x14ac:dyDescent="0.25">
      <c r="A1314" s="2" t="s">
        <v>3947</v>
      </c>
      <c r="B1314" s="2">
        <v>105303134</v>
      </c>
      <c r="C1314" s="2" t="s">
        <v>43</v>
      </c>
      <c r="D1314" s="2" t="s">
        <v>4526</v>
      </c>
      <c r="E1314" s="2" t="s">
        <v>28</v>
      </c>
      <c r="F1314" s="2" t="s">
        <v>423</v>
      </c>
      <c r="G1314" s="2" t="s">
        <v>245</v>
      </c>
      <c r="H1314" s="2" t="s">
        <v>34</v>
      </c>
      <c r="I1314" s="2" t="s">
        <v>33</v>
      </c>
      <c r="J1314" s="2" t="s">
        <v>34</v>
      </c>
      <c r="K1314" s="2" t="s">
        <v>20</v>
      </c>
      <c r="L1314" s="2" t="s">
        <v>21</v>
      </c>
      <c r="M1314" s="2" t="s">
        <v>22</v>
      </c>
      <c r="N1314" s="2" t="s">
        <v>43</v>
      </c>
      <c r="O1314" s="2" t="s">
        <v>156</v>
      </c>
      <c r="P1314" s="2" t="s">
        <v>3949</v>
      </c>
      <c r="Q1314" s="2" t="s">
        <v>4926</v>
      </c>
      <c r="R1314" s="2" t="s">
        <v>442</v>
      </c>
      <c r="S1314" s="2" t="s">
        <v>167</v>
      </c>
      <c r="T1314" s="2" t="s">
        <v>167</v>
      </c>
      <c r="U1314" s="2" t="s">
        <v>39</v>
      </c>
      <c r="V1314" s="2" t="s">
        <v>4764</v>
      </c>
      <c r="Y1314" s="2" t="s">
        <v>3948</v>
      </c>
      <c r="AA131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131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1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14" s="6" t="str">
        <f>IF(_xlfn.IFNA(INDEX(configuracoes!$A$2:$A$10,MATCH(base_tc_geral[[#This Row],[TIPO]],configuracoes!$A$2:$A$10,0)),"NÃO")="NÃO","NÃO","SIM")</f>
        <v>SIM</v>
      </c>
    </row>
    <row r="1315" spans="1:31" x14ac:dyDescent="0.25">
      <c r="A1315" s="2" t="s">
        <v>4395</v>
      </c>
      <c r="B1315" s="2">
        <v>413841</v>
      </c>
      <c r="C1315" s="2" t="s">
        <v>43</v>
      </c>
      <c r="D1315" s="2" t="s">
        <v>4496</v>
      </c>
      <c r="E1315" s="2" t="s">
        <v>86</v>
      </c>
      <c r="F1315" s="2" t="s">
        <v>1099</v>
      </c>
      <c r="G1315" s="2" t="s">
        <v>317</v>
      </c>
      <c r="H1315" s="2" t="s">
        <v>283</v>
      </c>
      <c r="I1315" s="2" t="s">
        <v>33</v>
      </c>
      <c r="J1315" s="2" t="s">
        <v>124</v>
      </c>
      <c r="K1315" s="2" t="s">
        <v>13</v>
      </c>
      <c r="L1315" s="2" t="s">
        <v>42</v>
      </c>
      <c r="M1315" s="2" t="s">
        <v>75</v>
      </c>
      <c r="N1315" s="2" t="s">
        <v>43</v>
      </c>
      <c r="O1315" s="2" t="s">
        <v>287</v>
      </c>
      <c r="P1315" s="2" t="s">
        <v>4397</v>
      </c>
      <c r="Q1315" s="2" t="s">
        <v>4926</v>
      </c>
      <c r="R1315" s="2" t="s">
        <v>3604</v>
      </c>
      <c r="S1315" s="2" t="s">
        <v>93</v>
      </c>
      <c r="T1315" s="2" t="s">
        <v>4696</v>
      </c>
      <c r="U1315" s="2" t="s">
        <v>39</v>
      </c>
      <c r="V1315" s="2" t="s">
        <v>4777</v>
      </c>
      <c r="Y1315" s="2" t="s">
        <v>4396</v>
      </c>
      <c r="AA131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131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1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15" s="6" t="str">
        <f>IF(_xlfn.IFNA(INDEX(configuracoes!$A$2:$A$10,MATCH(base_tc_geral[[#This Row],[TIPO]],configuracoes!$A$2:$A$10,0)),"NÃO")="NÃO","NÃO","SIM")</f>
        <v>SIM</v>
      </c>
    </row>
    <row r="1316" spans="1:31" x14ac:dyDescent="0.25">
      <c r="A1316" s="2" t="s">
        <v>1800</v>
      </c>
      <c r="B1316" s="2">
        <v>102002917</v>
      </c>
      <c r="C1316" s="2" t="s">
        <v>15</v>
      </c>
      <c r="D1316" s="2" t="s">
        <v>4481</v>
      </c>
      <c r="E1316" s="2" t="s">
        <v>106</v>
      </c>
      <c r="F1316" s="2" t="s">
        <v>863</v>
      </c>
      <c r="G1316" s="2" t="s">
        <v>136</v>
      </c>
      <c r="H1316" s="2" t="s">
        <v>427</v>
      </c>
      <c r="I1316" s="2" t="s">
        <v>33</v>
      </c>
      <c r="J1316" s="2" t="s">
        <v>109</v>
      </c>
      <c r="K1316" s="2" t="s">
        <v>13</v>
      </c>
      <c r="L1316" s="2" t="s">
        <v>72</v>
      </c>
      <c r="M1316" s="2" t="s">
        <v>73</v>
      </c>
      <c r="N1316" s="2" t="s">
        <v>15</v>
      </c>
      <c r="O1316" s="2" t="s">
        <v>430</v>
      </c>
      <c r="P1316" s="2" t="s">
        <v>1802</v>
      </c>
      <c r="Q1316" s="2" t="s">
        <v>4926</v>
      </c>
      <c r="R1316" s="2" t="s">
        <v>5069</v>
      </c>
      <c r="S1316" s="2" t="s">
        <v>736</v>
      </c>
      <c r="T1316" s="2" t="s">
        <v>167</v>
      </c>
      <c r="U1316" s="2" t="s">
        <v>39</v>
      </c>
      <c r="V1316" s="2" t="s">
        <v>4853</v>
      </c>
      <c r="W1316" s="2" t="s">
        <v>4982</v>
      </c>
      <c r="X1316" s="2" t="s">
        <v>5011</v>
      </c>
      <c r="Y1316" s="2" t="s">
        <v>1801</v>
      </c>
      <c r="Z1316" s="2" t="s">
        <v>5458</v>
      </c>
      <c r="AA131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RICELE DA </v>
      </c>
      <c r="AB131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1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16" s="6" t="str">
        <f>IF(_xlfn.IFNA(INDEX(configuracoes!$A$2:$A$10,MATCH(base_tc_geral[[#This Row],[TIPO]],configuracoes!$A$2:$A$10,0)),"NÃO")="NÃO","NÃO","SIM")</f>
        <v>NÃO</v>
      </c>
    </row>
    <row r="1317" spans="1:31" x14ac:dyDescent="0.25">
      <c r="A1317" s="2" t="s">
        <v>4290</v>
      </c>
      <c r="B1317" s="2">
        <v>109504223</v>
      </c>
      <c r="C1317" s="2" t="s">
        <v>15</v>
      </c>
      <c r="D1317" s="2" t="s">
        <v>4523</v>
      </c>
      <c r="E1317" s="2" t="s">
        <v>86</v>
      </c>
      <c r="F1317" s="2" t="s">
        <v>123</v>
      </c>
      <c r="G1317" s="2" t="s">
        <v>58</v>
      </c>
      <c r="H1317" s="2" t="s">
        <v>122</v>
      </c>
      <c r="I1317" s="2" t="s">
        <v>33</v>
      </c>
      <c r="J1317" s="2" t="s">
        <v>124</v>
      </c>
      <c r="K1317" s="2" t="s">
        <v>13</v>
      </c>
      <c r="L1317" s="2" t="s">
        <v>61</v>
      </c>
      <c r="M1317" s="2" t="s">
        <v>38</v>
      </c>
      <c r="N1317" s="2" t="s">
        <v>15</v>
      </c>
      <c r="O1317" s="2" t="s">
        <v>129</v>
      </c>
      <c r="P1317" s="2" t="s">
        <v>4292</v>
      </c>
      <c r="Q1317" s="2" t="s">
        <v>4926</v>
      </c>
      <c r="R1317" s="2" t="s">
        <v>3258</v>
      </c>
      <c r="S1317" s="2" t="s">
        <v>4699</v>
      </c>
      <c r="T1317" s="2" t="s">
        <v>4696</v>
      </c>
      <c r="U1317" s="2" t="s">
        <v>12</v>
      </c>
      <c r="V1317" s="2" t="s">
        <v>4847</v>
      </c>
      <c r="W1317" s="2" t="s">
        <v>4984</v>
      </c>
      <c r="X1317" s="2" t="s">
        <v>38</v>
      </c>
      <c r="Y1317" s="2" t="s">
        <v>4291</v>
      </c>
      <c r="Z1317" s="2" t="s">
        <v>5459</v>
      </c>
      <c r="AA131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ADENILTON CORREIA </v>
      </c>
      <c r="AB131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31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17" s="6" t="str">
        <f>IF(_xlfn.IFNA(INDEX(configuracoes!$A$2:$A$10,MATCH(base_tc_geral[[#This Row],[TIPO]],configuracoes!$A$2:$A$10,0)),"NÃO")="NÃO","NÃO","SIM")</f>
        <v>NÃO</v>
      </c>
    </row>
    <row r="1318" spans="1:31" x14ac:dyDescent="0.25">
      <c r="A1318" s="2" t="s">
        <v>1173</v>
      </c>
      <c r="B1318" s="2">
        <v>109000926</v>
      </c>
      <c r="C1318" s="2" t="s">
        <v>24</v>
      </c>
      <c r="D1318" s="2" t="s">
        <v>4482</v>
      </c>
      <c r="E1318" s="2" t="s">
        <v>86</v>
      </c>
      <c r="F1318" s="2" t="s">
        <v>1099</v>
      </c>
      <c r="G1318" s="2" t="s">
        <v>245</v>
      </c>
      <c r="H1318" s="2" t="s">
        <v>283</v>
      </c>
      <c r="I1318" s="2" t="s">
        <v>33</v>
      </c>
      <c r="J1318" s="2" t="s">
        <v>124</v>
      </c>
      <c r="K1318" s="2" t="s">
        <v>20</v>
      </c>
      <c r="L1318" s="2" t="s">
        <v>21</v>
      </c>
      <c r="M1318" s="2" t="s">
        <v>22</v>
      </c>
      <c r="N1318" s="2" t="s">
        <v>24</v>
      </c>
      <c r="O1318" s="2" t="s">
        <v>287</v>
      </c>
      <c r="P1318" s="2" t="s">
        <v>1175</v>
      </c>
      <c r="Q1318" s="2" t="s">
        <v>4926</v>
      </c>
      <c r="R1318" s="2" t="s">
        <v>285</v>
      </c>
      <c r="S1318" s="2" t="s">
        <v>125</v>
      </c>
      <c r="T1318" s="2" t="s">
        <v>4696</v>
      </c>
      <c r="U1318" s="2" t="s">
        <v>39</v>
      </c>
      <c r="V1318" s="2" t="s">
        <v>4777</v>
      </c>
      <c r="W1318" s="2" t="s">
        <v>4982</v>
      </c>
      <c r="X1318" s="2" t="s">
        <v>4925</v>
      </c>
      <c r="Y1318" s="2" t="s">
        <v>1174</v>
      </c>
      <c r="Z1318" s="2" t="s">
        <v>5460</v>
      </c>
      <c r="AA131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31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1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318" s="6" t="str">
        <f>IF(_xlfn.IFNA(INDEX(configuracoes!$A$2:$A$10,MATCH(base_tc_geral[[#This Row],[TIPO]],configuracoes!$A$2:$A$10,0)),"NÃO")="NÃO","NÃO","SIM")</f>
        <v>SIM</v>
      </c>
    </row>
    <row r="1319" spans="1:31" x14ac:dyDescent="0.25">
      <c r="A1319" s="2" t="s">
        <v>1312</v>
      </c>
      <c r="B1319" s="2">
        <v>109000427</v>
      </c>
      <c r="C1319" s="2" t="s">
        <v>15</v>
      </c>
      <c r="D1319" s="2" t="s">
        <v>4483</v>
      </c>
      <c r="E1319" s="2" t="s">
        <v>86</v>
      </c>
      <c r="F1319" s="2" t="s">
        <v>123</v>
      </c>
      <c r="G1319" s="2" t="s">
        <v>58</v>
      </c>
      <c r="H1319" s="2" t="s">
        <v>122</v>
      </c>
      <c r="I1319" s="2" t="s">
        <v>33</v>
      </c>
      <c r="J1319" s="2" t="s">
        <v>124</v>
      </c>
      <c r="K1319" s="2" t="s">
        <v>13</v>
      </c>
      <c r="L1319" s="2" t="s">
        <v>61</v>
      </c>
      <c r="M1319" s="2" t="s">
        <v>408</v>
      </c>
      <c r="N1319" s="2" t="s">
        <v>15</v>
      </c>
      <c r="O1319" s="2" t="s">
        <v>129</v>
      </c>
      <c r="P1319" s="2" t="s">
        <v>1314</v>
      </c>
      <c r="Q1319" s="2" t="s">
        <v>4926</v>
      </c>
      <c r="R1319" s="2" t="s">
        <v>259</v>
      </c>
      <c r="S1319" s="2" t="s">
        <v>4699</v>
      </c>
      <c r="T1319" s="2" t="s">
        <v>4696</v>
      </c>
      <c r="U1319" s="2" t="s">
        <v>12</v>
      </c>
      <c r="V1319" s="2" t="s">
        <v>4795</v>
      </c>
      <c r="W1319" s="2" t="s">
        <v>4984</v>
      </c>
      <c r="X1319" s="2" t="s">
        <v>408</v>
      </c>
      <c r="Y1319" s="2" t="s">
        <v>1313</v>
      </c>
      <c r="Z1319" s="2" t="s">
        <v>5461</v>
      </c>
      <c r="AA131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HAMILTON DAVINO </v>
      </c>
      <c r="AB131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31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19" s="6" t="str">
        <f>IF(_xlfn.IFNA(INDEX(configuracoes!$A$2:$A$10,MATCH(base_tc_geral[[#This Row],[TIPO]],configuracoes!$A$2:$A$10,0)),"NÃO")="NÃO","NÃO","SIM")</f>
        <v>NÃO</v>
      </c>
    </row>
    <row r="1320" spans="1:31" x14ac:dyDescent="0.25">
      <c r="A1320" s="2" t="s">
        <v>452</v>
      </c>
      <c r="B1320" s="2">
        <v>101005989</v>
      </c>
      <c r="C1320" s="2" t="s">
        <v>15</v>
      </c>
      <c r="D1320" s="2" t="s">
        <v>4578</v>
      </c>
      <c r="E1320" s="2" t="s">
        <v>47</v>
      </c>
      <c r="F1320" s="2" t="s">
        <v>57</v>
      </c>
      <c r="G1320" s="2" t="s">
        <v>136</v>
      </c>
      <c r="H1320" s="2" t="s">
        <v>56</v>
      </c>
      <c r="I1320" s="2" t="s">
        <v>16</v>
      </c>
      <c r="J1320" s="2" t="s">
        <v>60</v>
      </c>
      <c r="K1320" s="2" t="s">
        <v>13</v>
      </c>
      <c r="L1320" s="2" t="s">
        <v>72</v>
      </c>
      <c r="M1320" s="2" t="s">
        <v>455</v>
      </c>
      <c r="N1320" s="2" t="s">
        <v>15</v>
      </c>
      <c r="O1320" s="2" t="s">
        <v>63</v>
      </c>
      <c r="P1320" s="2" t="s">
        <v>454</v>
      </c>
      <c r="Q1320" s="2" t="s">
        <v>4926</v>
      </c>
      <c r="R1320" s="2" t="s">
        <v>59</v>
      </c>
      <c r="S1320" s="2" t="s">
        <v>51</v>
      </c>
      <c r="T1320" s="2" t="s">
        <v>4697</v>
      </c>
      <c r="U1320" s="2" t="s">
        <v>39</v>
      </c>
      <c r="V1320" s="2" t="s">
        <v>4779</v>
      </c>
      <c r="W1320" s="2" t="s">
        <v>72</v>
      </c>
      <c r="X1320" s="2" t="s">
        <v>5588</v>
      </c>
      <c r="Y1320" s="2" t="s">
        <v>453</v>
      </c>
      <c r="Z1320" s="2" t="s">
        <v>5942</v>
      </c>
      <c r="AA132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32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2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0" s="6" t="str">
        <f>IF(_xlfn.IFNA(INDEX(configuracoes!$A$2:$A$10,MATCH(base_tc_geral[[#This Row],[TIPO]],configuracoes!$A$2:$A$10,0)),"NÃO")="NÃO","NÃO","SIM")</f>
        <v>NÃO</v>
      </c>
    </row>
    <row r="1321" spans="1:31" x14ac:dyDescent="0.25">
      <c r="A1321" s="2" t="s">
        <v>2102</v>
      </c>
      <c r="B1321" s="2">
        <v>101007665</v>
      </c>
      <c r="C1321" s="2" t="s">
        <v>24</v>
      </c>
      <c r="D1321" s="2" t="s">
        <v>4482</v>
      </c>
      <c r="E1321" s="2" t="s">
        <v>47</v>
      </c>
      <c r="F1321" s="2" t="s">
        <v>2104</v>
      </c>
      <c r="G1321" s="2" t="s">
        <v>245</v>
      </c>
      <c r="H1321" s="2" t="s">
        <v>56</v>
      </c>
      <c r="I1321" s="2" t="s">
        <v>16</v>
      </c>
      <c r="J1321" s="2" t="s">
        <v>60</v>
      </c>
      <c r="K1321" s="2" t="s">
        <v>20</v>
      </c>
      <c r="L1321" s="2" t="s">
        <v>21</v>
      </c>
      <c r="M1321" s="2" t="s">
        <v>22</v>
      </c>
      <c r="N1321" s="2" t="s">
        <v>24</v>
      </c>
      <c r="O1321" s="2" t="s">
        <v>63</v>
      </c>
      <c r="P1321" s="2" t="s">
        <v>2105</v>
      </c>
      <c r="Q1321" s="2" t="s">
        <v>4926</v>
      </c>
      <c r="R1321" s="2" t="s">
        <v>342</v>
      </c>
      <c r="S1321" s="2" t="s">
        <v>51</v>
      </c>
      <c r="T1321" s="2" t="s">
        <v>4697</v>
      </c>
      <c r="U1321" s="2" t="s">
        <v>39</v>
      </c>
      <c r="V1321" s="2" t="s">
        <v>4866</v>
      </c>
      <c r="W1321" s="2" t="s">
        <v>4982</v>
      </c>
      <c r="X1321" s="2" t="s">
        <v>4925</v>
      </c>
      <c r="Y1321" s="2" t="s">
        <v>2103</v>
      </c>
      <c r="Z1321" s="2" t="s">
        <v>5943</v>
      </c>
      <c r="AA132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32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2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321" s="6" t="str">
        <f>IF(_xlfn.IFNA(INDEX(configuracoes!$A$2:$A$10,MATCH(base_tc_geral[[#This Row],[TIPO]],configuracoes!$A$2:$A$10,0)),"NÃO")="NÃO","NÃO","SIM")</f>
        <v>SIM</v>
      </c>
    </row>
    <row r="1322" spans="1:31" x14ac:dyDescent="0.25">
      <c r="A1322" s="2" t="s">
        <v>1067</v>
      </c>
      <c r="B1322" s="2">
        <v>109504012</v>
      </c>
      <c r="C1322" s="2" t="s">
        <v>15</v>
      </c>
      <c r="D1322" s="2" t="s">
        <v>4484</v>
      </c>
      <c r="E1322" s="2" t="s">
        <v>28</v>
      </c>
      <c r="F1322" s="2" t="s">
        <v>570</v>
      </c>
      <c r="G1322" s="2" t="s">
        <v>245</v>
      </c>
      <c r="H1322" s="2" t="s">
        <v>34</v>
      </c>
      <c r="I1322" s="2" t="s">
        <v>33</v>
      </c>
      <c r="J1322" s="2" t="s">
        <v>34</v>
      </c>
      <c r="K1322" s="2" t="s">
        <v>20</v>
      </c>
      <c r="L1322" s="2" t="s">
        <v>21</v>
      </c>
      <c r="M1322" s="2" t="s">
        <v>22</v>
      </c>
      <c r="N1322" s="2" t="s">
        <v>15</v>
      </c>
      <c r="O1322" s="2" t="s">
        <v>156</v>
      </c>
      <c r="P1322" s="2" t="s">
        <v>1069</v>
      </c>
      <c r="Q1322" s="2" t="s">
        <v>4926</v>
      </c>
      <c r="R1322" s="2" t="s">
        <v>166</v>
      </c>
      <c r="S1322" s="2" t="s">
        <v>167</v>
      </c>
      <c r="T1322" s="2" t="s">
        <v>167</v>
      </c>
      <c r="U1322" s="2" t="s">
        <v>12</v>
      </c>
      <c r="V1322" s="2" t="s">
        <v>4775</v>
      </c>
      <c r="W1322" s="2" t="s">
        <v>4982</v>
      </c>
      <c r="X1322" s="2" t="s">
        <v>4925</v>
      </c>
      <c r="Y1322" s="2" t="s">
        <v>1068</v>
      </c>
      <c r="Z1322" s="2" t="s">
        <v>5944</v>
      </c>
      <c r="AA132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32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2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2" s="6" t="str">
        <f>IF(_xlfn.IFNA(INDEX(configuracoes!$A$2:$A$10,MATCH(base_tc_geral[[#This Row],[TIPO]],configuracoes!$A$2:$A$10,0)),"NÃO")="NÃO","NÃO","SIM")</f>
        <v>SIM</v>
      </c>
    </row>
    <row r="1323" spans="1:31" x14ac:dyDescent="0.25">
      <c r="A1323" s="2" t="s">
        <v>2827</v>
      </c>
      <c r="B1323" s="2">
        <v>101004033</v>
      </c>
      <c r="C1323" s="2" t="s">
        <v>15</v>
      </c>
      <c r="D1323" s="2" t="s">
        <v>4481</v>
      </c>
      <c r="E1323" s="2" t="s">
        <v>47</v>
      </c>
      <c r="F1323" s="2" t="s">
        <v>303</v>
      </c>
      <c r="G1323" s="2" t="s">
        <v>245</v>
      </c>
      <c r="H1323" s="2" t="s">
        <v>60</v>
      </c>
      <c r="I1323" s="2" t="s">
        <v>16</v>
      </c>
      <c r="J1323" s="2" t="s">
        <v>60</v>
      </c>
      <c r="K1323" s="2" t="s">
        <v>20</v>
      </c>
      <c r="L1323" s="2" t="s">
        <v>21</v>
      </c>
      <c r="M1323" s="2" t="s">
        <v>22</v>
      </c>
      <c r="N1323" s="2" t="s">
        <v>15</v>
      </c>
      <c r="O1323" s="2" t="s">
        <v>161</v>
      </c>
      <c r="P1323" s="2" t="s">
        <v>2829</v>
      </c>
      <c r="Q1323" s="2" t="s">
        <v>4926</v>
      </c>
      <c r="R1323" s="2" t="s">
        <v>304</v>
      </c>
      <c r="S1323" s="2" t="s">
        <v>51</v>
      </c>
      <c r="T1323" s="2" t="s">
        <v>4697</v>
      </c>
      <c r="U1323" s="2" t="s">
        <v>12</v>
      </c>
      <c r="V1323" s="2" t="s">
        <v>4813</v>
      </c>
      <c r="W1323" s="2" t="s">
        <v>4982</v>
      </c>
      <c r="X1323" s="2" t="s">
        <v>4925</v>
      </c>
      <c r="Y1323" s="2" t="s">
        <v>2828</v>
      </c>
      <c r="Z1323" s="2" t="s">
        <v>5945</v>
      </c>
      <c r="AA132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32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2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3" s="6" t="str">
        <f>IF(_xlfn.IFNA(INDEX(configuracoes!$A$2:$A$10,MATCH(base_tc_geral[[#This Row],[TIPO]],configuracoes!$A$2:$A$10,0)),"NÃO")="NÃO","NÃO","SIM")</f>
        <v>SIM</v>
      </c>
    </row>
    <row r="1324" spans="1:31" x14ac:dyDescent="0.25">
      <c r="A1324" s="2" t="s">
        <v>1336</v>
      </c>
      <c r="B1324" s="2">
        <v>109501286</v>
      </c>
      <c r="C1324" s="2" t="s">
        <v>15</v>
      </c>
      <c r="D1324" s="2" t="s">
        <v>4528</v>
      </c>
      <c r="E1324" s="2" t="s">
        <v>86</v>
      </c>
      <c r="F1324" s="2" t="s">
        <v>497</v>
      </c>
      <c r="G1324" s="2" t="s">
        <v>58</v>
      </c>
      <c r="H1324" s="2" t="s">
        <v>164</v>
      </c>
      <c r="I1324" s="2" t="s">
        <v>33</v>
      </c>
      <c r="J1324" s="2" t="s">
        <v>124</v>
      </c>
      <c r="K1324" s="2" t="s">
        <v>13</v>
      </c>
      <c r="L1324" s="2" t="s">
        <v>61</v>
      </c>
      <c r="M1324" s="2" t="s">
        <v>22</v>
      </c>
      <c r="N1324" s="2" t="s">
        <v>15</v>
      </c>
      <c r="O1324" s="2" t="s">
        <v>169</v>
      </c>
      <c r="P1324" s="2" t="s">
        <v>1338</v>
      </c>
      <c r="Q1324" s="2" t="s">
        <v>4926</v>
      </c>
      <c r="R1324" s="2" t="s">
        <v>498</v>
      </c>
      <c r="S1324" s="2" t="s">
        <v>93</v>
      </c>
      <c r="T1324" s="2" t="s">
        <v>4696</v>
      </c>
      <c r="U1324" s="2" t="s">
        <v>12</v>
      </c>
      <c r="V1324" s="2" t="s">
        <v>4799</v>
      </c>
      <c r="W1324" s="2" t="s">
        <v>5024</v>
      </c>
      <c r="X1324" s="2" t="s">
        <v>4925</v>
      </c>
      <c r="Y1324" s="2" t="s">
        <v>1337</v>
      </c>
      <c r="Z1324" s="2" t="s">
        <v>5946</v>
      </c>
      <c r="AA132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132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2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4" s="6" t="str">
        <f>IF(_xlfn.IFNA(INDEX(configuracoes!$A$2:$A$10,MATCH(base_tc_geral[[#This Row],[TIPO]],configuracoes!$A$2:$A$10,0)),"NÃO")="NÃO","NÃO","SIM")</f>
        <v>NÃO</v>
      </c>
    </row>
    <row r="1325" spans="1:31" x14ac:dyDescent="0.25">
      <c r="A1325" s="2" t="s">
        <v>4031</v>
      </c>
      <c r="B1325" s="2">
        <v>109000340</v>
      </c>
      <c r="C1325" s="2" t="s">
        <v>15</v>
      </c>
      <c r="D1325" s="2" t="s">
        <v>4519</v>
      </c>
      <c r="E1325" s="2" t="s">
        <v>86</v>
      </c>
      <c r="F1325" s="2" t="s">
        <v>199</v>
      </c>
      <c r="G1325" s="2" t="s">
        <v>172</v>
      </c>
      <c r="H1325" s="2" t="s">
        <v>198</v>
      </c>
      <c r="I1325" s="2" t="s">
        <v>33</v>
      </c>
      <c r="J1325" s="2" t="s">
        <v>91</v>
      </c>
      <c r="K1325" s="2" t="s">
        <v>92</v>
      </c>
      <c r="L1325" s="2" t="s">
        <v>17</v>
      </c>
      <c r="M1325" s="2" t="s">
        <v>22</v>
      </c>
      <c r="N1325" s="2" t="s">
        <v>15</v>
      </c>
      <c r="O1325" s="2" t="s">
        <v>201</v>
      </c>
      <c r="P1325" s="2" t="s">
        <v>4033</v>
      </c>
      <c r="Q1325" s="2" t="s">
        <v>4926</v>
      </c>
      <c r="R1325" s="2" t="s">
        <v>90</v>
      </c>
      <c r="S1325" s="2" t="s">
        <v>93</v>
      </c>
      <c r="T1325" s="2" t="s">
        <v>4696</v>
      </c>
      <c r="U1325" s="2" t="s">
        <v>12</v>
      </c>
      <c r="V1325" s="2" t="s">
        <v>4796</v>
      </c>
      <c r="W1325" s="2" t="s">
        <v>17</v>
      </c>
      <c r="X1325" s="2" t="s">
        <v>4925</v>
      </c>
      <c r="Y1325" s="2" t="s">
        <v>4032</v>
      </c>
      <c r="Z1325" s="2" t="s">
        <v>5947</v>
      </c>
      <c r="AA132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32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2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5" s="6" t="str">
        <f>IF(_xlfn.IFNA(INDEX(configuracoes!$A$2:$A$10,MATCH(base_tc_geral[[#This Row],[TIPO]],configuracoes!$A$2:$A$10,0)),"NÃO")="NÃO","NÃO","SIM")</f>
        <v>NÃO</v>
      </c>
    </row>
    <row r="1326" spans="1:31" x14ac:dyDescent="0.25">
      <c r="A1326" s="2" t="s">
        <v>1909</v>
      </c>
      <c r="B1326" s="2">
        <v>109501286</v>
      </c>
      <c r="C1326" s="2" t="s">
        <v>15</v>
      </c>
      <c r="D1326" s="2" t="s">
        <v>4781</v>
      </c>
      <c r="E1326" s="2" t="s">
        <v>86</v>
      </c>
      <c r="F1326" s="2" t="s">
        <v>497</v>
      </c>
      <c r="G1326" s="2" t="s">
        <v>58</v>
      </c>
      <c r="H1326" s="2" t="s">
        <v>164</v>
      </c>
      <c r="I1326" s="2" t="s">
        <v>33</v>
      </c>
      <c r="J1326" s="2" t="s">
        <v>124</v>
      </c>
      <c r="K1326" s="2" t="s">
        <v>13</v>
      </c>
      <c r="L1326" s="2" t="s">
        <v>61</v>
      </c>
      <c r="M1326" s="2" t="s">
        <v>38</v>
      </c>
      <c r="N1326" s="2" t="s">
        <v>15</v>
      </c>
      <c r="O1326" s="2" t="s">
        <v>169</v>
      </c>
      <c r="P1326" s="2" t="s">
        <v>1911</v>
      </c>
      <c r="Q1326" s="2" t="s">
        <v>4926</v>
      </c>
      <c r="R1326" s="2" t="s">
        <v>498</v>
      </c>
      <c r="S1326" s="2" t="s">
        <v>93</v>
      </c>
      <c r="T1326" s="2" t="s">
        <v>4696</v>
      </c>
      <c r="U1326" s="2" t="s">
        <v>12</v>
      </c>
      <c r="V1326" s="2" t="s">
        <v>4766</v>
      </c>
      <c r="W1326" s="2" t="s">
        <v>4982</v>
      </c>
      <c r="X1326" s="2" t="s">
        <v>38</v>
      </c>
      <c r="Y1326" s="2" t="s">
        <v>1910</v>
      </c>
      <c r="Z1326" s="2" t="s">
        <v>5948</v>
      </c>
      <c r="AA132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HENRIQUE </v>
      </c>
      <c r="AB132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2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6" s="6" t="str">
        <f>IF(_xlfn.IFNA(INDEX(configuracoes!$A$2:$A$10,MATCH(base_tc_geral[[#This Row],[TIPO]],configuracoes!$A$2:$A$10,0)),"NÃO")="NÃO","NÃO","SIM")</f>
        <v>NÃO</v>
      </c>
    </row>
    <row r="1327" spans="1:31" x14ac:dyDescent="0.25">
      <c r="A1327" s="2" t="s">
        <v>301</v>
      </c>
      <c r="B1327" s="2">
        <v>101004033</v>
      </c>
      <c r="C1327" s="2" t="s">
        <v>15</v>
      </c>
      <c r="D1327" s="2" t="s">
        <v>4680</v>
      </c>
      <c r="E1327" s="2" t="s">
        <v>47</v>
      </c>
      <c r="F1327" s="2" t="s">
        <v>303</v>
      </c>
      <c r="G1327" s="2" t="s">
        <v>245</v>
      </c>
      <c r="H1327" s="2" t="s">
        <v>60</v>
      </c>
      <c r="I1327" s="2" t="s">
        <v>16</v>
      </c>
      <c r="J1327" s="2" t="s">
        <v>60</v>
      </c>
      <c r="K1327" s="2" t="s">
        <v>20</v>
      </c>
      <c r="L1327" s="2" t="s">
        <v>21</v>
      </c>
      <c r="M1327" s="2" t="s">
        <v>22</v>
      </c>
      <c r="N1327" s="2" t="s">
        <v>15</v>
      </c>
      <c r="O1327" s="2" t="s">
        <v>161</v>
      </c>
      <c r="P1327" s="2" t="s">
        <v>305</v>
      </c>
      <c r="Q1327" s="2" t="s">
        <v>4926</v>
      </c>
      <c r="R1327" s="2" t="s">
        <v>304</v>
      </c>
      <c r="S1327" s="2" t="s">
        <v>51</v>
      </c>
      <c r="T1327" s="2" t="s">
        <v>4697</v>
      </c>
      <c r="U1327" s="2" t="s">
        <v>12</v>
      </c>
      <c r="V1327" s="2" t="s">
        <v>4813</v>
      </c>
      <c r="W1327" s="2" t="s">
        <v>4982</v>
      </c>
      <c r="X1327" s="2" t="s">
        <v>4925</v>
      </c>
      <c r="Y1327" s="2" t="s">
        <v>302</v>
      </c>
      <c r="Z1327" s="2" t="s">
        <v>5949</v>
      </c>
      <c r="AA132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32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2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7" s="6" t="str">
        <f>IF(_xlfn.IFNA(INDEX(configuracoes!$A$2:$A$10,MATCH(base_tc_geral[[#This Row],[TIPO]],configuracoes!$A$2:$A$10,0)),"NÃO")="NÃO","NÃO","SIM")</f>
        <v>SIM</v>
      </c>
    </row>
    <row r="1328" spans="1:31" x14ac:dyDescent="0.25">
      <c r="A1328" s="2" t="s">
        <v>3899</v>
      </c>
      <c r="B1328" s="2">
        <v>101007665</v>
      </c>
      <c r="C1328" s="2" t="s">
        <v>15</v>
      </c>
      <c r="D1328" s="2" t="s">
        <v>4548</v>
      </c>
      <c r="E1328" s="2" t="s">
        <v>47</v>
      </c>
      <c r="F1328" s="2" t="s">
        <v>341</v>
      </c>
      <c r="G1328" s="2" t="s">
        <v>58</v>
      </c>
      <c r="H1328" s="2" t="s">
        <v>56</v>
      </c>
      <c r="I1328" s="2" t="s">
        <v>16</v>
      </c>
      <c r="J1328" s="2" t="s">
        <v>60</v>
      </c>
      <c r="K1328" s="2" t="s">
        <v>13</v>
      </c>
      <c r="L1328" s="2" t="s">
        <v>61</v>
      </c>
      <c r="M1328" s="2" t="s">
        <v>74</v>
      </c>
      <c r="N1328" s="2" t="s">
        <v>15</v>
      </c>
      <c r="O1328" s="2" t="s">
        <v>63</v>
      </c>
      <c r="P1328" s="2" t="s">
        <v>3901</v>
      </c>
      <c r="Q1328" s="2" t="s">
        <v>4926</v>
      </c>
      <c r="R1328" s="2" t="s">
        <v>342</v>
      </c>
      <c r="S1328" s="2" t="s">
        <v>51</v>
      </c>
      <c r="T1328" s="2" t="s">
        <v>4697</v>
      </c>
      <c r="U1328" s="2" t="s">
        <v>12</v>
      </c>
      <c r="V1328" s="2" t="s">
        <v>4866</v>
      </c>
      <c r="W1328" s="2" t="s">
        <v>5013</v>
      </c>
      <c r="X1328" s="2" t="s">
        <v>74</v>
      </c>
      <c r="Y1328" s="2" t="s">
        <v>3900</v>
      </c>
      <c r="Z1328" s="2" t="s">
        <v>5950</v>
      </c>
      <c r="AA132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32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2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8" s="6" t="str">
        <f>IF(_xlfn.IFNA(INDEX(configuracoes!$A$2:$A$10,MATCH(base_tc_geral[[#This Row],[TIPO]],configuracoes!$A$2:$A$10,0)),"NÃO")="NÃO","NÃO","SIM")</f>
        <v>NÃO</v>
      </c>
    </row>
    <row r="1329" spans="1:31" x14ac:dyDescent="0.25">
      <c r="A1329" s="2" t="s">
        <v>1018</v>
      </c>
      <c r="B1329" s="2">
        <v>109500177</v>
      </c>
      <c r="C1329" s="2" t="s">
        <v>15</v>
      </c>
      <c r="D1329" s="2" t="s">
        <v>4592</v>
      </c>
      <c r="E1329" s="2" t="s">
        <v>86</v>
      </c>
      <c r="F1329" s="2" t="s">
        <v>205</v>
      </c>
      <c r="G1329" s="2" t="s">
        <v>58</v>
      </c>
      <c r="H1329" s="2" t="s">
        <v>122</v>
      </c>
      <c r="I1329" s="2" t="s">
        <v>33</v>
      </c>
      <c r="J1329" s="2" t="s">
        <v>124</v>
      </c>
      <c r="K1329" s="2" t="s">
        <v>13</v>
      </c>
      <c r="L1329" s="2" t="s">
        <v>61</v>
      </c>
      <c r="M1329" s="2" t="s">
        <v>44</v>
      </c>
      <c r="N1329" s="2" t="s">
        <v>15</v>
      </c>
      <c r="O1329" s="2" t="s">
        <v>129</v>
      </c>
      <c r="P1329" s="2" t="s">
        <v>1020</v>
      </c>
      <c r="Q1329" s="2" t="s">
        <v>4926</v>
      </c>
      <c r="R1329" s="2" t="s">
        <v>447</v>
      </c>
      <c r="S1329" s="2" t="s">
        <v>125</v>
      </c>
      <c r="T1329" s="2" t="s">
        <v>4696</v>
      </c>
      <c r="U1329" s="2" t="s">
        <v>12</v>
      </c>
      <c r="V1329" s="2" t="s">
        <v>4784</v>
      </c>
      <c r="W1329" s="2" t="s">
        <v>5013</v>
      </c>
      <c r="X1329" s="2" t="s">
        <v>44</v>
      </c>
      <c r="Y1329" s="2" t="s">
        <v>1019</v>
      </c>
      <c r="Z1329" s="2" t="s">
        <v>5951</v>
      </c>
      <c r="AA132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132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2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29" s="6" t="str">
        <f>IF(_xlfn.IFNA(INDEX(configuracoes!$A$2:$A$10,MATCH(base_tc_geral[[#This Row],[TIPO]],configuracoes!$A$2:$A$10,0)),"NÃO")="NÃO","NÃO","SIM")</f>
        <v>NÃO</v>
      </c>
    </row>
    <row r="1330" spans="1:31" x14ac:dyDescent="0.25">
      <c r="A1330" s="2" t="s">
        <v>3211</v>
      </c>
      <c r="B1330" s="2">
        <v>109500038</v>
      </c>
      <c r="C1330" s="2" t="s">
        <v>15</v>
      </c>
      <c r="D1330" s="2" t="s">
        <v>4688</v>
      </c>
      <c r="E1330" s="2" t="s">
        <v>86</v>
      </c>
      <c r="F1330" s="2" t="s">
        <v>205</v>
      </c>
      <c r="G1330" s="2" t="s">
        <v>89</v>
      </c>
      <c r="H1330" s="2" t="s">
        <v>122</v>
      </c>
      <c r="I1330" s="2" t="s">
        <v>33</v>
      </c>
      <c r="J1330" s="2" t="s">
        <v>124</v>
      </c>
      <c r="K1330" s="2" t="s">
        <v>13</v>
      </c>
      <c r="L1330" s="2" t="s">
        <v>37</v>
      </c>
      <c r="M1330" s="2" t="s">
        <v>18</v>
      </c>
      <c r="N1330" s="2" t="s">
        <v>15</v>
      </c>
      <c r="O1330" s="2" t="s">
        <v>129</v>
      </c>
      <c r="P1330" s="2" t="s">
        <v>3214</v>
      </c>
      <c r="Q1330" s="2" t="s">
        <v>4926</v>
      </c>
      <c r="R1330" s="2" t="s">
        <v>3212</v>
      </c>
      <c r="S1330" s="2" t="s">
        <v>4699</v>
      </c>
      <c r="T1330" s="2" t="s">
        <v>4696</v>
      </c>
      <c r="U1330" s="2" t="s">
        <v>39</v>
      </c>
      <c r="V1330" s="2" t="s">
        <v>4782</v>
      </c>
      <c r="W1330" s="2" t="s">
        <v>4984</v>
      </c>
      <c r="X1330" s="2" t="s">
        <v>4998</v>
      </c>
      <c r="Y1330" s="2" t="s">
        <v>3213</v>
      </c>
      <c r="Z1330" s="2" t="s">
        <v>5952</v>
      </c>
      <c r="AA133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PATRICIO MARTINS </v>
      </c>
      <c r="AB133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33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0" s="6" t="str">
        <f>IF(_xlfn.IFNA(INDEX(configuracoes!$A$2:$A$10,MATCH(base_tc_geral[[#This Row],[TIPO]],configuracoes!$A$2:$A$10,0)),"NÃO")="NÃO","NÃO","SIM")</f>
        <v>NÃO</v>
      </c>
    </row>
    <row r="1331" spans="1:31" x14ac:dyDescent="0.25">
      <c r="A1331" s="2" t="s">
        <v>3631</v>
      </c>
      <c r="B1331" s="2">
        <v>101003771</v>
      </c>
      <c r="C1331" s="2" t="s">
        <v>15</v>
      </c>
      <c r="D1331" s="2" t="s">
        <v>4502</v>
      </c>
      <c r="E1331" s="2" t="s">
        <v>47</v>
      </c>
      <c r="F1331" s="2" t="s">
        <v>1405</v>
      </c>
      <c r="G1331" s="2" t="s">
        <v>172</v>
      </c>
      <c r="H1331" s="2" t="s">
        <v>227</v>
      </c>
      <c r="I1331" s="2" t="s">
        <v>16</v>
      </c>
      <c r="J1331" s="2" t="s">
        <v>227</v>
      </c>
      <c r="K1331" s="2" t="s">
        <v>13</v>
      </c>
      <c r="L1331" s="2" t="s">
        <v>17</v>
      </c>
      <c r="M1331" s="2" t="s">
        <v>23</v>
      </c>
      <c r="N1331" s="2" t="s">
        <v>15</v>
      </c>
      <c r="O1331" s="2" t="s">
        <v>271</v>
      </c>
      <c r="P1331" s="2" t="s">
        <v>3633</v>
      </c>
      <c r="Q1331" s="2" t="s">
        <v>4926</v>
      </c>
      <c r="R1331" s="2" t="s">
        <v>465</v>
      </c>
      <c r="S1331" s="2" t="s">
        <v>51</v>
      </c>
      <c r="T1331" s="2" t="s">
        <v>4697</v>
      </c>
      <c r="U1331" s="2" t="s">
        <v>39</v>
      </c>
      <c r="V1331" s="2" t="s">
        <v>4810</v>
      </c>
      <c r="W1331" s="2" t="s">
        <v>17</v>
      </c>
      <c r="X1331" s="2" t="s">
        <v>4998</v>
      </c>
      <c r="Y1331" s="2" t="s">
        <v>3632</v>
      </c>
      <c r="Z1331" s="2" t="s">
        <v>5953</v>
      </c>
      <c r="AA133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33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3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1" s="6" t="str">
        <f>IF(_xlfn.IFNA(INDEX(configuracoes!$A$2:$A$10,MATCH(base_tc_geral[[#This Row],[TIPO]],configuracoes!$A$2:$A$10,0)),"NÃO")="NÃO","NÃO","SIM")</f>
        <v>NÃO</v>
      </c>
    </row>
    <row r="1332" spans="1:31" x14ac:dyDescent="0.25">
      <c r="A1332" s="2" t="s">
        <v>1279</v>
      </c>
      <c r="B1332" s="2">
        <v>102100390</v>
      </c>
      <c r="C1332" s="2" t="s">
        <v>15</v>
      </c>
      <c r="D1332" s="2" t="s">
        <v>4604</v>
      </c>
      <c r="E1332" s="2" t="s">
        <v>106</v>
      </c>
      <c r="F1332" s="2" t="s">
        <v>131</v>
      </c>
      <c r="G1332" s="2" t="s">
        <v>245</v>
      </c>
      <c r="H1332" s="2" t="s">
        <v>130</v>
      </c>
      <c r="I1332" s="2" t="s">
        <v>33</v>
      </c>
      <c r="J1332" s="2" t="s">
        <v>109</v>
      </c>
      <c r="K1332" s="2" t="s">
        <v>20</v>
      </c>
      <c r="L1332" s="2" t="s">
        <v>21</v>
      </c>
      <c r="M1332" s="2" t="s">
        <v>22</v>
      </c>
      <c r="N1332" s="2" t="s">
        <v>15</v>
      </c>
      <c r="O1332" s="2" t="s">
        <v>132</v>
      </c>
      <c r="P1332" s="2" t="s">
        <v>1281</v>
      </c>
      <c r="Q1332" s="2" t="s">
        <v>4926</v>
      </c>
      <c r="R1332" s="2" t="s">
        <v>1092</v>
      </c>
      <c r="S1332" s="2" t="s">
        <v>736</v>
      </c>
      <c r="T1332" s="2" t="s">
        <v>167</v>
      </c>
      <c r="U1332" s="2" t="s">
        <v>12</v>
      </c>
      <c r="V1332" s="2" t="s">
        <v>4901</v>
      </c>
      <c r="W1332" s="2" t="s">
        <v>4982</v>
      </c>
      <c r="X1332" s="2" t="s">
        <v>4925</v>
      </c>
      <c r="Y1332" s="2" t="s">
        <v>1280</v>
      </c>
      <c r="Z1332" s="2" t="s">
        <v>5954</v>
      </c>
      <c r="AA133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133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3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2" s="6" t="str">
        <f>IF(_xlfn.IFNA(INDEX(configuracoes!$A$2:$A$10,MATCH(base_tc_geral[[#This Row],[TIPO]],configuracoes!$A$2:$A$10,0)),"NÃO")="NÃO","NÃO","SIM")</f>
        <v>SIM</v>
      </c>
    </row>
    <row r="1333" spans="1:31" x14ac:dyDescent="0.25">
      <c r="A1333" s="2" t="s">
        <v>4071</v>
      </c>
      <c r="B1333" s="2">
        <v>109506091</v>
      </c>
      <c r="C1333" s="2" t="s">
        <v>15</v>
      </c>
      <c r="D1333" s="2" t="s">
        <v>4550</v>
      </c>
      <c r="E1333" s="2" t="s">
        <v>86</v>
      </c>
      <c r="F1333" s="2" t="s">
        <v>123</v>
      </c>
      <c r="G1333" s="2" t="s">
        <v>245</v>
      </c>
      <c r="H1333" s="2" t="s">
        <v>122</v>
      </c>
      <c r="I1333" s="2" t="s">
        <v>33</v>
      </c>
      <c r="J1333" s="2" t="s">
        <v>124</v>
      </c>
      <c r="K1333" s="2" t="s">
        <v>20</v>
      </c>
      <c r="L1333" s="2" t="s">
        <v>21</v>
      </c>
      <c r="M1333" s="2" t="s">
        <v>22</v>
      </c>
      <c r="N1333" s="2" t="s">
        <v>15</v>
      </c>
      <c r="O1333" s="2" t="s">
        <v>129</v>
      </c>
      <c r="P1333" s="2" t="s">
        <v>4073</v>
      </c>
      <c r="Q1333" s="2" t="s">
        <v>4926</v>
      </c>
      <c r="R1333" s="2" t="s">
        <v>2683</v>
      </c>
      <c r="S1333" s="2" t="s">
        <v>125</v>
      </c>
      <c r="T1333" s="2" t="s">
        <v>4696</v>
      </c>
      <c r="U1333" s="2" t="s">
        <v>12</v>
      </c>
      <c r="V1333" s="2" t="s">
        <v>4771</v>
      </c>
      <c r="W1333" s="2" t="s">
        <v>4982</v>
      </c>
      <c r="X1333" s="2" t="s">
        <v>4925</v>
      </c>
      <c r="Y1333" s="2" t="s">
        <v>4072</v>
      </c>
      <c r="Z1333" s="2" t="s">
        <v>5955</v>
      </c>
      <c r="AA133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33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3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3" s="6" t="str">
        <f>IF(_xlfn.IFNA(INDEX(configuracoes!$A$2:$A$10,MATCH(base_tc_geral[[#This Row],[TIPO]],configuracoes!$A$2:$A$10,0)),"NÃO")="NÃO","NÃO","SIM")</f>
        <v>SIM</v>
      </c>
    </row>
    <row r="1334" spans="1:31" x14ac:dyDescent="0.25">
      <c r="A1334" s="2" t="s">
        <v>84</v>
      </c>
      <c r="B1334" s="2">
        <v>109000340</v>
      </c>
      <c r="C1334" s="2" t="s">
        <v>15</v>
      </c>
      <c r="D1334" s="2" t="s">
        <v>4506</v>
      </c>
      <c r="E1334" s="2" t="s">
        <v>86</v>
      </c>
      <c r="F1334" s="2" t="s">
        <v>88</v>
      </c>
      <c r="G1334" s="2" t="s">
        <v>58</v>
      </c>
      <c r="H1334" s="2" t="s">
        <v>87</v>
      </c>
      <c r="I1334" s="2" t="s">
        <v>33</v>
      </c>
      <c r="J1334" s="2" t="s">
        <v>91</v>
      </c>
      <c r="K1334" s="2" t="s">
        <v>92</v>
      </c>
      <c r="L1334" s="2" t="s">
        <v>61</v>
      </c>
      <c r="M1334" s="2" t="s">
        <v>44</v>
      </c>
      <c r="N1334" s="2" t="s">
        <v>15</v>
      </c>
      <c r="O1334" s="2" t="s">
        <v>95</v>
      </c>
      <c r="P1334" s="2" t="s">
        <v>94</v>
      </c>
      <c r="Q1334" s="2" t="s">
        <v>4926</v>
      </c>
      <c r="R1334" s="2" t="s">
        <v>90</v>
      </c>
      <c r="S1334" s="2" t="s">
        <v>93</v>
      </c>
      <c r="T1334" s="2" t="s">
        <v>4696</v>
      </c>
      <c r="U1334" s="2" t="s">
        <v>12</v>
      </c>
      <c r="V1334" s="2" t="s">
        <v>4796</v>
      </c>
      <c r="W1334" s="2" t="s">
        <v>4999</v>
      </c>
      <c r="X1334" s="2" t="s">
        <v>44</v>
      </c>
      <c r="Y1334" s="2" t="s">
        <v>85</v>
      </c>
      <c r="Z1334" s="2" t="s">
        <v>5956</v>
      </c>
      <c r="AA133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33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3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4" s="6" t="str">
        <f>IF(_xlfn.IFNA(INDEX(configuracoes!$A$2:$A$10,MATCH(base_tc_geral[[#This Row],[TIPO]],configuracoes!$A$2:$A$10,0)),"NÃO")="NÃO","NÃO","SIM")</f>
        <v>NÃO</v>
      </c>
    </row>
    <row r="1335" spans="1:31" x14ac:dyDescent="0.25">
      <c r="A1335" s="2" t="s">
        <v>2448</v>
      </c>
      <c r="B1335" s="2">
        <v>102100390</v>
      </c>
      <c r="C1335" s="2" t="s">
        <v>15</v>
      </c>
      <c r="D1335" s="2" t="s">
        <v>4527</v>
      </c>
      <c r="E1335" s="2" t="s">
        <v>106</v>
      </c>
      <c r="F1335" s="2" t="s">
        <v>131</v>
      </c>
      <c r="G1335" s="2" t="s">
        <v>245</v>
      </c>
      <c r="H1335" s="2" t="s">
        <v>130</v>
      </c>
      <c r="I1335" s="2" t="s">
        <v>33</v>
      </c>
      <c r="J1335" s="2" t="s">
        <v>109</v>
      </c>
      <c r="K1335" s="2" t="s">
        <v>20</v>
      </c>
      <c r="L1335" s="2" t="s">
        <v>21</v>
      </c>
      <c r="M1335" s="2" t="s">
        <v>22</v>
      </c>
      <c r="N1335" s="2" t="s">
        <v>15</v>
      </c>
      <c r="O1335" s="2" t="s">
        <v>132</v>
      </c>
      <c r="P1335" s="2" t="s">
        <v>2450</v>
      </c>
      <c r="Q1335" s="2" t="s">
        <v>4926</v>
      </c>
      <c r="R1335" s="2" t="s">
        <v>1092</v>
      </c>
      <c r="S1335" s="2" t="s">
        <v>736</v>
      </c>
      <c r="T1335" s="2" t="s">
        <v>167</v>
      </c>
      <c r="U1335" s="2" t="s">
        <v>12</v>
      </c>
      <c r="V1335" s="2" t="s">
        <v>4901</v>
      </c>
      <c r="W1335" s="2" t="s">
        <v>4982</v>
      </c>
      <c r="X1335" s="2" t="s">
        <v>4925</v>
      </c>
      <c r="Y1335" s="2" t="s">
        <v>2449</v>
      </c>
      <c r="Z1335" s="2" t="s">
        <v>5957</v>
      </c>
      <c r="AA133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ANDRIER CARLOS </v>
      </c>
      <c r="AB133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3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5" s="6" t="str">
        <f>IF(_xlfn.IFNA(INDEX(configuracoes!$A$2:$A$10,MATCH(base_tc_geral[[#This Row],[TIPO]],configuracoes!$A$2:$A$10,0)),"NÃO")="NÃO","NÃO","SIM")</f>
        <v>SIM</v>
      </c>
    </row>
    <row r="1336" spans="1:31" x14ac:dyDescent="0.25">
      <c r="A1336" s="2" t="s">
        <v>1333</v>
      </c>
      <c r="B1336" s="2">
        <v>105303208</v>
      </c>
      <c r="C1336" s="2" t="s">
        <v>15</v>
      </c>
      <c r="D1336" s="2" t="s">
        <v>4531</v>
      </c>
      <c r="E1336" s="2" t="s">
        <v>28</v>
      </c>
      <c r="F1336" s="2" t="s">
        <v>440</v>
      </c>
      <c r="G1336" s="2" t="s">
        <v>317</v>
      </c>
      <c r="H1336" s="2" t="s">
        <v>34</v>
      </c>
      <c r="I1336" s="2" t="s">
        <v>33</v>
      </c>
      <c r="J1336" s="2" t="s">
        <v>34</v>
      </c>
      <c r="K1336" s="2" t="s">
        <v>13</v>
      </c>
      <c r="L1336" s="2" t="s">
        <v>42</v>
      </c>
      <c r="M1336" s="2" t="s">
        <v>75</v>
      </c>
      <c r="N1336" s="2" t="s">
        <v>15</v>
      </c>
      <c r="O1336" s="2" t="s">
        <v>156</v>
      </c>
      <c r="P1336" s="2" t="s">
        <v>1335</v>
      </c>
      <c r="Q1336" s="2" t="s">
        <v>4926</v>
      </c>
      <c r="R1336" s="2" t="s">
        <v>849</v>
      </c>
      <c r="S1336" s="2" t="s">
        <v>167</v>
      </c>
      <c r="T1336" s="2" t="s">
        <v>167</v>
      </c>
      <c r="U1336" s="2" t="s">
        <v>12</v>
      </c>
      <c r="V1336" s="2" t="s">
        <v>4850</v>
      </c>
      <c r="W1336" s="2" t="s">
        <v>42</v>
      </c>
      <c r="X1336" s="2" t="s">
        <v>75</v>
      </c>
      <c r="Y1336" s="2" t="s">
        <v>1334</v>
      </c>
      <c r="Z1336" s="2" t="s">
        <v>5958</v>
      </c>
      <c r="AA133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133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3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6" s="6" t="str">
        <f>IF(_xlfn.IFNA(INDEX(configuracoes!$A$2:$A$10,MATCH(base_tc_geral[[#This Row],[TIPO]],configuracoes!$A$2:$A$10,0)),"NÃO")="NÃO","NÃO","SIM")</f>
        <v>SIM</v>
      </c>
    </row>
    <row r="1337" spans="1:31" x14ac:dyDescent="0.25">
      <c r="A1337" s="2" t="s">
        <v>1870</v>
      </c>
      <c r="B1337" s="2">
        <v>109000926</v>
      </c>
      <c r="C1337" s="2" t="s">
        <v>15</v>
      </c>
      <c r="D1337" s="2" t="s">
        <v>4484</v>
      </c>
      <c r="E1337" s="2" t="s">
        <v>86</v>
      </c>
      <c r="F1337" s="2" t="s">
        <v>1099</v>
      </c>
      <c r="G1337" s="2" t="s">
        <v>89</v>
      </c>
      <c r="H1337" s="2" t="s">
        <v>283</v>
      </c>
      <c r="I1337" s="2" t="s">
        <v>33</v>
      </c>
      <c r="J1337" s="2" t="s">
        <v>124</v>
      </c>
      <c r="K1337" s="2" t="s">
        <v>13</v>
      </c>
      <c r="L1337" s="2" t="s">
        <v>37</v>
      </c>
      <c r="M1337" s="2" t="s">
        <v>38</v>
      </c>
      <c r="N1337" s="2" t="s">
        <v>15</v>
      </c>
      <c r="O1337" s="2" t="s">
        <v>287</v>
      </c>
      <c r="P1337" s="2" t="s">
        <v>1872</v>
      </c>
      <c r="Q1337" s="2" t="s">
        <v>4926</v>
      </c>
      <c r="R1337" s="2" t="s">
        <v>285</v>
      </c>
      <c r="S1337" s="2" t="s">
        <v>125</v>
      </c>
      <c r="T1337" s="2" t="s">
        <v>4696</v>
      </c>
      <c r="U1337" s="2" t="s">
        <v>12</v>
      </c>
      <c r="V1337" s="2" t="s">
        <v>4777</v>
      </c>
      <c r="W1337" s="2" t="s">
        <v>4982</v>
      </c>
      <c r="X1337" s="2" t="s">
        <v>38</v>
      </c>
      <c r="Y1337" s="2" t="s">
        <v>1871</v>
      </c>
      <c r="Z1337" s="2" t="s">
        <v>5959</v>
      </c>
      <c r="AA133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33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3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7" s="6" t="str">
        <f>IF(_xlfn.IFNA(INDEX(configuracoes!$A$2:$A$10,MATCH(base_tc_geral[[#This Row],[TIPO]],configuracoes!$A$2:$A$10,0)),"NÃO")="NÃO","NÃO","SIM")</f>
        <v>NÃO</v>
      </c>
    </row>
    <row r="1338" spans="1:31" x14ac:dyDescent="0.25">
      <c r="A1338" s="2" t="s">
        <v>3827</v>
      </c>
      <c r="B1338" s="2">
        <v>109000943</v>
      </c>
      <c r="C1338" s="2" t="s">
        <v>15</v>
      </c>
      <c r="D1338" s="2" t="s">
        <v>4502</v>
      </c>
      <c r="E1338" s="2" t="s">
        <v>86</v>
      </c>
      <c r="F1338" s="2" t="s">
        <v>205</v>
      </c>
      <c r="G1338" s="2" t="s">
        <v>245</v>
      </c>
      <c r="H1338" s="2" t="s">
        <v>122</v>
      </c>
      <c r="I1338" s="2" t="s">
        <v>33</v>
      </c>
      <c r="J1338" s="2" t="s">
        <v>124</v>
      </c>
      <c r="K1338" s="2" t="s">
        <v>20</v>
      </c>
      <c r="L1338" s="2" t="s">
        <v>21</v>
      </c>
      <c r="M1338" s="2" t="s">
        <v>22</v>
      </c>
      <c r="N1338" s="2" t="s">
        <v>15</v>
      </c>
      <c r="O1338" s="2" t="s">
        <v>129</v>
      </c>
      <c r="P1338" s="2" t="s">
        <v>3829</v>
      </c>
      <c r="Q1338" s="2" t="s">
        <v>4926</v>
      </c>
      <c r="R1338" s="2" t="s">
        <v>206</v>
      </c>
      <c r="S1338" s="2" t="s">
        <v>125</v>
      </c>
      <c r="T1338" s="2" t="s">
        <v>4696</v>
      </c>
      <c r="U1338" s="2" t="s">
        <v>12</v>
      </c>
      <c r="V1338" s="2" t="s">
        <v>4771</v>
      </c>
      <c r="W1338" s="2" t="s">
        <v>4982</v>
      </c>
      <c r="X1338" s="2" t="s">
        <v>4925</v>
      </c>
      <c r="Y1338" s="2" t="s">
        <v>3828</v>
      </c>
      <c r="Z1338" s="2" t="s">
        <v>5960</v>
      </c>
      <c r="AA133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33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3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8" s="6" t="str">
        <f>IF(_xlfn.IFNA(INDEX(configuracoes!$A$2:$A$10,MATCH(base_tc_geral[[#This Row],[TIPO]],configuracoes!$A$2:$A$10,0)),"NÃO")="NÃO","NÃO","SIM")</f>
        <v>SIM</v>
      </c>
    </row>
    <row r="1339" spans="1:31" x14ac:dyDescent="0.25">
      <c r="A1339" s="2" t="s">
        <v>3069</v>
      </c>
      <c r="B1339" s="2">
        <v>109505049</v>
      </c>
      <c r="C1339" s="2" t="s">
        <v>15</v>
      </c>
      <c r="D1339" s="2" t="s">
        <v>4493</v>
      </c>
      <c r="E1339" s="2" t="s">
        <v>86</v>
      </c>
      <c r="F1339" s="2" t="s">
        <v>540</v>
      </c>
      <c r="G1339" s="2" t="s">
        <v>99</v>
      </c>
      <c r="H1339" s="2" t="s">
        <v>283</v>
      </c>
      <c r="I1339" s="2" t="s">
        <v>33</v>
      </c>
      <c r="J1339" s="2" t="s">
        <v>124</v>
      </c>
      <c r="K1339" s="2" t="s">
        <v>13</v>
      </c>
      <c r="L1339" s="2" t="s">
        <v>25</v>
      </c>
      <c r="M1339" s="2" t="s">
        <v>22</v>
      </c>
      <c r="N1339" s="2" t="s">
        <v>15</v>
      </c>
      <c r="O1339" s="2" t="s">
        <v>287</v>
      </c>
      <c r="P1339" s="2" t="s">
        <v>3071</v>
      </c>
      <c r="Q1339" s="2" t="s">
        <v>4926</v>
      </c>
      <c r="R1339" s="2" t="s">
        <v>541</v>
      </c>
      <c r="S1339" s="2" t="s">
        <v>125</v>
      </c>
      <c r="T1339" s="2" t="s">
        <v>4696</v>
      </c>
      <c r="U1339" s="2" t="s">
        <v>12</v>
      </c>
      <c r="V1339" s="2" t="s">
        <v>4765</v>
      </c>
      <c r="W1339" s="2" t="s">
        <v>4931</v>
      </c>
      <c r="X1339" s="2" t="s">
        <v>4925</v>
      </c>
      <c r="Y1339" s="2" t="s">
        <v>3070</v>
      </c>
      <c r="Z1339" s="2" t="s">
        <v>5961</v>
      </c>
      <c r="AA133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33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3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39" s="6" t="str">
        <f>IF(_xlfn.IFNA(INDEX(configuracoes!$A$2:$A$10,MATCH(base_tc_geral[[#This Row],[TIPO]],configuracoes!$A$2:$A$10,0)),"NÃO")="NÃO","NÃO","SIM")</f>
        <v>SIM</v>
      </c>
    </row>
    <row r="1340" spans="1:31" x14ac:dyDescent="0.25">
      <c r="A1340" s="2" t="s">
        <v>2737</v>
      </c>
      <c r="B1340" s="2">
        <v>108401409</v>
      </c>
      <c r="C1340" s="2" t="s">
        <v>15</v>
      </c>
      <c r="D1340" s="2" t="s">
        <v>4484</v>
      </c>
      <c r="E1340" s="2" t="s">
        <v>47</v>
      </c>
      <c r="F1340" s="2" t="s">
        <v>49</v>
      </c>
      <c r="G1340" s="2" t="s">
        <v>41</v>
      </c>
      <c r="H1340" s="2" t="s">
        <v>48</v>
      </c>
      <c r="I1340" s="2" t="s">
        <v>16</v>
      </c>
      <c r="J1340" s="2" t="s">
        <v>48</v>
      </c>
      <c r="K1340" s="2" t="s">
        <v>13</v>
      </c>
      <c r="L1340" s="2" t="s">
        <v>42</v>
      </c>
      <c r="M1340" s="2" t="s">
        <v>75</v>
      </c>
      <c r="N1340" s="2" t="s">
        <v>15</v>
      </c>
      <c r="O1340" s="2" t="s">
        <v>53</v>
      </c>
      <c r="P1340" s="2" t="s">
        <v>2740</v>
      </c>
      <c r="Q1340" s="2" t="s">
        <v>4926</v>
      </c>
      <c r="R1340" s="2" t="s">
        <v>2738</v>
      </c>
      <c r="S1340" s="2" t="s">
        <v>359</v>
      </c>
      <c r="T1340" s="2" t="s">
        <v>4697</v>
      </c>
      <c r="U1340" s="2" t="s">
        <v>12</v>
      </c>
      <c r="V1340" s="2" t="s">
        <v>4821</v>
      </c>
      <c r="W1340" s="2" t="s">
        <v>42</v>
      </c>
      <c r="X1340" s="2" t="s">
        <v>75</v>
      </c>
      <c r="Y1340" s="2" t="s">
        <v>2739</v>
      </c>
      <c r="Z1340" s="2" t="s">
        <v>5962</v>
      </c>
      <c r="AA134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34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34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0" s="6" t="str">
        <f>IF(_xlfn.IFNA(INDEX(configuracoes!$A$2:$A$10,MATCH(base_tc_geral[[#This Row],[TIPO]],configuracoes!$A$2:$A$10,0)),"NÃO")="NÃO","NÃO","SIM")</f>
        <v>SIM</v>
      </c>
    </row>
    <row r="1341" spans="1:31" x14ac:dyDescent="0.25">
      <c r="A1341" s="2" t="s">
        <v>2151</v>
      </c>
      <c r="B1341" s="2">
        <v>101007963</v>
      </c>
      <c r="C1341" s="2" t="s">
        <v>15</v>
      </c>
      <c r="D1341" s="2" t="s">
        <v>4540</v>
      </c>
      <c r="E1341" s="2" t="s">
        <v>47</v>
      </c>
      <c r="F1341" s="2" t="s">
        <v>244</v>
      </c>
      <c r="G1341" s="2" t="s">
        <v>4780</v>
      </c>
      <c r="H1341" s="2" t="s">
        <v>60</v>
      </c>
      <c r="I1341" s="2" t="s">
        <v>16</v>
      </c>
      <c r="J1341" s="2" t="s">
        <v>60</v>
      </c>
      <c r="K1341" s="2" t="s">
        <v>20</v>
      </c>
      <c r="L1341" s="2" t="s">
        <v>21</v>
      </c>
      <c r="M1341" s="2" t="s">
        <v>22</v>
      </c>
      <c r="N1341" s="2" t="s">
        <v>15</v>
      </c>
      <c r="O1341" s="2" t="s">
        <v>161</v>
      </c>
      <c r="P1341" s="2" t="s">
        <v>2153</v>
      </c>
      <c r="Q1341" s="2" t="s">
        <v>4926</v>
      </c>
      <c r="R1341" s="2" t="s">
        <v>246</v>
      </c>
      <c r="S1341" s="2" t="s">
        <v>51</v>
      </c>
      <c r="T1341" s="2" t="s">
        <v>4697</v>
      </c>
      <c r="U1341" s="2" t="s">
        <v>12</v>
      </c>
      <c r="V1341" s="2" t="s">
        <v>4778</v>
      </c>
      <c r="W1341" s="2" t="s">
        <v>4982</v>
      </c>
      <c r="X1341" s="2" t="s">
        <v>4925</v>
      </c>
      <c r="Y1341" s="2" t="s">
        <v>2152</v>
      </c>
      <c r="Z1341" s="2" t="s">
        <v>5963</v>
      </c>
      <c r="AA134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34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4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4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1" s="6" t="str">
        <f>IF(_xlfn.IFNA(INDEX(configuracoes!$A$2:$A$10,MATCH(base_tc_geral[[#This Row],[TIPO]],configuracoes!$A$2:$A$10,0)),"NÃO")="NÃO","NÃO","SIM")</f>
        <v>SIM</v>
      </c>
    </row>
    <row r="1342" spans="1:31" x14ac:dyDescent="0.25">
      <c r="A1342" s="2" t="s">
        <v>3355</v>
      </c>
      <c r="B1342" s="2">
        <v>101001488</v>
      </c>
      <c r="C1342" s="2" t="s">
        <v>15</v>
      </c>
      <c r="D1342" s="2" t="s">
        <v>4493</v>
      </c>
      <c r="E1342" s="2" t="s">
        <v>47</v>
      </c>
      <c r="F1342" s="2" t="s">
        <v>159</v>
      </c>
      <c r="G1342" s="2" t="s">
        <v>648</v>
      </c>
      <c r="H1342" s="2" t="s">
        <v>60</v>
      </c>
      <c r="I1342" s="2" t="s">
        <v>16</v>
      </c>
      <c r="J1342" s="2" t="s">
        <v>60</v>
      </c>
      <c r="K1342" s="2" t="s">
        <v>13</v>
      </c>
      <c r="L1342" s="2" t="s">
        <v>25</v>
      </c>
      <c r="M1342" s="2" t="s">
        <v>22</v>
      </c>
      <c r="N1342" s="2" t="s">
        <v>15</v>
      </c>
      <c r="O1342" s="2" t="s">
        <v>161</v>
      </c>
      <c r="P1342" s="2" t="s">
        <v>3357</v>
      </c>
      <c r="Q1342" s="2" t="s">
        <v>4926</v>
      </c>
      <c r="R1342" s="2" t="s">
        <v>252</v>
      </c>
      <c r="S1342" s="2" t="s">
        <v>101</v>
      </c>
      <c r="T1342" s="2" t="s">
        <v>4697</v>
      </c>
      <c r="U1342" s="2" t="s">
        <v>12</v>
      </c>
      <c r="V1342" s="2" t="s">
        <v>4838</v>
      </c>
      <c r="W1342" s="2" t="s">
        <v>4931</v>
      </c>
      <c r="X1342" s="2" t="s">
        <v>4925</v>
      </c>
      <c r="Y1342" s="2" t="s">
        <v>3356</v>
      </c>
      <c r="Z1342" s="2" t="s">
        <v>5964</v>
      </c>
      <c r="AA134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34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4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4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2" s="6" t="str">
        <f>IF(_xlfn.IFNA(INDEX(configuracoes!$A$2:$A$10,MATCH(base_tc_geral[[#This Row],[TIPO]],configuracoes!$A$2:$A$10,0)),"NÃO")="NÃO","NÃO","SIM")</f>
        <v>SIM</v>
      </c>
    </row>
    <row r="1343" spans="1:31" x14ac:dyDescent="0.25">
      <c r="A1343" s="2" t="s">
        <v>1932</v>
      </c>
      <c r="B1343" s="2">
        <v>101003771</v>
      </c>
      <c r="C1343" s="2" t="s">
        <v>15</v>
      </c>
      <c r="D1343" s="2" t="s">
        <v>4496</v>
      </c>
      <c r="E1343" s="2" t="s">
        <v>47</v>
      </c>
      <c r="F1343" s="2" t="s">
        <v>368</v>
      </c>
      <c r="G1343" s="2" t="s">
        <v>172</v>
      </c>
      <c r="H1343" s="2" t="s">
        <v>227</v>
      </c>
      <c r="I1343" s="2" t="s">
        <v>16</v>
      </c>
      <c r="J1343" s="2" t="s">
        <v>227</v>
      </c>
      <c r="K1343" s="2" t="s">
        <v>13</v>
      </c>
      <c r="L1343" s="2" t="s">
        <v>17</v>
      </c>
      <c r="M1343" s="2" t="s">
        <v>18</v>
      </c>
      <c r="N1343" s="2" t="s">
        <v>15</v>
      </c>
      <c r="O1343" s="2" t="s">
        <v>271</v>
      </c>
      <c r="P1343" s="2" t="s">
        <v>1934</v>
      </c>
      <c r="Q1343" s="2" t="s">
        <v>4926</v>
      </c>
      <c r="R1343" s="2" t="s">
        <v>465</v>
      </c>
      <c r="S1343" s="2" t="s">
        <v>51</v>
      </c>
      <c r="T1343" s="2" t="s">
        <v>4697</v>
      </c>
      <c r="U1343" s="2" t="s">
        <v>12</v>
      </c>
      <c r="V1343" s="2" t="s">
        <v>4786</v>
      </c>
      <c r="W1343" s="2" t="s">
        <v>17</v>
      </c>
      <c r="X1343" s="2" t="s">
        <v>4998</v>
      </c>
      <c r="Y1343" s="2" t="s">
        <v>1933</v>
      </c>
      <c r="Z1343" s="2" t="s">
        <v>5965</v>
      </c>
      <c r="AA134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ANA CLAUDIA </v>
      </c>
      <c r="AB134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4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4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3" s="6" t="str">
        <f>IF(_xlfn.IFNA(INDEX(configuracoes!$A$2:$A$10,MATCH(base_tc_geral[[#This Row],[TIPO]],configuracoes!$A$2:$A$10,0)),"NÃO")="NÃO","NÃO","SIM")</f>
        <v>NÃO</v>
      </c>
    </row>
    <row r="1344" spans="1:31" x14ac:dyDescent="0.25">
      <c r="A1344" s="2" t="s">
        <v>3572</v>
      </c>
      <c r="B1344" s="2">
        <v>101005380</v>
      </c>
      <c r="C1344" s="2" t="s">
        <v>15</v>
      </c>
      <c r="D1344" s="2" t="s">
        <v>4481</v>
      </c>
      <c r="E1344" s="2" t="s">
        <v>47</v>
      </c>
      <c r="F1344" s="2" t="s">
        <v>67</v>
      </c>
      <c r="G1344" s="2" t="s">
        <v>245</v>
      </c>
      <c r="H1344" s="2" t="s">
        <v>66</v>
      </c>
      <c r="I1344" s="2" t="s">
        <v>16</v>
      </c>
      <c r="J1344" s="2" t="s">
        <v>66</v>
      </c>
      <c r="K1344" s="2" t="s">
        <v>20</v>
      </c>
      <c r="L1344" s="2" t="s">
        <v>21</v>
      </c>
      <c r="M1344" s="2" t="s">
        <v>22</v>
      </c>
      <c r="N1344" s="2" t="s">
        <v>15</v>
      </c>
      <c r="O1344" s="2" t="s">
        <v>71</v>
      </c>
      <c r="P1344" s="2" t="s">
        <v>3574</v>
      </c>
      <c r="Q1344" s="2" t="s">
        <v>4926</v>
      </c>
      <c r="R1344" s="2" t="s">
        <v>69</v>
      </c>
      <c r="S1344" s="2" t="s">
        <v>4698</v>
      </c>
      <c r="T1344" s="2" t="s">
        <v>4697</v>
      </c>
      <c r="U1344" s="2" t="s">
        <v>12</v>
      </c>
      <c r="V1344" s="2" t="s">
        <v>4787</v>
      </c>
      <c r="W1344" s="2" t="s">
        <v>4982</v>
      </c>
      <c r="X1344" s="2" t="s">
        <v>4925</v>
      </c>
      <c r="Y1344" s="2" t="s">
        <v>3573</v>
      </c>
      <c r="Z1344" s="2" t="s">
        <v>5966</v>
      </c>
      <c r="AA134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MARCILIO RIBEIRO </v>
      </c>
      <c r="AB134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4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4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4" s="6" t="str">
        <f>IF(_xlfn.IFNA(INDEX(configuracoes!$A$2:$A$10,MATCH(base_tc_geral[[#This Row],[TIPO]],configuracoes!$A$2:$A$10,0)),"NÃO")="NÃO","NÃO","SIM")</f>
        <v>SIM</v>
      </c>
    </row>
    <row r="1345" spans="1:31" x14ac:dyDescent="0.25">
      <c r="A1345" s="2" t="s">
        <v>1413</v>
      </c>
      <c r="B1345" s="2">
        <v>101008134</v>
      </c>
      <c r="C1345" s="2" t="s">
        <v>15</v>
      </c>
      <c r="D1345" s="2" t="s">
        <v>4481</v>
      </c>
      <c r="E1345" s="2" t="s">
        <v>47</v>
      </c>
      <c r="F1345" s="2" t="s">
        <v>368</v>
      </c>
      <c r="G1345" s="2" t="s">
        <v>245</v>
      </c>
      <c r="H1345" s="2" t="s">
        <v>227</v>
      </c>
      <c r="I1345" s="2" t="s">
        <v>16</v>
      </c>
      <c r="J1345" s="2" t="s">
        <v>227</v>
      </c>
      <c r="K1345" s="2" t="s">
        <v>20</v>
      </c>
      <c r="L1345" s="2" t="s">
        <v>21</v>
      </c>
      <c r="M1345" s="2" t="s">
        <v>22</v>
      </c>
      <c r="N1345" s="2" t="s">
        <v>15</v>
      </c>
      <c r="O1345" s="2" t="s">
        <v>271</v>
      </c>
      <c r="P1345" s="2" t="s">
        <v>1415</v>
      </c>
      <c r="Q1345" s="2" t="s">
        <v>4926</v>
      </c>
      <c r="R1345" s="2" t="s">
        <v>351</v>
      </c>
      <c r="S1345" s="2" t="s">
        <v>101</v>
      </c>
      <c r="T1345" s="2" t="s">
        <v>4697</v>
      </c>
      <c r="U1345" s="2" t="s">
        <v>12</v>
      </c>
      <c r="V1345" s="2" t="s">
        <v>4834</v>
      </c>
      <c r="W1345" s="2" t="s">
        <v>4982</v>
      </c>
      <c r="X1345" s="2" t="s">
        <v>4925</v>
      </c>
      <c r="Y1345" s="2" t="s">
        <v>1414</v>
      </c>
      <c r="Z1345" s="2" t="s">
        <v>5967</v>
      </c>
      <c r="AA134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34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4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4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5" s="6" t="str">
        <f>IF(_xlfn.IFNA(INDEX(configuracoes!$A$2:$A$10,MATCH(base_tc_geral[[#This Row],[TIPO]],configuracoes!$A$2:$A$10,0)),"NÃO")="NÃO","NÃO","SIM")</f>
        <v>SIM</v>
      </c>
    </row>
    <row r="1346" spans="1:31" x14ac:dyDescent="0.25">
      <c r="A1346" s="2" t="s">
        <v>2722</v>
      </c>
      <c r="B1346" s="2">
        <v>101008134</v>
      </c>
      <c r="C1346" s="2" t="s">
        <v>15</v>
      </c>
      <c r="D1346" s="2" t="s">
        <v>4481</v>
      </c>
      <c r="E1346" s="2" t="s">
        <v>47</v>
      </c>
      <c r="F1346" s="2" t="s">
        <v>368</v>
      </c>
      <c r="G1346" s="2" t="s">
        <v>245</v>
      </c>
      <c r="H1346" s="2" t="s">
        <v>227</v>
      </c>
      <c r="I1346" s="2" t="s">
        <v>16</v>
      </c>
      <c r="J1346" s="2" t="s">
        <v>227</v>
      </c>
      <c r="K1346" s="2" t="s">
        <v>20</v>
      </c>
      <c r="L1346" s="2" t="s">
        <v>21</v>
      </c>
      <c r="M1346" s="2" t="s">
        <v>22</v>
      </c>
      <c r="N1346" s="2" t="s">
        <v>15</v>
      </c>
      <c r="O1346" s="2" t="s">
        <v>271</v>
      </c>
      <c r="P1346" s="2" t="s">
        <v>2724</v>
      </c>
      <c r="Q1346" s="2" t="s">
        <v>4926</v>
      </c>
      <c r="R1346" s="2" t="s">
        <v>351</v>
      </c>
      <c r="S1346" s="2" t="s">
        <v>101</v>
      </c>
      <c r="T1346" s="2" t="s">
        <v>4697</v>
      </c>
      <c r="U1346" s="2" t="s">
        <v>12</v>
      </c>
      <c r="V1346" s="2" t="s">
        <v>4834</v>
      </c>
      <c r="W1346" s="2" t="s">
        <v>4982</v>
      </c>
      <c r="X1346" s="2" t="s">
        <v>4925</v>
      </c>
      <c r="Y1346" s="2" t="s">
        <v>2723</v>
      </c>
      <c r="Z1346" s="2" t="s">
        <v>5968</v>
      </c>
      <c r="AA134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34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4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4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6" s="6" t="str">
        <f>IF(_xlfn.IFNA(INDEX(configuracoes!$A$2:$A$10,MATCH(base_tc_geral[[#This Row],[TIPO]],configuracoes!$A$2:$A$10,0)),"NÃO")="NÃO","NÃO","SIM")</f>
        <v>SIM</v>
      </c>
    </row>
    <row r="1347" spans="1:31" x14ac:dyDescent="0.25">
      <c r="A1347" s="2" t="s">
        <v>2902</v>
      </c>
      <c r="B1347" s="2">
        <v>109000499</v>
      </c>
      <c r="C1347" s="2" t="s">
        <v>15</v>
      </c>
      <c r="D1347" s="2" t="s">
        <v>4522</v>
      </c>
      <c r="E1347" s="2" t="s">
        <v>86</v>
      </c>
      <c r="F1347" s="2" t="s">
        <v>497</v>
      </c>
      <c r="G1347" s="2" t="s">
        <v>136</v>
      </c>
      <c r="H1347" s="2" t="s">
        <v>164</v>
      </c>
      <c r="I1347" s="2" t="s">
        <v>33</v>
      </c>
      <c r="J1347" s="2" t="s">
        <v>124</v>
      </c>
      <c r="K1347" s="2" t="s">
        <v>13</v>
      </c>
      <c r="L1347" s="2" t="s">
        <v>72</v>
      </c>
      <c r="M1347" s="2" t="s">
        <v>73</v>
      </c>
      <c r="N1347" s="2" t="s">
        <v>15</v>
      </c>
      <c r="O1347" s="2" t="s">
        <v>169</v>
      </c>
      <c r="P1347" s="2" t="s">
        <v>2904</v>
      </c>
      <c r="Q1347" s="2" t="s">
        <v>4926</v>
      </c>
      <c r="R1347" s="2" t="s">
        <v>321</v>
      </c>
      <c r="S1347" s="2" t="s">
        <v>93</v>
      </c>
      <c r="T1347" s="2" t="s">
        <v>4696</v>
      </c>
      <c r="U1347" s="2" t="s">
        <v>12</v>
      </c>
      <c r="V1347" s="2" t="s">
        <v>4783</v>
      </c>
      <c r="W1347" s="2" t="s">
        <v>72</v>
      </c>
      <c r="X1347" s="2" t="s">
        <v>5011</v>
      </c>
      <c r="Y1347" s="2" t="s">
        <v>2903</v>
      </c>
      <c r="Z1347" s="2" t="s">
        <v>5969</v>
      </c>
      <c r="AA134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34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4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4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7" s="6" t="str">
        <f>IF(_xlfn.IFNA(INDEX(configuracoes!$A$2:$A$10,MATCH(base_tc_geral[[#This Row],[TIPO]],configuracoes!$A$2:$A$10,0)),"NÃO")="NÃO","NÃO","SIM")</f>
        <v>NÃO</v>
      </c>
    </row>
    <row r="1348" spans="1:31" x14ac:dyDescent="0.25">
      <c r="A1348" s="2" t="s">
        <v>3406</v>
      </c>
      <c r="B1348" s="2">
        <v>101006811</v>
      </c>
      <c r="C1348" s="2" t="s">
        <v>15</v>
      </c>
      <c r="D1348" s="2" t="s">
        <v>4523</v>
      </c>
      <c r="E1348" s="2" t="s">
        <v>47</v>
      </c>
      <c r="F1348" s="2" t="s">
        <v>49</v>
      </c>
      <c r="G1348" s="2" t="s">
        <v>364</v>
      </c>
      <c r="H1348" s="2" t="s">
        <v>48</v>
      </c>
      <c r="I1348" s="2" t="s">
        <v>16</v>
      </c>
      <c r="J1348" s="2" t="s">
        <v>48</v>
      </c>
      <c r="K1348" s="2" t="s">
        <v>13</v>
      </c>
      <c r="L1348" s="2" t="s">
        <v>37</v>
      </c>
      <c r="M1348" s="2" t="s">
        <v>38</v>
      </c>
      <c r="N1348" s="2" t="s">
        <v>15</v>
      </c>
      <c r="O1348" s="2" t="s">
        <v>53</v>
      </c>
      <c r="P1348" s="2" t="s">
        <v>3408</v>
      </c>
      <c r="Q1348" s="2" t="s">
        <v>4926</v>
      </c>
      <c r="R1348" s="2" t="s">
        <v>50</v>
      </c>
      <c r="S1348" s="2" t="s">
        <v>51</v>
      </c>
      <c r="T1348" s="2" t="s">
        <v>4697</v>
      </c>
      <c r="U1348" s="2" t="s">
        <v>12</v>
      </c>
      <c r="V1348" s="2" t="s">
        <v>4860</v>
      </c>
      <c r="W1348" s="2" t="s">
        <v>4999</v>
      </c>
      <c r="X1348" s="2" t="s">
        <v>38</v>
      </c>
      <c r="Y1348" s="2" t="s">
        <v>3407</v>
      </c>
      <c r="Z1348" s="2" t="s">
        <v>5970</v>
      </c>
      <c r="AA134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FERNANDES </v>
      </c>
      <c r="AB134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4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4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8" s="6" t="str">
        <f>IF(_xlfn.IFNA(INDEX(configuracoes!$A$2:$A$10,MATCH(base_tc_geral[[#This Row],[TIPO]],configuracoes!$A$2:$A$10,0)),"NÃO")="NÃO","NÃO","SIM")</f>
        <v>NÃO</v>
      </c>
    </row>
    <row r="1349" spans="1:31" x14ac:dyDescent="0.25">
      <c r="A1349" s="2" t="s">
        <v>936</v>
      </c>
      <c r="B1349" s="2">
        <v>101009889</v>
      </c>
      <c r="C1349" s="2" t="s">
        <v>15</v>
      </c>
      <c r="D1349" s="2" t="s">
        <v>4527</v>
      </c>
      <c r="E1349" s="2" t="s">
        <v>47</v>
      </c>
      <c r="F1349" s="2" t="s">
        <v>341</v>
      </c>
      <c r="G1349" s="2" t="s">
        <v>58</v>
      </c>
      <c r="H1349" s="2" t="s">
        <v>56</v>
      </c>
      <c r="I1349" s="2" t="s">
        <v>16</v>
      </c>
      <c r="J1349" s="2" t="s">
        <v>60</v>
      </c>
      <c r="K1349" s="2" t="s">
        <v>13</v>
      </c>
      <c r="L1349" s="2" t="s">
        <v>61</v>
      </c>
      <c r="M1349" s="2" t="s">
        <v>338</v>
      </c>
      <c r="N1349" s="2" t="s">
        <v>15</v>
      </c>
      <c r="O1349" s="2" t="s">
        <v>63</v>
      </c>
      <c r="P1349" s="2" t="s">
        <v>939</v>
      </c>
      <c r="Q1349" s="2" t="s">
        <v>4926</v>
      </c>
      <c r="R1349" s="2" t="s">
        <v>937</v>
      </c>
      <c r="S1349" s="2" t="s">
        <v>1925</v>
      </c>
      <c r="T1349" s="2" t="s">
        <v>110</v>
      </c>
      <c r="U1349" s="2" t="s">
        <v>12</v>
      </c>
      <c r="V1349" s="2" t="s">
        <v>4801</v>
      </c>
      <c r="W1349" s="2" t="s">
        <v>4993</v>
      </c>
      <c r="X1349" s="2" t="s">
        <v>338</v>
      </c>
      <c r="Y1349" s="2" t="s">
        <v>938</v>
      </c>
      <c r="Z1349" s="2" t="s">
        <v>5971</v>
      </c>
      <c r="AA134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ROBERTO CLAUDIO </v>
      </c>
      <c r="AB134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CRISTIANO ADOLFO </v>
      </c>
      <c r="AC134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134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49" s="6" t="str">
        <f>IF(_xlfn.IFNA(INDEX(configuracoes!$A$2:$A$10,MATCH(base_tc_geral[[#This Row],[TIPO]],configuracoes!$A$2:$A$10,0)),"NÃO")="NÃO","NÃO","SIM")</f>
        <v>NÃO</v>
      </c>
    </row>
    <row r="1350" spans="1:31" x14ac:dyDescent="0.25">
      <c r="A1350" s="2" t="s">
        <v>3331</v>
      </c>
      <c r="B1350" s="2">
        <v>101001488</v>
      </c>
      <c r="C1350" s="2" t="s">
        <v>15</v>
      </c>
      <c r="D1350" s="2" t="s">
        <v>4502</v>
      </c>
      <c r="E1350" s="2" t="s">
        <v>47</v>
      </c>
      <c r="F1350" s="2" t="s">
        <v>251</v>
      </c>
      <c r="G1350" s="2" t="s">
        <v>648</v>
      </c>
      <c r="H1350" s="2" t="s">
        <v>224</v>
      </c>
      <c r="I1350" s="2" t="s">
        <v>16</v>
      </c>
      <c r="J1350" s="2" t="s">
        <v>227</v>
      </c>
      <c r="K1350" s="2" t="s">
        <v>13</v>
      </c>
      <c r="L1350" s="2" t="s">
        <v>25</v>
      </c>
      <c r="M1350" s="2" t="s">
        <v>22</v>
      </c>
      <c r="N1350" s="2" t="s">
        <v>15</v>
      </c>
      <c r="O1350" s="2" t="s">
        <v>229</v>
      </c>
      <c r="P1350" s="2" t="s">
        <v>3333</v>
      </c>
      <c r="Q1350" s="2" t="s">
        <v>4926</v>
      </c>
      <c r="R1350" s="2" t="s">
        <v>252</v>
      </c>
      <c r="S1350" s="2" t="s">
        <v>101</v>
      </c>
      <c r="T1350" s="2" t="s">
        <v>4697</v>
      </c>
      <c r="U1350" s="2" t="s">
        <v>12</v>
      </c>
      <c r="V1350" s="2" t="s">
        <v>4809</v>
      </c>
      <c r="W1350" s="2" t="s">
        <v>4931</v>
      </c>
      <c r="X1350" s="2" t="s">
        <v>4925</v>
      </c>
      <c r="Y1350" s="2" t="s">
        <v>3332</v>
      </c>
      <c r="Z1350" s="2" t="s">
        <v>5972</v>
      </c>
      <c r="AA135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35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5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5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50" s="6" t="str">
        <f>IF(_xlfn.IFNA(INDEX(configuracoes!$A$2:$A$10,MATCH(base_tc_geral[[#This Row],[TIPO]],configuracoes!$A$2:$A$10,0)),"NÃO")="NÃO","NÃO","SIM")</f>
        <v>SIM</v>
      </c>
    </row>
    <row r="1351" spans="1:31" x14ac:dyDescent="0.25">
      <c r="A1351" s="2" t="s">
        <v>2414</v>
      </c>
      <c r="B1351" s="2">
        <v>102101393</v>
      </c>
      <c r="C1351" s="2" t="s">
        <v>15</v>
      </c>
      <c r="D1351" s="2" t="s">
        <v>4570</v>
      </c>
      <c r="E1351" s="2" t="s">
        <v>106</v>
      </c>
      <c r="F1351" s="2" t="s">
        <v>863</v>
      </c>
      <c r="G1351" s="2" t="s">
        <v>58</v>
      </c>
      <c r="H1351" s="2" t="s">
        <v>427</v>
      </c>
      <c r="I1351" s="2" t="s">
        <v>33</v>
      </c>
      <c r="J1351" s="2" t="s">
        <v>109</v>
      </c>
      <c r="K1351" s="2" t="s">
        <v>13</v>
      </c>
      <c r="L1351" s="2" t="s">
        <v>61</v>
      </c>
      <c r="M1351" s="2" t="s">
        <v>44</v>
      </c>
      <c r="N1351" s="2" t="s">
        <v>15</v>
      </c>
      <c r="O1351" s="2" t="s">
        <v>430</v>
      </c>
      <c r="P1351" s="2" t="s">
        <v>2416</v>
      </c>
      <c r="Q1351" s="2" t="s">
        <v>4926</v>
      </c>
      <c r="R1351" s="2" t="s">
        <v>735</v>
      </c>
      <c r="S1351" s="2" t="s">
        <v>736</v>
      </c>
      <c r="T1351" s="2" t="s">
        <v>167</v>
      </c>
      <c r="U1351" s="2" t="s">
        <v>12</v>
      </c>
      <c r="V1351" s="2" t="s">
        <v>4886</v>
      </c>
      <c r="W1351" s="2" t="s">
        <v>4999</v>
      </c>
      <c r="X1351" s="2" t="s">
        <v>44</v>
      </c>
      <c r="Y1351" s="2" t="s">
        <v>2415</v>
      </c>
      <c r="Z1351" s="2" t="s">
        <v>5973</v>
      </c>
      <c r="AA135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SIDNEY MOURA </v>
      </c>
      <c r="AB135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5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5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51" s="6" t="str">
        <f>IF(_xlfn.IFNA(INDEX(configuracoes!$A$2:$A$10,MATCH(base_tc_geral[[#This Row],[TIPO]],configuracoes!$A$2:$A$10,0)),"NÃO")="NÃO","NÃO","SIM")</f>
        <v>NÃO</v>
      </c>
    </row>
    <row r="1352" spans="1:31" x14ac:dyDescent="0.25">
      <c r="A1352" s="2" t="s">
        <v>2169</v>
      </c>
      <c r="B1352" s="2">
        <v>101007963</v>
      </c>
      <c r="C1352" s="2" t="s">
        <v>15</v>
      </c>
      <c r="D1352" s="2" t="s">
        <v>4499</v>
      </c>
      <c r="E1352" s="2" t="s">
        <v>47</v>
      </c>
      <c r="F1352" s="2" t="s">
        <v>244</v>
      </c>
      <c r="G1352" s="2" t="s">
        <v>4780</v>
      </c>
      <c r="H1352" s="2" t="s">
        <v>60</v>
      </c>
      <c r="I1352" s="2" t="s">
        <v>16</v>
      </c>
      <c r="J1352" s="2" t="s">
        <v>60</v>
      </c>
      <c r="K1352" s="2" t="s">
        <v>20</v>
      </c>
      <c r="L1352" s="2" t="s">
        <v>21</v>
      </c>
      <c r="M1352" s="2" t="s">
        <v>22</v>
      </c>
      <c r="N1352" s="2" t="s">
        <v>15</v>
      </c>
      <c r="O1352" s="2" t="s">
        <v>161</v>
      </c>
      <c r="P1352" s="2" t="s">
        <v>2171</v>
      </c>
      <c r="Q1352" s="2" t="s">
        <v>4926</v>
      </c>
      <c r="R1352" s="2" t="s">
        <v>246</v>
      </c>
      <c r="S1352" s="2" t="s">
        <v>51</v>
      </c>
      <c r="T1352" s="2" t="s">
        <v>4697</v>
      </c>
      <c r="U1352" s="2" t="s">
        <v>12</v>
      </c>
      <c r="V1352" s="2" t="s">
        <v>4778</v>
      </c>
      <c r="W1352" s="2" t="s">
        <v>4982</v>
      </c>
      <c r="X1352" s="2" t="s">
        <v>4925</v>
      </c>
      <c r="Y1352" s="2" t="s">
        <v>2170</v>
      </c>
      <c r="Z1352" s="2" t="s">
        <v>5974</v>
      </c>
      <c r="AA135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35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5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5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52" s="6" t="str">
        <f>IF(_xlfn.IFNA(INDEX(configuracoes!$A$2:$A$10,MATCH(base_tc_geral[[#This Row],[TIPO]],configuracoes!$A$2:$A$10,0)),"NÃO")="NÃO","NÃO","SIM")</f>
        <v>SIM</v>
      </c>
    </row>
    <row r="1353" spans="1:31" x14ac:dyDescent="0.25">
      <c r="A1353" s="2" t="s">
        <v>1487</v>
      </c>
      <c r="B1353" s="2">
        <v>109505858</v>
      </c>
      <c r="C1353" s="2" t="s">
        <v>15</v>
      </c>
      <c r="D1353" s="2" t="s">
        <v>4492</v>
      </c>
      <c r="E1353" s="2" t="s">
        <v>86</v>
      </c>
      <c r="F1353" s="2" t="s">
        <v>817</v>
      </c>
      <c r="G1353" s="2" t="s">
        <v>89</v>
      </c>
      <c r="H1353" s="2" t="s">
        <v>217</v>
      </c>
      <c r="I1353" s="2" t="s">
        <v>33</v>
      </c>
      <c r="J1353" s="2" t="s">
        <v>91</v>
      </c>
      <c r="K1353" s="2" t="s">
        <v>92</v>
      </c>
      <c r="L1353" s="2" t="s">
        <v>37</v>
      </c>
      <c r="M1353" s="2" t="s">
        <v>44</v>
      </c>
      <c r="N1353" s="2" t="s">
        <v>15</v>
      </c>
      <c r="O1353" s="2" t="s">
        <v>221</v>
      </c>
      <c r="P1353" s="2" t="s">
        <v>1489</v>
      </c>
      <c r="Q1353" s="2" t="s">
        <v>4926</v>
      </c>
      <c r="R1353" s="2" t="s">
        <v>1466</v>
      </c>
      <c r="S1353" s="2" t="s">
        <v>93</v>
      </c>
      <c r="T1353" s="2" t="s">
        <v>4696</v>
      </c>
      <c r="U1353" s="2" t="s">
        <v>12</v>
      </c>
      <c r="V1353" s="2" t="s">
        <v>4802</v>
      </c>
      <c r="W1353" s="2" t="s">
        <v>4999</v>
      </c>
      <c r="X1353" s="2" t="s">
        <v>44</v>
      </c>
      <c r="Y1353" s="2" t="s">
        <v>1488</v>
      </c>
      <c r="Z1353" s="2" t="s">
        <v>5975</v>
      </c>
      <c r="AA135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THIAGO DE </v>
      </c>
      <c r="AB135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5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5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53" s="6" t="str">
        <f>IF(_xlfn.IFNA(INDEX(configuracoes!$A$2:$A$10,MATCH(base_tc_geral[[#This Row],[TIPO]],configuracoes!$A$2:$A$10,0)),"NÃO")="NÃO","NÃO","SIM")</f>
        <v>NÃO</v>
      </c>
    </row>
    <row r="1354" spans="1:31" x14ac:dyDescent="0.25">
      <c r="A1354" s="2" t="s">
        <v>1761</v>
      </c>
      <c r="B1354" s="2">
        <v>109504012</v>
      </c>
      <c r="C1354" s="2" t="s">
        <v>15</v>
      </c>
      <c r="D1354" s="2" t="s">
        <v>4502</v>
      </c>
      <c r="E1354" s="2" t="s">
        <v>28</v>
      </c>
      <c r="F1354" s="2" t="s">
        <v>570</v>
      </c>
      <c r="G1354" s="2" t="s">
        <v>883</v>
      </c>
      <c r="H1354" s="2" t="s">
        <v>34</v>
      </c>
      <c r="I1354" s="2" t="s">
        <v>33</v>
      </c>
      <c r="J1354" s="2" t="s">
        <v>34</v>
      </c>
      <c r="K1354" s="2" t="s">
        <v>20</v>
      </c>
      <c r="L1354" s="2" t="s">
        <v>21</v>
      </c>
      <c r="M1354" s="2" t="s">
        <v>22</v>
      </c>
      <c r="N1354" s="2" t="s">
        <v>15</v>
      </c>
      <c r="O1354" s="2" t="s">
        <v>156</v>
      </c>
      <c r="P1354" s="2" t="s">
        <v>1763</v>
      </c>
      <c r="Q1354" s="2" t="s">
        <v>4926</v>
      </c>
      <c r="R1354" s="2" t="s">
        <v>166</v>
      </c>
      <c r="S1354" s="2" t="s">
        <v>167</v>
      </c>
      <c r="T1354" s="2" t="s">
        <v>167</v>
      </c>
      <c r="U1354" s="2" t="s">
        <v>12</v>
      </c>
      <c r="V1354" s="2" t="s">
        <v>4775</v>
      </c>
      <c r="W1354" s="2" t="s">
        <v>4982</v>
      </c>
      <c r="X1354" s="2" t="s">
        <v>4925</v>
      </c>
      <c r="Y1354" s="2" t="s">
        <v>1762</v>
      </c>
      <c r="Z1354" s="2" t="s">
        <v>5976</v>
      </c>
      <c r="AA135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35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5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5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54" s="6" t="str">
        <f>IF(_xlfn.IFNA(INDEX(configuracoes!$A$2:$A$10,MATCH(base_tc_geral[[#This Row],[TIPO]],configuracoes!$A$2:$A$10,0)),"NÃO")="NÃO","NÃO","SIM")</f>
        <v>SIM</v>
      </c>
    </row>
    <row r="1355" spans="1:31" x14ac:dyDescent="0.25">
      <c r="A1355" s="2" t="s">
        <v>3453</v>
      </c>
      <c r="B1355" s="2">
        <v>109500315</v>
      </c>
      <c r="C1355" s="2" t="s">
        <v>43</v>
      </c>
      <c r="D1355" s="2" t="s">
        <v>4512</v>
      </c>
      <c r="E1355" s="2" t="s">
        <v>86</v>
      </c>
      <c r="F1355" s="2" t="s">
        <v>284</v>
      </c>
      <c r="G1355" s="2" t="s">
        <v>172</v>
      </c>
      <c r="H1355" s="2" t="s">
        <v>283</v>
      </c>
      <c r="I1355" s="2" t="s">
        <v>33</v>
      </c>
      <c r="J1355" s="2" t="s">
        <v>124</v>
      </c>
      <c r="K1355" s="2" t="s">
        <v>13</v>
      </c>
      <c r="L1355" s="2" t="s">
        <v>17</v>
      </c>
      <c r="M1355" s="2" t="s">
        <v>23</v>
      </c>
      <c r="N1355" s="2" t="s">
        <v>43</v>
      </c>
      <c r="O1355" s="2" t="s">
        <v>287</v>
      </c>
      <c r="P1355" s="2" t="s">
        <v>3455</v>
      </c>
      <c r="Q1355" s="2" t="s">
        <v>4926</v>
      </c>
      <c r="R1355" s="2" t="s">
        <v>173</v>
      </c>
      <c r="S1355" s="2" t="s">
        <v>93</v>
      </c>
      <c r="T1355" s="2" t="s">
        <v>4696</v>
      </c>
      <c r="U1355" s="2" t="s">
        <v>39</v>
      </c>
      <c r="V1355" s="2" t="s">
        <v>4887</v>
      </c>
      <c r="Y1355" s="2" t="s">
        <v>3454</v>
      </c>
      <c r="AA135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35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5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5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55" s="6" t="str">
        <f>IF(_xlfn.IFNA(INDEX(configuracoes!$A$2:$A$10,MATCH(base_tc_geral[[#This Row],[TIPO]],configuracoes!$A$2:$A$10,0)),"NÃO")="NÃO","NÃO","SIM")</f>
        <v>NÃO</v>
      </c>
    </row>
    <row r="1356" spans="1:31" x14ac:dyDescent="0.25">
      <c r="A1356" s="2" t="s">
        <v>999</v>
      </c>
      <c r="C1356" s="2" t="s">
        <v>43</v>
      </c>
      <c r="D1356" s="2" t="s">
        <v>4498</v>
      </c>
      <c r="E1356" s="2" t="s">
        <v>86</v>
      </c>
      <c r="F1356" s="2" t="s">
        <v>205</v>
      </c>
      <c r="G1356" s="2" t="s">
        <v>245</v>
      </c>
      <c r="H1356" s="2" t="s">
        <v>122</v>
      </c>
      <c r="I1356" s="2" t="s">
        <v>33</v>
      </c>
      <c r="J1356" s="2" t="s">
        <v>124</v>
      </c>
      <c r="K1356" s="2" t="s">
        <v>20</v>
      </c>
      <c r="L1356" s="2" t="s">
        <v>21</v>
      </c>
      <c r="M1356" s="2" t="s">
        <v>22</v>
      </c>
      <c r="N1356" s="2" t="s">
        <v>43</v>
      </c>
      <c r="O1356" s="2" t="s">
        <v>129</v>
      </c>
      <c r="P1356" s="2" t="s">
        <v>1001</v>
      </c>
      <c r="Q1356" s="2" t="s">
        <v>4926</v>
      </c>
      <c r="U1356" s="2" t="s">
        <v>39</v>
      </c>
      <c r="V1356" s="2" t="s">
        <v>4784</v>
      </c>
      <c r="Y1356" s="2" t="s">
        <v>1000</v>
      </c>
      <c r="AA135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>-</v>
      </c>
      <c r="AB135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>-</v>
      </c>
      <c r="AC135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>-</v>
      </c>
      <c r="AD135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56" s="6" t="str">
        <f>IF(_xlfn.IFNA(INDEX(configuracoes!$A$2:$A$10,MATCH(base_tc_geral[[#This Row],[TIPO]],configuracoes!$A$2:$A$10,0)),"NÃO")="NÃO","NÃO","SIM")</f>
        <v>SIM</v>
      </c>
    </row>
    <row r="1357" spans="1:31" x14ac:dyDescent="0.25">
      <c r="A1357" s="2" t="s">
        <v>1459</v>
      </c>
      <c r="B1357" s="2">
        <v>109000393</v>
      </c>
      <c r="C1357" s="2" t="s">
        <v>43</v>
      </c>
      <c r="D1357" s="2" t="s">
        <v>4507</v>
      </c>
      <c r="E1357" s="2" t="s">
        <v>86</v>
      </c>
      <c r="F1357" s="2" t="s">
        <v>218</v>
      </c>
      <c r="G1357" s="2" t="s">
        <v>630</v>
      </c>
      <c r="H1357" s="2" t="s">
        <v>217</v>
      </c>
      <c r="I1357" s="2" t="s">
        <v>33</v>
      </c>
      <c r="J1357" s="2" t="s">
        <v>91</v>
      </c>
      <c r="K1357" s="2" t="s">
        <v>20</v>
      </c>
      <c r="L1357" s="2" t="s">
        <v>21</v>
      </c>
      <c r="M1357" s="2" t="s">
        <v>22</v>
      </c>
      <c r="N1357" s="2" t="s">
        <v>43</v>
      </c>
      <c r="O1357" s="2" t="s">
        <v>221</v>
      </c>
      <c r="P1357" s="2" t="s">
        <v>1461</v>
      </c>
      <c r="Q1357" s="2" t="s">
        <v>4926</v>
      </c>
      <c r="R1357" s="2" t="s">
        <v>219</v>
      </c>
      <c r="S1357" s="2" t="s">
        <v>93</v>
      </c>
      <c r="T1357" s="2" t="s">
        <v>4696</v>
      </c>
      <c r="U1357" s="2" t="s">
        <v>39</v>
      </c>
      <c r="V1357" s="2" t="s">
        <v>4802</v>
      </c>
      <c r="Y1357" s="2" t="s">
        <v>1460</v>
      </c>
      <c r="AA135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MARCELO JOSE </v>
      </c>
      <c r="AB135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5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5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57" s="6" t="str">
        <f>IF(_xlfn.IFNA(INDEX(configuracoes!$A$2:$A$10,MATCH(base_tc_geral[[#This Row],[TIPO]],configuracoes!$A$2:$A$10,0)),"NÃO")="NÃO","NÃO","SIM")</f>
        <v>SIM</v>
      </c>
    </row>
    <row r="1358" spans="1:31" x14ac:dyDescent="0.25">
      <c r="A1358" s="2" t="s">
        <v>4046</v>
      </c>
      <c r="B1358" s="2">
        <v>109000340</v>
      </c>
      <c r="C1358" s="2" t="s">
        <v>43</v>
      </c>
      <c r="D1358" s="2" t="s">
        <v>4501</v>
      </c>
      <c r="E1358" s="2" t="s">
        <v>86</v>
      </c>
      <c r="F1358" s="2" t="s">
        <v>199</v>
      </c>
      <c r="G1358" s="2" t="s">
        <v>4048</v>
      </c>
      <c r="H1358" s="2" t="s">
        <v>198</v>
      </c>
      <c r="I1358" s="2" t="s">
        <v>33</v>
      </c>
      <c r="J1358" s="2" t="s">
        <v>91</v>
      </c>
      <c r="K1358" s="2" t="s">
        <v>13</v>
      </c>
      <c r="L1358" s="2" t="s">
        <v>21</v>
      </c>
      <c r="M1358" s="2" t="s">
        <v>22</v>
      </c>
      <c r="N1358" s="2" t="s">
        <v>43</v>
      </c>
      <c r="O1358" s="2" t="s">
        <v>201</v>
      </c>
      <c r="P1358" s="2" t="s">
        <v>4049</v>
      </c>
      <c r="Q1358" s="2" t="s">
        <v>4926</v>
      </c>
      <c r="R1358" s="2" t="s">
        <v>90</v>
      </c>
      <c r="S1358" s="2" t="s">
        <v>93</v>
      </c>
      <c r="T1358" s="2" t="s">
        <v>4696</v>
      </c>
      <c r="U1358" s="2" t="s">
        <v>39</v>
      </c>
      <c r="V1358" s="2" t="s">
        <v>4796</v>
      </c>
      <c r="Y1358" s="2" t="s">
        <v>4047</v>
      </c>
      <c r="AA135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35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5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5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58" s="6" t="str">
        <f>IF(_xlfn.IFNA(INDEX(configuracoes!$A$2:$A$10,MATCH(base_tc_geral[[#This Row],[TIPO]],configuracoes!$A$2:$A$10,0)),"NÃO")="NÃO","NÃO","SIM")</f>
        <v>SIM</v>
      </c>
    </row>
    <row r="1359" spans="1:31" x14ac:dyDescent="0.25">
      <c r="A1359" s="2" t="s">
        <v>2291</v>
      </c>
      <c r="B1359" s="2">
        <v>109000340</v>
      </c>
      <c r="C1359" s="2" t="s">
        <v>43</v>
      </c>
      <c r="D1359" s="2" t="s">
        <v>4531</v>
      </c>
      <c r="E1359" s="2" t="s">
        <v>86</v>
      </c>
      <c r="F1359" s="2" t="s">
        <v>840</v>
      </c>
      <c r="G1359" s="2" t="s">
        <v>172</v>
      </c>
      <c r="H1359" s="2" t="s">
        <v>198</v>
      </c>
      <c r="I1359" s="2" t="s">
        <v>33</v>
      </c>
      <c r="J1359" s="2" t="s">
        <v>91</v>
      </c>
      <c r="K1359" s="2" t="s">
        <v>13</v>
      </c>
      <c r="L1359" s="2" t="s">
        <v>17</v>
      </c>
      <c r="M1359" s="2" t="s">
        <v>23</v>
      </c>
      <c r="N1359" s="2" t="s">
        <v>43</v>
      </c>
      <c r="O1359" s="2" t="s">
        <v>201</v>
      </c>
      <c r="P1359" s="2" t="s">
        <v>2293</v>
      </c>
      <c r="Q1359" s="2" t="s">
        <v>4926</v>
      </c>
      <c r="R1359" s="2" t="s">
        <v>90</v>
      </c>
      <c r="S1359" s="2" t="s">
        <v>93</v>
      </c>
      <c r="T1359" s="2" t="s">
        <v>4696</v>
      </c>
      <c r="U1359" s="2" t="s">
        <v>39</v>
      </c>
      <c r="V1359" s="2" t="s">
        <v>4796</v>
      </c>
      <c r="Y1359" s="2" t="s">
        <v>2292</v>
      </c>
      <c r="AA135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35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5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5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59" s="6" t="str">
        <f>IF(_xlfn.IFNA(INDEX(configuracoes!$A$2:$A$10,MATCH(base_tc_geral[[#This Row],[TIPO]],configuracoes!$A$2:$A$10,0)),"NÃO")="NÃO","NÃO","SIM")</f>
        <v>NÃO</v>
      </c>
    </row>
    <row r="1360" spans="1:31" x14ac:dyDescent="0.25">
      <c r="A1360" s="2" t="s">
        <v>4214</v>
      </c>
      <c r="B1360" s="2">
        <v>101005241</v>
      </c>
      <c r="C1360" s="2" t="s">
        <v>15</v>
      </c>
      <c r="D1360" s="2" t="s">
        <v>4481</v>
      </c>
      <c r="E1360" s="2" t="s">
        <v>47</v>
      </c>
      <c r="F1360" s="2" t="s">
        <v>142</v>
      </c>
      <c r="G1360" s="2" t="s">
        <v>364</v>
      </c>
      <c r="H1360" s="2" t="s">
        <v>141</v>
      </c>
      <c r="I1360" s="2" t="s">
        <v>16</v>
      </c>
      <c r="J1360" s="2" t="s">
        <v>141</v>
      </c>
      <c r="K1360" s="2" t="s">
        <v>13</v>
      </c>
      <c r="L1360" s="2" t="s">
        <v>37</v>
      </c>
      <c r="M1360" s="2" t="s">
        <v>38</v>
      </c>
      <c r="N1360" s="2" t="s">
        <v>15</v>
      </c>
      <c r="O1360" s="2" t="s">
        <v>145</v>
      </c>
      <c r="P1360" s="2" t="s">
        <v>4216</v>
      </c>
      <c r="Q1360" s="2" t="s">
        <v>4926</v>
      </c>
      <c r="R1360" s="2" t="s">
        <v>143</v>
      </c>
      <c r="S1360" s="2" t="s">
        <v>4698</v>
      </c>
      <c r="T1360" s="2" t="s">
        <v>4697</v>
      </c>
      <c r="U1360" s="2" t="s">
        <v>12</v>
      </c>
      <c r="V1360" s="2" t="s">
        <v>4845</v>
      </c>
      <c r="W1360" s="2" t="s">
        <v>4982</v>
      </c>
      <c r="X1360" s="2" t="s">
        <v>38</v>
      </c>
      <c r="Y1360" s="2" t="s">
        <v>4215</v>
      </c>
      <c r="Z1360" s="2" t="s">
        <v>5977</v>
      </c>
      <c r="AA136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36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6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6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60" s="6" t="str">
        <f>IF(_xlfn.IFNA(INDEX(configuracoes!$A$2:$A$10,MATCH(base_tc_geral[[#This Row],[TIPO]],configuracoes!$A$2:$A$10,0)),"NÃO")="NÃO","NÃO","SIM")</f>
        <v>NÃO</v>
      </c>
    </row>
    <row r="1361" spans="1:31" x14ac:dyDescent="0.25">
      <c r="A1361" s="2" t="s">
        <v>2734</v>
      </c>
      <c r="B1361" s="2">
        <v>109506091</v>
      </c>
      <c r="C1361" s="2" t="s">
        <v>15</v>
      </c>
      <c r="D1361" s="2" t="s">
        <v>4481</v>
      </c>
      <c r="E1361" s="2" t="s">
        <v>86</v>
      </c>
      <c r="F1361" s="2" t="s">
        <v>123</v>
      </c>
      <c r="G1361" s="2" t="s">
        <v>245</v>
      </c>
      <c r="H1361" s="2" t="s">
        <v>122</v>
      </c>
      <c r="I1361" s="2" t="s">
        <v>33</v>
      </c>
      <c r="J1361" s="2" t="s">
        <v>124</v>
      </c>
      <c r="K1361" s="2" t="s">
        <v>20</v>
      </c>
      <c r="L1361" s="2" t="s">
        <v>21</v>
      </c>
      <c r="M1361" s="2" t="s">
        <v>22</v>
      </c>
      <c r="N1361" s="2" t="s">
        <v>15</v>
      </c>
      <c r="O1361" s="2" t="s">
        <v>129</v>
      </c>
      <c r="P1361" s="2" t="s">
        <v>2736</v>
      </c>
      <c r="Q1361" s="2" t="s">
        <v>4926</v>
      </c>
      <c r="R1361" s="2" t="s">
        <v>2683</v>
      </c>
      <c r="S1361" s="2" t="s">
        <v>125</v>
      </c>
      <c r="T1361" s="2" t="s">
        <v>4696</v>
      </c>
      <c r="U1361" s="2" t="s">
        <v>12</v>
      </c>
      <c r="V1361" s="2" t="s">
        <v>4771</v>
      </c>
      <c r="W1361" s="2" t="s">
        <v>4982</v>
      </c>
      <c r="X1361" s="2" t="s">
        <v>4925</v>
      </c>
      <c r="Y1361" s="2" t="s">
        <v>2735</v>
      </c>
      <c r="Z1361" s="2" t="s">
        <v>5978</v>
      </c>
      <c r="AA136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36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6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6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61" s="6" t="str">
        <f>IF(_xlfn.IFNA(INDEX(configuracoes!$A$2:$A$10,MATCH(base_tc_geral[[#This Row],[TIPO]],configuracoes!$A$2:$A$10,0)),"NÃO")="NÃO","NÃO","SIM")</f>
        <v>SIM</v>
      </c>
    </row>
    <row r="1362" spans="1:31" x14ac:dyDescent="0.25">
      <c r="A1362" s="2" t="s">
        <v>2860</v>
      </c>
      <c r="B1362" s="2">
        <v>101005241</v>
      </c>
      <c r="C1362" s="2" t="s">
        <v>24</v>
      </c>
      <c r="D1362" s="2" t="s">
        <v>4768</v>
      </c>
      <c r="E1362" s="2" t="s">
        <v>47</v>
      </c>
      <c r="F1362" s="2" t="s">
        <v>2862</v>
      </c>
      <c r="G1362" s="2" t="s">
        <v>99</v>
      </c>
      <c r="H1362" s="2" t="s">
        <v>141</v>
      </c>
      <c r="I1362" s="2" t="s">
        <v>16</v>
      </c>
      <c r="J1362" s="2" t="s">
        <v>141</v>
      </c>
      <c r="K1362" s="2" t="s">
        <v>13</v>
      </c>
      <c r="L1362" s="2" t="s">
        <v>25</v>
      </c>
      <c r="M1362" s="2" t="s">
        <v>22</v>
      </c>
      <c r="N1362" s="2" t="s">
        <v>24</v>
      </c>
      <c r="O1362" s="2" t="s">
        <v>145</v>
      </c>
      <c r="P1362" s="2" t="s">
        <v>2863</v>
      </c>
      <c r="Q1362" s="2" t="s">
        <v>4926</v>
      </c>
      <c r="R1362" s="2" t="s">
        <v>143</v>
      </c>
      <c r="S1362" s="2" t="s">
        <v>4698</v>
      </c>
      <c r="T1362" s="2" t="s">
        <v>4697</v>
      </c>
      <c r="U1362" s="2" t="s">
        <v>39</v>
      </c>
      <c r="V1362" s="2" t="s">
        <v>4845</v>
      </c>
      <c r="W1362" s="2" t="s">
        <v>4931</v>
      </c>
      <c r="X1362" s="2" t="s">
        <v>4925</v>
      </c>
      <c r="Y1362" s="2" t="s">
        <v>2861</v>
      </c>
      <c r="Z1362" s="2" t="s">
        <v>5979</v>
      </c>
      <c r="AA136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36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6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6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362" s="6" t="str">
        <f>IF(_xlfn.IFNA(INDEX(configuracoes!$A$2:$A$10,MATCH(base_tc_geral[[#This Row],[TIPO]],configuracoes!$A$2:$A$10,0)),"NÃO")="NÃO","NÃO","SIM")</f>
        <v>SIM</v>
      </c>
    </row>
    <row r="1363" spans="1:31" x14ac:dyDescent="0.25">
      <c r="A1363" s="2" t="s">
        <v>1228</v>
      </c>
      <c r="B1363" s="2">
        <v>101005989</v>
      </c>
      <c r="C1363" s="2" t="s">
        <v>15</v>
      </c>
      <c r="D1363" s="2" t="s">
        <v>4519</v>
      </c>
      <c r="E1363" s="2" t="s">
        <v>47</v>
      </c>
      <c r="F1363" s="2" t="s">
        <v>57</v>
      </c>
      <c r="G1363" s="2" t="s">
        <v>883</v>
      </c>
      <c r="H1363" s="2" t="s">
        <v>56</v>
      </c>
      <c r="I1363" s="2" t="s">
        <v>16</v>
      </c>
      <c r="J1363" s="2" t="s">
        <v>60</v>
      </c>
      <c r="K1363" s="2" t="s">
        <v>20</v>
      </c>
      <c r="L1363" s="2" t="s">
        <v>21</v>
      </c>
      <c r="M1363" s="2" t="s">
        <v>22</v>
      </c>
      <c r="N1363" s="2" t="s">
        <v>15</v>
      </c>
      <c r="O1363" s="2" t="s">
        <v>63</v>
      </c>
      <c r="P1363" s="2" t="s">
        <v>1230</v>
      </c>
      <c r="Q1363" s="2" t="s">
        <v>4926</v>
      </c>
      <c r="R1363" s="2" t="s">
        <v>59</v>
      </c>
      <c r="S1363" s="2" t="s">
        <v>51</v>
      </c>
      <c r="T1363" s="2" t="s">
        <v>4697</v>
      </c>
      <c r="U1363" s="2" t="s">
        <v>12</v>
      </c>
      <c r="V1363" s="2" t="s">
        <v>4779</v>
      </c>
      <c r="W1363" s="2" t="s">
        <v>4982</v>
      </c>
      <c r="X1363" s="2" t="s">
        <v>4925</v>
      </c>
      <c r="Y1363" s="2" t="s">
        <v>1229</v>
      </c>
      <c r="Z1363" s="2" t="s">
        <v>5980</v>
      </c>
      <c r="AA136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36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6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6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63" s="6" t="str">
        <f>IF(_xlfn.IFNA(INDEX(configuracoes!$A$2:$A$10,MATCH(base_tc_geral[[#This Row],[TIPO]],configuracoes!$A$2:$A$10,0)),"NÃO")="NÃO","NÃO","SIM")</f>
        <v>SIM</v>
      </c>
    </row>
    <row r="1364" spans="1:31" x14ac:dyDescent="0.25">
      <c r="A1364" s="2" t="s">
        <v>4244</v>
      </c>
      <c r="B1364" s="2">
        <v>101005241</v>
      </c>
      <c r="C1364" s="2" t="s">
        <v>24</v>
      </c>
      <c r="D1364" s="2" t="s">
        <v>4482</v>
      </c>
      <c r="E1364" s="2" t="s">
        <v>47</v>
      </c>
      <c r="F1364" s="2" t="s">
        <v>2862</v>
      </c>
      <c r="G1364" s="2" t="s">
        <v>99</v>
      </c>
      <c r="H1364" s="2" t="s">
        <v>141</v>
      </c>
      <c r="I1364" s="2" t="s">
        <v>16</v>
      </c>
      <c r="J1364" s="2" t="s">
        <v>141</v>
      </c>
      <c r="K1364" s="2" t="s">
        <v>20</v>
      </c>
      <c r="L1364" s="2" t="s">
        <v>25</v>
      </c>
      <c r="M1364" s="2" t="s">
        <v>22</v>
      </c>
      <c r="N1364" s="2" t="s">
        <v>24</v>
      </c>
      <c r="O1364" s="2" t="s">
        <v>145</v>
      </c>
      <c r="P1364" s="2" t="s">
        <v>4246</v>
      </c>
      <c r="Q1364" s="2" t="s">
        <v>4926</v>
      </c>
      <c r="R1364" s="2" t="s">
        <v>143</v>
      </c>
      <c r="S1364" s="2" t="s">
        <v>4698</v>
      </c>
      <c r="T1364" s="2" t="s">
        <v>4697</v>
      </c>
      <c r="U1364" s="2" t="s">
        <v>39</v>
      </c>
      <c r="V1364" s="2" t="s">
        <v>4845</v>
      </c>
      <c r="W1364" s="2" t="s">
        <v>4931</v>
      </c>
      <c r="X1364" s="2" t="s">
        <v>4925</v>
      </c>
      <c r="Y1364" s="2" t="s">
        <v>4245</v>
      </c>
      <c r="Z1364" s="2" t="s">
        <v>5981</v>
      </c>
      <c r="AA136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36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6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6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364" s="6" t="str">
        <f>IF(_xlfn.IFNA(INDEX(configuracoes!$A$2:$A$10,MATCH(base_tc_geral[[#This Row],[TIPO]],configuracoes!$A$2:$A$10,0)),"NÃO")="NÃO","NÃO","SIM")</f>
        <v>SIM</v>
      </c>
    </row>
    <row r="1365" spans="1:31" x14ac:dyDescent="0.25">
      <c r="A1365" s="2" t="s">
        <v>3313</v>
      </c>
      <c r="B1365" s="2">
        <v>101008003</v>
      </c>
      <c r="C1365" s="2" t="s">
        <v>15</v>
      </c>
      <c r="D1365" s="2" t="s">
        <v>4490</v>
      </c>
      <c r="E1365" s="2" t="s">
        <v>47</v>
      </c>
      <c r="F1365" s="2" t="s">
        <v>159</v>
      </c>
      <c r="G1365" s="2" t="s">
        <v>99</v>
      </c>
      <c r="H1365" s="2" t="s">
        <v>60</v>
      </c>
      <c r="I1365" s="2" t="s">
        <v>16</v>
      </c>
      <c r="J1365" s="2" t="s">
        <v>60</v>
      </c>
      <c r="K1365" s="2" t="s">
        <v>20</v>
      </c>
      <c r="L1365" s="2" t="s">
        <v>25</v>
      </c>
      <c r="M1365" s="2" t="s">
        <v>22</v>
      </c>
      <c r="N1365" s="2" t="s">
        <v>15</v>
      </c>
      <c r="O1365" s="2" t="s">
        <v>161</v>
      </c>
      <c r="P1365" s="2" t="s">
        <v>3315</v>
      </c>
      <c r="Q1365" s="2" t="s">
        <v>4926</v>
      </c>
      <c r="R1365" s="2" t="s">
        <v>100</v>
      </c>
      <c r="S1365" s="2" t="s">
        <v>101</v>
      </c>
      <c r="T1365" s="2" t="s">
        <v>4697</v>
      </c>
      <c r="U1365" s="2" t="s">
        <v>12</v>
      </c>
      <c r="V1365" s="2" t="s">
        <v>4806</v>
      </c>
      <c r="W1365" s="2" t="s">
        <v>4931</v>
      </c>
      <c r="X1365" s="2" t="s">
        <v>4925</v>
      </c>
      <c r="Y1365" s="2" t="s">
        <v>3314</v>
      </c>
      <c r="Z1365" s="2" t="s">
        <v>5982</v>
      </c>
      <c r="AA136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NILO WEBER </v>
      </c>
      <c r="AB136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6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6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65" s="6" t="str">
        <f>IF(_xlfn.IFNA(INDEX(configuracoes!$A$2:$A$10,MATCH(base_tc_geral[[#This Row],[TIPO]],configuracoes!$A$2:$A$10,0)),"NÃO")="NÃO","NÃO","SIM")</f>
        <v>SIM</v>
      </c>
    </row>
    <row r="1366" spans="1:31" x14ac:dyDescent="0.25">
      <c r="A1366" s="2" t="s">
        <v>1155</v>
      </c>
      <c r="B1366" s="2">
        <v>101001670</v>
      </c>
      <c r="C1366" s="2" t="s">
        <v>24</v>
      </c>
      <c r="D1366" s="2" t="s">
        <v>4482</v>
      </c>
      <c r="E1366" s="2" t="s">
        <v>47</v>
      </c>
      <c r="F1366" s="2" t="s">
        <v>225</v>
      </c>
      <c r="G1366" s="2" t="s">
        <v>245</v>
      </c>
      <c r="H1366" s="2" t="s">
        <v>224</v>
      </c>
      <c r="I1366" s="2" t="s">
        <v>16</v>
      </c>
      <c r="J1366" s="2" t="s">
        <v>227</v>
      </c>
      <c r="K1366" s="2" t="s">
        <v>20</v>
      </c>
      <c r="L1366" s="2" t="s">
        <v>21</v>
      </c>
      <c r="M1366" s="2" t="s">
        <v>22</v>
      </c>
      <c r="N1366" s="2" t="s">
        <v>24</v>
      </c>
      <c r="O1366" s="2" t="s">
        <v>229</v>
      </c>
      <c r="P1366" s="2" t="s">
        <v>1157</v>
      </c>
      <c r="Q1366" s="2" t="s">
        <v>4926</v>
      </c>
      <c r="R1366" s="2" t="s">
        <v>226</v>
      </c>
      <c r="S1366" s="2" t="s">
        <v>4698</v>
      </c>
      <c r="T1366" s="2" t="s">
        <v>4697</v>
      </c>
      <c r="U1366" s="2" t="s">
        <v>39</v>
      </c>
      <c r="V1366" s="2" t="s">
        <v>4817</v>
      </c>
      <c r="W1366" s="2" t="s">
        <v>4982</v>
      </c>
      <c r="X1366" s="2" t="s">
        <v>4925</v>
      </c>
      <c r="Y1366" s="2" t="s">
        <v>1156</v>
      </c>
      <c r="Z1366" s="2" t="s">
        <v>5983</v>
      </c>
      <c r="AA136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36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6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6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366" s="6" t="str">
        <f>IF(_xlfn.IFNA(INDEX(configuracoes!$A$2:$A$10,MATCH(base_tc_geral[[#This Row],[TIPO]],configuracoes!$A$2:$A$10,0)),"NÃO")="NÃO","NÃO","SIM")</f>
        <v>SIM</v>
      </c>
    </row>
    <row r="1367" spans="1:31" x14ac:dyDescent="0.25">
      <c r="A1367" s="2" t="s">
        <v>3208</v>
      </c>
      <c r="B1367" s="2">
        <v>109000119</v>
      </c>
      <c r="C1367" s="2" t="s">
        <v>15</v>
      </c>
      <c r="D1367" s="2" t="s">
        <v>4606</v>
      </c>
      <c r="E1367" s="2" t="s">
        <v>86</v>
      </c>
      <c r="F1367" s="2" t="s">
        <v>165</v>
      </c>
      <c r="G1367" s="2" t="s">
        <v>58</v>
      </c>
      <c r="H1367" s="2" t="s">
        <v>164</v>
      </c>
      <c r="I1367" s="2" t="s">
        <v>33</v>
      </c>
      <c r="J1367" s="2" t="s">
        <v>124</v>
      </c>
      <c r="K1367" s="2" t="s">
        <v>13</v>
      </c>
      <c r="L1367" s="2" t="s">
        <v>61</v>
      </c>
      <c r="M1367" s="2" t="s">
        <v>38</v>
      </c>
      <c r="N1367" s="2" t="s">
        <v>15</v>
      </c>
      <c r="O1367" s="2" t="s">
        <v>169</v>
      </c>
      <c r="P1367" s="2" t="s">
        <v>3210</v>
      </c>
      <c r="Q1367" s="2" t="s">
        <v>4926</v>
      </c>
      <c r="R1367" s="2" t="s">
        <v>191</v>
      </c>
      <c r="S1367" s="2" t="s">
        <v>4699</v>
      </c>
      <c r="T1367" s="2" t="s">
        <v>4696</v>
      </c>
      <c r="U1367" s="2" t="s">
        <v>12</v>
      </c>
      <c r="V1367" s="2" t="s">
        <v>4849</v>
      </c>
      <c r="W1367" s="2" t="s">
        <v>4984</v>
      </c>
      <c r="X1367" s="2" t="s">
        <v>38</v>
      </c>
      <c r="Y1367" s="2" t="s">
        <v>3209</v>
      </c>
      <c r="Z1367" s="2" t="s">
        <v>5984</v>
      </c>
      <c r="AA136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AMARILDO GOMES </v>
      </c>
      <c r="AB136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MARCOS DE </v>
      </c>
      <c r="AC136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6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67" s="6" t="str">
        <f>IF(_xlfn.IFNA(INDEX(configuracoes!$A$2:$A$10,MATCH(base_tc_geral[[#This Row],[TIPO]],configuracoes!$A$2:$A$10,0)),"NÃO")="NÃO","NÃO","SIM")</f>
        <v>NÃO</v>
      </c>
    </row>
    <row r="1368" spans="1:31" x14ac:dyDescent="0.25">
      <c r="A1368" s="2" t="s">
        <v>2637</v>
      </c>
      <c r="B1368" s="2">
        <v>101005989</v>
      </c>
      <c r="C1368" s="2" t="s">
        <v>15</v>
      </c>
      <c r="D1368" s="2" t="s">
        <v>4612</v>
      </c>
      <c r="E1368" s="2" t="s">
        <v>47</v>
      </c>
      <c r="F1368" s="2" t="s">
        <v>57</v>
      </c>
      <c r="G1368" s="2" t="s">
        <v>245</v>
      </c>
      <c r="H1368" s="2" t="s">
        <v>56</v>
      </c>
      <c r="I1368" s="2" t="s">
        <v>16</v>
      </c>
      <c r="J1368" s="2" t="s">
        <v>60</v>
      </c>
      <c r="K1368" s="2" t="s">
        <v>20</v>
      </c>
      <c r="L1368" s="2" t="s">
        <v>21</v>
      </c>
      <c r="M1368" s="2" t="s">
        <v>22</v>
      </c>
      <c r="N1368" s="2" t="s">
        <v>15</v>
      </c>
      <c r="O1368" s="2" t="s">
        <v>63</v>
      </c>
      <c r="P1368" s="2" t="s">
        <v>2639</v>
      </c>
      <c r="Q1368" s="2" t="s">
        <v>4926</v>
      </c>
      <c r="R1368" s="2" t="s">
        <v>59</v>
      </c>
      <c r="S1368" s="2" t="s">
        <v>51</v>
      </c>
      <c r="T1368" s="2" t="s">
        <v>4697</v>
      </c>
      <c r="U1368" s="2" t="s">
        <v>12</v>
      </c>
      <c r="V1368" s="2" t="s">
        <v>4779</v>
      </c>
      <c r="W1368" s="2" t="s">
        <v>4982</v>
      </c>
      <c r="X1368" s="2" t="s">
        <v>4925</v>
      </c>
      <c r="Y1368" s="2" t="s">
        <v>2638</v>
      </c>
      <c r="Z1368" s="2" t="s">
        <v>5985</v>
      </c>
      <c r="AA136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36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6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6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68" s="6" t="str">
        <f>IF(_xlfn.IFNA(INDEX(configuracoes!$A$2:$A$10,MATCH(base_tc_geral[[#This Row],[TIPO]],configuracoes!$A$2:$A$10,0)),"NÃO")="NÃO","NÃO","SIM")</f>
        <v>SIM</v>
      </c>
    </row>
    <row r="1369" spans="1:31" x14ac:dyDescent="0.25">
      <c r="A1369" s="2" t="s">
        <v>1705</v>
      </c>
      <c r="B1369" s="2">
        <v>101010062</v>
      </c>
      <c r="C1369" s="2" t="s">
        <v>15</v>
      </c>
      <c r="D1369" s="2" t="s">
        <v>4881</v>
      </c>
      <c r="E1369" s="2" t="s">
        <v>47</v>
      </c>
      <c r="F1369" s="2" t="s">
        <v>181</v>
      </c>
      <c r="G1369" s="2" t="s">
        <v>364</v>
      </c>
      <c r="H1369" s="2" t="s">
        <v>66</v>
      </c>
      <c r="I1369" s="2" t="s">
        <v>16</v>
      </c>
      <c r="J1369" s="2" t="s">
        <v>66</v>
      </c>
      <c r="K1369" s="2" t="s">
        <v>13</v>
      </c>
      <c r="L1369" s="2" t="s">
        <v>37</v>
      </c>
      <c r="M1369" s="2" t="s">
        <v>38</v>
      </c>
      <c r="N1369" s="2" t="s">
        <v>15</v>
      </c>
      <c r="O1369" s="2" t="s">
        <v>71</v>
      </c>
      <c r="P1369" s="2" t="s">
        <v>1707</v>
      </c>
      <c r="Q1369" s="2" t="s">
        <v>4926</v>
      </c>
      <c r="R1369" s="2" t="s">
        <v>1699</v>
      </c>
      <c r="S1369" s="2" t="s">
        <v>4698</v>
      </c>
      <c r="T1369" s="2" t="s">
        <v>4697</v>
      </c>
      <c r="U1369" s="2" t="s">
        <v>12</v>
      </c>
      <c r="V1369" s="2" t="s">
        <v>4792</v>
      </c>
      <c r="W1369" s="2" t="s">
        <v>4999</v>
      </c>
      <c r="X1369" s="2" t="s">
        <v>38</v>
      </c>
      <c r="Y1369" s="2" t="s">
        <v>1706</v>
      </c>
      <c r="Z1369" s="2" t="s">
        <v>5986</v>
      </c>
      <c r="AA136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36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6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6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69" s="6" t="str">
        <f>IF(_xlfn.IFNA(INDEX(configuracoes!$A$2:$A$10,MATCH(base_tc_geral[[#This Row],[TIPO]],configuracoes!$A$2:$A$10,0)),"NÃO")="NÃO","NÃO","SIM")</f>
        <v>NÃO</v>
      </c>
    </row>
    <row r="1370" spans="1:31" x14ac:dyDescent="0.25">
      <c r="A1370" s="2" t="s">
        <v>319</v>
      </c>
      <c r="B1370" s="2">
        <v>109000499</v>
      </c>
      <c r="C1370" s="2" t="s">
        <v>15</v>
      </c>
      <c r="D1370" s="2" t="s">
        <v>4781</v>
      </c>
      <c r="E1370" s="2" t="s">
        <v>86</v>
      </c>
      <c r="F1370" s="2" t="s">
        <v>298</v>
      </c>
      <c r="G1370" s="2" t="s">
        <v>136</v>
      </c>
      <c r="H1370" s="2" t="s">
        <v>210</v>
      </c>
      <c r="I1370" s="2" t="s">
        <v>33</v>
      </c>
      <c r="J1370" s="2" t="s">
        <v>124</v>
      </c>
      <c r="K1370" s="2" t="s">
        <v>13</v>
      </c>
      <c r="L1370" s="2" t="s">
        <v>72</v>
      </c>
      <c r="M1370" s="2" t="s">
        <v>73</v>
      </c>
      <c r="N1370" s="2" t="s">
        <v>15</v>
      </c>
      <c r="O1370" s="2" t="s">
        <v>214</v>
      </c>
      <c r="P1370" s="2" t="s">
        <v>322</v>
      </c>
      <c r="Q1370" s="2" t="s">
        <v>4926</v>
      </c>
      <c r="R1370" s="2" t="s">
        <v>321</v>
      </c>
      <c r="S1370" s="2" t="s">
        <v>93</v>
      </c>
      <c r="T1370" s="2" t="s">
        <v>4696</v>
      </c>
      <c r="U1370" s="2" t="s">
        <v>12</v>
      </c>
      <c r="V1370" s="2" t="s">
        <v>4783</v>
      </c>
      <c r="W1370" s="2" t="s">
        <v>72</v>
      </c>
      <c r="X1370" s="2" t="s">
        <v>5011</v>
      </c>
      <c r="Y1370" s="2" t="s">
        <v>320</v>
      </c>
      <c r="Z1370" s="2" t="s">
        <v>5987</v>
      </c>
      <c r="AA137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ALTAIR LUIZ </v>
      </c>
      <c r="AB137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7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7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0" s="6" t="str">
        <f>IF(_xlfn.IFNA(INDEX(configuracoes!$A$2:$A$10,MATCH(base_tc_geral[[#This Row],[TIPO]],configuracoes!$A$2:$A$10,0)),"NÃO")="NÃO","NÃO","SIM")</f>
        <v>NÃO</v>
      </c>
    </row>
    <row r="1371" spans="1:31" x14ac:dyDescent="0.25">
      <c r="A1371" s="2" t="s">
        <v>1803</v>
      </c>
      <c r="B1371" s="2">
        <v>109000926</v>
      </c>
      <c r="C1371" s="2" t="s">
        <v>15</v>
      </c>
      <c r="D1371" s="2" t="s">
        <v>4481</v>
      </c>
      <c r="E1371" s="2" t="s">
        <v>86</v>
      </c>
      <c r="F1371" s="2" t="s">
        <v>1099</v>
      </c>
      <c r="G1371" s="2" t="s">
        <v>89</v>
      </c>
      <c r="H1371" s="2" t="s">
        <v>283</v>
      </c>
      <c r="I1371" s="2" t="s">
        <v>33</v>
      </c>
      <c r="J1371" s="2" t="s">
        <v>124</v>
      </c>
      <c r="K1371" s="2" t="s">
        <v>13</v>
      </c>
      <c r="L1371" s="2" t="s">
        <v>37</v>
      </c>
      <c r="M1371" s="2" t="s">
        <v>44</v>
      </c>
      <c r="N1371" s="2" t="s">
        <v>15</v>
      </c>
      <c r="O1371" s="2" t="s">
        <v>287</v>
      </c>
      <c r="P1371" s="2" t="s">
        <v>1805</v>
      </c>
      <c r="Q1371" s="2" t="s">
        <v>4926</v>
      </c>
      <c r="R1371" s="2" t="s">
        <v>285</v>
      </c>
      <c r="S1371" s="2" t="s">
        <v>125</v>
      </c>
      <c r="T1371" s="2" t="s">
        <v>4696</v>
      </c>
      <c r="U1371" s="2" t="s">
        <v>12</v>
      </c>
      <c r="V1371" s="2" t="s">
        <v>4777</v>
      </c>
      <c r="W1371" s="2" t="s">
        <v>4999</v>
      </c>
      <c r="X1371" s="2" t="s">
        <v>44</v>
      </c>
      <c r="Y1371" s="2" t="s">
        <v>1804</v>
      </c>
      <c r="Z1371" s="2" t="s">
        <v>5988</v>
      </c>
      <c r="AA137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37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7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7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1" s="6" t="str">
        <f>IF(_xlfn.IFNA(INDEX(configuracoes!$A$2:$A$10,MATCH(base_tc_geral[[#This Row],[TIPO]],configuracoes!$A$2:$A$10,0)),"NÃO")="NÃO","NÃO","SIM")</f>
        <v>NÃO</v>
      </c>
    </row>
    <row r="1372" spans="1:31" x14ac:dyDescent="0.25">
      <c r="A1372" s="2" t="s">
        <v>3836</v>
      </c>
      <c r="B1372" s="2">
        <v>109000943</v>
      </c>
      <c r="C1372" s="2" t="s">
        <v>15</v>
      </c>
      <c r="D1372" s="2" t="s">
        <v>4487</v>
      </c>
      <c r="E1372" s="2" t="s">
        <v>86</v>
      </c>
      <c r="F1372" s="2" t="s">
        <v>205</v>
      </c>
      <c r="G1372" s="2" t="s">
        <v>149</v>
      </c>
      <c r="H1372" s="2" t="s">
        <v>122</v>
      </c>
      <c r="I1372" s="2" t="s">
        <v>33</v>
      </c>
      <c r="J1372" s="2" t="s">
        <v>124</v>
      </c>
      <c r="K1372" s="2" t="s">
        <v>20</v>
      </c>
      <c r="L1372" s="2" t="s">
        <v>61</v>
      </c>
      <c r="M1372" s="2" t="s">
        <v>22</v>
      </c>
      <c r="N1372" s="2" t="s">
        <v>15</v>
      </c>
      <c r="O1372" s="2" t="s">
        <v>129</v>
      </c>
      <c r="P1372" s="2" t="s">
        <v>3838</v>
      </c>
      <c r="Q1372" s="2" t="s">
        <v>4926</v>
      </c>
      <c r="R1372" s="2" t="s">
        <v>206</v>
      </c>
      <c r="S1372" s="2" t="s">
        <v>125</v>
      </c>
      <c r="T1372" s="2" t="s">
        <v>4696</v>
      </c>
      <c r="U1372" s="2" t="s">
        <v>12</v>
      </c>
      <c r="V1372" s="2" t="s">
        <v>4770</v>
      </c>
      <c r="W1372" s="2" t="s">
        <v>4982</v>
      </c>
      <c r="X1372" s="2" t="s">
        <v>4925</v>
      </c>
      <c r="Y1372" s="2" t="s">
        <v>3837</v>
      </c>
      <c r="Z1372" s="2" t="s">
        <v>5989</v>
      </c>
      <c r="AA137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37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7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7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2" s="6" t="str">
        <f>IF(_xlfn.IFNA(INDEX(configuracoes!$A$2:$A$10,MATCH(base_tc_geral[[#This Row],[TIPO]],configuracoes!$A$2:$A$10,0)),"NÃO")="NÃO","NÃO","SIM")</f>
        <v>NÃO</v>
      </c>
    </row>
    <row r="1373" spans="1:31" x14ac:dyDescent="0.25">
      <c r="A1373" s="2" t="s">
        <v>2980</v>
      </c>
      <c r="B1373" s="2">
        <v>101010062</v>
      </c>
      <c r="C1373" s="2" t="s">
        <v>15</v>
      </c>
      <c r="D1373" s="2" t="s">
        <v>4615</v>
      </c>
      <c r="E1373" s="2" t="s">
        <v>47</v>
      </c>
      <c r="F1373" s="2" t="s">
        <v>181</v>
      </c>
      <c r="G1373" s="2" t="s">
        <v>637</v>
      </c>
      <c r="H1373" s="2" t="s">
        <v>66</v>
      </c>
      <c r="I1373" s="2" t="s">
        <v>16</v>
      </c>
      <c r="J1373" s="2" t="s">
        <v>66</v>
      </c>
      <c r="K1373" s="2" t="s">
        <v>20</v>
      </c>
      <c r="L1373" s="2" t="s">
        <v>19</v>
      </c>
      <c r="M1373" s="2" t="s">
        <v>22</v>
      </c>
      <c r="N1373" s="2" t="s">
        <v>15</v>
      </c>
      <c r="O1373" s="2" t="s">
        <v>71</v>
      </c>
      <c r="P1373" s="2" t="s">
        <v>2982</v>
      </c>
      <c r="Q1373" s="2" t="s">
        <v>4926</v>
      </c>
      <c r="R1373" s="2" t="s">
        <v>1699</v>
      </c>
      <c r="S1373" s="2" t="s">
        <v>4698</v>
      </c>
      <c r="T1373" s="2" t="s">
        <v>4697</v>
      </c>
      <c r="U1373" s="2" t="s">
        <v>12</v>
      </c>
      <c r="V1373" s="2" t="s">
        <v>4792</v>
      </c>
      <c r="W1373" s="2" t="s">
        <v>4982</v>
      </c>
      <c r="X1373" s="2" t="s">
        <v>4925</v>
      </c>
      <c r="Y1373" s="2" t="s">
        <v>2981</v>
      </c>
      <c r="Z1373" s="2" t="s">
        <v>5990</v>
      </c>
      <c r="AA137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ERINEUDES </v>
      </c>
      <c r="AB137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7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7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3" s="6" t="str">
        <f>IF(_xlfn.IFNA(INDEX(configuracoes!$A$2:$A$10,MATCH(base_tc_geral[[#This Row],[TIPO]],configuracoes!$A$2:$A$10,0)),"NÃO")="NÃO","NÃO","SIM")</f>
        <v>SIM</v>
      </c>
    </row>
    <row r="1374" spans="1:31" x14ac:dyDescent="0.25">
      <c r="A1374" s="2" t="s">
        <v>2261</v>
      </c>
      <c r="B1374" s="2">
        <v>109000340</v>
      </c>
      <c r="C1374" s="2" t="s">
        <v>15</v>
      </c>
      <c r="D1374" s="2" t="s">
        <v>4496</v>
      </c>
      <c r="E1374" s="2" t="s">
        <v>86</v>
      </c>
      <c r="F1374" s="2" t="s">
        <v>88</v>
      </c>
      <c r="G1374" s="2" t="s">
        <v>172</v>
      </c>
      <c r="H1374" s="2" t="s">
        <v>87</v>
      </c>
      <c r="I1374" s="2" t="s">
        <v>33</v>
      </c>
      <c r="J1374" s="2" t="s">
        <v>91</v>
      </c>
      <c r="K1374" s="2" t="s">
        <v>13</v>
      </c>
      <c r="L1374" s="2" t="s">
        <v>17</v>
      </c>
      <c r="M1374" s="2" t="s">
        <v>22</v>
      </c>
      <c r="N1374" s="2" t="s">
        <v>15</v>
      </c>
      <c r="O1374" s="2" t="s">
        <v>95</v>
      </c>
      <c r="P1374" s="2" t="s">
        <v>2263</v>
      </c>
      <c r="Q1374" s="2" t="s">
        <v>4926</v>
      </c>
      <c r="R1374" s="2" t="s">
        <v>90</v>
      </c>
      <c r="S1374" s="2" t="s">
        <v>93</v>
      </c>
      <c r="T1374" s="2" t="s">
        <v>4696</v>
      </c>
      <c r="U1374" s="2" t="s">
        <v>12</v>
      </c>
      <c r="V1374" s="2" t="s">
        <v>4796</v>
      </c>
      <c r="W1374" s="2" t="s">
        <v>17</v>
      </c>
      <c r="X1374" s="2" t="s">
        <v>4925</v>
      </c>
      <c r="Y1374" s="2" t="s">
        <v>2262</v>
      </c>
      <c r="Z1374" s="2" t="s">
        <v>5991</v>
      </c>
      <c r="AA137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37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7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7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4" s="6" t="str">
        <f>IF(_xlfn.IFNA(INDEX(configuracoes!$A$2:$A$10,MATCH(base_tc_geral[[#This Row],[TIPO]],configuracoes!$A$2:$A$10,0)),"NÃO")="NÃO","NÃO","SIM")</f>
        <v>NÃO</v>
      </c>
    </row>
    <row r="1375" spans="1:31" x14ac:dyDescent="0.25">
      <c r="A1375" s="2" t="s">
        <v>752</v>
      </c>
      <c r="B1375" s="2">
        <v>102101220</v>
      </c>
      <c r="C1375" s="2" t="s">
        <v>15</v>
      </c>
      <c r="D1375" s="2" t="s">
        <v>4481</v>
      </c>
      <c r="E1375" s="2" t="s">
        <v>106</v>
      </c>
      <c r="F1375" s="2" t="s">
        <v>428</v>
      </c>
      <c r="G1375" s="2" t="s">
        <v>58</v>
      </c>
      <c r="H1375" s="2" t="s">
        <v>427</v>
      </c>
      <c r="I1375" s="2" t="s">
        <v>33</v>
      </c>
      <c r="J1375" s="2" t="s">
        <v>109</v>
      </c>
      <c r="K1375" s="2" t="s">
        <v>13</v>
      </c>
      <c r="L1375" s="2" t="s">
        <v>61</v>
      </c>
      <c r="M1375" s="2" t="s">
        <v>44</v>
      </c>
      <c r="N1375" s="2" t="s">
        <v>15</v>
      </c>
      <c r="O1375" s="2" t="s">
        <v>430</v>
      </c>
      <c r="P1375" s="2" t="s">
        <v>754</v>
      </c>
      <c r="Q1375" s="2" t="s">
        <v>4926</v>
      </c>
      <c r="R1375" s="2" t="s">
        <v>625</v>
      </c>
      <c r="S1375" s="2" t="s">
        <v>736</v>
      </c>
      <c r="T1375" s="2" t="s">
        <v>167</v>
      </c>
      <c r="U1375" s="2" t="s">
        <v>12</v>
      </c>
      <c r="V1375" s="2" t="s">
        <v>4896</v>
      </c>
      <c r="W1375" s="2" t="s">
        <v>4999</v>
      </c>
      <c r="X1375" s="2" t="s">
        <v>44</v>
      </c>
      <c r="Y1375" s="2" t="s">
        <v>753</v>
      </c>
      <c r="Z1375" s="2" t="s">
        <v>5992</v>
      </c>
      <c r="AA137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 MOURA </v>
      </c>
      <c r="AB137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7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7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5" s="6" t="str">
        <f>IF(_xlfn.IFNA(INDEX(configuracoes!$A$2:$A$10,MATCH(base_tc_geral[[#This Row],[TIPO]],configuracoes!$A$2:$A$10,0)),"NÃO")="NÃO","NÃO","SIM")</f>
        <v>NÃO</v>
      </c>
    </row>
    <row r="1376" spans="1:31" x14ac:dyDescent="0.25">
      <c r="A1376" s="2" t="s">
        <v>535</v>
      </c>
      <c r="B1376" s="2">
        <v>101005241</v>
      </c>
      <c r="C1376" s="2" t="s">
        <v>24</v>
      </c>
      <c r="D1376" s="2" t="s">
        <v>4768</v>
      </c>
      <c r="E1376" s="2" t="s">
        <v>47</v>
      </c>
      <c r="F1376" s="2" t="s">
        <v>312</v>
      </c>
      <c r="G1376" s="2" t="s">
        <v>172</v>
      </c>
      <c r="H1376" s="2" t="s">
        <v>311</v>
      </c>
      <c r="I1376" s="2" t="s">
        <v>16</v>
      </c>
      <c r="J1376" s="2" t="s">
        <v>141</v>
      </c>
      <c r="K1376" s="2" t="s">
        <v>20</v>
      </c>
      <c r="L1376" s="2" t="s">
        <v>17</v>
      </c>
      <c r="M1376" s="2" t="s">
        <v>22</v>
      </c>
      <c r="N1376" s="2" t="s">
        <v>24</v>
      </c>
      <c r="O1376" s="2" t="s">
        <v>314</v>
      </c>
      <c r="P1376" s="2" t="s">
        <v>537</v>
      </c>
      <c r="Q1376" s="2" t="s">
        <v>4926</v>
      </c>
      <c r="R1376" s="2" t="s">
        <v>143</v>
      </c>
      <c r="S1376" s="2" t="s">
        <v>4698</v>
      </c>
      <c r="T1376" s="2" t="s">
        <v>4697</v>
      </c>
      <c r="U1376" s="2" t="s">
        <v>39</v>
      </c>
      <c r="V1376" s="2" t="s">
        <v>4845</v>
      </c>
      <c r="W1376" s="2" t="s">
        <v>17</v>
      </c>
      <c r="X1376" s="2" t="s">
        <v>4925</v>
      </c>
      <c r="Y1376" s="2" t="s">
        <v>536</v>
      </c>
      <c r="Z1376" s="2" t="s">
        <v>5993</v>
      </c>
      <c r="AA137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37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7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7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FÉRIAS</v>
      </c>
      <c r="AE1376" s="6" t="str">
        <f>IF(_xlfn.IFNA(INDEX(configuracoes!$A$2:$A$10,MATCH(base_tc_geral[[#This Row],[TIPO]],configuracoes!$A$2:$A$10,0)),"NÃO")="NÃO","NÃO","SIM")</f>
        <v>NÃO</v>
      </c>
    </row>
    <row r="1377" spans="1:31" x14ac:dyDescent="0.25">
      <c r="A1377" s="2" t="s">
        <v>4250</v>
      </c>
      <c r="B1377" s="2">
        <v>101005241</v>
      </c>
      <c r="C1377" s="2" t="s">
        <v>15</v>
      </c>
      <c r="D1377" s="2" t="s">
        <v>4502</v>
      </c>
      <c r="E1377" s="2" t="s">
        <v>47</v>
      </c>
      <c r="F1377" s="2" t="s">
        <v>2862</v>
      </c>
      <c r="G1377" s="2" t="s">
        <v>99</v>
      </c>
      <c r="H1377" s="2" t="s">
        <v>141</v>
      </c>
      <c r="I1377" s="2" t="s">
        <v>16</v>
      </c>
      <c r="J1377" s="2" t="s">
        <v>141</v>
      </c>
      <c r="K1377" s="2" t="s">
        <v>20</v>
      </c>
      <c r="L1377" s="2" t="s">
        <v>25</v>
      </c>
      <c r="M1377" s="2" t="s">
        <v>22</v>
      </c>
      <c r="N1377" s="2" t="s">
        <v>15</v>
      </c>
      <c r="O1377" s="2" t="s">
        <v>145</v>
      </c>
      <c r="P1377" s="2" t="s">
        <v>4253</v>
      </c>
      <c r="Q1377" s="2" t="s">
        <v>4926</v>
      </c>
      <c r="R1377" s="2" t="s">
        <v>143</v>
      </c>
      <c r="S1377" s="2" t="s">
        <v>4698</v>
      </c>
      <c r="T1377" s="2" t="s">
        <v>4697</v>
      </c>
      <c r="U1377" s="2" t="s">
        <v>12</v>
      </c>
      <c r="V1377" s="2" t="s">
        <v>4845</v>
      </c>
      <c r="W1377" s="2" t="s">
        <v>4931</v>
      </c>
      <c r="X1377" s="2" t="s">
        <v>4925</v>
      </c>
      <c r="Y1377" s="2" t="s">
        <v>4251</v>
      </c>
      <c r="Z1377" s="2" t="s">
        <v>5994</v>
      </c>
      <c r="AA137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37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7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7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7" s="6" t="str">
        <f>IF(_xlfn.IFNA(INDEX(configuracoes!$A$2:$A$10,MATCH(base_tc_geral[[#This Row],[TIPO]],configuracoes!$A$2:$A$10,0)),"NÃO")="NÃO","NÃO","SIM")</f>
        <v>SIM</v>
      </c>
    </row>
    <row r="1378" spans="1:31" x14ac:dyDescent="0.25">
      <c r="A1378" s="2" t="s">
        <v>4145</v>
      </c>
      <c r="B1378" s="2">
        <v>109506174</v>
      </c>
      <c r="C1378" s="2" t="s">
        <v>15</v>
      </c>
      <c r="D1378" s="2" t="s">
        <v>4628</v>
      </c>
      <c r="E1378" s="2" t="s">
        <v>86</v>
      </c>
      <c r="F1378" s="2" t="s">
        <v>459</v>
      </c>
      <c r="G1378" s="2" t="s">
        <v>630</v>
      </c>
      <c r="H1378" s="2" t="s">
        <v>458</v>
      </c>
      <c r="I1378" s="2" t="s">
        <v>33</v>
      </c>
      <c r="J1378" s="2" t="s">
        <v>91</v>
      </c>
      <c r="K1378" s="2" t="s">
        <v>20</v>
      </c>
      <c r="L1378" s="2" t="s">
        <v>21</v>
      </c>
      <c r="M1378" s="2" t="s">
        <v>22</v>
      </c>
      <c r="N1378" s="2" t="s">
        <v>15</v>
      </c>
      <c r="O1378" s="2" t="s">
        <v>461</v>
      </c>
      <c r="P1378" s="2" t="s">
        <v>4147</v>
      </c>
      <c r="Q1378" s="2" t="s">
        <v>4926</v>
      </c>
      <c r="R1378" s="2" t="s">
        <v>2782</v>
      </c>
      <c r="S1378" s="2" t="s">
        <v>93</v>
      </c>
      <c r="T1378" s="2" t="s">
        <v>4696</v>
      </c>
      <c r="U1378" s="2" t="s">
        <v>12</v>
      </c>
      <c r="V1378" s="2" t="s">
        <v>4796</v>
      </c>
      <c r="W1378" s="2" t="s">
        <v>4982</v>
      </c>
      <c r="X1378" s="2" t="s">
        <v>4925</v>
      </c>
      <c r="Y1378" s="2" t="s">
        <v>4146</v>
      </c>
      <c r="Z1378" s="2" t="s">
        <v>5995</v>
      </c>
      <c r="AA137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ALYSSON HENRIQUE </v>
      </c>
      <c r="AB137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7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7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8" s="6" t="str">
        <f>IF(_xlfn.IFNA(INDEX(configuracoes!$A$2:$A$10,MATCH(base_tc_geral[[#This Row],[TIPO]],configuracoes!$A$2:$A$10,0)),"NÃO")="NÃO","NÃO","SIM")</f>
        <v>SIM</v>
      </c>
    </row>
    <row r="1379" spans="1:31" x14ac:dyDescent="0.25">
      <c r="A1379" s="2" t="s">
        <v>1064</v>
      </c>
      <c r="B1379" s="2">
        <v>109504012</v>
      </c>
      <c r="C1379" s="2" t="s">
        <v>15</v>
      </c>
      <c r="D1379" s="2" t="s">
        <v>4493</v>
      </c>
      <c r="E1379" s="2" t="s">
        <v>28</v>
      </c>
      <c r="F1379" s="2" t="s">
        <v>154</v>
      </c>
      <c r="G1379" s="2" t="s">
        <v>172</v>
      </c>
      <c r="H1379" s="2" t="s">
        <v>34</v>
      </c>
      <c r="I1379" s="2" t="s">
        <v>33</v>
      </c>
      <c r="J1379" s="2" t="s">
        <v>34</v>
      </c>
      <c r="K1379" s="2" t="s">
        <v>13</v>
      </c>
      <c r="L1379" s="2" t="s">
        <v>17</v>
      </c>
      <c r="M1379" s="2" t="s">
        <v>22</v>
      </c>
      <c r="N1379" s="2" t="s">
        <v>15</v>
      </c>
      <c r="O1379" s="2" t="s">
        <v>156</v>
      </c>
      <c r="P1379" s="2" t="s">
        <v>1066</v>
      </c>
      <c r="Q1379" s="2" t="s">
        <v>4926</v>
      </c>
      <c r="R1379" s="2" t="s">
        <v>166</v>
      </c>
      <c r="S1379" s="2" t="s">
        <v>167</v>
      </c>
      <c r="T1379" s="2" t="s">
        <v>167</v>
      </c>
      <c r="U1379" s="2" t="s">
        <v>12</v>
      </c>
      <c r="V1379" s="2" t="s">
        <v>4776</v>
      </c>
      <c r="W1379" s="2" t="s">
        <v>42</v>
      </c>
      <c r="X1379" s="2" t="s">
        <v>4925</v>
      </c>
      <c r="Y1379" s="2" t="s">
        <v>1065</v>
      </c>
      <c r="Z1379" s="2" t="s">
        <v>5996</v>
      </c>
      <c r="AA137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37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37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7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79" s="6" t="str">
        <f>IF(_xlfn.IFNA(INDEX(configuracoes!$A$2:$A$10,MATCH(base_tc_geral[[#This Row],[TIPO]],configuracoes!$A$2:$A$10,0)),"NÃO")="NÃO","NÃO","SIM")</f>
        <v>NÃO</v>
      </c>
    </row>
    <row r="1380" spans="1:31" x14ac:dyDescent="0.25">
      <c r="A1380" s="2" t="s">
        <v>1638</v>
      </c>
      <c r="B1380" s="2">
        <v>109500177</v>
      </c>
      <c r="C1380" s="2" t="s">
        <v>15</v>
      </c>
      <c r="D1380" s="2" t="s">
        <v>4548</v>
      </c>
      <c r="E1380" s="2" t="s">
        <v>86</v>
      </c>
      <c r="F1380" s="2" t="s">
        <v>1029</v>
      </c>
      <c r="G1380" s="2" t="s">
        <v>245</v>
      </c>
      <c r="H1380" s="2" t="s">
        <v>122</v>
      </c>
      <c r="I1380" s="2" t="s">
        <v>33</v>
      </c>
      <c r="J1380" s="2" t="s">
        <v>124</v>
      </c>
      <c r="K1380" s="2" t="s">
        <v>20</v>
      </c>
      <c r="L1380" s="2" t="s">
        <v>21</v>
      </c>
      <c r="M1380" s="2" t="s">
        <v>22</v>
      </c>
      <c r="N1380" s="2" t="s">
        <v>15</v>
      </c>
      <c r="O1380" s="2" t="s">
        <v>129</v>
      </c>
      <c r="P1380" s="2" t="s">
        <v>1640</v>
      </c>
      <c r="Q1380" s="2" t="s">
        <v>4926</v>
      </c>
      <c r="R1380" s="2" t="s">
        <v>447</v>
      </c>
      <c r="S1380" s="2" t="s">
        <v>125</v>
      </c>
      <c r="T1380" s="2" t="s">
        <v>4696</v>
      </c>
      <c r="U1380" s="2" t="s">
        <v>12</v>
      </c>
      <c r="V1380" s="2" t="s">
        <v>4771</v>
      </c>
      <c r="W1380" s="2" t="s">
        <v>4982</v>
      </c>
      <c r="X1380" s="2" t="s">
        <v>4925</v>
      </c>
      <c r="Y1380" s="2" t="s">
        <v>1639</v>
      </c>
      <c r="Z1380" s="2" t="s">
        <v>5941</v>
      </c>
      <c r="AA138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JOSUEL FERREIRA </v>
      </c>
      <c r="AB138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8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0" s="6" t="str">
        <f>IF(_xlfn.IFNA(INDEX(configuracoes!$A$2:$A$10,MATCH(base_tc_geral[[#This Row],[TIPO]],configuracoes!$A$2:$A$10,0)),"NÃO")="NÃO","NÃO","SIM")</f>
        <v>SIM</v>
      </c>
    </row>
    <row r="1381" spans="1:31" x14ac:dyDescent="0.25">
      <c r="A1381" s="2" t="s">
        <v>2689</v>
      </c>
      <c r="B1381" s="2">
        <v>109506091</v>
      </c>
      <c r="C1381" s="2" t="s">
        <v>15</v>
      </c>
      <c r="D1381" s="2" t="s">
        <v>4515</v>
      </c>
      <c r="E1381" s="2" t="s">
        <v>86</v>
      </c>
      <c r="F1381" s="2" t="s">
        <v>123</v>
      </c>
      <c r="G1381" s="2" t="s">
        <v>245</v>
      </c>
      <c r="H1381" s="2" t="s">
        <v>122</v>
      </c>
      <c r="I1381" s="2" t="s">
        <v>33</v>
      </c>
      <c r="J1381" s="2" t="s">
        <v>124</v>
      </c>
      <c r="K1381" s="2" t="s">
        <v>20</v>
      </c>
      <c r="L1381" s="2" t="s">
        <v>21</v>
      </c>
      <c r="M1381" s="2" t="s">
        <v>22</v>
      </c>
      <c r="N1381" s="2" t="s">
        <v>15</v>
      </c>
      <c r="O1381" s="2" t="s">
        <v>129</v>
      </c>
      <c r="P1381" s="2" t="s">
        <v>2691</v>
      </c>
      <c r="Q1381" s="2" t="s">
        <v>4926</v>
      </c>
      <c r="R1381" s="2" t="s">
        <v>2683</v>
      </c>
      <c r="S1381" s="2" t="s">
        <v>125</v>
      </c>
      <c r="T1381" s="2" t="s">
        <v>4696</v>
      </c>
      <c r="U1381" s="2" t="s">
        <v>12</v>
      </c>
      <c r="V1381" s="2" t="s">
        <v>4771</v>
      </c>
      <c r="W1381" s="2" t="s">
        <v>4982</v>
      </c>
      <c r="X1381" s="2" t="s">
        <v>4925</v>
      </c>
      <c r="Y1381" s="2" t="s">
        <v>2690</v>
      </c>
      <c r="Z1381" s="2" t="s">
        <v>5933</v>
      </c>
      <c r="AA138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LUIZ RICARDO </v>
      </c>
      <c r="AB138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8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1" s="6" t="str">
        <f>IF(_xlfn.IFNA(INDEX(configuracoes!$A$2:$A$10,MATCH(base_tc_geral[[#This Row],[TIPO]],configuracoes!$A$2:$A$10,0)),"NÃO")="NÃO","NÃO","SIM")</f>
        <v>SIM</v>
      </c>
    </row>
    <row r="1382" spans="1:31" x14ac:dyDescent="0.25">
      <c r="A1382" s="2" t="s">
        <v>162</v>
      </c>
      <c r="B1382" s="2">
        <v>109505819</v>
      </c>
      <c r="C1382" s="2" t="s">
        <v>15</v>
      </c>
      <c r="D1382" s="2" t="s">
        <v>4516</v>
      </c>
      <c r="E1382" s="2" t="s">
        <v>86</v>
      </c>
      <c r="F1382" s="2" t="s">
        <v>165</v>
      </c>
      <c r="G1382" s="2" t="s">
        <v>89</v>
      </c>
      <c r="H1382" s="2" t="s">
        <v>164</v>
      </c>
      <c r="I1382" s="2" t="s">
        <v>33</v>
      </c>
      <c r="J1382" s="2" t="s">
        <v>124</v>
      </c>
      <c r="K1382" s="2" t="s">
        <v>13</v>
      </c>
      <c r="L1382" s="2" t="s">
        <v>37</v>
      </c>
      <c r="M1382" s="2" t="s">
        <v>38</v>
      </c>
      <c r="N1382" s="2" t="s">
        <v>15</v>
      </c>
      <c r="O1382" s="2" t="s">
        <v>169</v>
      </c>
      <c r="P1382" s="2" t="s">
        <v>168</v>
      </c>
      <c r="Q1382" s="2" t="s">
        <v>4926</v>
      </c>
      <c r="R1382" s="2" t="s">
        <v>3459</v>
      </c>
      <c r="S1382" s="2" t="s">
        <v>93</v>
      </c>
      <c r="T1382" s="2" t="s">
        <v>4696</v>
      </c>
      <c r="U1382" s="2" t="s">
        <v>12</v>
      </c>
      <c r="V1382" s="2" t="s">
        <v>4785</v>
      </c>
      <c r="W1382" s="2" t="s">
        <v>5013</v>
      </c>
      <c r="X1382" s="2" t="s">
        <v>38</v>
      </c>
      <c r="Y1382" s="2" t="s">
        <v>163</v>
      </c>
      <c r="Z1382" s="2" t="s">
        <v>5934</v>
      </c>
      <c r="AA138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ALESSANDRO DIONISIO </v>
      </c>
      <c r="AB138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8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2" s="6" t="str">
        <f>IF(_xlfn.IFNA(INDEX(configuracoes!$A$2:$A$10,MATCH(base_tc_geral[[#This Row],[TIPO]],configuracoes!$A$2:$A$10,0)),"NÃO")="NÃO","NÃO","SIM")</f>
        <v>NÃO</v>
      </c>
    </row>
    <row r="1383" spans="1:31" x14ac:dyDescent="0.25">
      <c r="A1383" s="2" t="s">
        <v>2891</v>
      </c>
      <c r="B1383" s="2">
        <v>109506032</v>
      </c>
      <c r="C1383" s="2" t="s">
        <v>15</v>
      </c>
      <c r="D1383" s="2" t="s">
        <v>4499</v>
      </c>
      <c r="E1383" s="2" t="s">
        <v>86</v>
      </c>
      <c r="F1383" s="2" t="s">
        <v>505</v>
      </c>
      <c r="G1383" s="2" t="s">
        <v>245</v>
      </c>
      <c r="H1383" s="2" t="s">
        <v>164</v>
      </c>
      <c r="I1383" s="2" t="s">
        <v>33</v>
      </c>
      <c r="J1383" s="2" t="s">
        <v>124</v>
      </c>
      <c r="K1383" s="2" t="s">
        <v>20</v>
      </c>
      <c r="L1383" s="2" t="s">
        <v>21</v>
      </c>
      <c r="M1383" s="2" t="s">
        <v>22</v>
      </c>
      <c r="N1383" s="2" t="s">
        <v>15</v>
      </c>
      <c r="O1383" s="2" t="s">
        <v>169</v>
      </c>
      <c r="P1383" s="2" t="s">
        <v>2895</v>
      </c>
      <c r="Q1383" s="2" t="s">
        <v>4926</v>
      </c>
      <c r="R1383" s="2" t="s">
        <v>2892</v>
      </c>
      <c r="S1383" s="2" t="s">
        <v>93</v>
      </c>
      <c r="T1383" s="2" t="s">
        <v>4696</v>
      </c>
      <c r="U1383" s="2" t="s">
        <v>12</v>
      </c>
      <c r="V1383" s="2" t="s">
        <v>4785</v>
      </c>
      <c r="W1383" s="2" t="s">
        <v>4982</v>
      </c>
      <c r="X1383" s="2" t="s">
        <v>4925</v>
      </c>
      <c r="Y1383" s="2" t="s">
        <v>2893</v>
      </c>
      <c r="Z1383" s="2" t="s">
        <v>5935</v>
      </c>
      <c r="AA1383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REIS </v>
      </c>
      <c r="AB1383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83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3" s="6" t="str">
        <f>IF(_xlfn.IFNA(INDEX(configuracoes!$A$2:$A$10,MATCH(base_tc_geral[[#This Row],[TIPO]],configuracoes!$A$2:$A$10,0)),"NÃO")="NÃO","NÃO","SIM")</f>
        <v>SIM</v>
      </c>
    </row>
    <row r="1384" spans="1:31" x14ac:dyDescent="0.25">
      <c r="A1384" s="2" t="s">
        <v>3075</v>
      </c>
      <c r="B1384" s="2">
        <v>109505049</v>
      </c>
      <c r="C1384" s="2" t="s">
        <v>15</v>
      </c>
      <c r="D1384" s="2" t="s">
        <v>4516</v>
      </c>
      <c r="E1384" s="2" t="s">
        <v>86</v>
      </c>
      <c r="F1384" s="2" t="s">
        <v>540</v>
      </c>
      <c r="G1384" s="2" t="s">
        <v>99</v>
      </c>
      <c r="H1384" s="2" t="s">
        <v>283</v>
      </c>
      <c r="I1384" s="2" t="s">
        <v>33</v>
      </c>
      <c r="J1384" s="2" t="s">
        <v>124</v>
      </c>
      <c r="K1384" s="2" t="s">
        <v>20</v>
      </c>
      <c r="L1384" s="2" t="s">
        <v>25</v>
      </c>
      <c r="M1384" s="2" t="s">
        <v>22</v>
      </c>
      <c r="N1384" s="2" t="s">
        <v>15</v>
      </c>
      <c r="O1384" s="2" t="s">
        <v>287</v>
      </c>
      <c r="P1384" s="2" t="s">
        <v>3077</v>
      </c>
      <c r="Q1384" s="2" t="s">
        <v>4926</v>
      </c>
      <c r="R1384" s="2" t="s">
        <v>541</v>
      </c>
      <c r="S1384" s="2" t="s">
        <v>125</v>
      </c>
      <c r="T1384" s="2" t="s">
        <v>4696</v>
      </c>
      <c r="U1384" s="2" t="s">
        <v>12</v>
      </c>
      <c r="V1384" s="2" t="s">
        <v>4765</v>
      </c>
      <c r="W1384" s="2" t="s">
        <v>4931</v>
      </c>
      <c r="X1384" s="2" t="s">
        <v>4925</v>
      </c>
      <c r="Y1384" s="2" t="s">
        <v>3076</v>
      </c>
      <c r="Z1384" s="2" t="s">
        <v>5936</v>
      </c>
      <c r="AA1384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384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84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4" s="6" t="str">
        <f>IF(_xlfn.IFNA(INDEX(configuracoes!$A$2:$A$10,MATCH(base_tc_geral[[#This Row],[TIPO]],configuracoes!$A$2:$A$10,0)),"NÃO")="NÃO","NÃO","SIM")</f>
        <v>SIM</v>
      </c>
    </row>
    <row r="1385" spans="1:31" x14ac:dyDescent="0.25">
      <c r="A1385" s="2" t="s">
        <v>4401</v>
      </c>
      <c r="B1385" s="2">
        <v>109506172</v>
      </c>
      <c r="C1385" s="2" t="s">
        <v>15</v>
      </c>
      <c r="D1385" s="2" t="s">
        <v>4507</v>
      </c>
      <c r="E1385" s="2" t="s">
        <v>86</v>
      </c>
      <c r="F1385" s="2" t="s">
        <v>177</v>
      </c>
      <c r="G1385" s="2" t="s">
        <v>89</v>
      </c>
      <c r="H1385" s="2" t="s">
        <v>164</v>
      </c>
      <c r="I1385" s="2" t="s">
        <v>33</v>
      </c>
      <c r="J1385" s="2" t="s">
        <v>124</v>
      </c>
      <c r="K1385" s="2" t="s">
        <v>92</v>
      </c>
      <c r="L1385" s="2" t="s">
        <v>37</v>
      </c>
      <c r="M1385" s="2" t="s">
        <v>38</v>
      </c>
      <c r="N1385" s="2" t="s">
        <v>15</v>
      </c>
      <c r="O1385" s="2" t="s">
        <v>169</v>
      </c>
      <c r="P1385" s="2" t="s">
        <v>4403</v>
      </c>
      <c r="Q1385" s="2" t="s">
        <v>4926</v>
      </c>
      <c r="R1385" s="2" t="s">
        <v>3588</v>
      </c>
      <c r="S1385" s="2" t="s">
        <v>93</v>
      </c>
      <c r="T1385" s="2" t="s">
        <v>4696</v>
      </c>
      <c r="U1385" s="2" t="s">
        <v>12</v>
      </c>
      <c r="V1385" s="2" t="s">
        <v>4798</v>
      </c>
      <c r="W1385" s="2" t="s">
        <v>4999</v>
      </c>
      <c r="X1385" s="2" t="s">
        <v>38</v>
      </c>
      <c r="Y1385" s="2" t="s">
        <v>4402</v>
      </c>
      <c r="Z1385" s="2" t="s">
        <v>5937</v>
      </c>
      <c r="AA1385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385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85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5" s="6" t="str">
        <f>IF(_xlfn.IFNA(INDEX(configuracoes!$A$2:$A$10,MATCH(base_tc_geral[[#This Row],[TIPO]],configuracoes!$A$2:$A$10,0)),"NÃO")="NÃO","NÃO","SIM")</f>
        <v>NÃO</v>
      </c>
    </row>
    <row r="1386" spans="1:31" x14ac:dyDescent="0.25">
      <c r="A1386" s="2" t="s">
        <v>3591</v>
      </c>
      <c r="B1386" s="2">
        <v>109506172</v>
      </c>
      <c r="C1386" s="2" t="s">
        <v>15</v>
      </c>
      <c r="D1386" s="2" t="s">
        <v>4515</v>
      </c>
      <c r="E1386" s="2" t="s">
        <v>86</v>
      </c>
      <c r="F1386" s="2" t="s">
        <v>177</v>
      </c>
      <c r="G1386" s="2" t="s">
        <v>245</v>
      </c>
      <c r="H1386" s="2" t="s">
        <v>164</v>
      </c>
      <c r="I1386" s="2" t="s">
        <v>33</v>
      </c>
      <c r="J1386" s="2" t="s">
        <v>124</v>
      </c>
      <c r="K1386" s="2" t="s">
        <v>20</v>
      </c>
      <c r="L1386" s="2" t="s">
        <v>21</v>
      </c>
      <c r="M1386" s="2" t="s">
        <v>22</v>
      </c>
      <c r="N1386" s="2" t="s">
        <v>15</v>
      </c>
      <c r="O1386" s="2" t="s">
        <v>169</v>
      </c>
      <c r="P1386" s="2" t="s">
        <v>3593</v>
      </c>
      <c r="Q1386" s="2" t="s">
        <v>4926</v>
      </c>
      <c r="R1386" s="2" t="s">
        <v>3588</v>
      </c>
      <c r="S1386" s="2" t="s">
        <v>93</v>
      </c>
      <c r="T1386" s="2" t="s">
        <v>4696</v>
      </c>
      <c r="U1386" s="2" t="s">
        <v>12</v>
      </c>
      <c r="V1386" s="2" t="s">
        <v>4798</v>
      </c>
      <c r="W1386" s="2" t="s">
        <v>4982</v>
      </c>
      <c r="X1386" s="2" t="s">
        <v>4925</v>
      </c>
      <c r="Y1386" s="2" t="s">
        <v>3592</v>
      </c>
      <c r="Z1386" s="2" t="s">
        <v>5938</v>
      </c>
      <c r="AA1386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386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86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6" s="6" t="str">
        <f>IF(_xlfn.IFNA(INDEX(configuracoes!$A$2:$A$10,MATCH(base_tc_geral[[#This Row],[TIPO]],configuracoes!$A$2:$A$10,0)),"NÃO")="NÃO","NÃO","SIM")</f>
        <v>SIM</v>
      </c>
    </row>
    <row r="1387" spans="1:31" x14ac:dyDescent="0.25">
      <c r="A1387" s="2" t="s">
        <v>4416</v>
      </c>
      <c r="B1387" s="2">
        <v>109506172</v>
      </c>
      <c r="C1387" s="2" t="s">
        <v>15</v>
      </c>
      <c r="D1387" s="2" t="s">
        <v>4559</v>
      </c>
      <c r="E1387" s="2" t="s">
        <v>86</v>
      </c>
      <c r="F1387" s="2" t="s">
        <v>177</v>
      </c>
      <c r="G1387" s="2" t="s">
        <v>245</v>
      </c>
      <c r="H1387" s="2" t="s">
        <v>164</v>
      </c>
      <c r="I1387" s="2" t="s">
        <v>33</v>
      </c>
      <c r="J1387" s="2" t="s">
        <v>124</v>
      </c>
      <c r="K1387" s="2" t="s">
        <v>20</v>
      </c>
      <c r="L1387" s="2" t="s">
        <v>21</v>
      </c>
      <c r="M1387" s="2" t="s">
        <v>22</v>
      </c>
      <c r="N1387" s="2" t="s">
        <v>15</v>
      </c>
      <c r="O1387" s="2" t="s">
        <v>169</v>
      </c>
      <c r="P1387" s="2" t="s">
        <v>4418</v>
      </c>
      <c r="Q1387" s="2" t="s">
        <v>4926</v>
      </c>
      <c r="R1387" s="2" t="s">
        <v>3588</v>
      </c>
      <c r="S1387" s="2" t="s">
        <v>93</v>
      </c>
      <c r="T1387" s="2" t="s">
        <v>4696</v>
      </c>
      <c r="U1387" s="2" t="s">
        <v>12</v>
      </c>
      <c r="V1387" s="2" t="s">
        <v>4798</v>
      </c>
      <c r="W1387" s="2" t="s">
        <v>4982</v>
      </c>
      <c r="X1387" s="2" t="s">
        <v>4925</v>
      </c>
      <c r="Y1387" s="2" t="s">
        <v>4417</v>
      </c>
      <c r="Z1387" s="2" t="s">
        <v>5939</v>
      </c>
      <c r="AA1387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MARCUS VINICIUS </v>
      </c>
      <c r="AB1387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87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7" s="6" t="str">
        <f>IF(_xlfn.IFNA(INDEX(configuracoes!$A$2:$A$10,MATCH(base_tc_geral[[#This Row],[TIPO]],configuracoes!$A$2:$A$10,0)),"NÃO")="NÃO","NÃO","SIM")</f>
        <v>SIM</v>
      </c>
    </row>
    <row r="1388" spans="1:31" x14ac:dyDescent="0.25">
      <c r="A1388" s="2" t="s">
        <v>1825</v>
      </c>
      <c r="B1388" s="2">
        <v>109505049</v>
      </c>
      <c r="C1388" s="2" t="s">
        <v>15</v>
      </c>
      <c r="D1388" s="2" t="s">
        <v>4515</v>
      </c>
      <c r="E1388" s="2" t="s">
        <v>86</v>
      </c>
      <c r="F1388" s="2" t="s">
        <v>540</v>
      </c>
      <c r="G1388" s="2" t="s">
        <v>99</v>
      </c>
      <c r="H1388" s="2" t="s">
        <v>283</v>
      </c>
      <c r="I1388" s="2" t="s">
        <v>33</v>
      </c>
      <c r="J1388" s="2" t="s">
        <v>124</v>
      </c>
      <c r="K1388" s="2" t="s">
        <v>20</v>
      </c>
      <c r="L1388" s="2" t="s">
        <v>25</v>
      </c>
      <c r="M1388" s="2" t="s">
        <v>22</v>
      </c>
      <c r="N1388" s="2" t="s">
        <v>15</v>
      </c>
      <c r="O1388" s="2" t="s">
        <v>287</v>
      </c>
      <c r="P1388" s="2" t="s">
        <v>1827</v>
      </c>
      <c r="Q1388" s="2" t="s">
        <v>4926</v>
      </c>
      <c r="R1388" s="2" t="s">
        <v>541</v>
      </c>
      <c r="S1388" s="2" t="s">
        <v>125</v>
      </c>
      <c r="T1388" s="2" t="s">
        <v>4696</v>
      </c>
      <c r="U1388" s="2" t="s">
        <v>12</v>
      </c>
      <c r="V1388" s="2" t="s">
        <v>4765</v>
      </c>
      <c r="W1388" s="2" t="s">
        <v>4931</v>
      </c>
      <c r="X1388" s="2" t="s">
        <v>4925</v>
      </c>
      <c r="Y1388" s="2" t="s">
        <v>1826</v>
      </c>
      <c r="Z1388" s="2" t="s">
        <v>5940</v>
      </c>
      <c r="AA1388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RAMSES DE </v>
      </c>
      <c r="AB1388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388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8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ATIVO</v>
      </c>
      <c r="AE1388" s="6" t="str">
        <f>IF(_xlfn.IFNA(INDEX(configuracoes!$A$2:$A$10,MATCH(base_tc_geral[[#This Row],[TIPO]],configuracoes!$A$2:$A$10,0)),"NÃO")="NÃO","NÃO","SIM")</f>
        <v>SIM</v>
      </c>
    </row>
    <row r="1389" spans="1:31" x14ac:dyDescent="0.25">
      <c r="A1389" s="2" t="s">
        <v>2944</v>
      </c>
      <c r="B1389" s="2">
        <v>101001782</v>
      </c>
      <c r="C1389" s="2" t="s">
        <v>43</v>
      </c>
      <c r="D1389" s="2" t="s">
        <v>4499</v>
      </c>
      <c r="E1389" s="2" t="s">
        <v>47</v>
      </c>
      <c r="F1389" s="2" t="s">
        <v>511</v>
      </c>
      <c r="G1389" s="2" t="s">
        <v>630</v>
      </c>
      <c r="H1389" s="2" t="s">
        <v>48</v>
      </c>
      <c r="I1389" s="2" t="s">
        <v>16</v>
      </c>
      <c r="J1389" s="2" t="s">
        <v>48</v>
      </c>
      <c r="K1389" s="2" t="s">
        <v>20</v>
      </c>
      <c r="L1389" s="2" t="s">
        <v>21</v>
      </c>
      <c r="M1389" s="2" t="s">
        <v>22</v>
      </c>
      <c r="N1389" s="2" t="s">
        <v>43</v>
      </c>
      <c r="O1389" s="2" t="s">
        <v>53</v>
      </c>
      <c r="P1389" s="2" t="s">
        <v>2946</v>
      </c>
      <c r="Q1389" s="2" t="s">
        <v>4926</v>
      </c>
      <c r="R1389" s="2" t="s">
        <v>512</v>
      </c>
      <c r="S1389" s="2" t="s">
        <v>51</v>
      </c>
      <c r="T1389" s="2" t="s">
        <v>4697</v>
      </c>
      <c r="U1389" s="2" t="s">
        <v>39</v>
      </c>
      <c r="V1389" s="2" t="s">
        <v>4786</v>
      </c>
      <c r="Y1389" s="2" t="s">
        <v>2945</v>
      </c>
      <c r="AA1389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389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389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8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89" s="6" t="str">
        <f>IF(_xlfn.IFNA(INDEX(configuracoes!$A$2:$A$10,MATCH(base_tc_geral[[#This Row],[TIPO]],configuracoes!$A$2:$A$10,0)),"NÃO")="NÃO","NÃO","SIM")</f>
        <v>SIM</v>
      </c>
    </row>
    <row r="1390" spans="1:31" x14ac:dyDescent="0.25">
      <c r="A1390" s="2" t="s">
        <v>3492</v>
      </c>
      <c r="B1390" s="2">
        <v>102100917</v>
      </c>
      <c r="C1390" s="2" t="s">
        <v>43</v>
      </c>
      <c r="D1390" s="2" t="s">
        <v>4648</v>
      </c>
      <c r="E1390" s="2" t="s">
        <v>106</v>
      </c>
      <c r="F1390" s="2" t="s">
        <v>405</v>
      </c>
      <c r="G1390" s="2" t="s">
        <v>3494</v>
      </c>
      <c r="H1390" s="2" t="s">
        <v>130</v>
      </c>
      <c r="I1390" s="2" t="s">
        <v>33</v>
      </c>
      <c r="J1390" s="2" t="s">
        <v>109</v>
      </c>
      <c r="K1390" s="2" t="s">
        <v>20</v>
      </c>
      <c r="L1390" s="2" t="s">
        <v>21</v>
      </c>
      <c r="M1390" s="2" t="s">
        <v>22</v>
      </c>
      <c r="N1390" s="2" t="s">
        <v>43</v>
      </c>
      <c r="O1390" s="2" t="s">
        <v>132</v>
      </c>
      <c r="P1390" s="2" t="s">
        <v>3495</v>
      </c>
      <c r="Q1390" s="2" t="s">
        <v>4926</v>
      </c>
      <c r="R1390" s="2" t="s">
        <v>117</v>
      </c>
      <c r="S1390" s="2" t="s">
        <v>736</v>
      </c>
      <c r="T1390" s="2" t="s">
        <v>167</v>
      </c>
      <c r="U1390" s="2" t="s">
        <v>39</v>
      </c>
      <c r="V1390" s="2" t="s">
        <v>4818</v>
      </c>
      <c r="Y1390" s="2" t="s">
        <v>3493</v>
      </c>
      <c r="AA1390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FREITAS </v>
      </c>
      <c r="AB1390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90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9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0" s="6" t="str">
        <f>IF(_xlfn.IFNA(INDEX(configuracoes!$A$2:$A$10,MATCH(base_tc_geral[[#This Row],[TIPO]],configuracoes!$A$2:$A$10,0)),"NÃO")="NÃO","NÃO","SIM")</f>
        <v>SIM</v>
      </c>
    </row>
    <row r="1391" spans="1:31" x14ac:dyDescent="0.25">
      <c r="A1391" s="2" t="s">
        <v>4131</v>
      </c>
      <c r="B1391" s="2">
        <v>101006857</v>
      </c>
      <c r="C1391" s="2" t="s">
        <v>43</v>
      </c>
      <c r="D1391" s="2" t="s">
        <v>4531</v>
      </c>
      <c r="E1391" s="2" t="s">
        <v>47</v>
      </c>
      <c r="F1391" s="2" t="s">
        <v>142</v>
      </c>
      <c r="G1391" s="2" t="s">
        <v>135</v>
      </c>
      <c r="H1391" s="2" t="s">
        <v>141</v>
      </c>
      <c r="I1391" s="2" t="s">
        <v>16</v>
      </c>
      <c r="J1391" s="2" t="s">
        <v>141</v>
      </c>
      <c r="K1391" s="2" t="s">
        <v>13</v>
      </c>
      <c r="L1391" s="2" t="s">
        <v>61</v>
      </c>
      <c r="M1391" s="2" t="s">
        <v>338</v>
      </c>
      <c r="N1391" s="2" t="s">
        <v>43</v>
      </c>
      <c r="O1391" s="2" t="s">
        <v>145</v>
      </c>
      <c r="P1391" s="2" t="s">
        <v>4133</v>
      </c>
      <c r="Q1391" s="2" t="s">
        <v>4926</v>
      </c>
      <c r="R1391" s="2" t="s">
        <v>2778</v>
      </c>
      <c r="S1391" s="2" t="s">
        <v>4702</v>
      </c>
      <c r="T1391" s="2" t="s">
        <v>110</v>
      </c>
      <c r="U1391" s="2" t="s">
        <v>39</v>
      </c>
      <c r="V1391" s="2" t="s">
        <v>4907</v>
      </c>
      <c r="Y1391" s="2" t="s">
        <v>4132</v>
      </c>
      <c r="AA1391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DJAIR DE </v>
      </c>
      <c r="AB1391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ROBERTA OLIVEIRA </v>
      </c>
      <c r="AC1391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JESSE GONCALVES </v>
      </c>
      <c r="AD139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1" s="6" t="str">
        <f>IF(_xlfn.IFNA(INDEX(configuracoes!$A$2:$A$10,MATCH(base_tc_geral[[#This Row],[TIPO]],configuracoes!$A$2:$A$10,0)),"NÃO")="NÃO","NÃO","SIM")</f>
        <v>NÃO</v>
      </c>
    </row>
    <row r="1392" spans="1:31" x14ac:dyDescent="0.25">
      <c r="A1392" s="2" t="s">
        <v>1617</v>
      </c>
      <c r="B1392" s="2">
        <v>101001929</v>
      </c>
      <c r="C1392" s="2" t="s">
        <v>344</v>
      </c>
      <c r="D1392" s="2" t="s">
        <v>4479</v>
      </c>
      <c r="E1392" s="2" t="s">
        <v>47</v>
      </c>
      <c r="F1392" s="2" t="s">
        <v>98</v>
      </c>
      <c r="G1392" s="2" t="s">
        <v>99</v>
      </c>
      <c r="H1392" s="2" t="s">
        <v>56</v>
      </c>
      <c r="I1392" s="2" t="s">
        <v>16</v>
      </c>
      <c r="J1392" s="2" t="s">
        <v>60</v>
      </c>
      <c r="K1392" s="2" t="s">
        <v>13</v>
      </c>
      <c r="L1392" s="2" t="s">
        <v>25</v>
      </c>
      <c r="M1392" s="2" t="s">
        <v>22</v>
      </c>
      <c r="N1392" s="2" t="s">
        <v>344</v>
      </c>
      <c r="O1392" s="2" t="s">
        <v>63</v>
      </c>
      <c r="P1392" s="2" t="s">
        <v>1619</v>
      </c>
      <c r="Q1392" s="2" t="s">
        <v>4926</v>
      </c>
      <c r="R1392" s="2" t="s">
        <v>101</v>
      </c>
      <c r="S1392" s="2" t="s">
        <v>101</v>
      </c>
      <c r="T1392" s="2" t="s">
        <v>4697</v>
      </c>
      <c r="U1392" s="2" t="s">
        <v>39</v>
      </c>
      <c r="V1392" s="2" t="s">
        <v>4808</v>
      </c>
      <c r="Y1392" s="2" t="s">
        <v>1618</v>
      </c>
      <c r="AA1392" s="4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ROBEVANIO </v>
      </c>
      <c r="AB1392" s="4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92" s="4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9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2" s="6" t="str">
        <f>IF(_xlfn.IFNA(INDEX(configuracoes!$A$2:$A$10,MATCH(base_tc_geral[[#This Row],[TIPO]],configuracoes!$A$2:$A$10,0)),"NÃO")="NÃO","NÃO","SIM")</f>
        <v>SIM</v>
      </c>
    </row>
    <row r="1393" spans="1:31" x14ac:dyDescent="0.25">
      <c r="A1393" s="4" t="s">
        <v>3793</v>
      </c>
      <c r="B1393" s="4">
        <v>102101634</v>
      </c>
      <c r="C1393" s="4" t="s">
        <v>43</v>
      </c>
      <c r="D1393" s="4" t="s">
        <v>4507</v>
      </c>
      <c r="E1393" s="4" t="s">
        <v>106</v>
      </c>
      <c r="F1393" s="4" t="s">
        <v>108</v>
      </c>
      <c r="G1393" s="4" t="s">
        <v>245</v>
      </c>
      <c r="H1393" s="4" t="s">
        <v>107</v>
      </c>
      <c r="I1393" s="4" t="s">
        <v>33</v>
      </c>
      <c r="J1393" s="4" t="s">
        <v>109</v>
      </c>
      <c r="K1393" s="4" t="s">
        <v>20</v>
      </c>
      <c r="L1393" s="4" t="s">
        <v>21</v>
      </c>
      <c r="M1393" s="4" t="s">
        <v>22</v>
      </c>
      <c r="N1393" s="4" t="s">
        <v>43</v>
      </c>
      <c r="O1393" s="4" t="s">
        <v>112</v>
      </c>
      <c r="P1393" s="4" t="s">
        <v>3795</v>
      </c>
      <c r="Q1393" s="4" t="s">
        <v>4926</v>
      </c>
      <c r="R1393" s="4" t="s">
        <v>406</v>
      </c>
      <c r="S1393" s="4" t="s">
        <v>736</v>
      </c>
      <c r="T1393" s="4" t="s">
        <v>167</v>
      </c>
      <c r="U1393" s="4" t="s">
        <v>39</v>
      </c>
      <c r="V1393" s="4" t="s">
        <v>4772</v>
      </c>
      <c r="W1393" s="4"/>
      <c r="X1393" s="4"/>
      <c r="Y1393" s="4" t="s">
        <v>3794</v>
      </c>
      <c r="Z1393" s="4"/>
      <c r="AA1393" s="7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1393" s="7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393" s="7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393" s="7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3" s="6" t="str">
        <f>IF(_xlfn.IFNA(INDEX(configuracoes!$A$2:$A$10,MATCH(base_tc_geral[[#This Row],[TIPO]],configuracoes!$A$2:$A$10,0)),"NÃO")="NÃO","NÃO","SIM")</f>
        <v>SIM</v>
      </c>
    </row>
    <row r="1394" spans="1:31" x14ac:dyDescent="0.25">
      <c r="A1394" s="4" t="s">
        <v>2015</v>
      </c>
      <c r="B1394" s="4">
        <v>109500315</v>
      </c>
      <c r="C1394" s="4" t="s">
        <v>183</v>
      </c>
      <c r="D1394" s="4" t="s">
        <v>4526</v>
      </c>
      <c r="E1394" s="4" t="s">
        <v>86</v>
      </c>
      <c r="F1394" s="4" t="s">
        <v>445</v>
      </c>
      <c r="G1394" s="4" t="s">
        <v>172</v>
      </c>
      <c r="H1394" s="4" t="s">
        <v>122</v>
      </c>
      <c r="I1394" s="4" t="s">
        <v>33</v>
      </c>
      <c r="J1394" s="4" t="s">
        <v>124</v>
      </c>
      <c r="K1394" s="4" t="s">
        <v>13</v>
      </c>
      <c r="L1394" s="4" t="s">
        <v>17</v>
      </c>
      <c r="M1394" s="4" t="s">
        <v>23</v>
      </c>
      <c r="N1394" s="4" t="s">
        <v>183</v>
      </c>
      <c r="O1394" s="4" t="s">
        <v>129</v>
      </c>
      <c r="P1394" s="4" t="s">
        <v>2017</v>
      </c>
      <c r="Q1394" s="4" t="s">
        <v>4926</v>
      </c>
      <c r="R1394" s="4" t="s">
        <v>173</v>
      </c>
      <c r="S1394" s="4" t="s">
        <v>93</v>
      </c>
      <c r="T1394" s="4" t="s">
        <v>4696</v>
      </c>
      <c r="U1394" s="4" t="s">
        <v>39</v>
      </c>
      <c r="V1394" s="4" t="s">
        <v>4887</v>
      </c>
      <c r="W1394" s="4"/>
      <c r="X1394" s="4"/>
      <c r="Y1394" s="4" t="s">
        <v>2016</v>
      </c>
      <c r="Z1394" s="4"/>
      <c r="AA1394" s="7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394" s="7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94" s="7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94" s="7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4" s="6" t="str">
        <f>IF(_xlfn.IFNA(INDEX(configuracoes!$A$2:$A$10,MATCH(base_tc_geral[[#This Row],[TIPO]],configuracoes!$A$2:$A$10,0)),"NÃO")="NÃO","NÃO","SIM")</f>
        <v>NÃO</v>
      </c>
    </row>
    <row r="1395" spans="1:31" x14ac:dyDescent="0.25">
      <c r="A1395" s="4" t="s">
        <v>1635</v>
      </c>
      <c r="B1395" s="4">
        <v>101010210</v>
      </c>
      <c r="C1395" s="4" t="s">
        <v>183</v>
      </c>
      <c r="D1395" s="4" t="s">
        <v>4547</v>
      </c>
      <c r="E1395" s="4" t="s">
        <v>47</v>
      </c>
      <c r="F1395" s="4" t="s">
        <v>159</v>
      </c>
      <c r="G1395" s="4" t="s">
        <v>99</v>
      </c>
      <c r="H1395" s="4" t="s">
        <v>60</v>
      </c>
      <c r="I1395" s="4" t="s">
        <v>16</v>
      </c>
      <c r="J1395" s="4" t="s">
        <v>60</v>
      </c>
      <c r="K1395" s="4" t="s">
        <v>13</v>
      </c>
      <c r="L1395" s="4" t="s">
        <v>25</v>
      </c>
      <c r="M1395" s="4" t="s">
        <v>22</v>
      </c>
      <c r="N1395" s="4" t="s">
        <v>183</v>
      </c>
      <c r="O1395" s="4" t="s">
        <v>161</v>
      </c>
      <c r="P1395" s="4" t="s">
        <v>1637</v>
      </c>
      <c r="Q1395" s="4" t="s">
        <v>4926</v>
      </c>
      <c r="R1395" s="4" t="s">
        <v>294</v>
      </c>
      <c r="S1395" s="4" t="s">
        <v>101</v>
      </c>
      <c r="T1395" s="4" t="s">
        <v>4697</v>
      </c>
      <c r="U1395" s="4" t="s">
        <v>39</v>
      </c>
      <c r="V1395" s="4" t="s">
        <v>4809</v>
      </c>
      <c r="W1395" s="4"/>
      <c r="X1395" s="4"/>
      <c r="Y1395" s="4" t="s">
        <v>1636</v>
      </c>
      <c r="Z1395" s="4"/>
      <c r="AA1395" s="7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395" s="7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95" s="7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95" s="7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5" s="6" t="str">
        <f>IF(_xlfn.IFNA(INDEX(configuracoes!$A$2:$A$10,MATCH(base_tc_geral[[#This Row],[TIPO]],configuracoes!$A$2:$A$10,0)),"NÃO")="NÃO","NÃO","SIM")</f>
        <v>SIM</v>
      </c>
    </row>
    <row r="1396" spans="1:31" x14ac:dyDescent="0.25">
      <c r="A1396" s="2" t="s">
        <v>794</v>
      </c>
      <c r="B1396" s="2">
        <v>101010210</v>
      </c>
      <c r="C1396" s="2" t="s">
        <v>248</v>
      </c>
      <c r="D1396" s="2" t="s">
        <v>4517</v>
      </c>
      <c r="E1396" s="2" t="s">
        <v>47</v>
      </c>
      <c r="F1396" s="2" t="s">
        <v>159</v>
      </c>
      <c r="G1396" s="2" t="s">
        <v>99</v>
      </c>
      <c r="H1396" s="2" t="s">
        <v>60</v>
      </c>
      <c r="I1396" s="2" t="s">
        <v>16</v>
      </c>
      <c r="J1396" s="2" t="s">
        <v>60</v>
      </c>
      <c r="K1396" s="2" t="s">
        <v>13</v>
      </c>
      <c r="L1396" s="2" t="s">
        <v>25</v>
      </c>
      <c r="M1396" s="2" t="s">
        <v>22</v>
      </c>
      <c r="N1396" s="2" t="s">
        <v>248</v>
      </c>
      <c r="O1396" s="2" t="s">
        <v>161</v>
      </c>
      <c r="P1396" s="2" t="s">
        <v>796</v>
      </c>
      <c r="Q1396" s="2" t="s">
        <v>4926</v>
      </c>
      <c r="R1396" s="2" t="s">
        <v>294</v>
      </c>
      <c r="S1396" s="2" t="s">
        <v>101</v>
      </c>
      <c r="T1396" s="2" t="s">
        <v>4697</v>
      </c>
      <c r="U1396" s="2" t="s">
        <v>39</v>
      </c>
      <c r="V1396" s="2" t="s">
        <v>4870</v>
      </c>
      <c r="Y1396" s="2" t="s">
        <v>795</v>
      </c>
      <c r="AA1396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396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96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9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6" s="6" t="str">
        <f>IF(_xlfn.IFNA(INDEX(configuracoes!$A$2:$A$10,MATCH(base_tc_geral[[#This Row],[TIPO]],configuracoes!$A$2:$A$10,0)),"NÃO")="NÃO","NÃO","SIM")</f>
        <v>SIM</v>
      </c>
    </row>
    <row r="1397" spans="1:31" x14ac:dyDescent="0.25">
      <c r="A1397" s="2" t="s">
        <v>1620</v>
      </c>
      <c r="B1397" s="2">
        <v>101001929</v>
      </c>
      <c r="C1397" s="2" t="s">
        <v>344</v>
      </c>
      <c r="D1397" s="2" t="s">
        <v>4480</v>
      </c>
      <c r="E1397" s="2" t="s">
        <v>47</v>
      </c>
      <c r="F1397" s="2" t="s">
        <v>264</v>
      </c>
      <c r="G1397" s="2" t="s">
        <v>613</v>
      </c>
      <c r="H1397" s="2" t="s">
        <v>227</v>
      </c>
      <c r="I1397" s="2" t="s">
        <v>16</v>
      </c>
      <c r="J1397" s="2" t="s">
        <v>227</v>
      </c>
      <c r="K1397" s="2" t="s">
        <v>20</v>
      </c>
      <c r="L1397" s="2" t="s">
        <v>25</v>
      </c>
      <c r="M1397" s="2" t="s">
        <v>22</v>
      </c>
      <c r="N1397" s="2" t="s">
        <v>344</v>
      </c>
      <c r="O1397" s="2" t="s">
        <v>266</v>
      </c>
      <c r="P1397" s="2" t="s">
        <v>1622</v>
      </c>
      <c r="Q1397" s="2" t="s">
        <v>4926</v>
      </c>
      <c r="R1397" s="2" t="s">
        <v>101</v>
      </c>
      <c r="S1397" s="2" t="s">
        <v>101</v>
      </c>
      <c r="T1397" s="2" t="s">
        <v>4697</v>
      </c>
      <c r="U1397" s="2" t="s">
        <v>39</v>
      </c>
      <c r="V1397" s="2" t="s">
        <v>4809</v>
      </c>
      <c r="Y1397" s="2" t="s">
        <v>1621</v>
      </c>
      <c r="AA1397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ROBEVANIO </v>
      </c>
      <c r="AB1397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397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9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7" s="6" t="str">
        <f>IF(_xlfn.IFNA(INDEX(configuracoes!$A$2:$A$10,MATCH(base_tc_geral[[#This Row],[TIPO]],configuracoes!$A$2:$A$10,0)),"NÃO")="NÃO","NÃO","SIM")</f>
        <v>SIM</v>
      </c>
    </row>
    <row r="1398" spans="1:31" x14ac:dyDescent="0.25">
      <c r="A1398" s="2" t="s">
        <v>4266</v>
      </c>
      <c r="B1398" s="2">
        <v>101005241</v>
      </c>
      <c r="C1398" s="2" t="s">
        <v>43</v>
      </c>
      <c r="D1398" s="2" t="s">
        <v>4673</v>
      </c>
      <c r="E1398" s="2" t="s">
        <v>47</v>
      </c>
      <c r="F1398" s="2" t="s">
        <v>312</v>
      </c>
      <c r="G1398" s="2" t="s">
        <v>245</v>
      </c>
      <c r="H1398" s="2" t="s">
        <v>311</v>
      </c>
      <c r="I1398" s="2" t="s">
        <v>16</v>
      </c>
      <c r="J1398" s="2" t="s">
        <v>141</v>
      </c>
      <c r="K1398" s="2" t="s">
        <v>20</v>
      </c>
      <c r="L1398" s="2" t="s">
        <v>21</v>
      </c>
      <c r="M1398" s="2" t="s">
        <v>22</v>
      </c>
      <c r="N1398" s="2" t="s">
        <v>43</v>
      </c>
      <c r="O1398" s="2" t="s">
        <v>314</v>
      </c>
      <c r="P1398" s="2" t="s">
        <v>4268</v>
      </c>
      <c r="Q1398" s="2" t="s">
        <v>4926</v>
      </c>
      <c r="R1398" s="2" t="s">
        <v>143</v>
      </c>
      <c r="S1398" s="2" t="s">
        <v>4698</v>
      </c>
      <c r="T1398" s="2" t="s">
        <v>4697</v>
      </c>
      <c r="U1398" s="2" t="s">
        <v>39</v>
      </c>
      <c r="V1398" s="2" t="s">
        <v>4845</v>
      </c>
      <c r="Y1398" s="2" t="s">
        <v>4267</v>
      </c>
      <c r="AA1398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CLAUDECIR GOMES </v>
      </c>
      <c r="AB1398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398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39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8" s="6" t="str">
        <f>IF(_xlfn.IFNA(INDEX(configuracoes!$A$2:$A$10,MATCH(base_tc_geral[[#This Row],[TIPO]],configuracoes!$A$2:$A$10,0)),"NÃO")="NÃO","NÃO","SIM")</f>
        <v>SIM</v>
      </c>
    </row>
    <row r="1399" spans="1:31" x14ac:dyDescent="0.25">
      <c r="A1399" s="2" t="s">
        <v>335</v>
      </c>
      <c r="B1399" s="2">
        <v>109000017</v>
      </c>
      <c r="C1399" s="2" t="s">
        <v>43</v>
      </c>
      <c r="D1399" s="2" t="s">
        <v>4498</v>
      </c>
      <c r="E1399" s="2" t="s">
        <v>86</v>
      </c>
      <c r="F1399" s="2" t="s">
        <v>211</v>
      </c>
      <c r="G1399" s="2" t="s">
        <v>245</v>
      </c>
      <c r="H1399" s="2" t="s">
        <v>210</v>
      </c>
      <c r="I1399" s="2" t="s">
        <v>33</v>
      </c>
      <c r="J1399" s="2" t="s">
        <v>124</v>
      </c>
      <c r="K1399" s="2" t="s">
        <v>20</v>
      </c>
      <c r="L1399" s="2" t="s">
        <v>21</v>
      </c>
      <c r="M1399" s="2" t="s">
        <v>22</v>
      </c>
      <c r="N1399" s="2" t="s">
        <v>43</v>
      </c>
      <c r="O1399" s="2" t="s">
        <v>214</v>
      </c>
      <c r="P1399" s="2" t="s">
        <v>337</v>
      </c>
      <c r="Q1399" s="2" t="s">
        <v>4926</v>
      </c>
      <c r="R1399" s="2" t="s">
        <v>212</v>
      </c>
      <c r="S1399" s="2" t="s">
        <v>93</v>
      </c>
      <c r="T1399" s="2" t="s">
        <v>4696</v>
      </c>
      <c r="U1399" s="2" t="s">
        <v>39</v>
      </c>
      <c r="V1399" s="2" t="s">
        <v>4820</v>
      </c>
      <c r="Y1399" s="2" t="s">
        <v>336</v>
      </c>
      <c r="AA1399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399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399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39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399" s="6" t="str">
        <f>IF(_xlfn.IFNA(INDEX(configuracoes!$A$2:$A$10,MATCH(base_tc_geral[[#This Row],[TIPO]],configuracoes!$A$2:$A$10,0)),"NÃO")="NÃO","NÃO","SIM")</f>
        <v>SIM</v>
      </c>
    </row>
    <row r="1400" spans="1:31" x14ac:dyDescent="0.25">
      <c r="A1400" s="2" t="s">
        <v>4382</v>
      </c>
      <c r="B1400" s="2">
        <v>413841</v>
      </c>
      <c r="C1400" s="2" t="s">
        <v>43</v>
      </c>
      <c r="D1400" s="2" t="s">
        <v>4562</v>
      </c>
      <c r="E1400" s="2" t="s">
        <v>86</v>
      </c>
      <c r="F1400" s="2" t="s">
        <v>1099</v>
      </c>
      <c r="G1400" s="2" t="s">
        <v>446</v>
      </c>
      <c r="H1400" s="2" t="s">
        <v>283</v>
      </c>
      <c r="I1400" s="2" t="s">
        <v>33</v>
      </c>
      <c r="J1400" s="2" t="s">
        <v>124</v>
      </c>
      <c r="K1400" s="2" t="s">
        <v>13</v>
      </c>
      <c r="L1400" s="2" t="s">
        <v>72</v>
      </c>
      <c r="M1400" s="2" t="s">
        <v>75</v>
      </c>
      <c r="N1400" s="2" t="s">
        <v>43</v>
      </c>
      <c r="O1400" s="2" t="s">
        <v>287</v>
      </c>
      <c r="P1400" s="2" t="s">
        <v>4384</v>
      </c>
      <c r="Q1400" s="2" t="s">
        <v>4926</v>
      </c>
      <c r="R1400" s="2" t="s">
        <v>3604</v>
      </c>
      <c r="S1400" s="2" t="s">
        <v>93</v>
      </c>
      <c r="T1400" s="2" t="s">
        <v>4696</v>
      </c>
      <c r="U1400" s="2" t="s">
        <v>39</v>
      </c>
      <c r="V1400" s="2" t="s">
        <v>4777</v>
      </c>
      <c r="Y1400" s="2" t="s">
        <v>4383</v>
      </c>
      <c r="AA1400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SEVERINO </v>
      </c>
      <c r="AB1400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400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0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00" s="6" t="str">
        <f>IF(_xlfn.IFNA(INDEX(configuracoes!$A$2:$A$10,MATCH(base_tc_geral[[#This Row],[TIPO]],configuracoes!$A$2:$A$10,0)),"NÃO")="NÃO","NÃO","SIM")</f>
        <v>NÃO</v>
      </c>
    </row>
    <row r="1401" spans="1:31" x14ac:dyDescent="0.25">
      <c r="A1401" s="2" t="s">
        <v>3700</v>
      </c>
      <c r="E1401" s="2" t="s">
        <v>86</v>
      </c>
      <c r="F1401" s="2" t="s">
        <v>88</v>
      </c>
      <c r="G1401" s="2" t="s">
        <v>3702</v>
      </c>
      <c r="H1401" s="2" t="s">
        <v>87</v>
      </c>
      <c r="I1401" s="2" t="s">
        <v>33</v>
      </c>
      <c r="J1401" s="2" t="s">
        <v>91</v>
      </c>
      <c r="K1401" s="2" t="s">
        <v>13</v>
      </c>
      <c r="L1401" s="2" t="s">
        <v>356</v>
      </c>
      <c r="O1401" s="2" t="s">
        <v>95</v>
      </c>
      <c r="Q1401" s="2" t="s">
        <v>4926</v>
      </c>
      <c r="U1401" s="2" t="s">
        <v>39</v>
      </c>
      <c r="V1401" s="2" t="s">
        <v>4911</v>
      </c>
      <c r="Y1401" s="2" t="s">
        <v>3701</v>
      </c>
      <c r="AA1401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>-</v>
      </c>
      <c r="AB1401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>-</v>
      </c>
      <c r="AC1401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>-</v>
      </c>
      <c r="AD140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INATIVO</v>
      </c>
      <c r="AE1401" s="6" t="str">
        <f>IF(_xlfn.IFNA(INDEX(configuracoes!$A$2:$A$10,MATCH(base_tc_geral[[#This Row],[TIPO]],configuracoes!$A$2:$A$10,0)),"NÃO")="NÃO","NÃO","SIM")</f>
        <v>NÃO</v>
      </c>
    </row>
    <row r="1402" spans="1:31" x14ac:dyDescent="0.25">
      <c r="A1402" s="2" t="s">
        <v>3703</v>
      </c>
      <c r="E1402" s="2" t="s">
        <v>86</v>
      </c>
      <c r="F1402" s="2" t="s">
        <v>459</v>
      </c>
      <c r="G1402" s="2" t="s">
        <v>3705</v>
      </c>
      <c r="H1402" s="2" t="s">
        <v>458</v>
      </c>
      <c r="I1402" s="2" t="s">
        <v>33</v>
      </c>
      <c r="J1402" s="2" t="s">
        <v>91</v>
      </c>
      <c r="K1402" s="2" t="s">
        <v>13</v>
      </c>
      <c r="L1402" s="2" t="s">
        <v>126</v>
      </c>
      <c r="O1402" s="2" t="s">
        <v>461</v>
      </c>
      <c r="Q1402" s="2" t="s">
        <v>4926</v>
      </c>
      <c r="U1402" s="2" t="s">
        <v>39</v>
      </c>
      <c r="V1402" s="2" t="s">
        <v>4802</v>
      </c>
      <c r="Y1402" s="2" t="s">
        <v>3704</v>
      </c>
      <c r="AA1402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>-</v>
      </c>
      <c r="AB1402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>-</v>
      </c>
      <c r="AC1402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>-</v>
      </c>
      <c r="AD140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INATIVO</v>
      </c>
      <c r="AE1402" s="6" t="str">
        <f>IF(_xlfn.IFNA(INDEX(configuracoes!$A$2:$A$10,MATCH(base_tc_geral[[#This Row],[TIPO]],configuracoes!$A$2:$A$10,0)),"NÃO")="NÃO","NÃO","SIM")</f>
        <v>SIM</v>
      </c>
    </row>
    <row r="1403" spans="1:31" x14ac:dyDescent="0.25">
      <c r="A1403" s="2" t="s">
        <v>4476</v>
      </c>
      <c r="E1403" s="2" t="s">
        <v>86</v>
      </c>
      <c r="F1403" s="2" t="s">
        <v>1099</v>
      </c>
      <c r="G1403" s="2" t="s">
        <v>4478</v>
      </c>
      <c r="H1403" s="2" t="s">
        <v>283</v>
      </c>
      <c r="I1403" s="2" t="s">
        <v>33</v>
      </c>
      <c r="J1403" s="2" t="s">
        <v>124</v>
      </c>
      <c r="K1403" s="2" t="s">
        <v>20</v>
      </c>
      <c r="L1403" s="2" t="s">
        <v>21</v>
      </c>
      <c r="O1403" s="2" t="s">
        <v>287</v>
      </c>
      <c r="Q1403" s="2" t="s">
        <v>4926</v>
      </c>
      <c r="U1403" s="2" t="s">
        <v>39</v>
      </c>
      <c r="V1403" s="2" t="s">
        <v>4777</v>
      </c>
      <c r="Y1403" s="2" t="s">
        <v>4477</v>
      </c>
      <c r="AA1403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>-</v>
      </c>
      <c r="AB1403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>-</v>
      </c>
      <c r="AC1403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>-</v>
      </c>
      <c r="AD140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INATIVO</v>
      </c>
      <c r="AE1403" s="6" t="str">
        <f>IF(_xlfn.IFNA(INDEX(configuracoes!$A$2:$A$10,MATCH(base_tc_geral[[#This Row],[TIPO]],configuracoes!$A$2:$A$10,0)),"NÃO")="NÃO","NÃO","SIM")</f>
        <v>SIM</v>
      </c>
    </row>
    <row r="1404" spans="1:31" x14ac:dyDescent="0.25">
      <c r="A1404" s="2" t="s">
        <v>3340</v>
      </c>
      <c r="B1404" s="2">
        <v>101001488</v>
      </c>
      <c r="C1404" s="2" t="s">
        <v>248</v>
      </c>
      <c r="D1404" s="2" t="s">
        <v>4499</v>
      </c>
      <c r="E1404" s="2" t="s">
        <v>47</v>
      </c>
      <c r="F1404" s="2" t="s">
        <v>264</v>
      </c>
      <c r="G1404" s="2" t="s">
        <v>99</v>
      </c>
      <c r="H1404" s="2" t="s">
        <v>227</v>
      </c>
      <c r="I1404" s="2" t="s">
        <v>16</v>
      </c>
      <c r="J1404" s="2" t="s">
        <v>227</v>
      </c>
      <c r="K1404" s="2" t="s">
        <v>13</v>
      </c>
      <c r="L1404" s="2" t="s">
        <v>25</v>
      </c>
      <c r="M1404" s="2" t="s">
        <v>22</v>
      </c>
      <c r="N1404" s="2" t="s">
        <v>248</v>
      </c>
      <c r="O1404" s="2" t="s">
        <v>266</v>
      </c>
      <c r="P1404" s="2" t="s">
        <v>3342</v>
      </c>
      <c r="Q1404" s="2" t="s">
        <v>4926</v>
      </c>
      <c r="R1404" s="2" t="s">
        <v>252</v>
      </c>
      <c r="S1404" s="2" t="s">
        <v>101</v>
      </c>
      <c r="T1404" s="2" t="s">
        <v>4697</v>
      </c>
      <c r="U1404" s="2" t="s">
        <v>39</v>
      </c>
      <c r="V1404" s="2" t="s">
        <v>4834</v>
      </c>
      <c r="Y1404" s="2" t="s">
        <v>3341</v>
      </c>
      <c r="AA1404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MICHEL SOARES </v>
      </c>
      <c r="AB1404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404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0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04" s="6" t="str">
        <f>IF(_xlfn.IFNA(INDEX(configuracoes!$A$2:$A$10,MATCH(base_tc_geral[[#This Row],[TIPO]],configuracoes!$A$2:$A$10,0)),"NÃO")="NÃO","NÃO","SIM")</f>
        <v>SIM</v>
      </c>
    </row>
    <row r="1405" spans="1:31" x14ac:dyDescent="0.25">
      <c r="A1405" s="2" t="s">
        <v>2133</v>
      </c>
      <c r="B1405" s="2">
        <v>101007963</v>
      </c>
      <c r="C1405" s="2" t="s">
        <v>248</v>
      </c>
      <c r="D1405" s="2" t="s">
        <v>4548</v>
      </c>
      <c r="E1405" s="2" t="s">
        <v>47</v>
      </c>
      <c r="F1405" s="2" t="s">
        <v>601</v>
      </c>
      <c r="G1405" s="2" t="s">
        <v>245</v>
      </c>
      <c r="H1405" s="2" t="s">
        <v>60</v>
      </c>
      <c r="I1405" s="2" t="s">
        <v>16</v>
      </c>
      <c r="J1405" s="2" t="s">
        <v>60</v>
      </c>
      <c r="K1405" s="2" t="s">
        <v>20</v>
      </c>
      <c r="L1405" s="2" t="s">
        <v>21</v>
      </c>
      <c r="M1405" s="2" t="s">
        <v>22</v>
      </c>
      <c r="N1405" s="2" t="s">
        <v>248</v>
      </c>
      <c r="O1405" s="2" t="s">
        <v>161</v>
      </c>
      <c r="P1405" s="2" t="s">
        <v>2135</v>
      </c>
      <c r="Q1405" s="2" t="s">
        <v>4926</v>
      </c>
      <c r="R1405" s="2" t="s">
        <v>246</v>
      </c>
      <c r="S1405" s="2" t="s">
        <v>51</v>
      </c>
      <c r="T1405" s="2" t="s">
        <v>4697</v>
      </c>
      <c r="U1405" s="2" t="s">
        <v>39</v>
      </c>
      <c r="V1405" s="2" t="s">
        <v>4778</v>
      </c>
      <c r="Y1405" s="2" t="s">
        <v>2134</v>
      </c>
      <c r="AA1405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405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05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0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05" s="6" t="str">
        <f>IF(_xlfn.IFNA(INDEX(configuracoes!$A$2:$A$10,MATCH(base_tc_geral[[#This Row],[TIPO]],configuracoes!$A$2:$A$10,0)),"NÃO")="NÃO","NÃO","SIM")</f>
        <v>SIM</v>
      </c>
    </row>
    <row r="1406" spans="1:31" x14ac:dyDescent="0.25">
      <c r="A1406" s="2" t="s">
        <v>1134</v>
      </c>
      <c r="B1406" s="2">
        <v>109000926</v>
      </c>
      <c r="C1406" s="2" t="s">
        <v>43</v>
      </c>
      <c r="D1406" s="2" t="s">
        <v>4561</v>
      </c>
      <c r="E1406" s="2" t="s">
        <v>86</v>
      </c>
      <c r="F1406" s="2" t="s">
        <v>284</v>
      </c>
      <c r="G1406" s="2" t="s">
        <v>89</v>
      </c>
      <c r="H1406" s="2" t="s">
        <v>283</v>
      </c>
      <c r="I1406" s="2" t="s">
        <v>33</v>
      </c>
      <c r="J1406" s="2" t="s">
        <v>124</v>
      </c>
      <c r="K1406" s="2" t="s">
        <v>13</v>
      </c>
      <c r="L1406" s="2" t="s">
        <v>37</v>
      </c>
      <c r="M1406" s="2" t="s">
        <v>44</v>
      </c>
      <c r="N1406" s="2" t="s">
        <v>43</v>
      </c>
      <c r="O1406" s="2" t="s">
        <v>287</v>
      </c>
      <c r="P1406" s="2" t="s">
        <v>1136</v>
      </c>
      <c r="Q1406" s="2" t="s">
        <v>4926</v>
      </c>
      <c r="R1406" s="2" t="s">
        <v>285</v>
      </c>
      <c r="S1406" s="2" t="s">
        <v>125</v>
      </c>
      <c r="T1406" s="2" t="s">
        <v>4696</v>
      </c>
      <c r="U1406" s="2" t="s">
        <v>39</v>
      </c>
      <c r="V1406" s="2" t="s">
        <v>4777</v>
      </c>
      <c r="Y1406" s="2" t="s">
        <v>1135</v>
      </c>
      <c r="AA1406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406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406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0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06" s="6" t="str">
        <f>IF(_xlfn.IFNA(INDEX(configuracoes!$A$2:$A$10,MATCH(base_tc_geral[[#This Row],[TIPO]],configuracoes!$A$2:$A$10,0)),"NÃO")="NÃO","NÃO","SIM")</f>
        <v>NÃO</v>
      </c>
    </row>
    <row r="1407" spans="1:31" x14ac:dyDescent="0.25">
      <c r="A1407" s="2" t="s">
        <v>4187</v>
      </c>
      <c r="B1407" s="2">
        <v>101004033</v>
      </c>
      <c r="C1407" s="2" t="s">
        <v>248</v>
      </c>
      <c r="D1407" s="2" t="s">
        <v>4548</v>
      </c>
      <c r="E1407" s="2" t="s">
        <v>47</v>
      </c>
      <c r="F1407" s="2" t="s">
        <v>303</v>
      </c>
      <c r="G1407" s="2" t="s">
        <v>245</v>
      </c>
      <c r="H1407" s="2" t="s">
        <v>60</v>
      </c>
      <c r="I1407" s="2" t="s">
        <v>16</v>
      </c>
      <c r="J1407" s="2" t="s">
        <v>60</v>
      </c>
      <c r="K1407" s="2" t="s">
        <v>20</v>
      </c>
      <c r="L1407" s="2" t="s">
        <v>21</v>
      </c>
      <c r="M1407" s="2" t="s">
        <v>22</v>
      </c>
      <c r="N1407" s="2" t="s">
        <v>248</v>
      </c>
      <c r="O1407" s="2" t="s">
        <v>161</v>
      </c>
      <c r="P1407" s="2" t="s">
        <v>4189</v>
      </c>
      <c r="Q1407" s="2" t="s">
        <v>4926</v>
      </c>
      <c r="R1407" s="2" t="s">
        <v>304</v>
      </c>
      <c r="S1407" s="2" t="s">
        <v>51</v>
      </c>
      <c r="T1407" s="2" t="s">
        <v>4697</v>
      </c>
      <c r="U1407" s="2" t="s">
        <v>39</v>
      </c>
      <c r="V1407" s="2" t="s">
        <v>4778</v>
      </c>
      <c r="Y1407" s="2" t="s">
        <v>4188</v>
      </c>
      <c r="AA1407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HENRIQUE OLIVEIRA </v>
      </c>
      <c r="AB1407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07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0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07" s="6" t="str">
        <f>IF(_xlfn.IFNA(INDEX(configuracoes!$A$2:$A$10,MATCH(base_tc_geral[[#This Row],[TIPO]],configuracoes!$A$2:$A$10,0)),"NÃO")="NÃO","NÃO","SIM")</f>
        <v>SIM</v>
      </c>
    </row>
    <row r="1408" spans="1:31" x14ac:dyDescent="0.25">
      <c r="A1408" s="2" t="s">
        <v>1002</v>
      </c>
      <c r="C1408" s="2" t="s">
        <v>43</v>
      </c>
      <c r="D1408" s="2" t="s">
        <v>4508</v>
      </c>
      <c r="E1408" s="2" t="s">
        <v>86</v>
      </c>
      <c r="F1408" s="2" t="s">
        <v>497</v>
      </c>
      <c r="G1408" s="2" t="s">
        <v>1004</v>
      </c>
      <c r="H1408" s="2" t="s">
        <v>164</v>
      </c>
      <c r="I1408" s="2" t="s">
        <v>33</v>
      </c>
      <c r="J1408" s="2" t="s">
        <v>124</v>
      </c>
      <c r="K1408" s="2" t="s">
        <v>20</v>
      </c>
      <c r="L1408" s="2" t="s">
        <v>21</v>
      </c>
      <c r="M1408" s="2" t="s">
        <v>22</v>
      </c>
      <c r="N1408" s="2" t="s">
        <v>43</v>
      </c>
      <c r="O1408" s="2" t="s">
        <v>169</v>
      </c>
      <c r="P1408" s="2" t="s">
        <v>1005</v>
      </c>
      <c r="Q1408" s="2" t="s">
        <v>4926</v>
      </c>
      <c r="U1408" s="2" t="s">
        <v>39</v>
      </c>
      <c r="V1408" s="2" t="s">
        <v>4766</v>
      </c>
      <c r="Y1408" s="2" t="s">
        <v>1003</v>
      </c>
      <c r="AA1408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>-</v>
      </c>
      <c r="AB1408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>-</v>
      </c>
      <c r="AC1408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>-</v>
      </c>
      <c r="AD140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08" s="6" t="str">
        <f>IF(_xlfn.IFNA(INDEX(configuracoes!$A$2:$A$10,MATCH(base_tc_geral[[#This Row],[TIPO]],configuracoes!$A$2:$A$10,0)),"NÃO")="NÃO","NÃO","SIM")</f>
        <v>SIM</v>
      </c>
    </row>
    <row r="1409" spans="1:31" x14ac:dyDescent="0.25">
      <c r="A1409" s="2" t="s">
        <v>3830</v>
      </c>
      <c r="B1409" s="2">
        <v>109000943</v>
      </c>
      <c r="C1409" s="2" t="s">
        <v>43</v>
      </c>
      <c r="D1409" s="2" t="s">
        <v>4562</v>
      </c>
      <c r="E1409" s="2" t="s">
        <v>86</v>
      </c>
      <c r="F1409" s="2" t="s">
        <v>205</v>
      </c>
      <c r="G1409" s="2" t="s">
        <v>245</v>
      </c>
      <c r="H1409" s="2" t="s">
        <v>122</v>
      </c>
      <c r="I1409" s="2" t="s">
        <v>33</v>
      </c>
      <c r="J1409" s="2" t="s">
        <v>124</v>
      </c>
      <c r="K1409" s="2" t="s">
        <v>20</v>
      </c>
      <c r="L1409" s="2" t="s">
        <v>21</v>
      </c>
      <c r="M1409" s="2" t="s">
        <v>22</v>
      </c>
      <c r="N1409" s="2" t="s">
        <v>43</v>
      </c>
      <c r="O1409" s="2" t="s">
        <v>129</v>
      </c>
      <c r="P1409" s="2" t="s">
        <v>3832</v>
      </c>
      <c r="Q1409" s="2" t="s">
        <v>4926</v>
      </c>
      <c r="R1409" s="2" t="s">
        <v>206</v>
      </c>
      <c r="S1409" s="2" t="s">
        <v>125</v>
      </c>
      <c r="T1409" s="2" t="s">
        <v>4696</v>
      </c>
      <c r="U1409" s="2" t="s">
        <v>39</v>
      </c>
      <c r="V1409" s="2" t="s">
        <v>4784</v>
      </c>
      <c r="Y1409" s="2" t="s">
        <v>3831</v>
      </c>
      <c r="AA1409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409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409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0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09" s="6" t="str">
        <f>IF(_xlfn.IFNA(INDEX(configuracoes!$A$2:$A$10,MATCH(base_tc_geral[[#This Row],[TIPO]],configuracoes!$A$2:$A$10,0)),"NÃO")="NÃO","NÃO","SIM")</f>
        <v>SIM</v>
      </c>
    </row>
    <row r="1410" spans="1:31" x14ac:dyDescent="0.25">
      <c r="A1410" s="2" t="s">
        <v>852</v>
      </c>
      <c r="B1410" s="2">
        <v>105303208</v>
      </c>
      <c r="C1410" s="2" t="s">
        <v>43</v>
      </c>
      <c r="D1410" s="2" t="s">
        <v>4501</v>
      </c>
      <c r="E1410" s="2" t="s">
        <v>28</v>
      </c>
      <c r="F1410" s="2" t="s">
        <v>423</v>
      </c>
      <c r="G1410" s="2" t="s">
        <v>68</v>
      </c>
      <c r="H1410" s="2" t="s">
        <v>34</v>
      </c>
      <c r="I1410" s="2" t="s">
        <v>33</v>
      </c>
      <c r="J1410" s="2" t="s">
        <v>34</v>
      </c>
      <c r="K1410" s="2" t="s">
        <v>13</v>
      </c>
      <c r="L1410" s="2" t="s">
        <v>17</v>
      </c>
      <c r="M1410" s="2" t="s">
        <v>18</v>
      </c>
      <c r="N1410" s="2" t="s">
        <v>43</v>
      </c>
      <c r="O1410" s="2" t="s">
        <v>156</v>
      </c>
      <c r="P1410" s="2" t="s">
        <v>854</v>
      </c>
      <c r="Q1410" s="2" t="s">
        <v>4926</v>
      </c>
      <c r="R1410" s="2" t="s">
        <v>849</v>
      </c>
      <c r="S1410" s="2" t="s">
        <v>167</v>
      </c>
      <c r="T1410" s="2" t="s">
        <v>167</v>
      </c>
      <c r="U1410" s="2" t="s">
        <v>39</v>
      </c>
      <c r="V1410" s="2" t="s">
        <v>4764</v>
      </c>
      <c r="Y1410" s="2" t="s">
        <v>853</v>
      </c>
      <c r="AA1410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1410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410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1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0" s="6" t="str">
        <f>IF(_xlfn.IFNA(INDEX(configuracoes!$A$2:$A$10,MATCH(base_tc_geral[[#This Row],[TIPO]],configuracoes!$A$2:$A$10,0)),"NÃO")="NÃO","NÃO","SIM")</f>
        <v>NÃO</v>
      </c>
    </row>
    <row r="1411" spans="1:31" x14ac:dyDescent="0.25">
      <c r="A1411" s="2" t="s">
        <v>2178</v>
      </c>
      <c r="B1411" s="2">
        <v>101007963</v>
      </c>
      <c r="C1411" s="2" t="s">
        <v>43</v>
      </c>
      <c r="D1411" s="2" t="s">
        <v>4479</v>
      </c>
      <c r="E1411" s="2" t="s">
        <v>47</v>
      </c>
      <c r="F1411" s="2" t="s">
        <v>244</v>
      </c>
      <c r="G1411" s="2" t="s">
        <v>883</v>
      </c>
      <c r="H1411" s="2" t="s">
        <v>60</v>
      </c>
      <c r="I1411" s="2" t="s">
        <v>16</v>
      </c>
      <c r="J1411" s="2" t="s">
        <v>60</v>
      </c>
      <c r="K1411" s="2" t="s">
        <v>20</v>
      </c>
      <c r="L1411" s="2" t="s">
        <v>21</v>
      </c>
      <c r="M1411" s="2" t="s">
        <v>22</v>
      </c>
      <c r="N1411" s="2" t="s">
        <v>43</v>
      </c>
      <c r="O1411" s="2" t="s">
        <v>161</v>
      </c>
      <c r="P1411" s="2" t="s">
        <v>2180</v>
      </c>
      <c r="Q1411" s="2" t="s">
        <v>4926</v>
      </c>
      <c r="R1411" s="2" t="s">
        <v>246</v>
      </c>
      <c r="S1411" s="2" t="s">
        <v>51</v>
      </c>
      <c r="T1411" s="2" t="s">
        <v>4697</v>
      </c>
      <c r="U1411" s="2" t="s">
        <v>39</v>
      </c>
      <c r="V1411" s="2" t="s">
        <v>4778</v>
      </c>
      <c r="Y1411" s="2" t="s">
        <v>2179</v>
      </c>
      <c r="AA1411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411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11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1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1" s="6" t="str">
        <f>IF(_xlfn.IFNA(INDEX(configuracoes!$A$2:$A$10,MATCH(base_tc_geral[[#This Row],[TIPO]],configuracoes!$A$2:$A$10,0)),"NÃO")="NÃO","NÃO","SIM")</f>
        <v>SIM</v>
      </c>
    </row>
    <row r="1412" spans="1:31" x14ac:dyDescent="0.25">
      <c r="A1412" s="2" t="s">
        <v>897</v>
      </c>
      <c r="B1412" s="2">
        <v>105303208</v>
      </c>
      <c r="C1412" s="2" t="s">
        <v>43</v>
      </c>
      <c r="D1412" s="2" t="s">
        <v>4479</v>
      </c>
      <c r="E1412" s="2" t="s">
        <v>28</v>
      </c>
      <c r="F1412" s="2" t="s">
        <v>440</v>
      </c>
      <c r="G1412" s="2" t="s">
        <v>245</v>
      </c>
      <c r="H1412" s="2" t="s">
        <v>34</v>
      </c>
      <c r="I1412" s="2" t="s">
        <v>33</v>
      </c>
      <c r="J1412" s="2" t="s">
        <v>34</v>
      </c>
      <c r="K1412" s="2" t="s">
        <v>20</v>
      </c>
      <c r="L1412" s="2" t="s">
        <v>21</v>
      </c>
      <c r="M1412" s="2" t="s">
        <v>22</v>
      </c>
      <c r="N1412" s="2" t="s">
        <v>43</v>
      </c>
      <c r="O1412" s="2" t="s">
        <v>156</v>
      </c>
      <c r="P1412" s="2" t="s">
        <v>899</v>
      </c>
      <c r="Q1412" s="2" t="s">
        <v>4926</v>
      </c>
      <c r="R1412" s="2" t="s">
        <v>849</v>
      </c>
      <c r="S1412" s="2" t="s">
        <v>167</v>
      </c>
      <c r="T1412" s="2" t="s">
        <v>167</v>
      </c>
      <c r="U1412" s="2" t="s">
        <v>39</v>
      </c>
      <c r="V1412" s="2" t="s">
        <v>4850</v>
      </c>
      <c r="Y1412" s="2" t="s">
        <v>898</v>
      </c>
      <c r="AA1412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ANTONIO </v>
      </c>
      <c r="AB1412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412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1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2" s="6" t="str">
        <f>IF(_xlfn.IFNA(INDEX(configuracoes!$A$2:$A$10,MATCH(base_tc_geral[[#This Row],[TIPO]],configuracoes!$A$2:$A$10,0)),"NÃO")="NÃO","NÃO","SIM")</f>
        <v>SIM</v>
      </c>
    </row>
    <row r="1413" spans="1:31" x14ac:dyDescent="0.25">
      <c r="A1413" s="2" t="s">
        <v>3857</v>
      </c>
      <c r="B1413" s="2">
        <v>102101642</v>
      </c>
      <c r="C1413" s="2" t="s">
        <v>43</v>
      </c>
      <c r="D1413" s="2" t="s">
        <v>4517</v>
      </c>
      <c r="E1413" s="2" t="s">
        <v>106</v>
      </c>
      <c r="F1413" s="2" t="s">
        <v>509</v>
      </c>
      <c r="G1413" s="2" t="s">
        <v>245</v>
      </c>
      <c r="H1413" s="2" t="s">
        <v>130</v>
      </c>
      <c r="I1413" s="2" t="s">
        <v>33</v>
      </c>
      <c r="J1413" s="2" t="s">
        <v>109</v>
      </c>
      <c r="K1413" s="2" t="s">
        <v>20</v>
      </c>
      <c r="L1413" s="2" t="s">
        <v>21</v>
      </c>
      <c r="M1413" s="2" t="s">
        <v>22</v>
      </c>
      <c r="N1413" s="2" t="s">
        <v>43</v>
      </c>
      <c r="O1413" s="2" t="s">
        <v>132</v>
      </c>
      <c r="P1413" s="2" t="s">
        <v>3859</v>
      </c>
      <c r="Q1413" s="2" t="s">
        <v>4926</v>
      </c>
      <c r="R1413" s="2" t="s">
        <v>187</v>
      </c>
      <c r="S1413" s="2" t="s">
        <v>736</v>
      </c>
      <c r="T1413" s="2" t="s">
        <v>167</v>
      </c>
      <c r="U1413" s="2" t="s">
        <v>39</v>
      </c>
      <c r="V1413" s="2" t="s">
        <v>4772</v>
      </c>
      <c r="Y1413" s="2" t="s">
        <v>3858</v>
      </c>
      <c r="AA1413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1413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413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1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3" s="6" t="str">
        <f>IF(_xlfn.IFNA(INDEX(configuracoes!$A$2:$A$10,MATCH(base_tc_geral[[#This Row],[TIPO]],configuracoes!$A$2:$A$10,0)),"NÃO")="NÃO","NÃO","SIM")</f>
        <v>SIM</v>
      </c>
    </row>
    <row r="1414" spans="1:31" x14ac:dyDescent="0.25">
      <c r="A1414" s="2" t="s">
        <v>3790</v>
      </c>
      <c r="B1414" s="2">
        <v>102101634</v>
      </c>
      <c r="C1414" s="2" t="s">
        <v>43</v>
      </c>
      <c r="D1414" s="2" t="s">
        <v>4512</v>
      </c>
      <c r="E1414" s="2" t="s">
        <v>106</v>
      </c>
      <c r="F1414" s="2" t="s">
        <v>108</v>
      </c>
      <c r="G1414" s="2" t="s">
        <v>245</v>
      </c>
      <c r="H1414" s="2" t="s">
        <v>107</v>
      </c>
      <c r="I1414" s="2" t="s">
        <v>33</v>
      </c>
      <c r="J1414" s="2" t="s">
        <v>109</v>
      </c>
      <c r="K1414" s="2" t="s">
        <v>20</v>
      </c>
      <c r="L1414" s="2" t="s">
        <v>21</v>
      </c>
      <c r="M1414" s="2" t="s">
        <v>22</v>
      </c>
      <c r="N1414" s="2" t="s">
        <v>43</v>
      </c>
      <c r="O1414" s="2" t="s">
        <v>112</v>
      </c>
      <c r="P1414" s="2" t="s">
        <v>3792</v>
      </c>
      <c r="Q1414" s="2" t="s">
        <v>4926</v>
      </c>
      <c r="R1414" s="2" t="s">
        <v>406</v>
      </c>
      <c r="S1414" s="2" t="s">
        <v>736</v>
      </c>
      <c r="T1414" s="2" t="s">
        <v>167</v>
      </c>
      <c r="U1414" s="2" t="s">
        <v>39</v>
      </c>
      <c r="V1414" s="2" t="s">
        <v>4853</v>
      </c>
      <c r="Y1414" s="2" t="s">
        <v>3791</v>
      </c>
      <c r="AA1414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1414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414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1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4" s="6" t="str">
        <f>IF(_xlfn.IFNA(INDEX(configuracoes!$A$2:$A$10,MATCH(base_tc_geral[[#This Row],[TIPO]],configuracoes!$A$2:$A$10,0)),"NÃO")="NÃO","NÃO","SIM")</f>
        <v>SIM</v>
      </c>
    </row>
    <row r="1415" spans="1:31" x14ac:dyDescent="0.25">
      <c r="A1415" s="2" t="s">
        <v>1481</v>
      </c>
      <c r="B1415" s="2">
        <v>109000393</v>
      </c>
      <c r="C1415" s="2" t="s">
        <v>43</v>
      </c>
      <c r="D1415" s="2" t="s">
        <v>4507</v>
      </c>
      <c r="E1415" s="2" t="s">
        <v>86</v>
      </c>
      <c r="F1415" s="2" t="s">
        <v>218</v>
      </c>
      <c r="G1415" s="2" t="s">
        <v>172</v>
      </c>
      <c r="H1415" s="2" t="s">
        <v>217</v>
      </c>
      <c r="I1415" s="2" t="s">
        <v>33</v>
      </c>
      <c r="J1415" s="2" t="s">
        <v>91</v>
      </c>
      <c r="K1415" s="2" t="s">
        <v>20</v>
      </c>
      <c r="L1415" s="2" t="s">
        <v>17</v>
      </c>
      <c r="M1415" s="2" t="s">
        <v>22</v>
      </c>
      <c r="N1415" s="2" t="s">
        <v>43</v>
      </c>
      <c r="O1415" s="2" t="s">
        <v>221</v>
      </c>
      <c r="P1415" s="2" t="s">
        <v>1483</v>
      </c>
      <c r="Q1415" s="2" t="s">
        <v>4926</v>
      </c>
      <c r="R1415" s="2" t="s">
        <v>219</v>
      </c>
      <c r="S1415" s="2" t="s">
        <v>93</v>
      </c>
      <c r="T1415" s="2" t="s">
        <v>4696</v>
      </c>
      <c r="U1415" s="2" t="s">
        <v>39</v>
      </c>
      <c r="V1415" s="2" t="s">
        <v>4802</v>
      </c>
      <c r="Y1415" s="2" t="s">
        <v>1482</v>
      </c>
      <c r="AA1415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MARCELO JOSE </v>
      </c>
      <c r="AB1415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415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1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5" s="6" t="str">
        <f>IF(_xlfn.IFNA(INDEX(configuracoes!$A$2:$A$10,MATCH(base_tc_geral[[#This Row],[TIPO]],configuracoes!$A$2:$A$10,0)),"NÃO")="NÃO","NÃO","SIM")</f>
        <v>NÃO</v>
      </c>
    </row>
    <row r="1416" spans="1:31" x14ac:dyDescent="0.25">
      <c r="A1416" s="2" t="s">
        <v>3440</v>
      </c>
      <c r="B1416" s="2">
        <v>109505336</v>
      </c>
      <c r="C1416" s="2" t="s">
        <v>183</v>
      </c>
      <c r="D1416" s="2" t="s">
        <v>4590</v>
      </c>
      <c r="E1416" s="2" t="s">
        <v>86</v>
      </c>
      <c r="F1416" s="2" t="s">
        <v>205</v>
      </c>
      <c r="G1416" s="2" t="s">
        <v>317</v>
      </c>
      <c r="H1416" s="2" t="s">
        <v>122</v>
      </c>
      <c r="I1416" s="2" t="s">
        <v>33</v>
      </c>
      <c r="J1416" s="2" t="s">
        <v>124</v>
      </c>
      <c r="K1416" s="2" t="s">
        <v>13</v>
      </c>
      <c r="L1416" s="2" t="s">
        <v>42</v>
      </c>
      <c r="M1416" s="2" t="s">
        <v>75</v>
      </c>
      <c r="N1416" s="2" t="s">
        <v>183</v>
      </c>
      <c r="O1416" s="2" t="s">
        <v>129</v>
      </c>
      <c r="P1416" s="2" t="s">
        <v>3443</v>
      </c>
      <c r="Q1416" s="2" t="s">
        <v>4926</v>
      </c>
      <c r="R1416" s="2" t="s">
        <v>3441</v>
      </c>
      <c r="S1416" s="2" t="s">
        <v>125</v>
      </c>
      <c r="T1416" s="2" t="s">
        <v>4696</v>
      </c>
      <c r="U1416" s="2" t="s">
        <v>39</v>
      </c>
      <c r="V1416" s="2" t="s">
        <v>4784</v>
      </c>
      <c r="Y1416" s="2" t="s">
        <v>3442</v>
      </c>
      <c r="AA1416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LEANDRO COUTINHO </v>
      </c>
      <c r="AB1416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416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1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6" s="6" t="str">
        <f>IF(_xlfn.IFNA(INDEX(configuracoes!$A$2:$A$10,MATCH(base_tc_geral[[#This Row],[TIPO]],configuracoes!$A$2:$A$10,0)),"NÃO")="NÃO","NÃO","SIM")</f>
        <v>SIM</v>
      </c>
    </row>
    <row r="1417" spans="1:31" x14ac:dyDescent="0.25">
      <c r="A1417" s="2" t="s">
        <v>1079</v>
      </c>
      <c r="B1417" s="2">
        <v>109504012</v>
      </c>
      <c r="C1417" s="2" t="s">
        <v>43</v>
      </c>
      <c r="D1417" s="2" t="s">
        <v>4479</v>
      </c>
      <c r="E1417" s="2" t="s">
        <v>28</v>
      </c>
      <c r="F1417" s="2" t="s">
        <v>586</v>
      </c>
      <c r="G1417" s="2" t="s">
        <v>172</v>
      </c>
      <c r="H1417" s="2" t="s">
        <v>79</v>
      </c>
      <c r="I1417" s="2" t="s">
        <v>33</v>
      </c>
      <c r="J1417" s="2" t="s">
        <v>34</v>
      </c>
      <c r="K1417" s="2" t="s">
        <v>13</v>
      </c>
      <c r="L1417" s="2" t="s">
        <v>17</v>
      </c>
      <c r="M1417" s="2" t="s">
        <v>23</v>
      </c>
      <c r="N1417" s="2" t="s">
        <v>43</v>
      </c>
      <c r="O1417" s="2" t="s">
        <v>83</v>
      </c>
      <c r="P1417" s="2" t="s">
        <v>1081</v>
      </c>
      <c r="Q1417" s="2" t="s">
        <v>4926</v>
      </c>
      <c r="R1417" s="2" t="s">
        <v>166</v>
      </c>
      <c r="S1417" s="2" t="s">
        <v>167</v>
      </c>
      <c r="T1417" s="2" t="s">
        <v>167</v>
      </c>
      <c r="U1417" s="2" t="s">
        <v>39</v>
      </c>
      <c r="V1417" s="2" t="s">
        <v>4774</v>
      </c>
      <c r="Y1417" s="2" t="s">
        <v>1080</v>
      </c>
      <c r="AA1417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JOSE </v>
      </c>
      <c r="AB1417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417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1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7" s="6" t="str">
        <f>IF(_xlfn.IFNA(INDEX(configuracoes!$A$2:$A$10,MATCH(base_tc_geral[[#This Row],[TIPO]],configuracoes!$A$2:$A$10,0)),"NÃO")="NÃO","NÃO","SIM")</f>
        <v>NÃO</v>
      </c>
    </row>
    <row r="1418" spans="1:31" x14ac:dyDescent="0.25">
      <c r="A1418" s="2" t="s">
        <v>2200</v>
      </c>
      <c r="B1418" s="2">
        <v>109000017</v>
      </c>
      <c r="C1418" s="2" t="s">
        <v>183</v>
      </c>
      <c r="D1418" s="2" t="s">
        <v>4526</v>
      </c>
      <c r="E1418" s="2" t="s">
        <v>86</v>
      </c>
      <c r="F1418" s="2" t="s">
        <v>211</v>
      </c>
      <c r="G1418" s="2" t="s">
        <v>317</v>
      </c>
      <c r="H1418" s="2" t="s">
        <v>210</v>
      </c>
      <c r="I1418" s="2" t="s">
        <v>33</v>
      </c>
      <c r="J1418" s="2" t="s">
        <v>124</v>
      </c>
      <c r="K1418" s="2" t="s">
        <v>13</v>
      </c>
      <c r="L1418" s="2" t="s">
        <v>42</v>
      </c>
      <c r="M1418" s="2" t="s">
        <v>75</v>
      </c>
      <c r="N1418" s="2" t="s">
        <v>183</v>
      </c>
      <c r="O1418" s="2" t="s">
        <v>214</v>
      </c>
      <c r="P1418" s="2" t="s">
        <v>2202</v>
      </c>
      <c r="Q1418" s="2" t="s">
        <v>4926</v>
      </c>
      <c r="R1418" s="2" t="s">
        <v>212</v>
      </c>
      <c r="S1418" s="2" t="s">
        <v>93</v>
      </c>
      <c r="T1418" s="2" t="s">
        <v>4696</v>
      </c>
      <c r="U1418" s="2" t="s">
        <v>39</v>
      </c>
      <c r="V1418" s="2" t="s">
        <v>4846</v>
      </c>
      <c r="Y1418" s="2" t="s">
        <v>2201</v>
      </c>
      <c r="AA1418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AMAURY ASSIS </v>
      </c>
      <c r="AB1418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418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1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8" s="6" t="str">
        <f>IF(_xlfn.IFNA(INDEX(configuracoes!$A$2:$A$10,MATCH(base_tc_geral[[#This Row],[TIPO]],configuracoes!$A$2:$A$10,0)),"NÃO")="NÃO","NÃO","SIM")</f>
        <v>SIM</v>
      </c>
    </row>
    <row r="1419" spans="1:31" x14ac:dyDescent="0.25">
      <c r="A1419" s="2" t="s">
        <v>3138</v>
      </c>
      <c r="B1419" s="2">
        <v>109000081</v>
      </c>
      <c r="C1419" s="2" t="s">
        <v>43</v>
      </c>
      <c r="D1419" s="2" t="s">
        <v>4623</v>
      </c>
      <c r="E1419" s="2" t="s">
        <v>86</v>
      </c>
      <c r="F1419" s="2" t="s">
        <v>211</v>
      </c>
      <c r="G1419" s="2" t="s">
        <v>245</v>
      </c>
      <c r="H1419" s="2" t="s">
        <v>210</v>
      </c>
      <c r="I1419" s="2" t="s">
        <v>33</v>
      </c>
      <c r="J1419" s="2" t="s">
        <v>124</v>
      </c>
      <c r="K1419" s="2" t="s">
        <v>20</v>
      </c>
      <c r="L1419" s="2" t="s">
        <v>21</v>
      </c>
      <c r="M1419" s="2" t="s">
        <v>22</v>
      </c>
      <c r="N1419" s="2" t="s">
        <v>43</v>
      </c>
      <c r="O1419" s="2" t="s">
        <v>214</v>
      </c>
      <c r="P1419" s="2" t="s">
        <v>3140</v>
      </c>
      <c r="Q1419" s="2" t="s">
        <v>4926</v>
      </c>
      <c r="R1419" s="2" t="s">
        <v>299</v>
      </c>
      <c r="S1419" s="2" t="s">
        <v>93</v>
      </c>
      <c r="T1419" s="2" t="s">
        <v>4696</v>
      </c>
      <c r="U1419" s="2" t="s">
        <v>39</v>
      </c>
      <c r="V1419" s="2" t="s">
        <v>4820</v>
      </c>
      <c r="Y1419" s="2" t="s">
        <v>3139</v>
      </c>
      <c r="AA1419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ALDO GOMES </v>
      </c>
      <c r="AB1419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419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1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19" s="6" t="str">
        <f>IF(_xlfn.IFNA(INDEX(configuracoes!$A$2:$A$10,MATCH(base_tc_geral[[#This Row],[TIPO]],configuracoes!$A$2:$A$10,0)),"NÃO")="NÃO","NÃO","SIM")</f>
        <v>SIM</v>
      </c>
    </row>
    <row r="1420" spans="1:31" x14ac:dyDescent="0.25">
      <c r="A1420" s="2" t="s">
        <v>2270</v>
      </c>
      <c r="B1420" s="2">
        <v>109000340</v>
      </c>
      <c r="C1420" s="2" t="s">
        <v>43</v>
      </c>
      <c r="D1420" s="2" t="s">
        <v>4498</v>
      </c>
      <c r="E1420" s="2" t="s">
        <v>86</v>
      </c>
      <c r="F1420" s="2" t="s">
        <v>88</v>
      </c>
      <c r="G1420" s="2" t="s">
        <v>41</v>
      </c>
      <c r="H1420" s="2" t="s">
        <v>87</v>
      </c>
      <c r="I1420" s="2" t="s">
        <v>33</v>
      </c>
      <c r="J1420" s="2" t="s">
        <v>91</v>
      </c>
      <c r="K1420" s="2" t="s">
        <v>13</v>
      </c>
      <c r="L1420" s="2" t="s">
        <v>42</v>
      </c>
      <c r="M1420" s="2" t="s">
        <v>75</v>
      </c>
      <c r="N1420" s="2" t="s">
        <v>43</v>
      </c>
      <c r="O1420" s="2" t="s">
        <v>95</v>
      </c>
      <c r="P1420" s="2" t="s">
        <v>2272</v>
      </c>
      <c r="Q1420" s="2" t="s">
        <v>4926</v>
      </c>
      <c r="R1420" s="2" t="s">
        <v>90</v>
      </c>
      <c r="S1420" s="2" t="s">
        <v>93</v>
      </c>
      <c r="T1420" s="2" t="s">
        <v>4696</v>
      </c>
      <c r="U1420" s="2" t="s">
        <v>39</v>
      </c>
      <c r="V1420" s="2" t="s">
        <v>4796</v>
      </c>
      <c r="Y1420" s="2" t="s">
        <v>2271</v>
      </c>
      <c r="AA1420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AILTON JOSE </v>
      </c>
      <c r="AB1420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420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2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0" s="6" t="str">
        <f>IF(_xlfn.IFNA(INDEX(configuracoes!$A$2:$A$10,MATCH(base_tc_geral[[#This Row],[TIPO]],configuracoes!$A$2:$A$10,0)),"NÃO")="NÃO","NÃO","SIM")</f>
        <v>SIM</v>
      </c>
    </row>
    <row r="1421" spans="1:31" x14ac:dyDescent="0.25">
      <c r="A1421" s="2" t="s">
        <v>776</v>
      </c>
      <c r="B1421" s="2">
        <v>101010210</v>
      </c>
      <c r="C1421" s="2" t="s">
        <v>137</v>
      </c>
      <c r="D1421" s="2" t="s">
        <v>4480</v>
      </c>
      <c r="E1421" s="2" t="s">
        <v>47</v>
      </c>
      <c r="F1421" s="2" t="s">
        <v>159</v>
      </c>
      <c r="G1421" s="2" t="s">
        <v>99</v>
      </c>
      <c r="H1421" s="2" t="s">
        <v>60</v>
      </c>
      <c r="I1421" s="2" t="s">
        <v>16</v>
      </c>
      <c r="J1421" s="2" t="s">
        <v>60</v>
      </c>
      <c r="K1421" s="2" t="s">
        <v>13</v>
      </c>
      <c r="L1421" s="2" t="s">
        <v>25</v>
      </c>
      <c r="M1421" s="2" t="s">
        <v>22</v>
      </c>
      <c r="N1421" s="2" t="s">
        <v>137</v>
      </c>
      <c r="O1421" s="2" t="s">
        <v>161</v>
      </c>
      <c r="P1421" s="2" t="s">
        <v>778</v>
      </c>
      <c r="Q1421" s="2" t="s">
        <v>4926</v>
      </c>
      <c r="R1421" s="2" t="s">
        <v>294</v>
      </c>
      <c r="S1421" s="2" t="s">
        <v>101</v>
      </c>
      <c r="T1421" s="2" t="s">
        <v>4697</v>
      </c>
      <c r="U1421" s="2" t="s">
        <v>39</v>
      </c>
      <c r="V1421" s="2" t="s">
        <v>4870</v>
      </c>
      <c r="Y1421" s="2" t="s">
        <v>777</v>
      </c>
      <c r="AA1421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FABIO </v>
      </c>
      <c r="AB1421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421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2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1" s="6" t="str">
        <f>IF(_xlfn.IFNA(INDEX(configuracoes!$A$2:$A$10,MATCH(base_tc_geral[[#This Row],[TIPO]],configuracoes!$A$2:$A$10,0)),"NÃO")="NÃO","NÃO","SIM")</f>
        <v>SIM</v>
      </c>
    </row>
    <row r="1422" spans="1:31" x14ac:dyDescent="0.25">
      <c r="A1422" s="2" t="s">
        <v>3854</v>
      </c>
      <c r="B1422" s="2">
        <v>102101642</v>
      </c>
      <c r="C1422" s="2" t="s">
        <v>183</v>
      </c>
      <c r="D1422" s="2" t="s">
        <v>4507</v>
      </c>
      <c r="E1422" s="2" t="s">
        <v>106</v>
      </c>
      <c r="F1422" s="2" t="s">
        <v>509</v>
      </c>
      <c r="G1422" s="2" t="s">
        <v>364</v>
      </c>
      <c r="H1422" s="2" t="s">
        <v>130</v>
      </c>
      <c r="I1422" s="2" t="s">
        <v>33</v>
      </c>
      <c r="J1422" s="2" t="s">
        <v>109</v>
      </c>
      <c r="K1422" s="2" t="s">
        <v>13</v>
      </c>
      <c r="L1422" s="2" t="s">
        <v>37</v>
      </c>
      <c r="M1422" s="2" t="s">
        <v>44</v>
      </c>
      <c r="N1422" s="2" t="s">
        <v>183</v>
      </c>
      <c r="O1422" s="2" t="s">
        <v>132</v>
      </c>
      <c r="P1422" s="2" t="s">
        <v>3856</v>
      </c>
      <c r="Q1422" s="2" t="s">
        <v>4926</v>
      </c>
      <c r="R1422" s="2" t="s">
        <v>187</v>
      </c>
      <c r="S1422" s="2" t="s">
        <v>736</v>
      </c>
      <c r="T1422" s="2" t="s">
        <v>167</v>
      </c>
      <c r="U1422" s="2" t="s">
        <v>39</v>
      </c>
      <c r="V1422" s="2" t="s">
        <v>4773</v>
      </c>
      <c r="Y1422" s="2" t="s">
        <v>3855</v>
      </c>
      <c r="AA1422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1422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422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2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2" s="6" t="str">
        <f>IF(_xlfn.IFNA(INDEX(configuracoes!$A$2:$A$10,MATCH(base_tc_geral[[#This Row],[TIPO]],configuracoes!$A$2:$A$10,0)),"NÃO")="NÃO","NÃO","SIM")</f>
        <v>NÃO</v>
      </c>
    </row>
    <row r="1423" spans="1:31" x14ac:dyDescent="0.25">
      <c r="A1423" s="2" t="s">
        <v>1938</v>
      </c>
      <c r="B1423" s="2">
        <v>109000943</v>
      </c>
      <c r="C1423" s="2" t="s">
        <v>43</v>
      </c>
      <c r="D1423" s="2" t="s">
        <v>4548</v>
      </c>
      <c r="E1423" s="2" t="s">
        <v>86</v>
      </c>
      <c r="F1423" s="2" t="s">
        <v>205</v>
      </c>
      <c r="G1423" s="2" t="s">
        <v>31</v>
      </c>
      <c r="H1423" s="2" t="s">
        <v>122</v>
      </c>
      <c r="I1423" s="2" t="s">
        <v>33</v>
      </c>
      <c r="J1423" s="2" t="s">
        <v>124</v>
      </c>
      <c r="K1423" s="2" t="s">
        <v>20</v>
      </c>
      <c r="L1423" s="2" t="s">
        <v>21</v>
      </c>
      <c r="M1423" s="2" t="s">
        <v>22</v>
      </c>
      <c r="N1423" s="2" t="s">
        <v>43</v>
      </c>
      <c r="O1423" s="2" t="s">
        <v>129</v>
      </c>
      <c r="P1423" s="2" t="s">
        <v>1940</v>
      </c>
      <c r="Q1423" s="2" t="s">
        <v>4926</v>
      </c>
      <c r="R1423" s="2" t="s">
        <v>206</v>
      </c>
      <c r="S1423" s="2" t="s">
        <v>125</v>
      </c>
      <c r="T1423" s="2" t="s">
        <v>4696</v>
      </c>
      <c r="U1423" s="2" t="s">
        <v>39</v>
      </c>
      <c r="V1423" s="2" t="s">
        <v>4784</v>
      </c>
      <c r="Y1423" s="2" t="s">
        <v>1939</v>
      </c>
      <c r="AA1423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423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423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2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3" s="6" t="str">
        <f>IF(_xlfn.IFNA(INDEX(configuracoes!$A$2:$A$10,MATCH(base_tc_geral[[#This Row],[TIPO]],configuracoes!$A$2:$A$10,0)),"NÃO")="NÃO","NÃO","SIM")</f>
        <v>SIM</v>
      </c>
    </row>
    <row r="1424" spans="1:31" x14ac:dyDescent="0.25">
      <c r="A1424" s="2" t="s">
        <v>3811</v>
      </c>
      <c r="B1424" s="2">
        <v>109000943</v>
      </c>
      <c r="C1424" s="2" t="s">
        <v>3812</v>
      </c>
      <c r="D1424" s="2" t="s">
        <v>4482</v>
      </c>
      <c r="E1424" s="2" t="s">
        <v>86</v>
      </c>
      <c r="F1424" s="2" t="s">
        <v>205</v>
      </c>
      <c r="G1424" s="2" t="s">
        <v>58</v>
      </c>
      <c r="H1424" s="2" t="s">
        <v>122</v>
      </c>
      <c r="I1424" s="2" t="s">
        <v>33</v>
      </c>
      <c r="J1424" s="2" t="s">
        <v>124</v>
      </c>
      <c r="K1424" s="2" t="s">
        <v>13</v>
      </c>
      <c r="L1424" s="2" t="s">
        <v>61</v>
      </c>
      <c r="M1424" s="2" t="s">
        <v>44</v>
      </c>
      <c r="N1424" s="2" t="s">
        <v>3812</v>
      </c>
      <c r="O1424" s="2" t="s">
        <v>129</v>
      </c>
      <c r="P1424" s="2" t="s">
        <v>3814</v>
      </c>
      <c r="Q1424" s="2" t="s">
        <v>4926</v>
      </c>
      <c r="R1424" s="2" t="s">
        <v>206</v>
      </c>
      <c r="S1424" s="2" t="s">
        <v>125</v>
      </c>
      <c r="T1424" s="2" t="s">
        <v>4696</v>
      </c>
      <c r="U1424" s="2" t="s">
        <v>39</v>
      </c>
      <c r="V1424" s="2" t="s">
        <v>4770</v>
      </c>
      <c r="Y1424" s="2" t="s">
        <v>3813</v>
      </c>
      <c r="AA1424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MAURO BRAGA </v>
      </c>
      <c r="AB1424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424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2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4" s="6" t="str">
        <f>IF(_xlfn.IFNA(INDEX(configuracoes!$A$2:$A$10,MATCH(base_tc_geral[[#This Row],[TIPO]],configuracoes!$A$2:$A$10,0)),"NÃO")="NÃO","NÃO","SIM")</f>
        <v>NÃO</v>
      </c>
    </row>
    <row r="1425" spans="1:31" x14ac:dyDescent="0.25">
      <c r="A1425" s="2" t="s">
        <v>3511</v>
      </c>
      <c r="B1425" s="2">
        <v>102101634</v>
      </c>
      <c r="C1425" s="2" t="s">
        <v>43</v>
      </c>
      <c r="D1425" s="2" t="s">
        <v>4548</v>
      </c>
      <c r="E1425" s="2" t="s">
        <v>106</v>
      </c>
      <c r="F1425" s="2" t="s">
        <v>186</v>
      </c>
      <c r="G1425" s="2" t="s">
        <v>3513</v>
      </c>
      <c r="H1425" s="2" t="s">
        <v>107</v>
      </c>
      <c r="I1425" s="2" t="s">
        <v>33</v>
      </c>
      <c r="J1425" s="2" t="s">
        <v>109</v>
      </c>
      <c r="K1425" s="2" t="s">
        <v>20</v>
      </c>
      <c r="L1425" s="2" t="s">
        <v>21</v>
      </c>
      <c r="M1425" s="2" t="s">
        <v>22</v>
      </c>
      <c r="N1425" s="2" t="s">
        <v>43</v>
      </c>
      <c r="O1425" s="2" t="s">
        <v>112</v>
      </c>
      <c r="P1425" s="2" t="s">
        <v>3514</v>
      </c>
      <c r="Q1425" s="2" t="s">
        <v>4926</v>
      </c>
      <c r="R1425" s="2" t="s">
        <v>406</v>
      </c>
      <c r="S1425" s="2" t="s">
        <v>736</v>
      </c>
      <c r="T1425" s="2" t="s">
        <v>167</v>
      </c>
      <c r="U1425" s="2" t="s">
        <v>39</v>
      </c>
      <c r="V1425" s="2" t="s">
        <v>4854</v>
      </c>
      <c r="Y1425" s="2" t="s">
        <v>3512</v>
      </c>
      <c r="AA1425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FABIO BATISTA </v>
      </c>
      <c r="AB1425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425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2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5" s="6" t="str">
        <f>IF(_xlfn.IFNA(INDEX(configuracoes!$A$2:$A$10,MATCH(base_tc_geral[[#This Row],[TIPO]],configuracoes!$A$2:$A$10,0)),"NÃO")="NÃO","NÃO","SIM")</f>
        <v>SIM</v>
      </c>
    </row>
    <row r="1426" spans="1:31" x14ac:dyDescent="0.25">
      <c r="A1426" s="2" t="s">
        <v>4360</v>
      </c>
      <c r="B1426" s="2">
        <v>105301785</v>
      </c>
      <c r="C1426" s="2" t="s">
        <v>183</v>
      </c>
      <c r="D1426" s="2" t="s">
        <v>4562</v>
      </c>
      <c r="E1426" s="2" t="s">
        <v>28</v>
      </c>
      <c r="F1426" s="2" t="s">
        <v>423</v>
      </c>
      <c r="G1426" s="2" t="s">
        <v>58</v>
      </c>
      <c r="H1426" s="2" t="s">
        <v>34</v>
      </c>
      <c r="I1426" s="2" t="s">
        <v>33</v>
      </c>
      <c r="J1426" s="2" t="s">
        <v>34</v>
      </c>
      <c r="K1426" s="2" t="s">
        <v>13</v>
      </c>
      <c r="L1426" s="2" t="s">
        <v>61</v>
      </c>
      <c r="M1426" s="2" t="s">
        <v>44</v>
      </c>
      <c r="N1426" s="2" t="s">
        <v>183</v>
      </c>
      <c r="O1426" s="2" t="s">
        <v>156</v>
      </c>
      <c r="P1426" s="2" t="s">
        <v>4363</v>
      </c>
      <c r="Q1426" s="2" t="s">
        <v>4926</v>
      </c>
      <c r="R1426" s="2" t="s">
        <v>4361</v>
      </c>
      <c r="S1426" s="2" t="s">
        <v>4704</v>
      </c>
      <c r="T1426" s="2" t="s">
        <v>4701</v>
      </c>
      <c r="U1426" s="2" t="s">
        <v>39</v>
      </c>
      <c r="V1426" s="2" t="s">
        <v>4840</v>
      </c>
      <c r="Y1426" s="2" t="s">
        <v>4362</v>
      </c>
      <c r="AA1426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FERNANDO TOSCANO </v>
      </c>
      <c r="AB1426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ANDRE LUIS </v>
      </c>
      <c r="AC1426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HEBERT JONES </v>
      </c>
      <c r="AD142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6" s="6" t="str">
        <f>IF(_xlfn.IFNA(INDEX(configuracoes!$A$2:$A$10,MATCH(base_tc_geral[[#This Row],[TIPO]],configuracoes!$A$2:$A$10,0)),"NÃO")="NÃO","NÃO","SIM")</f>
        <v>NÃO</v>
      </c>
    </row>
    <row r="1427" spans="1:31" x14ac:dyDescent="0.25">
      <c r="A1427" s="2" t="s">
        <v>3447</v>
      </c>
      <c r="B1427" s="2">
        <v>109500315</v>
      </c>
      <c r="C1427" s="2" t="s">
        <v>183</v>
      </c>
      <c r="D1427" s="2" t="s">
        <v>4526</v>
      </c>
      <c r="E1427" s="2" t="s">
        <v>86</v>
      </c>
      <c r="F1427" s="2" t="s">
        <v>445</v>
      </c>
      <c r="G1427" s="2" t="s">
        <v>172</v>
      </c>
      <c r="H1427" s="2" t="s">
        <v>122</v>
      </c>
      <c r="I1427" s="2" t="s">
        <v>33</v>
      </c>
      <c r="J1427" s="2" t="s">
        <v>124</v>
      </c>
      <c r="K1427" s="2" t="s">
        <v>13</v>
      </c>
      <c r="L1427" s="2" t="s">
        <v>17</v>
      </c>
      <c r="M1427" s="2" t="s">
        <v>23</v>
      </c>
      <c r="N1427" s="2" t="s">
        <v>183</v>
      </c>
      <c r="O1427" s="2" t="s">
        <v>129</v>
      </c>
      <c r="P1427" s="2" t="s">
        <v>3449</v>
      </c>
      <c r="Q1427" s="2" t="s">
        <v>4926</v>
      </c>
      <c r="R1427" s="2" t="s">
        <v>173</v>
      </c>
      <c r="S1427" s="2" t="s">
        <v>93</v>
      </c>
      <c r="T1427" s="2" t="s">
        <v>4696</v>
      </c>
      <c r="U1427" s="2" t="s">
        <v>39</v>
      </c>
      <c r="V1427" s="2" t="s">
        <v>4887</v>
      </c>
      <c r="Y1427" s="2" t="s">
        <v>3448</v>
      </c>
      <c r="AA1427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IVALDO BEZERRA </v>
      </c>
      <c r="AB1427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DECIO FABIANO </v>
      </c>
      <c r="AC1427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2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7" s="6" t="str">
        <f>IF(_xlfn.IFNA(INDEX(configuracoes!$A$2:$A$10,MATCH(base_tc_geral[[#This Row],[TIPO]],configuracoes!$A$2:$A$10,0)),"NÃO")="NÃO","NÃO","SIM")</f>
        <v>NÃO</v>
      </c>
    </row>
    <row r="1428" spans="1:31" x14ac:dyDescent="0.25">
      <c r="A1428" s="2" t="s">
        <v>706</v>
      </c>
      <c r="B1428" s="2">
        <v>101001670</v>
      </c>
      <c r="C1428" s="2" t="s">
        <v>43</v>
      </c>
      <c r="D1428" s="2" t="s">
        <v>4499</v>
      </c>
      <c r="E1428" s="2" t="s">
        <v>47</v>
      </c>
      <c r="F1428" s="2" t="s">
        <v>225</v>
      </c>
      <c r="G1428" s="2" t="s">
        <v>245</v>
      </c>
      <c r="H1428" s="2" t="s">
        <v>224</v>
      </c>
      <c r="I1428" s="2" t="s">
        <v>16</v>
      </c>
      <c r="J1428" s="2" t="s">
        <v>227</v>
      </c>
      <c r="K1428" s="2" t="s">
        <v>20</v>
      </c>
      <c r="L1428" s="2" t="s">
        <v>21</v>
      </c>
      <c r="M1428" s="2" t="s">
        <v>22</v>
      </c>
      <c r="N1428" s="2" t="s">
        <v>43</v>
      </c>
      <c r="O1428" s="2" t="s">
        <v>229</v>
      </c>
      <c r="P1428" s="2" t="s">
        <v>708</v>
      </c>
      <c r="Q1428" s="2" t="s">
        <v>4926</v>
      </c>
      <c r="R1428" s="2" t="s">
        <v>226</v>
      </c>
      <c r="S1428" s="2" t="s">
        <v>4698</v>
      </c>
      <c r="T1428" s="2" t="s">
        <v>4697</v>
      </c>
      <c r="U1428" s="2" t="s">
        <v>39</v>
      </c>
      <c r="V1428" s="2" t="s">
        <v>4844</v>
      </c>
      <c r="Y1428" s="2" t="s">
        <v>707</v>
      </c>
      <c r="AA1428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FRANCISCO MARCOS </v>
      </c>
      <c r="AB1428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428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2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8" s="6" t="str">
        <f>IF(_xlfn.IFNA(INDEX(configuracoes!$A$2:$A$10,MATCH(base_tc_geral[[#This Row],[TIPO]],configuracoes!$A$2:$A$10,0)),"NÃO")="NÃO","NÃO","SIM")</f>
        <v>SIM</v>
      </c>
    </row>
    <row r="1429" spans="1:31" x14ac:dyDescent="0.25">
      <c r="A1429" s="2" t="s">
        <v>3147</v>
      </c>
      <c r="B1429" s="2">
        <v>102101187</v>
      </c>
      <c r="C1429" s="2" t="s">
        <v>183</v>
      </c>
      <c r="D1429" s="2" t="s">
        <v>4498</v>
      </c>
      <c r="E1429" s="2" t="s">
        <v>106</v>
      </c>
      <c r="F1429" s="2" t="s">
        <v>186</v>
      </c>
      <c r="G1429" s="2" t="s">
        <v>58</v>
      </c>
      <c r="H1429" s="2" t="s">
        <v>107</v>
      </c>
      <c r="I1429" s="2" t="s">
        <v>33</v>
      </c>
      <c r="J1429" s="2" t="s">
        <v>109</v>
      </c>
      <c r="K1429" s="2" t="s">
        <v>92</v>
      </c>
      <c r="L1429" s="2" t="s">
        <v>61</v>
      </c>
      <c r="M1429" s="2" t="s">
        <v>44</v>
      </c>
      <c r="N1429" s="2" t="s">
        <v>183</v>
      </c>
      <c r="O1429" s="2" t="s">
        <v>112</v>
      </c>
      <c r="P1429" s="2" t="s">
        <v>3149</v>
      </c>
      <c r="Q1429" s="2" t="s">
        <v>4926</v>
      </c>
      <c r="R1429" s="2" t="s">
        <v>527</v>
      </c>
      <c r="S1429" s="2" t="s">
        <v>260</v>
      </c>
      <c r="T1429" s="2" t="s">
        <v>167</v>
      </c>
      <c r="U1429" s="2" t="s">
        <v>39</v>
      </c>
      <c r="V1429" s="2" t="s">
        <v>4818</v>
      </c>
      <c r="Y1429" s="2" t="s">
        <v>3148</v>
      </c>
      <c r="AA1429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ALEXANDRE ONASSIS </v>
      </c>
      <c r="AB1429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EDERLINDO GONCALVES </v>
      </c>
      <c r="AC1429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2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29" s="6" t="str">
        <f>IF(_xlfn.IFNA(INDEX(configuracoes!$A$2:$A$10,MATCH(base_tc_geral[[#This Row],[TIPO]],configuracoes!$A$2:$A$10,0)),"NÃO")="NÃO","NÃO","SIM")</f>
        <v>NÃO</v>
      </c>
    </row>
    <row r="1430" spans="1:31" x14ac:dyDescent="0.25">
      <c r="A1430" s="2" t="s">
        <v>2087</v>
      </c>
      <c r="B1430" s="2">
        <v>102101642</v>
      </c>
      <c r="C1430" s="2" t="s">
        <v>183</v>
      </c>
      <c r="D1430" s="2" t="s">
        <v>4507</v>
      </c>
      <c r="E1430" s="2" t="s">
        <v>106</v>
      </c>
      <c r="F1430" s="2" t="s">
        <v>509</v>
      </c>
      <c r="G1430" s="2" t="s">
        <v>245</v>
      </c>
      <c r="H1430" s="2" t="s">
        <v>130</v>
      </c>
      <c r="I1430" s="2" t="s">
        <v>33</v>
      </c>
      <c r="J1430" s="2" t="s">
        <v>109</v>
      </c>
      <c r="K1430" s="2" t="s">
        <v>20</v>
      </c>
      <c r="L1430" s="2" t="s">
        <v>21</v>
      </c>
      <c r="M1430" s="2" t="s">
        <v>22</v>
      </c>
      <c r="N1430" s="2" t="s">
        <v>183</v>
      </c>
      <c r="O1430" s="2" t="s">
        <v>132</v>
      </c>
      <c r="P1430" s="2" t="s">
        <v>2089</v>
      </c>
      <c r="Q1430" s="2" t="s">
        <v>4926</v>
      </c>
      <c r="R1430" s="2" t="s">
        <v>187</v>
      </c>
      <c r="S1430" s="2" t="s">
        <v>736</v>
      </c>
      <c r="T1430" s="2" t="s">
        <v>167</v>
      </c>
      <c r="U1430" s="2" t="s">
        <v>39</v>
      </c>
      <c r="V1430" s="2" t="s">
        <v>4773</v>
      </c>
      <c r="Y1430" s="2" t="s">
        <v>2088</v>
      </c>
      <c r="AA1430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WILSON CARLOS </v>
      </c>
      <c r="AB1430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REINILSON IGLESIAS </v>
      </c>
      <c r="AC1430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3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0" s="6" t="str">
        <f>IF(_xlfn.IFNA(INDEX(configuracoes!$A$2:$A$10,MATCH(base_tc_geral[[#This Row],[TIPO]],configuracoes!$A$2:$A$10,0)),"NÃO")="NÃO","NÃO","SIM")</f>
        <v>SIM</v>
      </c>
    </row>
    <row r="1431" spans="1:31" x14ac:dyDescent="0.25">
      <c r="A1431" s="2" t="s">
        <v>3926</v>
      </c>
      <c r="B1431" s="2">
        <v>105303134</v>
      </c>
      <c r="C1431" s="2" t="s">
        <v>43</v>
      </c>
      <c r="D1431" s="2" t="s">
        <v>4526</v>
      </c>
      <c r="E1431" s="2" t="s">
        <v>28</v>
      </c>
      <c r="F1431" s="2" t="s">
        <v>423</v>
      </c>
      <c r="G1431" s="2" t="s">
        <v>245</v>
      </c>
      <c r="H1431" s="2" t="s">
        <v>34</v>
      </c>
      <c r="I1431" s="2" t="s">
        <v>33</v>
      </c>
      <c r="J1431" s="2" t="s">
        <v>34</v>
      </c>
      <c r="K1431" s="2" t="s">
        <v>20</v>
      </c>
      <c r="L1431" s="2" t="s">
        <v>21</v>
      </c>
      <c r="M1431" s="2" t="s">
        <v>22</v>
      </c>
      <c r="N1431" s="2" t="s">
        <v>43</v>
      </c>
      <c r="O1431" s="2" t="s">
        <v>156</v>
      </c>
      <c r="P1431" s="2" t="s">
        <v>3928</v>
      </c>
      <c r="Q1431" s="2" t="s">
        <v>4926</v>
      </c>
      <c r="R1431" s="2" t="s">
        <v>442</v>
      </c>
      <c r="S1431" s="2" t="s">
        <v>167</v>
      </c>
      <c r="T1431" s="2" t="s">
        <v>167</v>
      </c>
      <c r="U1431" s="2" t="s">
        <v>39</v>
      </c>
      <c r="V1431" s="2" t="s">
        <v>4764</v>
      </c>
      <c r="Y1431" s="2" t="s">
        <v>3927</v>
      </c>
      <c r="AA1431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1431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431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31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1" s="6" t="str">
        <f>IF(_xlfn.IFNA(INDEX(configuracoes!$A$2:$A$10,MATCH(base_tc_geral[[#This Row],[TIPO]],configuracoes!$A$2:$A$10,0)),"NÃO")="NÃO","NÃO","SIM")</f>
        <v>SIM</v>
      </c>
    </row>
    <row r="1432" spans="1:31" x14ac:dyDescent="0.25">
      <c r="A1432" s="2" t="s">
        <v>3242</v>
      </c>
      <c r="B1432" s="2">
        <v>428271</v>
      </c>
      <c r="C1432" s="2" t="s">
        <v>43</v>
      </c>
      <c r="D1432" s="2" t="s">
        <v>4647</v>
      </c>
      <c r="E1432" s="2" t="s">
        <v>47</v>
      </c>
      <c r="F1432" s="2" t="s">
        <v>269</v>
      </c>
      <c r="G1432" s="2" t="s">
        <v>245</v>
      </c>
      <c r="H1432" s="2" t="s">
        <v>227</v>
      </c>
      <c r="I1432" s="2" t="s">
        <v>16</v>
      </c>
      <c r="J1432" s="2" t="s">
        <v>227</v>
      </c>
      <c r="K1432" s="2" t="s">
        <v>20</v>
      </c>
      <c r="L1432" s="2" t="s">
        <v>21</v>
      </c>
      <c r="M1432" s="2" t="s">
        <v>22</v>
      </c>
      <c r="N1432" s="2" t="s">
        <v>43</v>
      </c>
      <c r="O1432" s="2" t="s">
        <v>271</v>
      </c>
      <c r="P1432" s="2" t="s">
        <v>3244</v>
      </c>
      <c r="Q1432" s="2" t="s">
        <v>4926</v>
      </c>
      <c r="R1432" s="2" t="s">
        <v>4828</v>
      </c>
      <c r="S1432" s="2" t="s">
        <v>4698</v>
      </c>
      <c r="T1432" s="2" t="s">
        <v>4697</v>
      </c>
      <c r="U1432" s="2" t="s">
        <v>39</v>
      </c>
      <c r="V1432" s="2" t="s">
        <v>4877</v>
      </c>
      <c r="Y1432" s="2" t="s">
        <v>3243</v>
      </c>
      <c r="AA1432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SHEYLA MARIA </v>
      </c>
      <c r="AB1432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JEFFERSON OLIVEIRA </v>
      </c>
      <c r="AC1432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32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2" s="6" t="str">
        <f>IF(_xlfn.IFNA(INDEX(configuracoes!$A$2:$A$10,MATCH(base_tc_geral[[#This Row],[TIPO]],configuracoes!$A$2:$A$10,0)),"NÃO")="NÃO","NÃO","SIM")</f>
        <v>SIM</v>
      </c>
    </row>
    <row r="1433" spans="1:31" x14ac:dyDescent="0.25">
      <c r="A1433" s="2" t="s">
        <v>3938</v>
      </c>
      <c r="B1433" s="2">
        <v>105303134</v>
      </c>
      <c r="C1433" s="2" t="s">
        <v>43</v>
      </c>
      <c r="D1433" s="2" t="s">
        <v>4526</v>
      </c>
      <c r="E1433" s="2" t="s">
        <v>28</v>
      </c>
      <c r="F1433" s="2" t="s">
        <v>154</v>
      </c>
      <c r="G1433" s="2" t="s">
        <v>172</v>
      </c>
      <c r="H1433" s="2" t="s">
        <v>34</v>
      </c>
      <c r="I1433" s="2" t="s">
        <v>33</v>
      </c>
      <c r="J1433" s="2" t="s">
        <v>34</v>
      </c>
      <c r="K1433" s="2" t="s">
        <v>13</v>
      </c>
      <c r="L1433" s="2" t="s">
        <v>17</v>
      </c>
      <c r="M1433" s="2" t="s">
        <v>23</v>
      </c>
      <c r="N1433" s="2" t="s">
        <v>43</v>
      </c>
      <c r="O1433" s="2" t="s">
        <v>156</v>
      </c>
      <c r="P1433" s="2" t="s">
        <v>3940</v>
      </c>
      <c r="Q1433" s="2" t="s">
        <v>4926</v>
      </c>
      <c r="R1433" s="2" t="s">
        <v>442</v>
      </c>
      <c r="S1433" s="2" t="s">
        <v>167</v>
      </c>
      <c r="T1433" s="2" t="s">
        <v>167</v>
      </c>
      <c r="U1433" s="2" t="s">
        <v>39</v>
      </c>
      <c r="V1433" s="2" t="s">
        <v>4774</v>
      </c>
      <c r="Y1433" s="2" t="s">
        <v>3939</v>
      </c>
      <c r="AA1433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GLAUBER JOSE </v>
      </c>
      <c r="AB1433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WENDELL FRANKLIN </v>
      </c>
      <c r="AC1433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WENDELL FRANKLIN </v>
      </c>
      <c r="AD1433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3" s="6" t="str">
        <f>IF(_xlfn.IFNA(INDEX(configuracoes!$A$2:$A$10,MATCH(base_tc_geral[[#This Row],[TIPO]],configuracoes!$A$2:$A$10,0)),"NÃO")="NÃO","NÃO","SIM")</f>
        <v>NÃO</v>
      </c>
    </row>
    <row r="1434" spans="1:31" x14ac:dyDescent="0.25">
      <c r="A1434" s="2" t="s">
        <v>2215</v>
      </c>
      <c r="B1434" s="2">
        <v>101005989</v>
      </c>
      <c r="C1434" s="2" t="s">
        <v>43</v>
      </c>
      <c r="D1434" s="2" t="s">
        <v>4505</v>
      </c>
      <c r="E1434" s="2" t="s">
        <v>47</v>
      </c>
      <c r="F1434" s="2" t="s">
        <v>433</v>
      </c>
      <c r="G1434" s="2" t="s">
        <v>883</v>
      </c>
      <c r="H1434" s="2" t="s">
        <v>56</v>
      </c>
      <c r="I1434" s="2" t="s">
        <v>16</v>
      </c>
      <c r="J1434" s="2" t="s">
        <v>60</v>
      </c>
      <c r="K1434" s="2" t="s">
        <v>20</v>
      </c>
      <c r="L1434" s="2" t="s">
        <v>21</v>
      </c>
      <c r="M1434" s="2" t="s">
        <v>22</v>
      </c>
      <c r="N1434" s="2" t="s">
        <v>43</v>
      </c>
      <c r="O1434" s="2" t="s">
        <v>63</v>
      </c>
      <c r="P1434" s="2" t="s">
        <v>2217</v>
      </c>
      <c r="Q1434" s="2" t="s">
        <v>4926</v>
      </c>
      <c r="R1434" s="2" t="s">
        <v>59</v>
      </c>
      <c r="S1434" s="2" t="s">
        <v>51</v>
      </c>
      <c r="T1434" s="2" t="s">
        <v>4697</v>
      </c>
      <c r="U1434" s="2" t="s">
        <v>39</v>
      </c>
      <c r="V1434" s="2" t="s">
        <v>4779</v>
      </c>
      <c r="Y1434" s="2" t="s">
        <v>2216</v>
      </c>
      <c r="AA1434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JOSENIL GOMES </v>
      </c>
      <c r="AB1434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34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34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4" s="6" t="str">
        <f>IF(_xlfn.IFNA(INDEX(configuracoes!$A$2:$A$10,MATCH(base_tc_geral[[#This Row],[TIPO]],configuracoes!$A$2:$A$10,0)),"NÃO")="NÃO","NÃO","SIM")</f>
        <v>SIM</v>
      </c>
    </row>
    <row r="1435" spans="1:31" x14ac:dyDescent="0.25">
      <c r="A1435" s="2" t="s">
        <v>2759</v>
      </c>
      <c r="B1435" s="2">
        <v>108401409</v>
      </c>
      <c r="C1435" s="2" t="s">
        <v>183</v>
      </c>
      <c r="D1435" s="2" t="s">
        <v>4480</v>
      </c>
      <c r="E1435" s="2" t="s">
        <v>47</v>
      </c>
      <c r="F1435" s="2" t="s">
        <v>368</v>
      </c>
      <c r="G1435" s="2" t="s">
        <v>41</v>
      </c>
      <c r="H1435" s="2" t="s">
        <v>227</v>
      </c>
      <c r="I1435" s="2" t="s">
        <v>16</v>
      </c>
      <c r="J1435" s="2" t="s">
        <v>227</v>
      </c>
      <c r="K1435" s="2" t="s">
        <v>13</v>
      </c>
      <c r="L1435" s="2" t="s">
        <v>42</v>
      </c>
      <c r="M1435" s="2" t="s">
        <v>75</v>
      </c>
      <c r="N1435" s="2" t="s">
        <v>183</v>
      </c>
      <c r="O1435" s="2" t="s">
        <v>271</v>
      </c>
      <c r="P1435" s="2" t="s">
        <v>2761</v>
      </c>
      <c r="Q1435" s="2" t="s">
        <v>4926</v>
      </c>
      <c r="R1435" s="2" t="s">
        <v>2738</v>
      </c>
      <c r="S1435" s="2" t="s">
        <v>359</v>
      </c>
      <c r="T1435" s="2" t="s">
        <v>4697</v>
      </c>
      <c r="U1435" s="2" t="s">
        <v>39</v>
      </c>
      <c r="V1435" s="2" t="s">
        <v>4778</v>
      </c>
      <c r="Y1435" s="2" t="s">
        <v>2760</v>
      </c>
      <c r="AA1435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 NILTON </v>
      </c>
      <c r="AB1435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VANDERLEI HENZEL </v>
      </c>
      <c r="AC1435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35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5" s="6" t="str">
        <f>IF(_xlfn.IFNA(INDEX(configuracoes!$A$2:$A$10,MATCH(base_tc_geral[[#This Row],[TIPO]],configuracoes!$A$2:$A$10,0)),"NÃO")="NÃO","NÃO","SIM")</f>
        <v>SIM</v>
      </c>
    </row>
    <row r="1436" spans="1:31" x14ac:dyDescent="0.25">
      <c r="A1436" s="2" t="s">
        <v>339</v>
      </c>
      <c r="B1436" s="2">
        <v>101007665</v>
      </c>
      <c r="C1436" s="2" t="s">
        <v>43</v>
      </c>
      <c r="D1436" s="2" t="s">
        <v>4499</v>
      </c>
      <c r="E1436" s="2" t="s">
        <v>47</v>
      </c>
      <c r="F1436" s="2" t="s">
        <v>341</v>
      </c>
      <c r="G1436" s="2" t="s">
        <v>245</v>
      </c>
      <c r="H1436" s="2" t="s">
        <v>56</v>
      </c>
      <c r="I1436" s="2" t="s">
        <v>16</v>
      </c>
      <c r="J1436" s="2" t="s">
        <v>60</v>
      </c>
      <c r="K1436" s="2" t="s">
        <v>20</v>
      </c>
      <c r="L1436" s="2" t="s">
        <v>21</v>
      </c>
      <c r="M1436" s="2" t="s">
        <v>22</v>
      </c>
      <c r="N1436" s="2" t="s">
        <v>43</v>
      </c>
      <c r="O1436" s="2" t="s">
        <v>63</v>
      </c>
      <c r="P1436" s="2" t="s">
        <v>343</v>
      </c>
      <c r="Q1436" s="2" t="s">
        <v>4926</v>
      </c>
      <c r="R1436" s="2" t="s">
        <v>342</v>
      </c>
      <c r="S1436" s="2" t="s">
        <v>51</v>
      </c>
      <c r="T1436" s="2" t="s">
        <v>4697</v>
      </c>
      <c r="U1436" s="2" t="s">
        <v>39</v>
      </c>
      <c r="V1436" s="2" t="s">
        <v>4866</v>
      </c>
      <c r="Y1436" s="2" t="s">
        <v>340</v>
      </c>
      <c r="AA1436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CARLOS AUGUSTO </v>
      </c>
      <c r="AB1436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36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36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6" s="6" t="str">
        <f>IF(_xlfn.IFNA(INDEX(configuracoes!$A$2:$A$10,MATCH(base_tc_geral[[#This Row],[TIPO]],configuracoes!$A$2:$A$10,0)),"NÃO")="NÃO","NÃO","SIM")</f>
        <v>SIM</v>
      </c>
    </row>
    <row r="1437" spans="1:31" x14ac:dyDescent="0.25">
      <c r="A1437" s="2" t="s">
        <v>4299</v>
      </c>
      <c r="B1437" s="2">
        <v>101001782</v>
      </c>
      <c r="C1437" s="2" t="s">
        <v>43</v>
      </c>
      <c r="D1437" s="2" t="s">
        <v>4479</v>
      </c>
      <c r="E1437" s="2" t="s">
        <v>47</v>
      </c>
      <c r="F1437" s="2" t="s">
        <v>464</v>
      </c>
      <c r="G1437" s="2" t="s">
        <v>630</v>
      </c>
      <c r="H1437" s="2" t="s">
        <v>48</v>
      </c>
      <c r="I1437" s="2" t="s">
        <v>16</v>
      </c>
      <c r="J1437" s="2" t="s">
        <v>48</v>
      </c>
      <c r="K1437" s="2" t="s">
        <v>20</v>
      </c>
      <c r="L1437" s="2" t="s">
        <v>21</v>
      </c>
      <c r="M1437" s="2" t="s">
        <v>22</v>
      </c>
      <c r="N1437" s="2" t="s">
        <v>43</v>
      </c>
      <c r="O1437" s="2" t="s">
        <v>53</v>
      </c>
      <c r="P1437" s="2" t="s">
        <v>4301</v>
      </c>
      <c r="Q1437" s="2" t="s">
        <v>4926</v>
      </c>
      <c r="R1437" s="2" t="s">
        <v>512</v>
      </c>
      <c r="S1437" s="2" t="s">
        <v>51</v>
      </c>
      <c r="T1437" s="2" t="s">
        <v>4697</v>
      </c>
      <c r="U1437" s="2" t="s">
        <v>39</v>
      </c>
      <c r="V1437" s="2" t="s">
        <v>4861</v>
      </c>
      <c r="Y1437" s="2" t="s">
        <v>4300</v>
      </c>
      <c r="AA1437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LYNDON JONHSON </v>
      </c>
      <c r="AB1437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37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37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7" s="6" t="str">
        <f>IF(_xlfn.IFNA(INDEX(configuracoes!$A$2:$A$10,MATCH(base_tc_geral[[#This Row],[TIPO]],configuracoes!$A$2:$A$10,0)),"NÃO")="NÃO","NÃO","SIM")</f>
        <v>SIM</v>
      </c>
    </row>
    <row r="1438" spans="1:31" x14ac:dyDescent="0.25">
      <c r="A1438" s="2" t="s">
        <v>2175</v>
      </c>
      <c r="B1438" s="2">
        <v>101007963</v>
      </c>
      <c r="C1438" s="2" t="s">
        <v>43</v>
      </c>
      <c r="D1438" s="2" t="s">
        <v>4479</v>
      </c>
      <c r="E1438" s="2" t="s">
        <v>47</v>
      </c>
      <c r="F1438" s="2" t="s">
        <v>601</v>
      </c>
      <c r="G1438" s="2" t="s">
        <v>883</v>
      </c>
      <c r="H1438" s="2" t="s">
        <v>60</v>
      </c>
      <c r="I1438" s="2" t="s">
        <v>16</v>
      </c>
      <c r="J1438" s="2" t="s">
        <v>60</v>
      </c>
      <c r="K1438" s="2" t="s">
        <v>20</v>
      </c>
      <c r="L1438" s="2" t="s">
        <v>21</v>
      </c>
      <c r="M1438" s="2" t="s">
        <v>22</v>
      </c>
      <c r="N1438" s="2" t="s">
        <v>43</v>
      </c>
      <c r="O1438" s="2" t="s">
        <v>161</v>
      </c>
      <c r="P1438" s="2" t="s">
        <v>2177</v>
      </c>
      <c r="Q1438" s="2" t="s">
        <v>4926</v>
      </c>
      <c r="R1438" s="2" t="s">
        <v>246</v>
      </c>
      <c r="S1438" s="2" t="s">
        <v>51</v>
      </c>
      <c r="T1438" s="2" t="s">
        <v>4697</v>
      </c>
      <c r="U1438" s="2" t="s">
        <v>39</v>
      </c>
      <c r="V1438" s="2" t="s">
        <v>4778</v>
      </c>
      <c r="Y1438" s="2" t="s">
        <v>2176</v>
      </c>
      <c r="AA1438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JOSEVAN DE </v>
      </c>
      <c r="AB1438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ALENCAR DE </v>
      </c>
      <c r="AC1438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38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8" s="6" t="str">
        <f>IF(_xlfn.IFNA(INDEX(configuracoes!$A$2:$A$10,MATCH(base_tc_geral[[#This Row],[TIPO]],configuracoes!$A$2:$A$10,0)),"NÃO")="NÃO","NÃO","SIM")</f>
        <v>SIM</v>
      </c>
    </row>
    <row r="1439" spans="1:31" x14ac:dyDescent="0.25">
      <c r="A1439" s="2" t="s">
        <v>1400</v>
      </c>
      <c r="B1439" s="2">
        <v>101008134</v>
      </c>
      <c r="C1439" s="2" t="s">
        <v>183</v>
      </c>
      <c r="D1439" s="2" t="s">
        <v>4480</v>
      </c>
      <c r="E1439" s="2" t="s">
        <v>47</v>
      </c>
      <c r="F1439" s="2" t="s">
        <v>368</v>
      </c>
      <c r="G1439" s="2" t="s">
        <v>245</v>
      </c>
      <c r="H1439" s="2" t="s">
        <v>227</v>
      </c>
      <c r="I1439" s="2" t="s">
        <v>16</v>
      </c>
      <c r="J1439" s="2" t="s">
        <v>227</v>
      </c>
      <c r="K1439" s="2" t="s">
        <v>20</v>
      </c>
      <c r="L1439" s="2" t="s">
        <v>21</v>
      </c>
      <c r="M1439" s="2" t="s">
        <v>22</v>
      </c>
      <c r="N1439" s="2" t="s">
        <v>183</v>
      </c>
      <c r="O1439" s="2" t="s">
        <v>271</v>
      </c>
      <c r="P1439" s="2" t="s">
        <v>1402</v>
      </c>
      <c r="Q1439" s="2" t="s">
        <v>4926</v>
      </c>
      <c r="R1439" s="2" t="s">
        <v>351</v>
      </c>
      <c r="S1439" s="2" t="s">
        <v>101</v>
      </c>
      <c r="T1439" s="2" t="s">
        <v>4697</v>
      </c>
      <c r="U1439" s="2" t="s">
        <v>39</v>
      </c>
      <c r="V1439" s="2" t="s">
        <v>4834</v>
      </c>
      <c r="Y1439" s="2" t="s">
        <v>1401</v>
      </c>
      <c r="AA1439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BRUNO SAVIO </v>
      </c>
      <c r="AB1439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ANTONIO ROBEVANIO </v>
      </c>
      <c r="AC1439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JONILSON FELIPE </v>
      </c>
      <c r="AD1439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39" s="6" t="str">
        <f>IF(_xlfn.IFNA(INDEX(configuracoes!$A$2:$A$10,MATCH(base_tc_geral[[#This Row],[TIPO]],configuracoes!$A$2:$A$10,0)),"NÃO")="NÃO","NÃO","SIM")</f>
        <v>SIM</v>
      </c>
    </row>
    <row r="1440" spans="1:31" x14ac:dyDescent="0.25">
      <c r="A1440" s="2" t="s">
        <v>1125</v>
      </c>
      <c r="B1440" s="2">
        <v>109000926</v>
      </c>
      <c r="C1440" s="2" t="s">
        <v>43</v>
      </c>
      <c r="D1440" s="2" t="s">
        <v>4498</v>
      </c>
      <c r="E1440" s="2" t="s">
        <v>86</v>
      </c>
      <c r="F1440" s="2" t="s">
        <v>325</v>
      </c>
      <c r="G1440" s="2" t="s">
        <v>870</v>
      </c>
      <c r="H1440" s="2" t="s">
        <v>283</v>
      </c>
      <c r="I1440" s="2" t="s">
        <v>33</v>
      </c>
      <c r="J1440" s="2" t="s">
        <v>124</v>
      </c>
      <c r="K1440" s="2" t="s">
        <v>20</v>
      </c>
      <c r="L1440" s="2" t="s">
        <v>76</v>
      </c>
      <c r="M1440" s="2" t="s">
        <v>22</v>
      </c>
      <c r="N1440" s="2" t="s">
        <v>43</v>
      </c>
      <c r="O1440" s="2" t="s">
        <v>287</v>
      </c>
      <c r="P1440" s="2" t="s">
        <v>1127</v>
      </c>
      <c r="Q1440" s="2" t="s">
        <v>4926</v>
      </c>
      <c r="R1440" s="2" t="s">
        <v>285</v>
      </c>
      <c r="S1440" s="2" t="s">
        <v>125</v>
      </c>
      <c r="T1440" s="2" t="s">
        <v>4696</v>
      </c>
      <c r="U1440" s="2" t="s">
        <v>39</v>
      </c>
      <c r="V1440" s="2" t="s">
        <v>4777</v>
      </c>
      <c r="Y1440" s="2" t="s">
        <v>1126</v>
      </c>
      <c r="AA1440" s="6" t="str">
        <f>IF(base_tc_geral[[#This Row],[GESTOR_IMEDIATO_GA]]=0,"-",LEFT(base_tc_geral[[#This Row],[GESTOR_IMEDIATO_GA]],FIND(" ",base_tc_geral[[#This Row],[GESTOR_IMEDIATO_GA]],1)-1)&amp;" "&amp;LEFT(MID(base_tc_geral[[#This Row],[GESTOR_IMEDIATO_GA]],SEARCH(" ",base_tc_geral[[#This Row],[GESTOR_IMEDIATO_GA]],1)+1,LEN(base_tc_geral[[#This Row],[GESTOR_IMEDIATO_GA]])),SEARCH(" ",MID(base_tc_geral[[#This Row],[GESTOR_IMEDIATO_GA]],SEARCH(" ",base_tc_geral[[#This Row],[GESTOR_IMEDIATO_GA]],1)+1,LEN(base_tc_geral[[#This Row],[GESTOR_IMEDIATO_GA]])),1)))</f>
        <v xml:space="preserve">ANTONIO MAGNO </v>
      </c>
      <c r="AB1440" s="6" t="str">
        <f>IF(base_tc_geral[[#This Row],[GESTOR_OPERACIONAL_GO]]=0,"-",LEFT(base_tc_geral[[#This Row],[GESTOR_OPERACIONAL_GO]],FIND(" ",base_tc_geral[[#This Row],[GESTOR_OPERACIONAL_GO]],1)-1)&amp;" "&amp;LEFT(MID(base_tc_geral[[#This Row],[GESTOR_OPERACIONAL_GO]],SEARCH(" ",base_tc_geral[[#This Row],[GESTOR_OPERACIONAL_GO]],1)+1,LEN(base_tc_geral[[#This Row],[GESTOR_OPERACIONAL_GO]])),SEARCH(" ",MID(base_tc_geral[[#This Row],[GESTOR_OPERACIONAL_GO]],SEARCH(" ",base_tc_geral[[#This Row],[GESTOR_OPERACIONAL_GO]],1)+1,LEN(base_tc_geral[[#This Row],[GESTOR_OPERACIONAL_GO]])),1)))</f>
        <v xml:space="preserve">BRUNO VINICIUS </v>
      </c>
      <c r="AC1440" s="6" t="str">
        <f>IF(base_tc_geral[[#This Row],[GESTOR_GERAL_GG]]=0,"-",LEFT(base_tc_geral[[#This Row],[GESTOR_GERAL_GG]],FIND(" ",base_tc_geral[[#This Row],[GESTOR_GERAL_GG]],1)-1)&amp;" "&amp;LEFT(MID(base_tc_geral[[#This Row],[GESTOR_GERAL_GG]],SEARCH(" ",base_tc_geral[[#This Row],[GESTOR_GERAL_GG]],1)+1,LEN(base_tc_geral[[#This Row],[GESTOR_GERAL_GG]])),SEARCH(" ",MID(base_tc_geral[[#This Row],[GESTOR_GERAL_GG]],SEARCH(" ",base_tc_geral[[#This Row],[GESTOR_GERAL_GG]],1)+1,LEN(base_tc_geral[[#This Row],[GESTOR_GERAL_GG]])),1)))</f>
        <v xml:space="preserve">NIVALDO DE </v>
      </c>
      <c r="AD1440" s="6" t="str">
        <f>IF(base_tc_geral[[#This Row],[SITUACAO_FOLHA]]="ATIVIDADE NORMAL","ATIVO",
IF(LEFT(base_tc_geral[[#This Row],[SITUACAO_FOLHA]],4)="RESC","DESLIGADO",
IF(LEFT(base_tc_geral[[#This Row],[SITUACAO_FOLHA]],6)="FERIAS","FÉRIAS",
IF(LEFT(base_tc_geral[[#This Row],[SITUACAO_FOLHA]],5)="AFAST","AFASTADO","INATIVO"))))</f>
        <v>DESLIGADO</v>
      </c>
      <c r="AE1440" s="6" t="str">
        <f>IF(_xlfn.IFNA(INDEX(configuracoes!$A$2:$A$10,MATCH(base_tc_geral[[#This Row],[TIPO]],configuracoes!$A$2:$A$10,0)),"NÃO")="NÃO","NÃO","SIM")</f>
        <v>SIM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G25"/>
  <sheetViews>
    <sheetView showGridLines="0" tabSelected="1" workbookViewId="0">
      <selection activeCell="I8" sqref="I8"/>
    </sheetView>
  </sheetViews>
  <sheetFormatPr defaultRowHeight="15" x14ac:dyDescent="0.25"/>
  <cols>
    <col min="1" max="1" width="17.5703125" customWidth="1"/>
    <col min="2" max="6" width="12.7109375" customWidth="1"/>
    <col min="7" max="7" width="11.42578125" bestFit="1" customWidth="1"/>
    <col min="8" max="8" width="18" bestFit="1" customWidth="1"/>
    <col min="9" max="9" width="19.5703125" bestFit="1" customWidth="1"/>
    <col min="10" max="10" width="3.28515625" customWidth="1"/>
    <col min="11" max="11" width="3.140625" customWidth="1"/>
    <col min="12" max="12" width="3.5703125" customWidth="1"/>
  </cols>
  <sheetData>
    <row r="1" spans="1:7" x14ac:dyDescent="0.25">
      <c r="A1" s="12" t="s">
        <v>4736</v>
      </c>
      <c r="B1" s="11"/>
      <c r="C1" s="12" t="s">
        <v>4738</v>
      </c>
      <c r="D1" s="12" t="s">
        <v>4737</v>
      </c>
      <c r="F1" s="12" t="s">
        <v>4753</v>
      </c>
    </row>
    <row r="2" spans="1:7" x14ac:dyDescent="0.25">
      <c r="A2" t="s">
        <v>19</v>
      </c>
      <c r="C2" s="17" t="str">
        <f ca="1">IF(base_tc_geral[[#This Row],[DATA_ATUALIZACAO]]=0,TODAY(),base_tc_geral[[#This Row],[DATA_ATUALIZACAO]])</f>
        <v>04/09/2019</v>
      </c>
      <c r="D2" t="s">
        <v>6470</v>
      </c>
      <c r="E2" s="9"/>
      <c r="F2" t="s">
        <v>4754</v>
      </c>
      <c r="G2" s="13" t="s">
        <v>4919</v>
      </c>
    </row>
    <row r="3" spans="1:7" x14ac:dyDescent="0.25">
      <c r="A3" t="s">
        <v>21</v>
      </c>
      <c r="B3" s="10"/>
      <c r="F3" t="s">
        <v>4755</v>
      </c>
      <c r="G3" s="13" t="s">
        <v>4920</v>
      </c>
    </row>
    <row r="4" spans="1:7" x14ac:dyDescent="0.25">
      <c r="A4" t="s">
        <v>76</v>
      </c>
      <c r="F4" t="s">
        <v>4756</v>
      </c>
      <c r="G4" t="str">
        <f>D2</f>
        <v>Quadro Click - 04_09_2019</v>
      </c>
    </row>
    <row r="5" spans="1:7" x14ac:dyDescent="0.25">
      <c r="A5" t="s">
        <v>42</v>
      </c>
      <c r="F5" t="s">
        <v>4757</v>
      </c>
      <c r="G5" t="s">
        <v>4918</v>
      </c>
    </row>
    <row r="6" spans="1:7" x14ac:dyDescent="0.25">
      <c r="A6" t="s">
        <v>126</v>
      </c>
    </row>
    <row r="7" spans="1:7" x14ac:dyDescent="0.25">
      <c r="A7" t="s">
        <v>25</v>
      </c>
    </row>
    <row r="8" spans="1:7" x14ac:dyDescent="0.25">
      <c r="A8" t="s">
        <v>4252</v>
      </c>
    </row>
    <row r="9" spans="1:7" x14ac:dyDescent="0.25">
      <c r="A9" t="s">
        <v>467</v>
      </c>
    </row>
    <row r="14" spans="1:7" x14ac:dyDescent="0.25">
      <c r="A14" s="14" t="s">
        <v>4720</v>
      </c>
      <c r="B14" t="s">
        <v>4721</v>
      </c>
    </row>
    <row r="15" spans="1:7" x14ac:dyDescent="0.25">
      <c r="A15" s="14" t="s">
        <v>4695</v>
      </c>
      <c r="B15" t="s">
        <v>12</v>
      </c>
    </row>
    <row r="17" spans="1:6" hidden="1" x14ac:dyDescent="0.25">
      <c r="A17" s="14" t="s">
        <v>4759</v>
      </c>
      <c r="B17" s="14" t="s">
        <v>4758</v>
      </c>
    </row>
    <row r="18" spans="1:6" x14ac:dyDescent="0.25">
      <c r="A18" s="15" t="s">
        <v>4760</v>
      </c>
      <c r="B18" s="11" t="s">
        <v>47</v>
      </c>
      <c r="C18" s="11" t="s">
        <v>28</v>
      </c>
      <c r="D18" s="11" t="s">
        <v>86</v>
      </c>
      <c r="E18" s="11" t="s">
        <v>106</v>
      </c>
      <c r="F18" s="11" t="s">
        <v>4761</v>
      </c>
    </row>
    <row r="19" spans="1:6" x14ac:dyDescent="0.25">
      <c r="A19" s="11" t="s">
        <v>42</v>
      </c>
      <c r="B19" s="16">
        <v>15</v>
      </c>
      <c r="C19" s="16">
        <v>10</v>
      </c>
      <c r="D19" s="16">
        <v>19</v>
      </c>
      <c r="E19" s="16">
        <v>7</v>
      </c>
      <c r="F19" s="16">
        <v>51</v>
      </c>
    </row>
    <row r="20" spans="1:6" x14ac:dyDescent="0.25">
      <c r="A20" s="11" t="s">
        <v>76</v>
      </c>
      <c r="B20" s="16">
        <v>4</v>
      </c>
      <c r="C20" s="16"/>
      <c r="D20" s="16">
        <v>5</v>
      </c>
      <c r="E20" s="16">
        <v>8</v>
      </c>
      <c r="F20" s="16">
        <v>17</v>
      </c>
    </row>
    <row r="21" spans="1:6" x14ac:dyDescent="0.25">
      <c r="A21" s="11" t="s">
        <v>25</v>
      </c>
      <c r="B21" s="16">
        <v>110</v>
      </c>
      <c r="C21" s="16"/>
      <c r="D21" s="16">
        <v>56</v>
      </c>
      <c r="E21" s="16"/>
      <c r="F21" s="16">
        <v>166</v>
      </c>
    </row>
    <row r="22" spans="1:6" x14ac:dyDescent="0.25">
      <c r="A22" s="11" t="s">
        <v>21</v>
      </c>
      <c r="B22" s="16">
        <v>102</v>
      </c>
      <c r="C22" s="16">
        <v>55</v>
      </c>
      <c r="D22" s="16">
        <v>133</v>
      </c>
      <c r="E22" s="16">
        <v>58</v>
      </c>
      <c r="F22" s="16">
        <v>348</v>
      </c>
    </row>
    <row r="23" spans="1:6" x14ac:dyDescent="0.25">
      <c r="A23" s="11" t="s">
        <v>19</v>
      </c>
      <c r="B23" s="16">
        <v>18</v>
      </c>
      <c r="C23" s="16">
        <v>6</v>
      </c>
      <c r="D23" s="16">
        <v>21</v>
      </c>
      <c r="E23" s="16">
        <v>9</v>
      </c>
      <c r="F23" s="16">
        <v>54</v>
      </c>
    </row>
    <row r="24" spans="1:6" x14ac:dyDescent="0.25">
      <c r="A24" s="11" t="s">
        <v>126</v>
      </c>
      <c r="B24" s="16">
        <v>2</v>
      </c>
      <c r="C24" s="16"/>
      <c r="D24" s="16">
        <v>12</v>
      </c>
      <c r="E24" s="16">
        <v>3</v>
      </c>
      <c r="F24" s="16">
        <v>17</v>
      </c>
    </row>
    <row r="25" spans="1:6" x14ac:dyDescent="0.25">
      <c r="A25" s="11" t="s">
        <v>4761</v>
      </c>
      <c r="B25" s="16">
        <v>251</v>
      </c>
      <c r="C25" s="16">
        <v>71</v>
      </c>
      <c r="D25" s="16">
        <v>246</v>
      </c>
      <c r="E25" s="16">
        <v>85</v>
      </c>
      <c r="F25" s="16">
        <v>653</v>
      </c>
    </row>
  </sheetData>
  <hyperlinks>
    <hyperlink ref="G2" r:id="rId2" display="farias.cesar@redeconecta.net.br"/>
    <hyperlink ref="G3" r:id="rId3" display="farias.cesar@redeconecta.net.br"/>
  </hyperlinks>
  <pageMargins left="0.511811024" right="0.511811024" top="0.78740157499999996" bottom="0.78740157499999996" header="0.31496062000000002" footer="0.31496062000000002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Index</vt:lpstr>
      <vt:lpstr>base_tc_geral</vt:lpstr>
      <vt:lpstr>export</vt:lpstr>
      <vt:lpstr>configuracoes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Farias De Albuquerque Cesar</dc:creator>
  <cp:lastModifiedBy>Leonardo Liulle Reis Duarte</cp:lastModifiedBy>
  <dcterms:created xsi:type="dcterms:W3CDTF">2019-08-27T19:18:12Z</dcterms:created>
  <dcterms:modified xsi:type="dcterms:W3CDTF">2020-01-16T12:42:47Z</dcterms:modified>
</cp:coreProperties>
</file>